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sheets/sheet30.xml" ContentType="application/vnd.openxmlformats-officedocument.spreadsheetml.worksheet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38.xml" ContentType="application/vnd.openxmlformats-officedocument.spreadsheetml.worksheet+xml"/>
  <Override PartName="/xl/worksheets/sheet3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14.xml" ContentType="application/vnd.openxmlformats-officedocument.spreadsheetml.worksheet+xml"/>
  <Override PartName="/xl/worksheets/sheet20.xml" ContentType="application/vnd.openxmlformats-officedocument.spreadsheetml.worksheet+xml"/>
  <Override PartName="/xl/worksheets/sheet13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5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J\3廠廢棄\井上先生表\"/>
    </mc:Choice>
  </mc:AlternateContent>
  <bookViews>
    <workbookView xWindow="-120" yWindow="-120" windowWidth="29040" windowHeight="15720" tabRatio="866" firstSheet="14" activeTab="26"/>
  </bookViews>
  <sheets>
    <sheet name="數值累積總表(月)" sheetId="65" state="hidden" r:id="rId1"/>
    <sheet name="生產管理報表(月)" sheetId="13" state="hidden" r:id="rId2"/>
    <sheet name="生產管理報表(週) " sheetId="39" r:id="rId3"/>
    <sheet name="（１）收支狀況" sheetId="3" r:id="rId4"/>
    <sheet name="（２）ＫＰＩ達成進度" sheetId="5" r:id="rId5"/>
    <sheet name="（３）業績構成比" sheetId="7" r:id="rId6"/>
    <sheet name="（４）訂單數量構成比" sheetId="6" r:id="rId7"/>
    <sheet name="（５-1）品群別人時生產性(18℃-飯糰)" sheetId="44" r:id="rId8"/>
    <sheet name="（５-2）品群別人時生產性(18℃-壽司手卷)" sheetId="45" r:id="rId9"/>
    <sheet name="（５-3）品群別人時生產性(4℃-飯糰)" sheetId="46" r:id="rId10"/>
    <sheet name="（５-4）品群別人時生產性(4℃-壽司手卷)" sheetId="47" r:id="rId11"/>
    <sheet name="（５-5）品群別人時生產性(微波主食) " sheetId="48" r:id="rId12"/>
    <sheet name="（５-6）品群別人時生產性(便當)" sheetId="49" r:id="rId13"/>
    <sheet name="（５-7）品群別人時生產性(熱食義麵) " sheetId="50" r:id="rId14"/>
    <sheet name="（５-8）品群別人時生產性(季節調理麵) " sheetId="51" r:id="rId15"/>
    <sheet name="（５-9）品群別人時生產性(微波小吃)" sheetId="52" r:id="rId16"/>
    <sheet name="生產管理報表 6-1" sheetId="15" r:id="rId17"/>
    <sheet name="生產管理報表 6-2" sheetId="22" r:id="rId18"/>
    <sheet name="生產管理報表 6-3" sheetId="23" r:id="rId19"/>
    <sheet name="生產管理報表 6-4" sheetId="24" r:id="rId20"/>
    <sheet name="生產管理報表 6-5" sheetId="25" r:id="rId21"/>
    <sheet name="生產管理報表 7-1(月)" sheetId="40" state="hidden" r:id="rId22"/>
    <sheet name="生產管理報表 8-1(月報廢)" sheetId="57" state="hidden" r:id="rId23"/>
    <sheet name="生產管理報表 8-2(月報廢)" sheetId="58" state="hidden" r:id="rId24"/>
    <sheet name="生產管理報表 8-3(月超用)" sheetId="59" state="hidden" r:id="rId25"/>
    <sheet name="生產管理報表 8-4(月超用)" sheetId="60" state="hidden" r:id="rId26"/>
    <sheet name="生產管理報表 7-1 (週)" sheetId="41" r:id="rId27"/>
    <sheet name="生產管理報表 8-5(週報廢)" sheetId="19" r:id="rId28"/>
    <sheet name="生產管理報表 8-6(週報廢)" sheetId="20" r:id="rId29"/>
    <sheet name="生產管理報表 8-7(週超用)" sheetId="61" r:id="rId30"/>
    <sheet name="生產管理報表 8-8(週超用) " sheetId="62" r:id="rId31"/>
    <sheet name="生產管理報表 9" sheetId="21" r:id="rId32"/>
    <sheet name="日別報廢率總表" sheetId="56" r:id="rId33"/>
    <sheet name="報廢20大－原因別分析" sheetId="63" r:id="rId34"/>
    <sheet name="超用20大－原因別分析" sheetId="66" r:id="rId35"/>
    <sheet name="填寫舉例" sheetId="1" r:id="rId36"/>
    <sheet name="鮮食品群番" sheetId="38" r:id="rId37"/>
    <sheet name="下拉式選單" sheetId="54" r:id="rId38"/>
  </sheets>
  <definedNames>
    <definedName name="_xlnm._FilterDatabase" localSheetId="7" hidden="1">'（５-1）品群別人時生產性(18℃-飯糰)'!#REF!</definedName>
    <definedName name="_xlnm._FilterDatabase" localSheetId="8" hidden="1">'（５-2）品群別人時生產性(18℃-壽司手卷)'!#REF!</definedName>
    <definedName name="_xlnm._FilterDatabase" localSheetId="9" hidden="1">'（５-3）品群別人時生產性(4℃-飯糰)'!#REF!</definedName>
    <definedName name="_xlnm._FilterDatabase" localSheetId="10" hidden="1">'（５-4）品群別人時生產性(4℃-壽司手卷)'!#REF!</definedName>
    <definedName name="_xlnm._FilterDatabase" localSheetId="11" hidden="1">'（５-5）品群別人時生產性(微波主食) '!#REF!</definedName>
    <definedName name="_xlnm._FilterDatabase" localSheetId="12" hidden="1">'（５-6）品群別人時生產性(便當)'!#REF!</definedName>
    <definedName name="_xlnm._FilterDatabase" localSheetId="13" hidden="1">'（５-7）品群別人時生產性(熱食義麵) '!#REF!</definedName>
    <definedName name="_xlnm._FilterDatabase" localSheetId="14" hidden="1">'（５-8）品群別人時生產性(季節調理麵) '!#REF!</definedName>
    <definedName name="_xlnm._FilterDatabase" localSheetId="15" hidden="1">'（５-9）品群別人時生產性(微波小吃)'!#REF!</definedName>
    <definedName name="_xlnm._FilterDatabase" localSheetId="22" hidden="1">#REF!</definedName>
    <definedName name="_xlnm._FilterDatabase" localSheetId="24" hidden="1">#REF!</definedName>
    <definedName name="_xlnm._FilterDatabase" localSheetId="27" hidden="1">#REF!</definedName>
    <definedName name="_xlnm._FilterDatabase" localSheetId="29" hidden="1">#REF!</definedName>
    <definedName name="_xlnm._FilterDatabase" localSheetId="33" hidden="1">'報廢20大－原因別分析'!#REF!</definedName>
    <definedName name="_xlnm._FilterDatabase" localSheetId="34" hidden="1">'超用20大－原因別分析'!#REF!</definedName>
    <definedName name="_xlnm.Print_Area" localSheetId="16">'生產管理報表 6-1'!$A$1:$L$80</definedName>
    <definedName name="_xlnm.Print_Area" localSheetId="17">'生產管理報表 6-2'!$A$1:$L$80</definedName>
    <definedName name="_xlnm.Print_Area" localSheetId="18">'生產管理報表 6-3'!$A$1:$L$80</definedName>
    <definedName name="_xlnm.Print_Area" localSheetId="19">'生產管理報表 6-4'!$A$1:$L$80</definedName>
    <definedName name="_xlnm.Print_Area" localSheetId="20">'生產管理報表 6-5'!$A$1:$L$80</definedName>
    <definedName name="_xlnm.Print_Area" localSheetId="26">'生產管理報表 7-1 (週)'!$A$1:$M$59</definedName>
    <definedName name="_xlnm.Print_Area" localSheetId="21">'生產管理報表 7-1(月)'!$A$1:$M$15</definedName>
    <definedName name="_xlnm.Print_Area" localSheetId="22">'生產管理報表 8-1(月報廢)'!$A$1:$P$30</definedName>
    <definedName name="_xlnm.Print_Area" localSheetId="23">'生產管理報表 8-2(月報廢)'!$A$1:$P$38</definedName>
    <definedName name="_xlnm.Print_Area" localSheetId="24">'生產管理報表 8-3(月超用)'!$A$1:$Q$30</definedName>
    <definedName name="_xlnm.Print_Area" localSheetId="25">'生產管理報表 8-4(月超用)'!$A$1:$P$38</definedName>
    <definedName name="_xlnm.Print_Area" localSheetId="27">'生產管理報表 8-5(週報廢)'!$A$1:$P$58</definedName>
    <definedName name="_xlnm.Print_Area" localSheetId="28">'生產管理報表 8-6(週報廢)'!$A$1:$P$74</definedName>
    <definedName name="_xlnm.Print_Area" localSheetId="29">'生產管理報表 8-7(週超用)'!$A$1:$Q$30</definedName>
    <definedName name="_xlnm.Print_Area" localSheetId="30">'生產管理報表 8-8(週超用) '!$A$1:$P$58</definedName>
    <definedName name="_xlnm.Print_Area" localSheetId="31">'生產管理報表 9'!#REF!</definedName>
    <definedName name="_xlnm.Print_Area" localSheetId="1">'生產管理報表(月)'!$A$1:$K$37</definedName>
    <definedName name="_xlnm.Print_Area" localSheetId="2">'生產管理報表(週) '!$A$1:$K$36</definedName>
    <definedName name="_xlnm.Print_Area" localSheetId="36">鮮食品群番!$B$2:$F$20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G51" i="63" l="1"/>
  <c r="AG74" i="63"/>
  <c r="B32" i="41"/>
  <c r="B31" i="41"/>
  <c r="J19" i="56"/>
  <c r="I19" i="56"/>
  <c r="M37" i="62" l="1"/>
  <c r="M38" i="62"/>
  <c r="M39" i="62"/>
  <c r="M40" i="62"/>
  <c r="M41" i="62"/>
  <c r="B48" i="56"/>
  <c r="G46" i="56"/>
  <c r="H46" i="56" s="1"/>
  <c r="F46" i="56"/>
  <c r="D46" i="56"/>
  <c r="H45" i="56"/>
  <c r="G45" i="56"/>
  <c r="F45" i="56"/>
  <c r="D45" i="56"/>
  <c r="G44" i="56"/>
  <c r="H44" i="56" s="1"/>
  <c r="F44" i="56"/>
  <c r="D44" i="56"/>
  <c r="G43" i="56"/>
  <c r="H43" i="56" s="1"/>
  <c r="F43" i="56"/>
  <c r="D43" i="56"/>
  <c r="G42" i="56"/>
  <c r="H42" i="56" s="1"/>
  <c r="F42" i="56"/>
  <c r="D42" i="56"/>
  <c r="H41" i="56"/>
  <c r="G41" i="56"/>
  <c r="F41" i="56"/>
  <c r="D41" i="56"/>
  <c r="J40" i="56"/>
  <c r="I40" i="56"/>
  <c r="G40" i="56"/>
  <c r="H40" i="56" s="1"/>
  <c r="F40" i="56"/>
  <c r="D40" i="56"/>
  <c r="G39" i="56"/>
  <c r="H39" i="56" s="1"/>
  <c r="F39" i="56"/>
  <c r="D39" i="56"/>
  <c r="G38" i="56"/>
  <c r="H38" i="56" s="1"/>
  <c r="F38" i="56"/>
  <c r="D38" i="56"/>
  <c r="G37" i="56"/>
  <c r="H37" i="56" s="1"/>
  <c r="F37" i="56"/>
  <c r="D37" i="56"/>
  <c r="G36" i="56"/>
  <c r="H36" i="56" s="1"/>
  <c r="F36" i="56"/>
  <c r="D36" i="56"/>
  <c r="G35" i="56"/>
  <c r="H35" i="56" s="1"/>
  <c r="F35" i="56"/>
  <c r="D35" i="56"/>
  <c r="H34" i="56"/>
  <c r="G34" i="56"/>
  <c r="F34" i="56"/>
  <c r="D34" i="56"/>
  <c r="J33" i="56"/>
  <c r="I33" i="56"/>
  <c r="G33" i="56"/>
  <c r="H33" i="56" s="1"/>
  <c r="F33" i="56"/>
  <c r="D33" i="56"/>
  <c r="H32" i="56"/>
  <c r="G32" i="56"/>
  <c r="F32" i="56"/>
  <c r="D32" i="56"/>
  <c r="G31" i="56"/>
  <c r="H31" i="56" s="1"/>
  <c r="F31" i="56"/>
  <c r="D31" i="56"/>
  <c r="G30" i="56"/>
  <c r="H30" i="56" s="1"/>
  <c r="F30" i="56"/>
  <c r="D30" i="56"/>
  <c r="G29" i="56"/>
  <c r="H29" i="56" s="1"/>
  <c r="F29" i="56"/>
  <c r="D29" i="56"/>
  <c r="H28" i="56"/>
  <c r="G28" i="56"/>
  <c r="F28" i="56"/>
  <c r="D28" i="56"/>
  <c r="G27" i="56"/>
  <c r="H27" i="56" s="1"/>
  <c r="F27" i="56"/>
  <c r="D27" i="56"/>
  <c r="J26" i="56"/>
  <c r="I26" i="56"/>
  <c r="G26" i="56"/>
  <c r="H26" i="56" s="1"/>
  <c r="F26" i="56"/>
  <c r="D26" i="56"/>
  <c r="G25" i="56"/>
  <c r="H25" i="56" s="1"/>
  <c r="D25" i="56"/>
  <c r="G24" i="56"/>
  <c r="H24" i="56" s="1"/>
  <c r="D24" i="56"/>
  <c r="G23" i="56"/>
  <c r="H23" i="56" s="1"/>
  <c r="D23" i="56"/>
  <c r="G22" i="56"/>
  <c r="H22" i="56" s="1"/>
  <c r="F22" i="56"/>
  <c r="D22" i="56"/>
  <c r="F21" i="56"/>
  <c r="G21" i="56"/>
  <c r="H21" i="56" s="1"/>
  <c r="D21" i="56"/>
  <c r="G20" i="56"/>
  <c r="H20" i="56" s="1"/>
  <c r="F20" i="56"/>
  <c r="D20" i="56"/>
  <c r="G19" i="56"/>
  <c r="H19" i="56" s="1"/>
  <c r="D19" i="56"/>
  <c r="G18" i="56"/>
  <c r="H18" i="56" s="1"/>
  <c r="D18" i="56"/>
  <c r="F17" i="56"/>
  <c r="G17" i="56"/>
  <c r="H17" i="56" s="1"/>
  <c r="G16" i="56"/>
  <c r="H16" i="56" s="1"/>
  <c r="F16" i="56"/>
  <c r="D16" i="56"/>
  <c r="F15" i="56"/>
  <c r="G15" i="56"/>
  <c r="H15" i="56" s="1"/>
  <c r="G14" i="56"/>
  <c r="H14" i="56" s="1"/>
  <c r="D14" i="56"/>
  <c r="G13" i="56"/>
  <c r="H13" i="56" s="1"/>
  <c r="F13" i="56"/>
  <c r="D13" i="56"/>
  <c r="G12" i="56"/>
  <c r="H12" i="56" s="1"/>
  <c r="F12" i="56"/>
  <c r="J12" i="56"/>
  <c r="D12" i="56"/>
  <c r="G11" i="56"/>
  <c r="H11" i="56" s="1"/>
  <c r="F11" i="56"/>
  <c r="D11" i="56"/>
  <c r="F10" i="56"/>
  <c r="G10" i="56"/>
  <c r="H10" i="56" s="1"/>
  <c r="G9" i="56"/>
  <c r="H9" i="56" s="1"/>
  <c r="F9" i="56"/>
  <c r="D9" i="56"/>
  <c r="B2" i="56"/>
  <c r="D2" i="56" s="1"/>
  <c r="G8" i="56"/>
  <c r="H8" i="56" s="1"/>
  <c r="F8" i="56"/>
  <c r="D8" i="56"/>
  <c r="G7" i="56"/>
  <c r="H7" i="56" s="1"/>
  <c r="F7" i="56"/>
  <c r="D7" i="56"/>
  <c r="G6" i="56"/>
  <c r="H6" i="56" s="1"/>
  <c r="F6" i="56"/>
  <c r="D6" i="56"/>
  <c r="A6" i="56"/>
  <c r="A7" i="56" s="1"/>
  <c r="A8" i="56" s="1"/>
  <c r="A9" i="56" s="1"/>
  <c r="A10" i="56" s="1"/>
  <c r="A11" i="56" s="1"/>
  <c r="A12" i="56" s="1"/>
  <c r="A13" i="56" s="1"/>
  <c r="A14" i="56" s="1"/>
  <c r="A15" i="56" s="1"/>
  <c r="A16" i="56" s="1"/>
  <c r="A17" i="56" s="1"/>
  <c r="A18" i="56" s="1"/>
  <c r="A19" i="56" s="1"/>
  <c r="A20" i="56" s="1"/>
  <c r="A21" i="56" s="1"/>
  <c r="A22" i="56" s="1"/>
  <c r="A23" i="56" s="1"/>
  <c r="A24" i="56" s="1"/>
  <c r="A25" i="56" s="1"/>
  <c r="A26" i="56" s="1"/>
  <c r="A27" i="56" s="1"/>
  <c r="A28" i="56" s="1"/>
  <c r="A29" i="56" s="1"/>
  <c r="A30" i="56" s="1"/>
  <c r="A31" i="56" s="1"/>
  <c r="A32" i="56" s="1"/>
  <c r="A33" i="56" s="1"/>
  <c r="A34" i="56" s="1"/>
  <c r="A35" i="56" s="1"/>
  <c r="A36" i="56" s="1"/>
  <c r="A37" i="56" s="1"/>
  <c r="A38" i="56" s="1"/>
  <c r="A39" i="56" s="1"/>
  <c r="A40" i="56" s="1"/>
  <c r="A41" i="56" s="1"/>
  <c r="A42" i="56" s="1"/>
  <c r="A43" i="56" s="1"/>
  <c r="A44" i="56" s="1"/>
  <c r="A45" i="56" s="1"/>
  <c r="A46" i="56" s="1"/>
  <c r="G5" i="56"/>
  <c r="H5" i="56" s="1"/>
  <c r="F5" i="56"/>
  <c r="D5" i="56"/>
  <c r="J62" i="25"/>
  <c r="J61" i="25"/>
  <c r="J60" i="25"/>
  <c r="J90" i="25"/>
  <c r="J89" i="25"/>
  <c r="J88" i="25"/>
  <c r="J87" i="25"/>
  <c r="J86" i="25"/>
  <c r="B86" i="25"/>
  <c r="A86" i="25"/>
  <c r="J78" i="24"/>
  <c r="J77" i="24"/>
  <c r="J76" i="24"/>
  <c r="J75" i="24"/>
  <c r="J74" i="24"/>
  <c r="J73" i="24"/>
  <c r="J72" i="24"/>
  <c r="J71" i="24"/>
  <c r="J104" i="24"/>
  <c r="J103" i="24"/>
  <c r="J102" i="24"/>
  <c r="J101" i="24"/>
  <c r="J100" i="24"/>
  <c r="J99" i="24"/>
  <c r="J98" i="24"/>
  <c r="J97" i="24"/>
  <c r="J75" i="23"/>
  <c r="J78" i="23"/>
  <c r="J77" i="23"/>
  <c r="J76" i="23"/>
  <c r="J74" i="23"/>
  <c r="J73" i="23"/>
  <c r="J72" i="23"/>
  <c r="J71" i="23"/>
  <c r="J67" i="23"/>
  <c r="J66" i="23"/>
  <c r="J65" i="23"/>
  <c r="J64" i="23"/>
  <c r="J63" i="23"/>
  <c r="J62" i="23"/>
  <c r="J61" i="23"/>
  <c r="J60" i="23"/>
  <c r="J106" i="23"/>
  <c r="J105" i="23"/>
  <c r="J104" i="23"/>
  <c r="J102" i="23"/>
  <c r="J101" i="23"/>
  <c r="J100" i="23"/>
  <c r="J99" i="23"/>
  <c r="J98" i="23"/>
  <c r="J97" i="23"/>
  <c r="J94" i="23"/>
  <c r="J93" i="23"/>
  <c r="J92" i="23"/>
  <c r="J91" i="23"/>
  <c r="J90" i="23"/>
  <c r="J89" i="23"/>
  <c r="J88" i="23"/>
  <c r="J86" i="23"/>
  <c r="J76" i="22"/>
  <c r="J75" i="22"/>
  <c r="J74" i="22"/>
  <c r="J73" i="22"/>
  <c r="J72" i="22"/>
  <c r="J71" i="22"/>
  <c r="J60" i="22"/>
  <c r="J101" i="22"/>
  <c r="J100" i="22"/>
  <c r="J99" i="22"/>
  <c r="J98" i="22"/>
  <c r="J97" i="22"/>
  <c r="J86" i="22"/>
  <c r="J74" i="15"/>
  <c r="J73" i="15"/>
  <c r="J72" i="15"/>
  <c r="J71" i="15"/>
  <c r="J69" i="15"/>
  <c r="J68" i="15"/>
  <c r="J67" i="15"/>
  <c r="J66" i="15"/>
  <c r="J65" i="15"/>
  <c r="J64" i="15"/>
  <c r="J63" i="15"/>
  <c r="J62" i="15"/>
  <c r="J61" i="15"/>
  <c r="J99" i="15"/>
  <c r="J98" i="15"/>
  <c r="J97" i="15"/>
  <c r="J94" i="15"/>
  <c r="J93" i="15"/>
  <c r="J92" i="15"/>
  <c r="J91" i="15"/>
  <c r="J89" i="15"/>
  <c r="J88" i="15"/>
  <c r="J87" i="15"/>
  <c r="J86" i="15"/>
  <c r="AW48" i="52"/>
  <c r="AW47" i="52"/>
  <c r="AR48" i="52"/>
  <c r="AR47" i="52"/>
  <c r="AM49" i="52"/>
  <c r="AM48" i="52"/>
  <c r="AM47" i="52"/>
  <c r="AH49" i="52"/>
  <c r="AH48" i="52"/>
  <c r="AH47" i="52"/>
  <c r="AC49" i="52"/>
  <c r="AC48" i="52"/>
  <c r="AC47" i="52"/>
  <c r="X49" i="52"/>
  <c r="X48" i="52"/>
  <c r="X47" i="52"/>
  <c r="S48" i="52"/>
  <c r="S49" i="52"/>
  <c r="S47" i="52"/>
  <c r="M48" i="52"/>
  <c r="M49" i="52"/>
  <c r="M47" i="52"/>
  <c r="AL49" i="52"/>
  <c r="AG49" i="52"/>
  <c r="AB49" i="52"/>
  <c r="W49" i="52"/>
  <c r="R49" i="52"/>
  <c r="K49" i="52"/>
  <c r="J49" i="52"/>
  <c r="I49" i="52"/>
  <c r="G49" i="52"/>
  <c r="AV48" i="52"/>
  <c r="K48" i="52" s="1"/>
  <c r="AQ48" i="52"/>
  <c r="AL48" i="52"/>
  <c r="AG48" i="52"/>
  <c r="AB48" i="52"/>
  <c r="W48" i="52"/>
  <c r="R48" i="52"/>
  <c r="J48" i="52"/>
  <c r="I48" i="52"/>
  <c r="G48" i="52"/>
  <c r="H47" i="52" s="1"/>
  <c r="AX47" i="52"/>
  <c r="AV47" i="52"/>
  <c r="AQ47" i="52"/>
  <c r="AS47" i="52" s="1"/>
  <c r="AL47" i="52"/>
  <c r="AN47" i="52" s="1"/>
  <c r="AI47" i="52"/>
  <c r="AG47" i="52"/>
  <c r="AB47" i="52"/>
  <c r="AD47" i="52" s="1"/>
  <c r="W47" i="52"/>
  <c r="Y47" i="52" s="1"/>
  <c r="R47" i="52"/>
  <c r="T47" i="52" s="1"/>
  <c r="J47" i="52"/>
  <c r="I47" i="52"/>
  <c r="G47" i="52"/>
  <c r="AW54" i="51"/>
  <c r="AW53" i="51"/>
  <c r="AW52" i="51"/>
  <c r="AW51" i="51"/>
  <c r="AW50" i="51"/>
  <c r="AW49" i="51"/>
  <c r="AW48" i="51"/>
  <c r="AW47" i="51"/>
  <c r="AR54" i="51"/>
  <c r="AR53" i="51"/>
  <c r="AR52" i="51"/>
  <c r="AR51" i="51"/>
  <c r="AR50" i="51"/>
  <c r="AR49" i="51"/>
  <c r="AR48" i="51"/>
  <c r="AR47" i="51"/>
  <c r="AM54" i="51"/>
  <c r="AM53" i="51"/>
  <c r="AM52" i="51"/>
  <c r="AM51" i="51"/>
  <c r="AM50" i="51"/>
  <c r="AM49" i="51"/>
  <c r="AM48" i="51"/>
  <c r="AM47" i="51"/>
  <c r="AH54" i="51"/>
  <c r="AH53" i="51"/>
  <c r="AH52" i="51"/>
  <c r="AH51" i="51"/>
  <c r="AH50" i="51"/>
  <c r="AH49" i="51"/>
  <c r="AH48" i="51"/>
  <c r="AH47" i="51"/>
  <c r="AC54" i="51"/>
  <c r="AC53" i="51"/>
  <c r="AC52" i="51"/>
  <c r="AC51" i="51"/>
  <c r="AC50" i="51"/>
  <c r="AC49" i="51"/>
  <c r="AC48" i="51"/>
  <c r="AC47" i="51"/>
  <c r="X54" i="51"/>
  <c r="X53" i="51"/>
  <c r="X52" i="51"/>
  <c r="X51" i="51"/>
  <c r="X50" i="51"/>
  <c r="X49" i="51"/>
  <c r="X48" i="51"/>
  <c r="X47" i="51"/>
  <c r="W47" i="51"/>
  <c r="W48" i="51"/>
  <c r="W49" i="51"/>
  <c r="W50" i="51"/>
  <c r="W51" i="51"/>
  <c r="W52" i="51"/>
  <c r="W53" i="51"/>
  <c r="W54" i="51"/>
  <c r="K51" i="51"/>
  <c r="S48" i="51"/>
  <c r="S49" i="51"/>
  <c r="S50" i="51"/>
  <c r="S51" i="51"/>
  <c r="S52" i="51"/>
  <c r="S53" i="51"/>
  <c r="S54" i="51"/>
  <c r="S47" i="51"/>
  <c r="AV54" i="51"/>
  <c r="AQ54" i="51"/>
  <c r="AL54" i="51"/>
  <c r="AG54" i="51"/>
  <c r="K54" i="51" s="1"/>
  <c r="AB54" i="51"/>
  <c r="R54" i="51"/>
  <c r="J54" i="51"/>
  <c r="I54" i="51"/>
  <c r="G54" i="51"/>
  <c r="AV53" i="51"/>
  <c r="AQ53" i="51"/>
  <c r="AL53" i="51"/>
  <c r="AG53" i="51"/>
  <c r="AB53" i="51"/>
  <c r="R53" i="51"/>
  <c r="J53" i="51"/>
  <c r="I53" i="51"/>
  <c r="G53" i="51"/>
  <c r="AV52" i="51"/>
  <c r="AQ52" i="51"/>
  <c r="AL52" i="51"/>
  <c r="AG52" i="51"/>
  <c r="AB52" i="51"/>
  <c r="K52" i="51"/>
  <c r="R52" i="51"/>
  <c r="J52" i="51"/>
  <c r="I52" i="51"/>
  <c r="G52" i="51"/>
  <c r="AV51" i="51"/>
  <c r="AQ51" i="51"/>
  <c r="AL51" i="51"/>
  <c r="AG51" i="51"/>
  <c r="AB51" i="51"/>
  <c r="R51" i="51"/>
  <c r="J51" i="51"/>
  <c r="I51" i="51"/>
  <c r="G51" i="51"/>
  <c r="AV50" i="51"/>
  <c r="AQ50" i="51"/>
  <c r="AL50" i="51"/>
  <c r="AG50" i="51"/>
  <c r="AB50" i="51"/>
  <c r="R50" i="51"/>
  <c r="K50" i="51" s="1"/>
  <c r="J50" i="51"/>
  <c r="I50" i="51"/>
  <c r="G50" i="51"/>
  <c r="AV49" i="51"/>
  <c r="AQ49" i="51"/>
  <c r="AL49" i="51"/>
  <c r="AG49" i="51"/>
  <c r="AB49" i="51"/>
  <c r="R49" i="51"/>
  <c r="K49" i="51" s="1"/>
  <c r="J49" i="51"/>
  <c r="I49" i="51"/>
  <c r="G49" i="51"/>
  <c r="AV48" i="51"/>
  <c r="AQ48" i="51"/>
  <c r="AL48" i="51"/>
  <c r="AG48" i="51"/>
  <c r="AB48" i="51"/>
  <c r="R48" i="51"/>
  <c r="J48" i="51"/>
  <c r="I48" i="51"/>
  <c r="G48" i="51"/>
  <c r="H47" i="51" s="1"/>
  <c r="AV47" i="51"/>
  <c r="AX47" i="51" s="1"/>
  <c r="AS47" i="51"/>
  <c r="AQ47" i="51"/>
  <c r="AL47" i="51"/>
  <c r="AG47" i="51"/>
  <c r="AI47" i="51" s="1"/>
  <c r="AB47" i="51"/>
  <c r="AD47" i="51" s="1"/>
  <c r="R47" i="51"/>
  <c r="T47" i="51" s="1"/>
  <c r="K47" i="51"/>
  <c r="J47" i="51"/>
  <c r="I47" i="51"/>
  <c r="G47" i="51"/>
  <c r="AW54" i="49"/>
  <c r="AW53" i="49"/>
  <c r="AW52" i="49"/>
  <c r="AW51" i="49"/>
  <c r="AW50" i="49"/>
  <c r="AW49" i="49"/>
  <c r="AW48" i="49"/>
  <c r="AW47" i="49"/>
  <c r="AR54" i="49"/>
  <c r="AR53" i="49"/>
  <c r="AR52" i="49"/>
  <c r="AR51" i="49"/>
  <c r="AR50" i="49"/>
  <c r="AR49" i="49"/>
  <c r="AR48" i="49"/>
  <c r="AR47" i="49"/>
  <c r="AM54" i="49"/>
  <c r="AM53" i="49"/>
  <c r="AM52" i="49"/>
  <c r="AM51" i="49"/>
  <c r="AM50" i="49"/>
  <c r="AM49" i="49"/>
  <c r="AM48" i="49"/>
  <c r="AM47" i="49"/>
  <c r="AH54" i="49"/>
  <c r="AH53" i="49"/>
  <c r="AH52" i="49"/>
  <c r="AH51" i="49"/>
  <c r="AH50" i="49"/>
  <c r="AH49" i="49"/>
  <c r="AH48" i="49"/>
  <c r="AH47" i="49"/>
  <c r="AC54" i="49"/>
  <c r="AC53" i="49"/>
  <c r="AC52" i="49"/>
  <c r="AC51" i="49"/>
  <c r="AC50" i="49"/>
  <c r="AC49" i="49"/>
  <c r="AC48" i="49"/>
  <c r="AC47" i="49"/>
  <c r="X54" i="49"/>
  <c r="X53" i="49"/>
  <c r="X52" i="49"/>
  <c r="X51" i="49"/>
  <c r="X50" i="49"/>
  <c r="X49" i="49"/>
  <c r="X48" i="49"/>
  <c r="X47" i="49"/>
  <c r="S48" i="49"/>
  <c r="S49" i="49"/>
  <c r="S50" i="49"/>
  <c r="S51" i="49"/>
  <c r="S52" i="49"/>
  <c r="S53" i="49"/>
  <c r="S54" i="49"/>
  <c r="S47" i="49"/>
  <c r="M48" i="49"/>
  <c r="M49" i="49"/>
  <c r="M50" i="49"/>
  <c r="M51" i="49"/>
  <c r="M52" i="49"/>
  <c r="M53" i="49"/>
  <c r="M54" i="49"/>
  <c r="M47" i="49"/>
  <c r="AV54" i="49"/>
  <c r="AQ54" i="49"/>
  <c r="AL54" i="49"/>
  <c r="AG54" i="49"/>
  <c r="AB54" i="49"/>
  <c r="W54" i="49"/>
  <c r="R54" i="49"/>
  <c r="K54" i="49"/>
  <c r="J54" i="49"/>
  <c r="I54" i="49"/>
  <c r="G54" i="49"/>
  <c r="AV53" i="49"/>
  <c r="AQ53" i="49"/>
  <c r="AL53" i="49"/>
  <c r="AG53" i="49"/>
  <c r="AB53" i="49"/>
  <c r="W53" i="49"/>
  <c r="R53" i="49"/>
  <c r="K53" i="49"/>
  <c r="J53" i="49"/>
  <c r="I53" i="49"/>
  <c r="G53" i="49"/>
  <c r="AV52" i="49"/>
  <c r="AQ52" i="49"/>
  <c r="AL52" i="49"/>
  <c r="AG52" i="49"/>
  <c r="AB52" i="49"/>
  <c r="W52" i="49"/>
  <c r="R52" i="49"/>
  <c r="K52" i="49"/>
  <c r="J52" i="49"/>
  <c r="I52" i="49"/>
  <c r="G52" i="49"/>
  <c r="AV51" i="49"/>
  <c r="AQ51" i="49"/>
  <c r="AL51" i="49"/>
  <c r="AG51" i="49"/>
  <c r="AB51" i="49"/>
  <c r="W51" i="49"/>
  <c r="R51" i="49"/>
  <c r="J51" i="49"/>
  <c r="I51" i="49"/>
  <c r="G51" i="49"/>
  <c r="AV50" i="49"/>
  <c r="AQ50" i="49"/>
  <c r="AL50" i="49"/>
  <c r="AG50" i="49"/>
  <c r="AB50" i="49"/>
  <c r="W50" i="49"/>
  <c r="K50" i="49" s="1"/>
  <c r="R50" i="49"/>
  <c r="J50" i="49"/>
  <c r="I50" i="49"/>
  <c r="G50" i="49"/>
  <c r="AV49" i="49"/>
  <c r="AQ49" i="49"/>
  <c r="AL49" i="49"/>
  <c r="AG49" i="49"/>
  <c r="AB49" i="49"/>
  <c r="W49" i="49"/>
  <c r="R49" i="49"/>
  <c r="K49" i="49" s="1"/>
  <c r="J49" i="49"/>
  <c r="I49" i="49"/>
  <c r="G49" i="49"/>
  <c r="AV48" i="49"/>
  <c r="AQ48" i="49"/>
  <c r="AL48" i="49"/>
  <c r="AG48" i="49"/>
  <c r="AB48" i="49"/>
  <c r="W48" i="49"/>
  <c r="R48" i="49"/>
  <c r="J48" i="49"/>
  <c r="I48" i="49"/>
  <c r="G48" i="49"/>
  <c r="H47" i="49" s="1"/>
  <c r="AV47" i="49"/>
  <c r="AS47" i="49"/>
  <c r="AQ47" i="49"/>
  <c r="AL47" i="49"/>
  <c r="AG47" i="49"/>
  <c r="AI47" i="49" s="1"/>
  <c r="AB47" i="49"/>
  <c r="AD47" i="49" s="1"/>
  <c r="Y47" i="49"/>
  <c r="W47" i="49"/>
  <c r="R47" i="49"/>
  <c r="T47" i="49" s="1"/>
  <c r="K47" i="49"/>
  <c r="J47" i="49"/>
  <c r="I47" i="49"/>
  <c r="G47" i="49"/>
  <c r="AW54" i="48"/>
  <c r="AW53" i="48"/>
  <c r="AW52" i="48"/>
  <c r="AW51" i="48"/>
  <c r="AW50" i="48"/>
  <c r="AW49" i="48"/>
  <c r="AW48" i="48"/>
  <c r="AW47" i="48"/>
  <c r="AR54" i="48"/>
  <c r="AR53" i="48"/>
  <c r="AR52" i="48"/>
  <c r="AR51" i="48"/>
  <c r="AR50" i="48"/>
  <c r="AR49" i="48"/>
  <c r="AR48" i="48"/>
  <c r="AR47" i="48"/>
  <c r="AM54" i="48"/>
  <c r="AM53" i="48"/>
  <c r="AM52" i="48"/>
  <c r="AM51" i="48"/>
  <c r="AM50" i="48"/>
  <c r="AM49" i="48"/>
  <c r="AM48" i="48"/>
  <c r="AM47" i="48"/>
  <c r="AH54" i="48"/>
  <c r="AH53" i="48"/>
  <c r="AH52" i="48"/>
  <c r="AH51" i="48"/>
  <c r="AH50" i="48"/>
  <c r="AH49" i="48"/>
  <c r="AH48" i="48"/>
  <c r="AH47" i="48"/>
  <c r="AC54" i="48"/>
  <c r="AC53" i="48"/>
  <c r="AC52" i="48"/>
  <c r="AC51" i="48"/>
  <c r="AC50" i="48"/>
  <c r="AC49" i="48"/>
  <c r="AC48" i="48"/>
  <c r="AC47" i="48"/>
  <c r="X54" i="48"/>
  <c r="X53" i="48"/>
  <c r="X52" i="48"/>
  <c r="X51" i="48"/>
  <c r="X50" i="48"/>
  <c r="X49" i="48"/>
  <c r="X48" i="48"/>
  <c r="X47" i="48"/>
  <c r="S48" i="48"/>
  <c r="S49" i="48"/>
  <c r="S50" i="48"/>
  <c r="S51" i="48"/>
  <c r="S52" i="48"/>
  <c r="S53" i="48"/>
  <c r="S54" i="48"/>
  <c r="S47" i="48"/>
  <c r="M48" i="48"/>
  <c r="M49" i="48"/>
  <c r="M50" i="48"/>
  <c r="M51" i="48"/>
  <c r="M52" i="48"/>
  <c r="M53" i="48"/>
  <c r="M54" i="48"/>
  <c r="M47" i="48"/>
  <c r="AV54" i="48"/>
  <c r="AQ54" i="48"/>
  <c r="AL54" i="48"/>
  <c r="AG54" i="48"/>
  <c r="AB54" i="48"/>
  <c r="W54" i="48"/>
  <c r="R54" i="48"/>
  <c r="K54" i="48"/>
  <c r="J54" i="48"/>
  <c r="I54" i="48"/>
  <c r="G54" i="48"/>
  <c r="AV53" i="48"/>
  <c r="AQ53" i="48"/>
  <c r="AL53" i="48"/>
  <c r="AG53" i="48"/>
  <c r="AB53" i="48"/>
  <c r="AD47" i="48" s="1"/>
  <c r="W53" i="48"/>
  <c r="R53" i="48"/>
  <c r="J53" i="48"/>
  <c r="I53" i="48"/>
  <c r="G53" i="48"/>
  <c r="AV52" i="48"/>
  <c r="AQ52" i="48"/>
  <c r="AL52" i="48"/>
  <c r="AG52" i="48"/>
  <c r="AB52" i="48"/>
  <c r="W52" i="48"/>
  <c r="R52" i="48"/>
  <c r="J52" i="48"/>
  <c r="I52" i="48"/>
  <c r="G52" i="48"/>
  <c r="AV51" i="48"/>
  <c r="AQ51" i="48"/>
  <c r="AL51" i="48"/>
  <c r="AG51" i="48"/>
  <c r="AB51" i="48"/>
  <c r="W51" i="48"/>
  <c r="R51" i="48"/>
  <c r="J51" i="48"/>
  <c r="I51" i="48"/>
  <c r="G51" i="48"/>
  <c r="AV50" i="48"/>
  <c r="AQ50" i="48"/>
  <c r="AL50" i="48"/>
  <c r="AG50" i="48"/>
  <c r="AB50" i="48"/>
  <c r="W50" i="48"/>
  <c r="R50" i="48"/>
  <c r="J50" i="48"/>
  <c r="I50" i="48"/>
  <c r="G50" i="48"/>
  <c r="AV49" i="48"/>
  <c r="AQ49" i="48"/>
  <c r="AL49" i="48"/>
  <c r="AG49" i="48"/>
  <c r="AB49" i="48"/>
  <c r="W49" i="48"/>
  <c r="R49" i="48"/>
  <c r="J49" i="48"/>
  <c r="I49" i="48"/>
  <c r="G49" i="48"/>
  <c r="AV48" i="48"/>
  <c r="AQ48" i="48"/>
  <c r="AL48" i="48"/>
  <c r="AG48" i="48"/>
  <c r="AB48" i="48"/>
  <c r="W48" i="48"/>
  <c r="R48" i="48"/>
  <c r="J48" i="48"/>
  <c r="I48" i="48"/>
  <c r="G48" i="48"/>
  <c r="AV47" i="48"/>
  <c r="AX47" i="48" s="1"/>
  <c r="AQ47" i="48"/>
  <c r="AN47" i="48"/>
  <c r="AL47" i="48"/>
  <c r="AG47" i="48"/>
  <c r="AB47" i="48"/>
  <c r="W47" i="48"/>
  <c r="Y47" i="48" s="1"/>
  <c r="R47" i="48"/>
  <c r="J47" i="48"/>
  <c r="I47" i="48"/>
  <c r="H47" i="48"/>
  <c r="G47" i="48"/>
  <c r="AW52" i="47"/>
  <c r="AW51" i="47"/>
  <c r="AW50" i="47"/>
  <c r="AW49" i="47"/>
  <c r="AW48" i="47"/>
  <c r="AR52" i="47"/>
  <c r="AR51" i="47"/>
  <c r="AR50" i="47"/>
  <c r="AR49" i="47"/>
  <c r="AR48" i="47"/>
  <c r="AM52" i="47"/>
  <c r="AM51" i="47"/>
  <c r="AM50" i="47"/>
  <c r="AM49" i="47"/>
  <c r="AM48" i="47"/>
  <c r="AH52" i="47"/>
  <c r="AH51" i="47"/>
  <c r="AH50" i="47"/>
  <c r="AH49" i="47"/>
  <c r="AH48" i="47"/>
  <c r="AH47" i="47"/>
  <c r="AC52" i="47"/>
  <c r="AC51" i="47"/>
  <c r="AC50" i="47"/>
  <c r="AC49" i="47"/>
  <c r="AC48" i="47"/>
  <c r="AC47" i="47"/>
  <c r="X52" i="47"/>
  <c r="X51" i="47"/>
  <c r="X50" i="47"/>
  <c r="X49" i="47"/>
  <c r="X48" i="47"/>
  <c r="X47" i="47"/>
  <c r="S48" i="47"/>
  <c r="S49" i="47"/>
  <c r="S50" i="47"/>
  <c r="S51" i="47"/>
  <c r="S52" i="47"/>
  <c r="S47" i="47"/>
  <c r="M48" i="47"/>
  <c r="M49" i="47"/>
  <c r="M50" i="47"/>
  <c r="M51" i="47"/>
  <c r="M52" i="47"/>
  <c r="M47" i="47"/>
  <c r="AV52" i="47"/>
  <c r="AQ52" i="47"/>
  <c r="AL52" i="47"/>
  <c r="AG52" i="47"/>
  <c r="AB52" i="47"/>
  <c r="W52" i="47"/>
  <c r="R52" i="47"/>
  <c r="J52" i="47"/>
  <c r="I52" i="47"/>
  <c r="G52" i="47"/>
  <c r="AV51" i="47"/>
  <c r="AQ51" i="47"/>
  <c r="AL51" i="47"/>
  <c r="AG51" i="47"/>
  <c r="AB51" i="47"/>
  <c r="W51" i="47"/>
  <c r="R51" i="47"/>
  <c r="J51" i="47"/>
  <c r="I51" i="47"/>
  <c r="G51" i="47"/>
  <c r="AV50" i="47"/>
  <c r="AX47" i="47" s="1"/>
  <c r="AQ50" i="47"/>
  <c r="AL50" i="47"/>
  <c r="AG50" i="47"/>
  <c r="AB50" i="47"/>
  <c r="W50" i="47"/>
  <c r="R50" i="47"/>
  <c r="J50" i="47"/>
  <c r="I50" i="47"/>
  <c r="G50" i="47"/>
  <c r="AV49" i="47"/>
  <c r="AQ49" i="47"/>
  <c r="AL49" i="47"/>
  <c r="AG49" i="47"/>
  <c r="AB49" i="47"/>
  <c r="W49" i="47"/>
  <c r="R49" i="47"/>
  <c r="J49" i="47"/>
  <c r="I49" i="47"/>
  <c r="G49" i="47"/>
  <c r="AV48" i="47"/>
  <c r="AQ48" i="47"/>
  <c r="AL48" i="47"/>
  <c r="AG48" i="47"/>
  <c r="AB48" i="47"/>
  <c r="W48" i="47"/>
  <c r="R48" i="47"/>
  <c r="J48" i="47"/>
  <c r="I48" i="47"/>
  <c r="G48" i="47"/>
  <c r="AS47" i="47"/>
  <c r="AN47" i="47"/>
  <c r="AG47" i="47"/>
  <c r="AB47" i="47"/>
  <c r="W47" i="47"/>
  <c r="T47" i="47"/>
  <c r="R47" i="47"/>
  <c r="J47" i="47"/>
  <c r="I47" i="47"/>
  <c r="G47" i="47"/>
  <c r="H47" i="47" s="1"/>
  <c r="U42" i="50"/>
  <c r="Z42" i="50" s="1"/>
  <c r="AE42" i="50" s="1"/>
  <c r="AJ42" i="50" s="1"/>
  <c r="AO42" i="50" s="1"/>
  <c r="AT42" i="50" s="1"/>
  <c r="AW47" i="46"/>
  <c r="AR47" i="46"/>
  <c r="AM47" i="46"/>
  <c r="AH47" i="46"/>
  <c r="AC47" i="46"/>
  <c r="X47" i="46"/>
  <c r="S47" i="46"/>
  <c r="M47" i="46"/>
  <c r="C1" i="46"/>
  <c r="AV47" i="46"/>
  <c r="AX47" i="46" s="1"/>
  <c r="AQ47" i="46"/>
  <c r="AN47" i="46"/>
  <c r="AL47" i="46"/>
  <c r="AG47" i="46"/>
  <c r="AI47" i="46" s="1"/>
  <c r="AB47" i="46"/>
  <c r="AD47" i="46" s="1"/>
  <c r="W47" i="46"/>
  <c r="Y47" i="46" s="1"/>
  <c r="T47" i="46"/>
  <c r="R47" i="46"/>
  <c r="J47" i="46"/>
  <c r="I47" i="46"/>
  <c r="G47" i="46"/>
  <c r="H47" i="46" s="1"/>
  <c r="B34" i="39"/>
  <c r="B29" i="39"/>
  <c r="C1" i="45"/>
  <c r="AW50" i="45"/>
  <c r="AW49" i="45"/>
  <c r="AW48" i="45"/>
  <c r="AW47" i="45"/>
  <c r="AR50" i="45"/>
  <c r="AR49" i="45"/>
  <c r="AR48" i="45"/>
  <c r="AR47" i="45"/>
  <c r="AM50" i="45"/>
  <c r="AM49" i="45"/>
  <c r="AM48" i="45"/>
  <c r="AM47" i="45"/>
  <c r="AH50" i="45"/>
  <c r="AH49" i="45"/>
  <c r="AH48" i="45"/>
  <c r="AH47" i="45"/>
  <c r="AC50" i="45"/>
  <c r="AC49" i="45"/>
  <c r="AC48" i="45"/>
  <c r="AC47" i="45"/>
  <c r="X50" i="45"/>
  <c r="X49" i="45"/>
  <c r="X48" i="45"/>
  <c r="X47" i="45"/>
  <c r="S48" i="45"/>
  <c r="S49" i="45"/>
  <c r="S50" i="45"/>
  <c r="S47" i="45"/>
  <c r="M48" i="45"/>
  <c r="M49" i="45"/>
  <c r="M50" i="45"/>
  <c r="M47" i="45"/>
  <c r="AV50" i="45"/>
  <c r="AQ50" i="45"/>
  <c r="AL50" i="45"/>
  <c r="AG50" i="45"/>
  <c r="AB50" i="45"/>
  <c r="W50" i="45"/>
  <c r="R50" i="45"/>
  <c r="K50" i="45"/>
  <c r="J50" i="45"/>
  <c r="I50" i="45"/>
  <c r="G50" i="45"/>
  <c r="AV49" i="45"/>
  <c r="AQ49" i="45"/>
  <c r="AL49" i="45"/>
  <c r="AG49" i="45"/>
  <c r="AB49" i="45"/>
  <c r="W49" i="45"/>
  <c r="R49" i="45"/>
  <c r="J49" i="45"/>
  <c r="I49" i="45"/>
  <c r="G49" i="45"/>
  <c r="AV48" i="45"/>
  <c r="K48" i="45" s="1"/>
  <c r="AQ48" i="45"/>
  <c r="AL48" i="45"/>
  <c r="AG48" i="45"/>
  <c r="AB48" i="45"/>
  <c r="W48" i="45"/>
  <c r="R48" i="45"/>
  <c r="J48" i="45"/>
  <c r="I48" i="45"/>
  <c r="G48" i="45"/>
  <c r="AV47" i="45"/>
  <c r="AX47" i="45" s="1"/>
  <c r="AQ47" i="45"/>
  <c r="AL47" i="45"/>
  <c r="AG47" i="45"/>
  <c r="AI47" i="45" s="1"/>
  <c r="AB47" i="45"/>
  <c r="AD47" i="45" s="1"/>
  <c r="W47" i="45"/>
  <c r="Y47" i="45" s="1"/>
  <c r="T47" i="45"/>
  <c r="R47" i="45"/>
  <c r="K47" i="45" s="1"/>
  <c r="J47" i="45"/>
  <c r="I47" i="45"/>
  <c r="G47" i="45"/>
  <c r="H47" i="45" s="1"/>
  <c r="B28" i="39"/>
  <c r="AW124" i="44"/>
  <c r="AW123" i="44"/>
  <c r="AW122" i="44"/>
  <c r="AW121" i="44"/>
  <c r="AW120" i="44"/>
  <c r="AW119" i="44"/>
  <c r="AW118" i="44"/>
  <c r="AW117" i="44"/>
  <c r="AW116" i="44"/>
  <c r="AW115" i="44"/>
  <c r="AW114" i="44"/>
  <c r="AW113" i="44"/>
  <c r="AW112" i="44"/>
  <c r="AW111" i="44"/>
  <c r="AW110" i="44"/>
  <c r="AW109" i="44"/>
  <c r="AW108" i="44"/>
  <c r="AW107" i="44"/>
  <c r="AW106" i="44"/>
  <c r="AW105" i="44"/>
  <c r="AW104" i="44"/>
  <c r="AW103" i="44"/>
  <c r="AW102" i="44"/>
  <c r="AW101" i="44"/>
  <c r="AW100" i="44"/>
  <c r="AW99" i="44"/>
  <c r="AW98" i="44"/>
  <c r="AW97" i="44"/>
  <c r="AW96" i="44"/>
  <c r="AW95" i="44"/>
  <c r="AW94" i="44"/>
  <c r="AW93" i="44"/>
  <c r="AW92" i="44"/>
  <c r="AW91" i="44"/>
  <c r="AR124" i="44"/>
  <c r="AR123" i="44"/>
  <c r="AR122" i="44"/>
  <c r="AR121" i="44"/>
  <c r="AR120" i="44"/>
  <c r="AR119" i="44"/>
  <c r="AR118" i="44"/>
  <c r="AR117" i="44"/>
  <c r="AR116" i="44"/>
  <c r="AR115" i="44"/>
  <c r="AR114" i="44"/>
  <c r="AR113" i="44"/>
  <c r="AR112" i="44"/>
  <c r="AR111" i="44"/>
  <c r="AR110" i="44"/>
  <c r="AR109" i="44"/>
  <c r="AR108" i="44"/>
  <c r="AR107" i="44"/>
  <c r="AR106" i="44"/>
  <c r="AR105" i="44"/>
  <c r="AR104" i="44"/>
  <c r="AR103" i="44"/>
  <c r="AR102" i="44"/>
  <c r="AR101" i="44"/>
  <c r="AR100" i="44"/>
  <c r="AR99" i="44"/>
  <c r="AR98" i="44"/>
  <c r="AR97" i="44"/>
  <c r="AR96" i="44"/>
  <c r="AR95" i="44"/>
  <c r="AR94" i="44"/>
  <c r="AR93" i="44"/>
  <c r="AR92" i="44"/>
  <c r="AR91" i="44"/>
  <c r="AM124" i="44"/>
  <c r="AM123" i="44"/>
  <c r="AM122" i="44"/>
  <c r="AM121" i="44"/>
  <c r="AM120" i="44"/>
  <c r="AM119" i="44"/>
  <c r="AM118" i="44"/>
  <c r="AM117" i="44"/>
  <c r="AM116" i="44"/>
  <c r="AM115" i="44"/>
  <c r="AM114" i="44"/>
  <c r="AM113" i="44"/>
  <c r="AM112" i="44"/>
  <c r="AM111" i="44"/>
  <c r="AM110" i="44"/>
  <c r="AM109" i="44"/>
  <c r="AM108" i="44"/>
  <c r="AM107" i="44"/>
  <c r="AM106" i="44"/>
  <c r="AM105" i="44"/>
  <c r="AM104" i="44"/>
  <c r="AM103" i="44"/>
  <c r="AM102" i="44"/>
  <c r="AM101" i="44"/>
  <c r="AM100" i="44"/>
  <c r="AM99" i="44"/>
  <c r="AM98" i="44"/>
  <c r="AM97" i="44"/>
  <c r="AM96" i="44"/>
  <c r="AM95" i="44"/>
  <c r="AM94" i="44"/>
  <c r="AM93" i="44"/>
  <c r="AM92" i="44"/>
  <c r="AM91" i="44"/>
  <c r="AH124" i="44"/>
  <c r="AH123" i="44"/>
  <c r="AH122" i="44"/>
  <c r="AH121" i="44"/>
  <c r="AH120" i="44"/>
  <c r="AH119" i="44"/>
  <c r="AH118" i="44"/>
  <c r="AH117" i="44"/>
  <c r="AH116" i="44"/>
  <c r="AH115" i="44"/>
  <c r="AH114" i="44"/>
  <c r="AH113" i="44"/>
  <c r="AH112" i="44"/>
  <c r="AH111" i="44"/>
  <c r="AH110" i="44"/>
  <c r="AH109" i="44"/>
  <c r="AH108" i="44"/>
  <c r="AH107" i="44"/>
  <c r="AH106" i="44"/>
  <c r="AH105" i="44"/>
  <c r="AH104" i="44"/>
  <c r="AH103" i="44"/>
  <c r="AH102" i="44"/>
  <c r="AH101" i="44"/>
  <c r="AH100" i="44"/>
  <c r="AH99" i="44"/>
  <c r="AH98" i="44"/>
  <c r="AH97" i="44"/>
  <c r="AH96" i="44"/>
  <c r="AH95" i="44"/>
  <c r="AH94" i="44"/>
  <c r="AH93" i="44"/>
  <c r="AH92" i="44"/>
  <c r="AH91" i="44"/>
  <c r="AC124" i="44"/>
  <c r="AC123" i="44"/>
  <c r="AC122" i="44"/>
  <c r="AC121" i="44"/>
  <c r="AC120" i="44"/>
  <c r="AC119" i="44"/>
  <c r="AC118" i="44"/>
  <c r="AC117" i="44"/>
  <c r="AC116" i="44"/>
  <c r="AC115" i="44"/>
  <c r="AC114" i="44"/>
  <c r="AC113" i="44"/>
  <c r="AC112" i="44"/>
  <c r="AC111" i="44"/>
  <c r="AC110" i="44"/>
  <c r="AC109" i="44"/>
  <c r="AC108" i="44"/>
  <c r="AC107" i="44"/>
  <c r="AC106" i="44"/>
  <c r="AC105" i="44"/>
  <c r="AC104" i="44"/>
  <c r="AC103" i="44"/>
  <c r="AC102" i="44"/>
  <c r="AC101" i="44"/>
  <c r="AC100" i="44"/>
  <c r="AC99" i="44"/>
  <c r="AC98" i="44"/>
  <c r="AC97" i="44"/>
  <c r="AC96" i="44"/>
  <c r="AC95" i="44"/>
  <c r="AC94" i="44"/>
  <c r="AC93" i="44"/>
  <c r="AC92" i="44"/>
  <c r="AC91" i="44"/>
  <c r="X124" i="44"/>
  <c r="X123" i="44"/>
  <c r="X122" i="44"/>
  <c r="X121" i="44"/>
  <c r="X120" i="44"/>
  <c r="X119" i="44"/>
  <c r="X118" i="44"/>
  <c r="X117" i="44"/>
  <c r="X116" i="44"/>
  <c r="X115" i="44"/>
  <c r="X114" i="44"/>
  <c r="X113" i="44"/>
  <c r="X112" i="44"/>
  <c r="X111" i="44"/>
  <c r="X110" i="44"/>
  <c r="X109" i="44"/>
  <c r="X108" i="44"/>
  <c r="X107" i="44"/>
  <c r="X106" i="44"/>
  <c r="X105" i="44"/>
  <c r="X104" i="44"/>
  <c r="X103" i="44"/>
  <c r="X102" i="44"/>
  <c r="X101" i="44"/>
  <c r="X100" i="44"/>
  <c r="X99" i="44"/>
  <c r="X98" i="44"/>
  <c r="X97" i="44"/>
  <c r="X96" i="44"/>
  <c r="X95" i="44"/>
  <c r="X94" i="44"/>
  <c r="X93" i="44"/>
  <c r="X92" i="44"/>
  <c r="X91" i="44"/>
  <c r="S92" i="44"/>
  <c r="S93" i="44"/>
  <c r="S94" i="44"/>
  <c r="S95" i="44"/>
  <c r="S96" i="44"/>
  <c r="S97" i="44"/>
  <c r="S98" i="44"/>
  <c r="S99" i="44"/>
  <c r="S100" i="44"/>
  <c r="S101" i="44"/>
  <c r="S102" i="44"/>
  <c r="S103" i="44"/>
  <c r="S104" i="44"/>
  <c r="S105" i="44"/>
  <c r="S106" i="44"/>
  <c r="S107" i="44"/>
  <c r="S108" i="44"/>
  <c r="S109" i="44"/>
  <c r="S110" i="44"/>
  <c r="S111" i="44"/>
  <c r="S112" i="44"/>
  <c r="S113" i="44"/>
  <c r="S114" i="44"/>
  <c r="S115" i="44"/>
  <c r="S116" i="44"/>
  <c r="S117" i="44"/>
  <c r="S118" i="44"/>
  <c r="S119" i="44"/>
  <c r="S120" i="44"/>
  <c r="S121" i="44"/>
  <c r="S122" i="44"/>
  <c r="S123" i="44"/>
  <c r="S124" i="44"/>
  <c r="S91" i="44"/>
  <c r="M92" i="44"/>
  <c r="M93" i="44"/>
  <c r="M94" i="44"/>
  <c r="M95" i="44"/>
  <c r="M96" i="44"/>
  <c r="M97" i="44"/>
  <c r="M98" i="44"/>
  <c r="M99" i="44"/>
  <c r="M100" i="44"/>
  <c r="M101" i="44"/>
  <c r="M102" i="44"/>
  <c r="M103" i="44"/>
  <c r="M104" i="44"/>
  <c r="M105" i="44"/>
  <c r="M106" i="44"/>
  <c r="M107" i="44"/>
  <c r="M108" i="44"/>
  <c r="M109" i="44"/>
  <c r="M110" i="44"/>
  <c r="M111" i="44"/>
  <c r="M112" i="44"/>
  <c r="M113" i="44"/>
  <c r="M114" i="44"/>
  <c r="M115" i="44"/>
  <c r="M116" i="44"/>
  <c r="M117" i="44"/>
  <c r="M118" i="44"/>
  <c r="M119" i="44"/>
  <c r="M120" i="44"/>
  <c r="M121" i="44"/>
  <c r="M122" i="44"/>
  <c r="M123" i="44"/>
  <c r="M124" i="44"/>
  <c r="M91" i="44"/>
  <c r="C1" i="44"/>
  <c r="AV124" i="44"/>
  <c r="AQ124" i="44"/>
  <c r="AL124" i="44"/>
  <c r="AG124" i="44"/>
  <c r="AB124" i="44"/>
  <c r="W124" i="44"/>
  <c r="R124" i="44"/>
  <c r="K124" i="44" s="1"/>
  <c r="J124" i="44"/>
  <c r="I124" i="44"/>
  <c r="G124" i="44"/>
  <c r="AV123" i="44"/>
  <c r="AQ123" i="44"/>
  <c r="AL123" i="44"/>
  <c r="AG123" i="44"/>
  <c r="AB123" i="44"/>
  <c r="W123" i="44"/>
  <c r="R123" i="44"/>
  <c r="K123" i="44" s="1"/>
  <c r="J123" i="44"/>
  <c r="I123" i="44"/>
  <c r="G123" i="44"/>
  <c r="AV122" i="44"/>
  <c r="AQ122" i="44"/>
  <c r="AL122" i="44"/>
  <c r="AG122" i="44"/>
  <c r="AB122" i="44"/>
  <c r="W122" i="44"/>
  <c r="R122" i="44"/>
  <c r="K122" i="44" s="1"/>
  <c r="J122" i="44"/>
  <c r="I122" i="44"/>
  <c r="G122" i="44"/>
  <c r="AV121" i="44"/>
  <c r="AQ121" i="44"/>
  <c r="AL121" i="44"/>
  <c r="AG121" i="44"/>
  <c r="AB121" i="44"/>
  <c r="W121" i="44"/>
  <c r="R121" i="44"/>
  <c r="J121" i="44"/>
  <c r="I121" i="44"/>
  <c r="G121" i="44"/>
  <c r="AV120" i="44"/>
  <c r="AQ120" i="44"/>
  <c r="AL120" i="44"/>
  <c r="AG120" i="44"/>
  <c r="AB120" i="44"/>
  <c r="W120" i="44"/>
  <c r="K120" i="44" s="1"/>
  <c r="R120" i="44"/>
  <c r="J120" i="44"/>
  <c r="I120" i="44"/>
  <c r="G120" i="44"/>
  <c r="AV119" i="44"/>
  <c r="AQ119" i="44"/>
  <c r="AL119" i="44"/>
  <c r="AG119" i="44"/>
  <c r="AB119" i="44"/>
  <c r="W119" i="44"/>
  <c r="R119" i="44"/>
  <c r="J119" i="44"/>
  <c r="I119" i="44"/>
  <c r="G119" i="44"/>
  <c r="AV118" i="44"/>
  <c r="AQ118" i="44"/>
  <c r="AL118" i="44"/>
  <c r="AG118" i="44"/>
  <c r="AB118" i="44"/>
  <c r="W118" i="44"/>
  <c r="R118" i="44"/>
  <c r="K118" i="44" s="1"/>
  <c r="J118" i="44"/>
  <c r="I118" i="44"/>
  <c r="G118" i="44"/>
  <c r="AV117" i="44"/>
  <c r="AQ117" i="44"/>
  <c r="AL117" i="44"/>
  <c r="AG117" i="44"/>
  <c r="AB117" i="44"/>
  <c r="W117" i="44"/>
  <c r="R117" i="44"/>
  <c r="J117" i="44"/>
  <c r="I117" i="44"/>
  <c r="G117" i="44"/>
  <c r="AV116" i="44"/>
  <c r="AQ116" i="44"/>
  <c r="AL116" i="44"/>
  <c r="AG116" i="44"/>
  <c r="AB116" i="44"/>
  <c r="W116" i="44"/>
  <c r="R116" i="44"/>
  <c r="J116" i="44"/>
  <c r="I116" i="44"/>
  <c r="G116" i="44"/>
  <c r="AV115" i="44"/>
  <c r="AQ115" i="44"/>
  <c r="AL115" i="44"/>
  <c r="AG115" i="44"/>
  <c r="AB115" i="44"/>
  <c r="W115" i="44"/>
  <c r="R115" i="44"/>
  <c r="K115" i="44"/>
  <c r="J115" i="44"/>
  <c r="I115" i="44"/>
  <c r="G115" i="44"/>
  <c r="AV114" i="44"/>
  <c r="AQ114" i="44"/>
  <c r="AL114" i="44"/>
  <c r="AG114" i="44"/>
  <c r="AB114" i="44"/>
  <c r="W114" i="44"/>
  <c r="R114" i="44"/>
  <c r="K114" i="44" s="1"/>
  <c r="J114" i="44"/>
  <c r="I114" i="44"/>
  <c r="G114" i="44"/>
  <c r="AV113" i="44"/>
  <c r="AQ113" i="44"/>
  <c r="AL113" i="44"/>
  <c r="AG113" i="44"/>
  <c r="AB113" i="44"/>
  <c r="W113" i="44"/>
  <c r="R113" i="44"/>
  <c r="J113" i="44"/>
  <c r="I113" i="44"/>
  <c r="G113" i="44"/>
  <c r="AV112" i="44"/>
  <c r="AQ112" i="44"/>
  <c r="AL112" i="44"/>
  <c r="AG112" i="44"/>
  <c r="AB112" i="44"/>
  <c r="W112" i="44"/>
  <c r="R112" i="44"/>
  <c r="K112" i="44"/>
  <c r="J112" i="44"/>
  <c r="I112" i="44"/>
  <c r="G112" i="44"/>
  <c r="AV111" i="44"/>
  <c r="AQ111" i="44"/>
  <c r="AL111" i="44"/>
  <c r="AG111" i="44"/>
  <c r="AB111" i="44"/>
  <c r="W111" i="44"/>
  <c r="R111" i="44"/>
  <c r="K111" i="44"/>
  <c r="J111" i="44"/>
  <c r="I111" i="44"/>
  <c r="G111" i="44"/>
  <c r="AV110" i="44"/>
  <c r="AQ110" i="44"/>
  <c r="AL110" i="44"/>
  <c r="AG110" i="44"/>
  <c r="AB110" i="44"/>
  <c r="W110" i="44"/>
  <c r="K110" i="44" s="1"/>
  <c r="R110" i="44"/>
  <c r="J110" i="44"/>
  <c r="I110" i="44"/>
  <c r="G110" i="44"/>
  <c r="AV109" i="44"/>
  <c r="AQ109" i="44"/>
  <c r="AL109" i="44"/>
  <c r="AG109" i="44"/>
  <c r="K109" i="44" s="1"/>
  <c r="AB109" i="44"/>
  <c r="W109" i="44"/>
  <c r="R109" i="44"/>
  <c r="J109" i="44"/>
  <c r="I109" i="44"/>
  <c r="G109" i="44"/>
  <c r="AV108" i="44"/>
  <c r="AQ108" i="44"/>
  <c r="AL108" i="44"/>
  <c r="AG108" i="44"/>
  <c r="AB108" i="44"/>
  <c r="W108" i="44"/>
  <c r="R108" i="44"/>
  <c r="J108" i="44"/>
  <c r="I108" i="44"/>
  <c r="G108" i="44"/>
  <c r="AV107" i="44"/>
  <c r="AQ107" i="44"/>
  <c r="AL107" i="44"/>
  <c r="AG107" i="44"/>
  <c r="AB107" i="44"/>
  <c r="K107" i="44" s="1"/>
  <c r="W107" i="44"/>
  <c r="R107" i="44"/>
  <c r="J107" i="44"/>
  <c r="I107" i="44"/>
  <c r="G107" i="44"/>
  <c r="AV106" i="44"/>
  <c r="AQ106" i="44"/>
  <c r="AL106" i="44"/>
  <c r="AG106" i="44"/>
  <c r="AB106" i="44"/>
  <c r="K106" i="44" s="1"/>
  <c r="W106" i="44"/>
  <c r="R106" i="44"/>
  <c r="J106" i="44"/>
  <c r="I106" i="44"/>
  <c r="G106" i="44"/>
  <c r="AV105" i="44"/>
  <c r="AQ105" i="44"/>
  <c r="AL105" i="44"/>
  <c r="AG105" i="44"/>
  <c r="AB105" i="44"/>
  <c r="W105" i="44"/>
  <c r="R105" i="44"/>
  <c r="K105" i="44" s="1"/>
  <c r="J105" i="44"/>
  <c r="I105" i="44"/>
  <c r="G105" i="44"/>
  <c r="AV104" i="44"/>
  <c r="AQ104" i="44"/>
  <c r="AL104" i="44"/>
  <c r="AG104" i="44"/>
  <c r="AB104" i="44"/>
  <c r="W104" i="44"/>
  <c r="R104" i="44"/>
  <c r="K104" i="44" s="1"/>
  <c r="J104" i="44"/>
  <c r="I104" i="44"/>
  <c r="G104" i="44"/>
  <c r="AV103" i="44"/>
  <c r="AQ103" i="44"/>
  <c r="AL103" i="44"/>
  <c r="AG103" i="44"/>
  <c r="AB103" i="44"/>
  <c r="W103" i="44"/>
  <c r="R103" i="44"/>
  <c r="K103" i="44" s="1"/>
  <c r="J103" i="44"/>
  <c r="I103" i="44"/>
  <c r="G103" i="44"/>
  <c r="AV102" i="44"/>
  <c r="AQ102" i="44"/>
  <c r="AL102" i="44"/>
  <c r="AG102" i="44"/>
  <c r="AB102" i="44"/>
  <c r="W102" i="44"/>
  <c r="R102" i="44"/>
  <c r="K102" i="44" s="1"/>
  <c r="J102" i="44"/>
  <c r="I102" i="44"/>
  <c r="G102" i="44"/>
  <c r="AV101" i="44"/>
  <c r="AQ101" i="44"/>
  <c r="AL101" i="44"/>
  <c r="AG101" i="44"/>
  <c r="AB101" i="44"/>
  <c r="W101" i="44"/>
  <c r="R101" i="44"/>
  <c r="J101" i="44"/>
  <c r="I101" i="44"/>
  <c r="G101" i="44"/>
  <c r="AV100" i="44"/>
  <c r="AQ100" i="44"/>
  <c r="AL100" i="44"/>
  <c r="AG100" i="44"/>
  <c r="AB100" i="44"/>
  <c r="W100" i="44"/>
  <c r="K100" i="44" s="1"/>
  <c r="R100" i="44"/>
  <c r="J100" i="44"/>
  <c r="I100" i="44"/>
  <c r="G100" i="44"/>
  <c r="AV99" i="44"/>
  <c r="AQ99" i="44"/>
  <c r="AL99" i="44"/>
  <c r="AG99" i="44"/>
  <c r="AB99" i="44"/>
  <c r="W99" i="44"/>
  <c r="R99" i="44"/>
  <c r="J99" i="44"/>
  <c r="I99" i="44"/>
  <c r="G99" i="44"/>
  <c r="AV98" i="44"/>
  <c r="AQ98" i="44"/>
  <c r="AL98" i="44"/>
  <c r="AG98" i="44"/>
  <c r="AB98" i="44"/>
  <c r="W98" i="44"/>
  <c r="R98" i="44"/>
  <c r="K98" i="44" s="1"/>
  <c r="J98" i="44"/>
  <c r="I98" i="44"/>
  <c r="G98" i="44"/>
  <c r="AV97" i="44"/>
  <c r="AQ97" i="44"/>
  <c r="AL97" i="44"/>
  <c r="AG97" i="44"/>
  <c r="AB97" i="44"/>
  <c r="W97" i="44"/>
  <c r="R97" i="44"/>
  <c r="J97" i="44"/>
  <c r="I97" i="44"/>
  <c r="G97" i="44"/>
  <c r="AV96" i="44"/>
  <c r="AQ96" i="44"/>
  <c r="AL96" i="44"/>
  <c r="AN91" i="44" s="1"/>
  <c r="AG96" i="44"/>
  <c r="AB96" i="44"/>
  <c r="W96" i="44"/>
  <c r="Y91" i="44" s="1"/>
  <c r="R96" i="44"/>
  <c r="J96" i="44"/>
  <c r="I96" i="44"/>
  <c r="G96" i="44"/>
  <c r="AV95" i="44"/>
  <c r="AQ95" i="44"/>
  <c r="AL95" i="44"/>
  <c r="AG95" i="44"/>
  <c r="AB95" i="44"/>
  <c r="W95" i="44"/>
  <c r="R95" i="44"/>
  <c r="K95" i="44"/>
  <c r="J95" i="44"/>
  <c r="I95" i="44"/>
  <c r="G95" i="44"/>
  <c r="AV94" i="44"/>
  <c r="AQ94" i="44"/>
  <c r="AL94" i="44"/>
  <c r="AG94" i="44"/>
  <c r="AB94" i="44"/>
  <c r="W94" i="44"/>
  <c r="R94" i="44"/>
  <c r="K94" i="44" s="1"/>
  <c r="J94" i="44"/>
  <c r="I94" i="44"/>
  <c r="G94" i="44"/>
  <c r="AV93" i="44"/>
  <c r="AQ93" i="44"/>
  <c r="AL93" i="44"/>
  <c r="AG93" i="44"/>
  <c r="AB93" i="44"/>
  <c r="W93" i="44"/>
  <c r="R93" i="44"/>
  <c r="J93" i="44"/>
  <c r="I93" i="44"/>
  <c r="G93" i="44"/>
  <c r="AV92" i="44"/>
  <c r="AQ92" i="44"/>
  <c r="AL92" i="44"/>
  <c r="AG92" i="44"/>
  <c r="AB92" i="44"/>
  <c r="W92" i="44"/>
  <c r="R92" i="44"/>
  <c r="K92" i="44"/>
  <c r="J92" i="44"/>
  <c r="I92" i="44"/>
  <c r="G92" i="44"/>
  <c r="H91" i="44" s="1"/>
  <c r="AV91" i="44"/>
  <c r="AQ91" i="44"/>
  <c r="AL91" i="44"/>
  <c r="AG91" i="44"/>
  <c r="AI91" i="44" s="1"/>
  <c r="AB91" i="44"/>
  <c r="W91" i="44"/>
  <c r="R91" i="44"/>
  <c r="K91" i="44" s="1"/>
  <c r="J91" i="44"/>
  <c r="I91" i="44"/>
  <c r="G91" i="44"/>
  <c r="B21" i="6"/>
  <c r="D21" i="6"/>
  <c r="D22" i="6"/>
  <c r="D23" i="6"/>
  <c r="D24" i="6"/>
  <c r="D25" i="6"/>
  <c r="D26" i="6"/>
  <c r="D27" i="6"/>
  <c r="AC27" i="6"/>
  <c r="AD27" i="6" s="1"/>
  <c r="S27" i="6"/>
  <c r="M27" i="6"/>
  <c r="F27" i="6"/>
  <c r="AL27" i="6" s="1"/>
  <c r="AC26" i="6"/>
  <c r="AD26" i="6" s="1"/>
  <c r="S26" i="6"/>
  <c r="M26" i="6"/>
  <c r="F26" i="6"/>
  <c r="AL26" i="6" s="1"/>
  <c r="AC25" i="6"/>
  <c r="AD25" i="6" s="1"/>
  <c r="S25" i="6"/>
  <c r="M25" i="6"/>
  <c r="F25" i="6"/>
  <c r="AL25" i="6" s="1"/>
  <c r="AC24" i="6"/>
  <c r="AD24" i="6" s="1"/>
  <c r="S24" i="6"/>
  <c r="M24" i="6"/>
  <c r="F24" i="6"/>
  <c r="AL24" i="6" s="1"/>
  <c r="AC23" i="6"/>
  <c r="AD23" i="6" s="1"/>
  <c r="S23" i="6"/>
  <c r="M23" i="6"/>
  <c r="F23" i="6"/>
  <c r="AL23" i="6" s="1"/>
  <c r="AC22" i="6"/>
  <c r="AD22" i="6" s="1"/>
  <c r="S22" i="6"/>
  <c r="M22" i="6"/>
  <c r="F22" i="6"/>
  <c r="AL22" i="6" s="1"/>
  <c r="AC21" i="6"/>
  <c r="AD21" i="6" s="1"/>
  <c r="S21" i="6"/>
  <c r="N21" i="6"/>
  <c r="M21" i="6"/>
  <c r="F21" i="6"/>
  <c r="AL21" i="6" s="1"/>
  <c r="B21" i="7"/>
  <c r="H11" i="7"/>
  <c r="AC27" i="7"/>
  <c r="S27" i="7"/>
  <c r="M27" i="7"/>
  <c r="AC26" i="7"/>
  <c r="S26" i="7"/>
  <c r="M26" i="7"/>
  <c r="AC25" i="7"/>
  <c r="S25" i="7"/>
  <c r="M25" i="7"/>
  <c r="AC24" i="7"/>
  <c r="S24" i="7"/>
  <c r="M24" i="7"/>
  <c r="AC23" i="7"/>
  <c r="S23" i="7"/>
  <c r="M23" i="7"/>
  <c r="AC22" i="7"/>
  <c r="S22" i="7"/>
  <c r="M22" i="7"/>
  <c r="AC21" i="7"/>
  <c r="S21" i="7"/>
  <c r="M21" i="7"/>
  <c r="U20" i="5"/>
  <c r="U21" i="5"/>
  <c r="U22" i="5"/>
  <c r="U23" i="5"/>
  <c r="U24" i="5"/>
  <c r="U25" i="5"/>
  <c r="U19" i="5"/>
  <c r="E3" i="56" l="1"/>
  <c r="F3" i="56" s="1"/>
  <c r="F19" i="56"/>
  <c r="G3" i="56"/>
  <c r="H3" i="56" s="1"/>
  <c r="D17" i="56"/>
  <c r="F25" i="56"/>
  <c r="F14" i="56"/>
  <c r="I5" i="56"/>
  <c r="J5" i="56"/>
  <c r="D15" i="56"/>
  <c r="F23" i="56"/>
  <c r="I12" i="56"/>
  <c r="D10" i="56"/>
  <c r="F18" i="56"/>
  <c r="F24" i="56"/>
  <c r="K47" i="52"/>
  <c r="Y47" i="51"/>
  <c r="AN47" i="51"/>
  <c r="K53" i="51"/>
  <c r="K48" i="51"/>
  <c r="M47" i="51" s="1"/>
  <c r="AN47" i="49"/>
  <c r="AX47" i="49"/>
  <c r="K51" i="49"/>
  <c r="K48" i="49"/>
  <c r="K47" i="48"/>
  <c r="AS47" i="48"/>
  <c r="K53" i="48"/>
  <c r="K52" i="48"/>
  <c r="T47" i="48"/>
  <c r="K50" i="48"/>
  <c r="K49" i="48"/>
  <c r="K48" i="48"/>
  <c r="K51" i="48"/>
  <c r="AI47" i="48"/>
  <c r="AI47" i="47"/>
  <c r="K52" i="47"/>
  <c r="K50" i="47"/>
  <c r="K47" i="47"/>
  <c r="K49" i="47"/>
  <c r="K48" i="47"/>
  <c r="K51" i="47"/>
  <c r="Y47" i="47"/>
  <c r="AD47" i="47"/>
  <c r="K47" i="46"/>
  <c r="AS47" i="46"/>
  <c r="K49" i="45"/>
  <c r="AN47" i="45"/>
  <c r="AS47" i="45"/>
  <c r="AD91" i="44"/>
  <c r="K108" i="44"/>
  <c r="K101" i="44"/>
  <c r="K121" i="44"/>
  <c r="AS91" i="44"/>
  <c r="K99" i="44"/>
  <c r="K119" i="44"/>
  <c r="K97" i="44"/>
  <c r="K117" i="44"/>
  <c r="AX91" i="44"/>
  <c r="K96" i="44"/>
  <c r="K116" i="44"/>
  <c r="T91" i="44"/>
  <c r="K93" i="44"/>
  <c r="K113" i="44"/>
  <c r="J21" i="6"/>
  <c r="J22" i="6"/>
  <c r="J23" i="6"/>
  <c r="J24" i="6"/>
  <c r="J25" i="6"/>
  <c r="J26" i="6"/>
  <c r="J27" i="6"/>
  <c r="L21" i="6"/>
  <c r="L22" i="6"/>
  <c r="L23" i="6"/>
  <c r="L24" i="6"/>
  <c r="L25" i="6"/>
  <c r="L26" i="6"/>
  <c r="L27" i="6"/>
  <c r="G21" i="6"/>
  <c r="N27" i="6"/>
  <c r="P21" i="6"/>
  <c r="P22" i="6"/>
  <c r="P23" i="6"/>
  <c r="P24" i="6"/>
  <c r="P25" i="6"/>
  <c r="P26" i="6"/>
  <c r="P27" i="6"/>
  <c r="R21" i="6"/>
  <c r="R22" i="6"/>
  <c r="R23" i="6"/>
  <c r="R24" i="6"/>
  <c r="R25" i="6"/>
  <c r="R26" i="6"/>
  <c r="R27" i="6"/>
  <c r="T21" i="6"/>
  <c r="T22" i="6"/>
  <c r="T23" i="6"/>
  <c r="T24" i="6"/>
  <c r="T25" i="6"/>
  <c r="T26" i="6"/>
  <c r="T27" i="6"/>
  <c r="V21" i="6"/>
  <c r="V22" i="6"/>
  <c r="V23" i="6"/>
  <c r="V24" i="6"/>
  <c r="V25" i="6"/>
  <c r="V26" i="6"/>
  <c r="V27" i="6"/>
  <c r="X21" i="6"/>
  <c r="X22" i="6"/>
  <c r="X23" i="6"/>
  <c r="X24" i="6"/>
  <c r="X25" i="6"/>
  <c r="X26" i="6"/>
  <c r="X27" i="6"/>
  <c r="N26" i="6"/>
  <c r="Z21" i="6"/>
  <c r="Z22" i="6"/>
  <c r="Z23" i="6"/>
  <c r="Z24" i="6"/>
  <c r="Z25" i="6"/>
  <c r="Z26" i="6"/>
  <c r="Z27" i="6"/>
  <c r="AB21" i="6"/>
  <c r="AB22" i="6"/>
  <c r="AB23" i="6"/>
  <c r="AB24" i="6"/>
  <c r="AB25" i="6"/>
  <c r="AB26" i="6"/>
  <c r="AB27" i="6"/>
  <c r="N24" i="6"/>
  <c r="N25" i="6"/>
  <c r="AF21" i="6"/>
  <c r="AF22" i="6"/>
  <c r="AF23" i="6"/>
  <c r="AF24" i="6"/>
  <c r="AF25" i="6"/>
  <c r="AF26" i="6"/>
  <c r="AF27" i="6"/>
  <c r="N22" i="6"/>
  <c r="AH21" i="6"/>
  <c r="AH22" i="6"/>
  <c r="AH23" i="6"/>
  <c r="AH24" i="6"/>
  <c r="AH25" i="6"/>
  <c r="AH26" i="6"/>
  <c r="AH27" i="6"/>
  <c r="AJ21" i="6"/>
  <c r="AJ22" i="6"/>
  <c r="AJ23" i="6"/>
  <c r="AJ24" i="6"/>
  <c r="AJ25" i="6"/>
  <c r="AJ26" i="6"/>
  <c r="AJ27" i="6"/>
  <c r="N23" i="6"/>
  <c r="N22" i="7"/>
  <c r="AD22" i="7"/>
  <c r="N23" i="7"/>
  <c r="T23" i="7"/>
  <c r="AD23" i="7"/>
  <c r="N24" i="7"/>
  <c r="T24" i="7"/>
  <c r="N26" i="7"/>
  <c r="T26" i="7"/>
  <c r="AD26" i="7"/>
  <c r="T21" i="7"/>
  <c r="F21" i="7"/>
  <c r="N21" i="7" s="1"/>
  <c r="F22" i="7"/>
  <c r="F23" i="7"/>
  <c r="F24" i="7"/>
  <c r="AD24" i="7" s="1"/>
  <c r="F25" i="7"/>
  <c r="N25" i="7" s="1"/>
  <c r="F26" i="7"/>
  <c r="F27" i="7"/>
  <c r="N27" i="7" s="1"/>
  <c r="L47" i="52" l="1"/>
  <c r="M53" i="51"/>
  <c r="M48" i="51"/>
  <c r="M54" i="51"/>
  <c r="M50" i="51"/>
  <c r="M51" i="51"/>
  <c r="M52" i="51"/>
  <c r="M49" i="51"/>
  <c r="L47" i="51"/>
  <c r="L47" i="49"/>
  <c r="L47" i="48"/>
  <c r="L47" i="47"/>
  <c r="L47" i="46"/>
  <c r="B30" i="39" s="1"/>
  <c r="L47" i="45"/>
  <c r="L91" i="44"/>
  <c r="T27" i="7"/>
  <c r="AD25" i="7"/>
  <c r="T25" i="7"/>
  <c r="AL27" i="7"/>
  <c r="AJ27" i="7"/>
  <c r="AH27" i="7"/>
  <c r="AF27" i="7"/>
  <c r="AB27" i="7"/>
  <c r="Z27" i="7"/>
  <c r="X27" i="7"/>
  <c r="V27" i="7"/>
  <c r="L27" i="7"/>
  <c r="R27" i="7"/>
  <c r="P27" i="7"/>
  <c r="J27" i="7"/>
  <c r="AL26" i="7"/>
  <c r="V26" i="7"/>
  <c r="AJ26" i="7"/>
  <c r="AH26" i="7"/>
  <c r="AF26" i="7"/>
  <c r="AB26" i="7"/>
  <c r="Z26" i="7"/>
  <c r="X26" i="7"/>
  <c r="L26" i="7"/>
  <c r="P26" i="7"/>
  <c r="R26" i="7"/>
  <c r="J26" i="7"/>
  <c r="AL25" i="7"/>
  <c r="AJ25" i="7"/>
  <c r="V25" i="7"/>
  <c r="AH25" i="7"/>
  <c r="AF25" i="7"/>
  <c r="AB25" i="7"/>
  <c r="Z25" i="7"/>
  <c r="X25" i="7"/>
  <c r="P25" i="7"/>
  <c r="R25" i="7"/>
  <c r="L25" i="7"/>
  <c r="J25" i="7"/>
  <c r="AL24" i="7"/>
  <c r="L24" i="7"/>
  <c r="AJ24" i="7"/>
  <c r="AH24" i="7"/>
  <c r="AF24" i="7"/>
  <c r="AB24" i="7"/>
  <c r="Z24" i="7"/>
  <c r="X24" i="7"/>
  <c r="V24" i="7"/>
  <c r="P24" i="7"/>
  <c r="R24" i="7"/>
  <c r="J24" i="7"/>
  <c r="AL23" i="7"/>
  <c r="AJ23" i="7"/>
  <c r="V23" i="7"/>
  <c r="AH23" i="7"/>
  <c r="L23" i="7"/>
  <c r="AF23" i="7"/>
  <c r="AB23" i="7"/>
  <c r="Z23" i="7"/>
  <c r="X23" i="7"/>
  <c r="P23" i="7"/>
  <c r="R23" i="7"/>
  <c r="J23" i="7"/>
  <c r="AL22" i="7"/>
  <c r="V22" i="7"/>
  <c r="AJ22" i="7"/>
  <c r="AH22" i="7"/>
  <c r="AF22" i="7"/>
  <c r="L22" i="7"/>
  <c r="AB22" i="7"/>
  <c r="Z22" i="7"/>
  <c r="X22" i="7"/>
  <c r="P22" i="7"/>
  <c r="R22" i="7"/>
  <c r="J22" i="7"/>
  <c r="T22" i="7"/>
  <c r="AL21" i="7"/>
  <c r="AJ21" i="7"/>
  <c r="L21" i="7"/>
  <c r="AH21" i="7"/>
  <c r="AF21" i="7"/>
  <c r="AB21" i="7"/>
  <c r="Z21" i="7"/>
  <c r="X21" i="7"/>
  <c r="V21" i="7"/>
  <c r="P21" i="7"/>
  <c r="R21" i="7"/>
  <c r="J21" i="7"/>
  <c r="G21" i="7"/>
  <c r="AD27" i="7"/>
  <c r="AD21" i="7"/>
  <c r="C1" i="52" l="1"/>
  <c r="B36" i="39"/>
  <c r="C1" i="51"/>
  <c r="B35" i="39"/>
  <c r="B33" i="39"/>
  <c r="C1" i="49"/>
  <c r="C1" i="48"/>
  <c r="B32" i="39"/>
  <c r="C1" i="47"/>
  <c r="B31" i="39"/>
  <c r="H23" i="39" l="1"/>
  <c r="H22" i="39"/>
  <c r="H21" i="39"/>
  <c r="H20" i="39"/>
  <c r="H19" i="39"/>
  <c r="H18" i="39"/>
  <c r="H17" i="39"/>
  <c r="H16" i="39"/>
  <c r="H15" i="39"/>
  <c r="B23" i="39"/>
  <c r="B22" i="39"/>
  <c r="B21" i="39"/>
  <c r="B20" i="39"/>
  <c r="B19" i="39"/>
  <c r="B18" i="39"/>
  <c r="B17" i="39"/>
  <c r="B16" i="39"/>
  <c r="B15" i="39"/>
  <c r="I11" i="39"/>
  <c r="M85" i="19"/>
  <c r="M84" i="19"/>
  <c r="M83" i="19"/>
  <c r="M82" i="19"/>
  <c r="M81" i="19"/>
  <c r="M86" i="19" s="1"/>
  <c r="M77" i="19"/>
  <c r="M76" i="19"/>
  <c r="M75" i="19"/>
  <c r="M74" i="19"/>
  <c r="M73" i="19"/>
  <c r="M78" i="19" s="1"/>
  <c r="M69" i="19"/>
  <c r="M68" i="19"/>
  <c r="M67" i="19"/>
  <c r="M66" i="19"/>
  <c r="M70" i="19" s="1"/>
  <c r="M65" i="19"/>
  <c r="M107" i="20"/>
  <c r="M106" i="20"/>
  <c r="M105" i="20"/>
  <c r="M110" i="20" s="1"/>
  <c r="M101" i="20"/>
  <c r="M100" i="20"/>
  <c r="M99" i="20"/>
  <c r="M98" i="20"/>
  <c r="M97" i="20"/>
  <c r="M102" i="20" s="1"/>
  <c r="M93" i="20"/>
  <c r="M92" i="20"/>
  <c r="M91" i="20"/>
  <c r="M94" i="20" s="1"/>
  <c r="M90" i="20"/>
  <c r="M89" i="20"/>
  <c r="M86" i="20"/>
  <c r="M85" i="20"/>
  <c r="M84" i="20"/>
  <c r="M83" i="20"/>
  <c r="M82" i="20"/>
  <c r="M81" i="20"/>
  <c r="M85" i="62"/>
  <c r="M84" i="62"/>
  <c r="M83" i="62"/>
  <c r="M82" i="62"/>
  <c r="M81" i="62"/>
  <c r="M86" i="62" s="1"/>
  <c r="M77" i="62"/>
  <c r="M76" i="62"/>
  <c r="M75" i="62"/>
  <c r="M74" i="62"/>
  <c r="M73" i="62"/>
  <c r="M78" i="62" s="1"/>
  <c r="M69" i="62"/>
  <c r="M68" i="62"/>
  <c r="M67" i="62"/>
  <c r="M66" i="62"/>
  <c r="M70" i="62" s="1"/>
  <c r="M65" i="62"/>
  <c r="B21" i="41" l="1"/>
  <c r="B20" i="41"/>
  <c r="K74" i="20" l="1"/>
  <c r="K50" i="19"/>
  <c r="K50" i="20"/>
  <c r="J38" i="25"/>
  <c r="J37" i="25"/>
  <c r="J36" i="25"/>
  <c r="J35" i="25"/>
  <c r="J34" i="25"/>
  <c r="J53" i="24"/>
  <c r="J51" i="24"/>
  <c r="J50" i="24"/>
  <c r="J49" i="24"/>
  <c r="J48" i="24"/>
  <c r="J47" i="24"/>
  <c r="J46" i="24"/>
  <c r="J45" i="24"/>
  <c r="J53" i="23"/>
  <c r="J52" i="23"/>
  <c r="J51" i="23"/>
  <c r="J50" i="23"/>
  <c r="J49" i="23"/>
  <c r="J48" i="23"/>
  <c r="J47" i="23"/>
  <c r="J46" i="23"/>
  <c r="J45" i="23"/>
  <c r="J41" i="23"/>
  <c r="J40" i="23"/>
  <c r="J39" i="23"/>
  <c r="J38" i="23"/>
  <c r="J37" i="23"/>
  <c r="J36" i="23"/>
  <c r="J35" i="23"/>
  <c r="J34" i="23"/>
  <c r="J50" i="22"/>
  <c r="J49" i="22"/>
  <c r="J48" i="22"/>
  <c r="J47" i="22"/>
  <c r="J46" i="22"/>
  <c r="J45" i="22"/>
  <c r="J34" i="22"/>
  <c r="J48" i="15"/>
  <c r="J47" i="15"/>
  <c r="J46" i="15"/>
  <c r="J45" i="15"/>
  <c r="J43" i="15"/>
  <c r="J42" i="15"/>
  <c r="J41" i="15"/>
  <c r="J40" i="15"/>
  <c r="J39" i="15"/>
  <c r="J36" i="15"/>
  <c r="J35" i="15"/>
  <c r="J34" i="15"/>
  <c r="AW31" i="52"/>
  <c r="AW30" i="52"/>
  <c r="AW28" i="52"/>
  <c r="AW27" i="52"/>
  <c r="AR31" i="52"/>
  <c r="AR30" i="52"/>
  <c r="AR28" i="52"/>
  <c r="AR27" i="52"/>
  <c r="AM31" i="52"/>
  <c r="AM30" i="52"/>
  <c r="AM29" i="52"/>
  <c r="AM28" i="52"/>
  <c r="AM27" i="52"/>
  <c r="AH31" i="52"/>
  <c r="AH30" i="52"/>
  <c r="AH29" i="52"/>
  <c r="AH28" i="52"/>
  <c r="AH27" i="52"/>
  <c r="AC31" i="52"/>
  <c r="AC30" i="52"/>
  <c r="AC29" i="52"/>
  <c r="AC28" i="52"/>
  <c r="AC27" i="52"/>
  <c r="X31" i="52"/>
  <c r="X30" i="52"/>
  <c r="X29" i="52"/>
  <c r="X28" i="52"/>
  <c r="X27" i="52"/>
  <c r="S28" i="52"/>
  <c r="S29" i="52"/>
  <c r="S30" i="52"/>
  <c r="S31" i="52"/>
  <c r="S27" i="52"/>
  <c r="M28" i="52"/>
  <c r="M29" i="52"/>
  <c r="M30" i="52"/>
  <c r="M31" i="52"/>
  <c r="M27" i="52"/>
  <c r="AV31" i="52"/>
  <c r="AQ31" i="52"/>
  <c r="AL31" i="52"/>
  <c r="AG31" i="52"/>
  <c r="AB31" i="52"/>
  <c r="W31" i="52"/>
  <c r="R31" i="52"/>
  <c r="J31" i="52"/>
  <c r="I31" i="52"/>
  <c r="G31" i="52"/>
  <c r="AV30" i="52"/>
  <c r="AQ30" i="52"/>
  <c r="AL30" i="52"/>
  <c r="AG30" i="52"/>
  <c r="AB30" i="52"/>
  <c r="W30" i="52"/>
  <c r="R30" i="52"/>
  <c r="J30" i="52"/>
  <c r="I30" i="52"/>
  <c r="G30" i="52"/>
  <c r="AL29" i="52"/>
  <c r="AG29" i="52"/>
  <c r="AB29" i="52"/>
  <c r="W29" i="52"/>
  <c r="K29" i="52" s="1"/>
  <c r="R29" i="52"/>
  <c r="J29" i="52"/>
  <c r="I29" i="52"/>
  <c r="G29" i="52"/>
  <c r="AV28" i="52"/>
  <c r="AQ28" i="52"/>
  <c r="AL28" i="52"/>
  <c r="AG28" i="52"/>
  <c r="AB28" i="52"/>
  <c r="AD27" i="52" s="1"/>
  <c r="W28" i="52"/>
  <c r="R28" i="52"/>
  <c r="K28" i="52" s="1"/>
  <c r="J28" i="52"/>
  <c r="I28" i="52"/>
  <c r="G28" i="52"/>
  <c r="AV27" i="52"/>
  <c r="AX27" i="52" s="1"/>
  <c r="AQ27" i="52"/>
  <c r="AS27" i="52" s="1"/>
  <c r="AL27" i="52"/>
  <c r="AN27" i="52" s="1"/>
  <c r="AI27" i="52"/>
  <c r="AG27" i="52"/>
  <c r="AB27" i="52"/>
  <c r="W27" i="52"/>
  <c r="Y27" i="52" s="1"/>
  <c r="T27" i="52"/>
  <c r="R27" i="52"/>
  <c r="J27" i="52"/>
  <c r="I27" i="52"/>
  <c r="G27" i="52"/>
  <c r="H27" i="52" s="1"/>
  <c r="AW35" i="51"/>
  <c r="AW33" i="51"/>
  <c r="AW32" i="51"/>
  <c r="AW31" i="51"/>
  <c r="AW30" i="51"/>
  <c r="AW29" i="51"/>
  <c r="AW28" i="51"/>
  <c r="AW27" i="51"/>
  <c r="AR35" i="51"/>
  <c r="AR34" i="51"/>
  <c r="AR33" i="51"/>
  <c r="AR32" i="51"/>
  <c r="AR31" i="51"/>
  <c r="AR30" i="51"/>
  <c r="AR29" i="51"/>
  <c r="AR28" i="51"/>
  <c r="AR27" i="51"/>
  <c r="AM35" i="51"/>
  <c r="AM34" i="51"/>
  <c r="AM33" i="51"/>
  <c r="AM32" i="51"/>
  <c r="AM31" i="51"/>
  <c r="AM30" i="51"/>
  <c r="AM29" i="51"/>
  <c r="AM28" i="51"/>
  <c r="AM27" i="51"/>
  <c r="AH35" i="51"/>
  <c r="AH34" i="51"/>
  <c r="AH33" i="51"/>
  <c r="AH32" i="51"/>
  <c r="AH31" i="51"/>
  <c r="AH30" i="51"/>
  <c r="AH29" i="51"/>
  <c r="AH28" i="51"/>
  <c r="AH27" i="51"/>
  <c r="AC35" i="51"/>
  <c r="AC34" i="51"/>
  <c r="AC33" i="51"/>
  <c r="AC32" i="51"/>
  <c r="AC31" i="51"/>
  <c r="AC30" i="51"/>
  <c r="AC29" i="51"/>
  <c r="AC28" i="51"/>
  <c r="AC27" i="51"/>
  <c r="X35" i="51"/>
  <c r="X34" i="51"/>
  <c r="X33" i="51"/>
  <c r="X32" i="51"/>
  <c r="X31" i="51"/>
  <c r="X30" i="51"/>
  <c r="X29" i="51"/>
  <c r="X28" i="51"/>
  <c r="X27" i="51"/>
  <c r="S28" i="51"/>
  <c r="S29" i="51"/>
  <c r="S30" i="51"/>
  <c r="S31" i="51"/>
  <c r="S32" i="51"/>
  <c r="S33" i="51"/>
  <c r="S34" i="51"/>
  <c r="S35" i="51"/>
  <c r="S27" i="51"/>
  <c r="M28" i="51"/>
  <c r="M29" i="51"/>
  <c r="M30" i="51"/>
  <c r="M31" i="51"/>
  <c r="M32" i="51"/>
  <c r="M33" i="51"/>
  <c r="M34" i="51"/>
  <c r="M35" i="51"/>
  <c r="M27" i="51"/>
  <c r="AV35" i="51"/>
  <c r="AQ35" i="51"/>
  <c r="AL35" i="51"/>
  <c r="AG35" i="51"/>
  <c r="AB35" i="51"/>
  <c r="W35" i="51"/>
  <c r="R35" i="51"/>
  <c r="J35" i="51"/>
  <c r="I35" i="51"/>
  <c r="G35" i="51"/>
  <c r="AQ34" i="51"/>
  <c r="AL34" i="51"/>
  <c r="AG34" i="51"/>
  <c r="AB34" i="51"/>
  <c r="W34" i="51"/>
  <c r="R34" i="51"/>
  <c r="J34" i="51"/>
  <c r="I34" i="51"/>
  <c r="G34" i="51"/>
  <c r="AV33" i="51"/>
  <c r="AQ33" i="51"/>
  <c r="AL33" i="51"/>
  <c r="AG33" i="51"/>
  <c r="AB33" i="51"/>
  <c r="W33" i="51"/>
  <c r="R33" i="51"/>
  <c r="K33" i="51" s="1"/>
  <c r="J33" i="51"/>
  <c r="I33" i="51"/>
  <c r="G33" i="51"/>
  <c r="AV32" i="51"/>
  <c r="AQ32" i="51"/>
  <c r="AL32" i="51"/>
  <c r="AG32" i="51"/>
  <c r="AB32" i="51"/>
  <c r="W32" i="51"/>
  <c r="R32" i="51"/>
  <c r="J32" i="51"/>
  <c r="I32" i="51"/>
  <c r="G32" i="51"/>
  <c r="AV31" i="51"/>
  <c r="AQ31" i="51"/>
  <c r="AL31" i="51"/>
  <c r="AG31" i="51"/>
  <c r="AB31" i="51"/>
  <c r="W31" i="51"/>
  <c r="R31" i="51"/>
  <c r="K31" i="51"/>
  <c r="J31" i="51"/>
  <c r="I31" i="51"/>
  <c r="G31" i="51"/>
  <c r="AV30" i="51"/>
  <c r="AQ30" i="51"/>
  <c r="AL30" i="51"/>
  <c r="AG30" i="51"/>
  <c r="AB30" i="51"/>
  <c r="W30" i="51"/>
  <c r="R30" i="51"/>
  <c r="K30" i="51"/>
  <c r="J30" i="51"/>
  <c r="I30" i="51"/>
  <c r="G30" i="51"/>
  <c r="AV29" i="51"/>
  <c r="AQ29" i="51"/>
  <c r="AL29" i="51"/>
  <c r="AG29" i="51"/>
  <c r="AB29" i="51"/>
  <c r="W29" i="51"/>
  <c r="R29" i="51"/>
  <c r="K29" i="51"/>
  <c r="J29" i="51"/>
  <c r="I29" i="51"/>
  <c r="G29" i="51"/>
  <c r="AV28" i="51"/>
  <c r="AQ28" i="51"/>
  <c r="AL28" i="51"/>
  <c r="AG28" i="51"/>
  <c r="AB28" i="51"/>
  <c r="W28" i="51"/>
  <c r="R28" i="51"/>
  <c r="J28" i="51"/>
  <c r="I28" i="51"/>
  <c r="G28" i="51"/>
  <c r="H27" i="51" s="1"/>
  <c r="AV27" i="51"/>
  <c r="AX27" i="51" s="1"/>
  <c r="AQ27" i="51"/>
  <c r="AS27" i="51" s="1"/>
  <c r="AN27" i="51"/>
  <c r="AL27" i="51"/>
  <c r="AG27" i="51"/>
  <c r="AB27" i="51"/>
  <c r="W27" i="51"/>
  <c r="Y27" i="51" s="1"/>
  <c r="R27" i="51"/>
  <c r="J27" i="51"/>
  <c r="I27" i="51"/>
  <c r="G27" i="51"/>
  <c r="U22" i="50"/>
  <c r="Z22" i="50" s="1"/>
  <c r="AE22" i="50" s="1"/>
  <c r="AJ22" i="50" s="1"/>
  <c r="AO22" i="50" s="1"/>
  <c r="AT22" i="50" s="1"/>
  <c r="AW35" i="49"/>
  <c r="AW34" i="49"/>
  <c r="AW33" i="49"/>
  <c r="AW32" i="49"/>
  <c r="AW31" i="49"/>
  <c r="AW30" i="49"/>
  <c r="AW28" i="49"/>
  <c r="AW27" i="49"/>
  <c r="AR35" i="49"/>
  <c r="AR34" i="49"/>
  <c r="AR33" i="49"/>
  <c r="AR32" i="49"/>
  <c r="AR31" i="49"/>
  <c r="AR30" i="49"/>
  <c r="AR28" i="49"/>
  <c r="AR27" i="49"/>
  <c r="AM35" i="49"/>
  <c r="AM34" i="49"/>
  <c r="AM33" i="49"/>
  <c r="AM32" i="49"/>
  <c r="AM31" i="49"/>
  <c r="AM30" i="49"/>
  <c r="AM28" i="49"/>
  <c r="AM27" i="49"/>
  <c r="AH31" i="49"/>
  <c r="AH32" i="49"/>
  <c r="AH33" i="49"/>
  <c r="AH34" i="49"/>
  <c r="AH35" i="49"/>
  <c r="AH30" i="49"/>
  <c r="AH28" i="49"/>
  <c r="AH27" i="49"/>
  <c r="AC35" i="49"/>
  <c r="AC34" i="49"/>
  <c r="AC33" i="49"/>
  <c r="AC32" i="49"/>
  <c r="AC31" i="49"/>
  <c r="AC30" i="49"/>
  <c r="AC28" i="49"/>
  <c r="AC27" i="49"/>
  <c r="X35" i="49"/>
  <c r="X34" i="49"/>
  <c r="X33" i="49"/>
  <c r="X32" i="49"/>
  <c r="X31" i="49"/>
  <c r="X30" i="49"/>
  <c r="X29" i="49"/>
  <c r="X28" i="49"/>
  <c r="X27" i="49"/>
  <c r="S28" i="49"/>
  <c r="S29" i="49"/>
  <c r="S30" i="49"/>
  <c r="S31" i="49"/>
  <c r="S32" i="49"/>
  <c r="S33" i="49"/>
  <c r="S34" i="49"/>
  <c r="S35" i="49"/>
  <c r="S27" i="49"/>
  <c r="M28" i="49"/>
  <c r="M29" i="49"/>
  <c r="M30" i="49"/>
  <c r="M31" i="49"/>
  <c r="M32" i="49"/>
  <c r="M33" i="49"/>
  <c r="M34" i="49"/>
  <c r="M35" i="49"/>
  <c r="M27" i="49"/>
  <c r="AV35" i="49"/>
  <c r="AQ35" i="49"/>
  <c r="AL35" i="49"/>
  <c r="AG35" i="49"/>
  <c r="AB35" i="49"/>
  <c r="W35" i="49"/>
  <c r="R35" i="49"/>
  <c r="K35" i="49"/>
  <c r="J35" i="49"/>
  <c r="I35" i="49"/>
  <c r="G35" i="49"/>
  <c r="AV34" i="49"/>
  <c r="AQ34" i="49"/>
  <c r="AL34" i="49"/>
  <c r="AG34" i="49"/>
  <c r="AB34" i="49"/>
  <c r="W34" i="49"/>
  <c r="R34" i="49"/>
  <c r="K34" i="49"/>
  <c r="J34" i="49"/>
  <c r="I34" i="49"/>
  <c r="G34" i="49"/>
  <c r="AV33" i="49"/>
  <c r="AQ33" i="49"/>
  <c r="AL33" i="49"/>
  <c r="AG33" i="49"/>
  <c r="AB33" i="49"/>
  <c r="W33" i="49"/>
  <c r="R33" i="49"/>
  <c r="J33" i="49"/>
  <c r="I33" i="49"/>
  <c r="G33" i="49"/>
  <c r="AV32" i="49"/>
  <c r="AQ32" i="49"/>
  <c r="AL32" i="49"/>
  <c r="AG32" i="49"/>
  <c r="AB32" i="49"/>
  <c r="W32" i="49"/>
  <c r="R32" i="49"/>
  <c r="J32" i="49"/>
  <c r="I32" i="49"/>
  <c r="G32" i="49"/>
  <c r="AV31" i="49"/>
  <c r="AQ31" i="49"/>
  <c r="AL31" i="49"/>
  <c r="AG31" i="49"/>
  <c r="AB31" i="49"/>
  <c r="W31" i="49"/>
  <c r="R31" i="49"/>
  <c r="J31" i="49"/>
  <c r="I31" i="49"/>
  <c r="G31" i="49"/>
  <c r="AV30" i="49"/>
  <c r="AQ30" i="49"/>
  <c r="AL30" i="49"/>
  <c r="AG30" i="49"/>
  <c r="AB30" i="49"/>
  <c r="W30" i="49"/>
  <c r="R30" i="49"/>
  <c r="J30" i="49"/>
  <c r="I30" i="49"/>
  <c r="G30" i="49"/>
  <c r="W29" i="49"/>
  <c r="R29" i="49"/>
  <c r="J29" i="49"/>
  <c r="I29" i="49"/>
  <c r="G29" i="49"/>
  <c r="AV28" i="49"/>
  <c r="AQ28" i="49"/>
  <c r="AL28" i="49"/>
  <c r="AG28" i="49"/>
  <c r="AB28" i="49"/>
  <c r="W28" i="49"/>
  <c r="R28" i="49"/>
  <c r="J28" i="49"/>
  <c r="I28" i="49"/>
  <c r="G28" i="49"/>
  <c r="AV27" i="49"/>
  <c r="AX27" i="49" s="1"/>
  <c r="AQ27" i="49"/>
  <c r="AL27" i="49"/>
  <c r="AN27" i="49" s="1"/>
  <c r="AG27" i="49"/>
  <c r="AI27" i="49" s="1"/>
  <c r="AB27" i="49"/>
  <c r="W27" i="49"/>
  <c r="K27" i="49" s="1"/>
  <c r="R27" i="49"/>
  <c r="T27" i="49" s="1"/>
  <c r="J27" i="49"/>
  <c r="I27" i="49"/>
  <c r="G27" i="49"/>
  <c r="H27" i="49" s="1"/>
  <c r="AW34" i="48"/>
  <c r="AW33" i="48"/>
  <c r="AW32" i="48"/>
  <c r="AW31" i="48"/>
  <c r="AW30" i="48"/>
  <c r="AW29" i="48"/>
  <c r="AW28" i="48"/>
  <c r="AW27" i="48"/>
  <c r="AR34" i="48"/>
  <c r="AR33" i="48"/>
  <c r="AR32" i="48"/>
  <c r="AR31" i="48"/>
  <c r="AR30" i="48"/>
  <c r="AR29" i="48"/>
  <c r="AR28" i="48"/>
  <c r="AR27" i="48"/>
  <c r="AM34" i="48"/>
  <c r="AM33" i="48"/>
  <c r="AM32" i="48"/>
  <c r="AM31" i="48"/>
  <c r="AM30" i="48"/>
  <c r="AM29" i="48"/>
  <c r="AM28" i="48"/>
  <c r="AM27" i="48"/>
  <c r="AH34" i="48"/>
  <c r="AH33" i="48"/>
  <c r="AH32" i="48"/>
  <c r="AH31" i="48"/>
  <c r="AH30" i="48"/>
  <c r="AH29" i="48"/>
  <c r="AH28" i="48"/>
  <c r="AH27" i="48"/>
  <c r="AC34" i="48"/>
  <c r="AC33" i="48"/>
  <c r="AC32" i="48"/>
  <c r="AC31" i="48"/>
  <c r="AC30" i="48"/>
  <c r="AC29" i="48"/>
  <c r="AC28" i="48"/>
  <c r="AC27" i="48"/>
  <c r="X34" i="48"/>
  <c r="X33" i="48"/>
  <c r="X32" i="48"/>
  <c r="X31" i="48"/>
  <c r="X30" i="48"/>
  <c r="X29" i="48"/>
  <c r="X28" i="48"/>
  <c r="X27" i="48"/>
  <c r="S28" i="48"/>
  <c r="S29" i="48"/>
  <c r="S30" i="48"/>
  <c r="S31" i="48"/>
  <c r="S32" i="48"/>
  <c r="S33" i="48"/>
  <c r="S34" i="48"/>
  <c r="S27" i="48"/>
  <c r="M28" i="48"/>
  <c r="M29" i="48"/>
  <c r="M30" i="48"/>
  <c r="M31" i="48"/>
  <c r="M32" i="48"/>
  <c r="M33" i="48"/>
  <c r="M34" i="48"/>
  <c r="M27" i="48"/>
  <c r="AV34" i="48"/>
  <c r="AQ34" i="48"/>
  <c r="AL34" i="48"/>
  <c r="AG34" i="48"/>
  <c r="AB34" i="48"/>
  <c r="W34" i="48"/>
  <c r="R34" i="48"/>
  <c r="K34" i="48"/>
  <c r="J34" i="48"/>
  <c r="I34" i="48"/>
  <c r="G34" i="48"/>
  <c r="AV33" i="48"/>
  <c r="AQ33" i="48"/>
  <c r="AL33" i="48"/>
  <c r="AG33" i="48"/>
  <c r="AB33" i="48"/>
  <c r="W33" i="48"/>
  <c r="R33" i="48"/>
  <c r="K33" i="48"/>
  <c r="J33" i="48"/>
  <c r="I33" i="48"/>
  <c r="G33" i="48"/>
  <c r="AV32" i="48"/>
  <c r="AQ32" i="48"/>
  <c r="AL32" i="48"/>
  <c r="AG32" i="48"/>
  <c r="AB32" i="48"/>
  <c r="W32" i="48"/>
  <c r="R32" i="48"/>
  <c r="J32" i="48"/>
  <c r="I32" i="48"/>
  <c r="G32" i="48"/>
  <c r="AV31" i="48"/>
  <c r="AQ31" i="48"/>
  <c r="AL31" i="48"/>
  <c r="AG31" i="48"/>
  <c r="AB31" i="48"/>
  <c r="W31" i="48"/>
  <c r="R31" i="48"/>
  <c r="J31" i="48"/>
  <c r="I31" i="48"/>
  <c r="G31" i="48"/>
  <c r="AV30" i="48"/>
  <c r="AQ30" i="48"/>
  <c r="AL30" i="48"/>
  <c r="AG30" i="48"/>
  <c r="AB30" i="48"/>
  <c r="W30" i="48"/>
  <c r="R30" i="48"/>
  <c r="J30" i="48"/>
  <c r="I30" i="48"/>
  <c r="G30" i="48"/>
  <c r="AV29" i="48"/>
  <c r="AQ29" i="48"/>
  <c r="AL29" i="48"/>
  <c r="AG29" i="48"/>
  <c r="AB29" i="48"/>
  <c r="W29" i="48"/>
  <c r="R29" i="48"/>
  <c r="J29" i="48"/>
  <c r="I29" i="48"/>
  <c r="G29" i="48"/>
  <c r="AV28" i="48"/>
  <c r="AQ28" i="48"/>
  <c r="AL28" i="48"/>
  <c r="K28" i="48" s="1"/>
  <c r="AG28" i="48"/>
  <c r="AB28" i="48"/>
  <c r="W28" i="48"/>
  <c r="R28" i="48"/>
  <c r="J28" i="48"/>
  <c r="I28" i="48"/>
  <c r="G28" i="48"/>
  <c r="AV27" i="48"/>
  <c r="AX27" i="48" s="1"/>
  <c r="AQ27" i="48"/>
  <c r="K27" i="48" s="1"/>
  <c r="AN27" i="48"/>
  <c r="AL27" i="48"/>
  <c r="AG27" i="48"/>
  <c r="AI27" i="48" s="1"/>
  <c r="AB27" i="48"/>
  <c r="AD27" i="48" s="1"/>
  <c r="W27" i="48"/>
  <c r="R27" i="48"/>
  <c r="T27" i="48" s="1"/>
  <c r="J27" i="48"/>
  <c r="I27" i="48"/>
  <c r="H27" i="48"/>
  <c r="G27" i="48"/>
  <c r="AW32" i="47"/>
  <c r="AW31" i="47"/>
  <c r="AW30" i="47"/>
  <c r="AW29" i="47"/>
  <c r="AW28" i="47"/>
  <c r="AW27" i="47"/>
  <c r="AR32" i="47"/>
  <c r="AR31" i="47"/>
  <c r="AR30" i="47"/>
  <c r="AR29" i="47"/>
  <c r="AR28" i="47"/>
  <c r="AR27" i="47"/>
  <c r="AM32" i="47"/>
  <c r="AM31" i="47"/>
  <c r="AM30" i="47"/>
  <c r="AM29" i="47"/>
  <c r="AM28" i="47"/>
  <c r="AM27" i="47"/>
  <c r="AH32" i="47"/>
  <c r="AH31" i="47"/>
  <c r="AH30" i="47"/>
  <c r="AH29" i="47"/>
  <c r="AH28" i="47"/>
  <c r="AH27" i="47"/>
  <c r="AC32" i="47"/>
  <c r="AC31" i="47"/>
  <c r="AC30" i="47"/>
  <c r="AC29" i="47"/>
  <c r="AC28" i="47"/>
  <c r="AC27" i="47"/>
  <c r="X32" i="47"/>
  <c r="X31" i="47"/>
  <c r="X30" i="47"/>
  <c r="X29" i="47"/>
  <c r="X28" i="47"/>
  <c r="X27" i="47"/>
  <c r="S28" i="47"/>
  <c r="S29" i="47"/>
  <c r="S30" i="47"/>
  <c r="S31" i="47"/>
  <c r="S32" i="47"/>
  <c r="S27" i="47"/>
  <c r="M28" i="47"/>
  <c r="M29" i="47"/>
  <c r="M30" i="47"/>
  <c r="M31" i="47"/>
  <c r="M32" i="47"/>
  <c r="M27" i="47"/>
  <c r="AV32" i="47"/>
  <c r="AQ32" i="47"/>
  <c r="AL32" i="47"/>
  <c r="AG32" i="47"/>
  <c r="AB32" i="47"/>
  <c r="W32" i="47"/>
  <c r="R32" i="47"/>
  <c r="K32" i="47"/>
  <c r="J32" i="47"/>
  <c r="I32" i="47"/>
  <c r="G32" i="47"/>
  <c r="AV31" i="47"/>
  <c r="AQ31" i="47"/>
  <c r="AL31" i="47"/>
  <c r="AG31" i="47"/>
  <c r="AB31" i="47"/>
  <c r="W31" i="47"/>
  <c r="R31" i="47"/>
  <c r="K31" i="47"/>
  <c r="J31" i="47"/>
  <c r="I31" i="47"/>
  <c r="G31" i="47"/>
  <c r="AV30" i="47"/>
  <c r="AQ30" i="47"/>
  <c r="AL30" i="47"/>
  <c r="AG30" i="47"/>
  <c r="AB30" i="47"/>
  <c r="W30" i="47"/>
  <c r="R30" i="47"/>
  <c r="J30" i="47"/>
  <c r="I30" i="47"/>
  <c r="G30" i="47"/>
  <c r="AV29" i="47"/>
  <c r="AQ29" i="47"/>
  <c r="AL29" i="47"/>
  <c r="AG29" i="47"/>
  <c r="AB29" i="47"/>
  <c r="W29" i="47"/>
  <c r="R29" i="47"/>
  <c r="J29" i="47"/>
  <c r="I29" i="47"/>
  <c r="G29" i="47"/>
  <c r="AV28" i="47"/>
  <c r="AQ28" i="47"/>
  <c r="AL28" i="47"/>
  <c r="AG28" i="47"/>
  <c r="AB28" i="47"/>
  <c r="W28" i="47"/>
  <c r="R28" i="47"/>
  <c r="J28" i="47"/>
  <c r="I28" i="47"/>
  <c r="G28" i="47"/>
  <c r="H27" i="47" s="1"/>
  <c r="AV27" i="47"/>
  <c r="AQ27" i="47"/>
  <c r="AL27" i="47"/>
  <c r="AN27" i="47" s="1"/>
  <c r="AG27" i="47"/>
  <c r="AI27" i="47" s="1"/>
  <c r="AD27" i="47"/>
  <c r="AB27" i="47"/>
  <c r="W27" i="47"/>
  <c r="Y27" i="47" s="1"/>
  <c r="R27" i="47"/>
  <c r="T27" i="47" s="1"/>
  <c r="K27" i="47"/>
  <c r="J27" i="47"/>
  <c r="I27" i="47"/>
  <c r="G27" i="47"/>
  <c r="AW27" i="46"/>
  <c r="AR27" i="46"/>
  <c r="AM27" i="46"/>
  <c r="AH27" i="46"/>
  <c r="AC27" i="46"/>
  <c r="X27" i="46"/>
  <c r="S27" i="46"/>
  <c r="M27" i="46"/>
  <c r="AV27" i="46"/>
  <c r="AX27" i="46" s="1"/>
  <c r="AQ27" i="46"/>
  <c r="AS27" i="46" s="1"/>
  <c r="AL27" i="46"/>
  <c r="AI27" i="46"/>
  <c r="AG27" i="46"/>
  <c r="AB27" i="46"/>
  <c r="Y27" i="46"/>
  <c r="W27" i="46"/>
  <c r="K27" i="46" s="1"/>
  <c r="T27" i="46"/>
  <c r="R27" i="46"/>
  <c r="J27" i="46"/>
  <c r="I27" i="46"/>
  <c r="G27" i="46"/>
  <c r="H27" i="46" s="1"/>
  <c r="AW30" i="45"/>
  <c r="AW29" i="45"/>
  <c r="AW28" i="45"/>
  <c r="AW27" i="45"/>
  <c r="AR30" i="45"/>
  <c r="AR29" i="45"/>
  <c r="AR28" i="45"/>
  <c r="AR27" i="45"/>
  <c r="AM30" i="45"/>
  <c r="AM29" i="45"/>
  <c r="AM28" i="45"/>
  <c r="AM27" i="45"/>
  <c r="AH30" i="45"/>
  <c r="AH29" i="45"/>
  <c r="AH28" i="45"/>
  <c r="AH27" i="45"/>
  <c r="AC30" i="45"/>
  <c r="AC29" i="45"/>
  <c r="AC28" i="45"/>
  <c r="AC27" i="45"/>
  <c r="X30" i="45"/>
  <c r="X29" i="45"/>
  <c r="X28" i="45"/>
  <c r="X27" i="45"/>
  <c r="S28" i="45"/>
  <c r="S29" i="45"/>
  <c r="S30" i="45"/>
  <c r="S27" i="45"/>
  <c r="M28" i="45"/>
  <c r="M29" i="45"/>
  <c r="M30" i="45"/>
  <c r="M27" i="45"/>
  <c r="AV30" i="45"/>
  <c r="AQ30" i="45"/>
  <c r="AS27" i="45" s="1"/>
  <c r="AL30" i="45"/>
  <c r="AG30" i="45"/>
  <c r="AB30" i="45"/>
  <c r="W30" i="45"/>
  <c r="K30" i="45" s="1"/>
  <c r="R30" i="45"/>
  <c r="J30" i="45"/>
  <c r="I30" i="45"/>
  <c r="G30" i="45"/>
  <c r="AV29" i="45"/>
  <c r="AQ29" i="45"/>
  <c r="AL29" i="45"/>
  <c r="AG29" i="45"/>
  <c r="AB29" i="45"/>
  <c r="W29" i="45"/>
  <c r="R29" i="45"/>
  <c r="J29" i="45"/>
  <c r="I29" i="45"/>
  <c r="G29" i="45"/>
  <c r="AV28" i="45"/>
  <c r="AQ28" i="45"/>
  <c r="AL28" i="45"/>
  <c r="AG28" i="45"/>
  <c r="AB28" i="45"/>
  <c r="W28" i="45"/>
  <c r="R28" i="45"/>
  <c r="K28" i="45" s="1"/>
  <c r="J28" i="45"/>
  <c r="I28" i="45"/>
  <c r="G28" i="45"/>
  <c r="AV27" i="45"/>
  <c r="AX27" i="45" s="1"/>
  <c r="AQ27" i="45"/>
  <c r="AL27" i="45"/>
  <c r="AN27" i="45" s="1"/>
  <c r="AG27" i="45"/>
  <c r="AD27" i="45"/>
  <c r="AB27" i="45"/>
  <c r="W27" i="45"/>
  <c r="K27" i="45" s="1"/>
  <c r="R27" i="45"/>
  <c r="J27" i="45"/>
  <c r="I27" i="45"/>
  <c r="G27" i="45"/>
  <c r="H27" i="45" s="1"/>
  <c r="AW83" i="44"/>
  <c r="AW82" i="44"/>
  <c r="AW81" i="44"/>
  <c r="AW80" i="44"/>
  <c r="AW79" i="44"/>
  <c r="AW78" i="44"/>
  <c r="AW77" i="44"/>
  <c r="AW76" i="44"/>
  <c r="AW75" i="44"/>
  <c r="AW74" i="44"/>
  <c r="AW73" i="44"/>
  <c r="AW72" i="44"/>
  <c r="AW71" i="44"/>
  <c r="AW70" i="44"/>
  <c r="AW69" i="44"/>
  <c r="AW68" i="44"/>
  <c r="AW67" i="44"/>
  <c r="AW66" i="44"/>
  <c r="AW65" i="44"/>
  <c r="AW64" i="44"/>
  <c r="AW63" i="44"/>
  <c r="AW62" i="44"/>
  <c r="AW60" i="44"/>
  <c r="AW59" i="44"/>
  <c r="AW58" i="44"/>
  <c r="AW57" i="44"/>
  <c r="AW56" i="44"/>
  <c r="AW55" i="44"/>
  <c r="AW54" i="44"/>
  <c r="AW53" i="44"/>
  <c r="AW52" i="44"/>
  <c r="AW51" i="44"/>
  <c r="AW50" i="44"/>
  <c r="AW49" i="44"/>
  <c r="AR83" i="44"/>
  <c r="AR82" i="44"/>
  <c r="AR81" i="44"/>
  <c r="AR80" i="44"/>
  <c r="AR79" i="44"/>
  <c r="AR78" i="44"/>
  <c r="AR77" i="44"/>
  <c r="AR76" i="44"/>
  <c r="AR75" i="44"/>
  <c r="AR74" i="44"/>
  <c r="AR73" i="44"/>
  <c r="AR72" i="44"/>
  <c r="AR71" i="44"/>
  <c r="AR70" i="44"/>
  <c r="AR69" i="44"/>
  <c r="AR68" i="44"/>
  <c r="AR67" i="44"/>
  <c r="AR66" i="44"/>
  <c r="AR65" i="44"/>
  <c r="AR64" i="44"/>
  <c r="AR63" i="44"/>
  <c r="AR62" i="44"/>
  <c r="AR61" i="44"/>
  <c r="AR60" i="44"/>
  <c r="AR59" i="44"/>
  <c r="AR58" i="44"/>
  <c r="AR57" i="44"/>
  <c r="AR56" i="44"/>
  <c r="AR55" i="44"/>
  <c r="AR54" i="44"/>
  <c r="AR53" i="44"/>
  <c r="AR52" i="44"/>
  <c r="AR51" i="44"/>
  <c r="AR50" i="44"/>
  <c r="AR49" i="44"/>
  <c r="AM83" i="44"/>
  <c r="AM82" i="44"/>
  <c r="AM81" i="44"/>
  <c r="AM80" i="44"/>
  <c r="AM79" i="44"/>
  <c r="AM78" i="44"/>
  <c r="AM77" i="44"/>
  <c r="AM76" i="44"/>
  <c r="AM75" i="44"/>
  <c r="AM74" i="44"/>
  <c r="AM73" i="44"/>
  <c r="AM72" i="44"/>
  <c r="AM71" i="44"/>
  <c r="AM70" i="44"/>
  <c r="AM69" i="44"/>
  <c r="AM68" i="44"/>
  <c r="AM67" i="44"/>
  <c r="AM66" i="44"/>
  <c r="AM65" i="44"/>
  <c r="AM64" i="44"/>
  <c r="AM63" i="44"/>
  <c r="AM62" i="44"/>
  <c r="AM61" i="44"/>
  <c r="AM60" i="44"/>
  <c r="AM59" i="44"/>
  <c r="AM58" i="44"/>
  <c r="AM57" i="44"/>
  <c r="AM56" i="44"/>
  <c r="AM55" i="44"/>
  <c r="AM54" i="44"/>
  <c r="AM53" i="44"/>
  <c r="AM52" i="44"/>
  <c r="AM51" i="44"/>
  <c r="AM50" i="44"/>
  <c r="AM49" i="44"/>
  <c r="AH83" i="44"/>
  <c r="AH82" i="44"/>
  <c r="AH81" i="44"/>
  <c r="AH80" i="44"/>
  <c r="AH79" i="44"/>
  <c r="AH78" i="44"/>
  <c r="AH77" i="44"/>
  <c r="AH76" i="44"/>
  <c r="AH75" i="44"/>
  <c r="AH74" i="44"/>
  <c r="AH73" i="44"/>
  <c r="AH72" i="44"/>
  <c r="AH71" i="44"/>
  <c r="AH70" i="44"/>
  <c r="AH69" i="44"/>
  <c r="AH68" i="44"/>
  <c r="AH67" i="44"/>
  <c r="AH66" i="44"/>
  <c r="AH65" i="44"/>
  <c r="AH64" i="44"/>
  <c r="AH63" i="44"/>
  <c r="AH62" i="44"/>
  <c r="AH61" i="44"/>
  <c r="AH60" i="44"/>
  <c r="AH59" i="44"/>
  <c r="AH58" i="44"/>
  <c r="AH57" i="44"/>
  <c r="AH56" i="44"/>
  <c r="AH55" i="44"/>
  <c r="AH54" i="44"/>
  <c r="AH53" i="44"/>
  <c r="AH52" i="44"/>
  <c r="AH51" i="44"/>
  <c r="AH50" i="44"/>
  <c r="AH49" i="44"/>
  <c r="AC83" i="44"/>
  <c r="AC82" i="44"/>
  <c r="AC81" i="44"/>
  <c r="AC80" i="44"/>
  <c r="AC79" i="44"/>
  <c r="AC78" i="44"/>
  <c r="AC77" i="44"/>
  <c r="AC76" i="44"/>
  <c r="AC75" i="44"/>
  <c r="AC74" i="44"/>
  <c r="AC73" i="44"/>
  <c r="AC72" i="44"/>
  <c r="AC71" i="44"/>
  <c r="AC70" i="44"/>
  <c r="AC69" i="44"/>
  <c r="AC68" i="44"/>
  <c r="AC67" i="44"/>
  <c r="AC66" i="44"/>
  <c r="AC65" i="44"/>
  <c r="AC64" i="44"/>
  <c r="AC63" i="44"/>
  <c r="AC62" i="44"/>
  <c r="AC61" i="44"/>
  <c r="AC60" i="44"/>
  <c r="AC59" i="44"/>
  <c r="AC58" i="44"/>
  <c r="AC57" i="44"/>
  <c r="AC56" i="44"/>
  <c r="AC55" i="44"/>
  <c r="AC54" i="44"/>
  <c r="AC53" i="44"/>
  <c r="AC52" i="44"/>
  <c r="AC51" i="44"/>
  <c r="AC50" i="44"/>
  <c r="AC49" i="44"/>
  <c r="X83" i="44"/>
  <c r="X82" i="44"/>
  <c r="X81" i="44"/>
  <c r="X80" i="44"/>
  <c r="X79" i="44"/>
  <c r="X78" i="44"/>
  <c r="X77" i="44"/>
  <c r="X76" i="44"/>
  <c r="X75" i="44"/>
  <c r="X74" i="44"/>
  <c r="X73" i="44"/>
  <c r="X72" i="44"/>
  <c r="X71" i="44"/>
  <c r="X70" i="44"/>
  <c r="X69" i="44"/>
  <c r="X68" i="44"/>
  <c r="X67" i="44"/>
  <c r="X66" i="44"/>
  <c r="X65" i="44"/>
  <c r="X64" i="44"/>
  <c r="X63" i="44"/>
  <c r="X62" i="44"/>
  <c r="X61" i="44"/>
  <c r="X60" i="44"/>
  <c r="X59" i="44"/>
  <c r="X58" i="44"/>
  <c r="X57" i="44"/>
  <c r="X56" i="44"/>
  <c r="X55" i="44"/>
  <c r="X54" i="44"/>
  <c r="X53" i="44"/>
  <c r="X52" i="44"/>
  <c r="X51" i="44"/>
  <c r="X50" i="44"/>
  <c r="X49" i="44"/>
  <c r="S50" i="44"/>
  <c r="S51" i="44"/>
  <c r="S52" i="44"/>
  <c r="S53" i="44"/>
  <c r="S54" i="44"/>
  <c r="S55" i="44"/>
  <c r="S56" i="44"/>
  <c r="S57" i="44"/>
  <c r="S58" i="44"/>
  <c r="S59" i="44"/>
  <c r="S60" i="44"/>
  <c r="S61" i="44"/>
  <c r="S62" i="44"/>
  <c r="S63" i="44"/>
  <c r="S64" i="44"/>
  <c r="S65" i="44"/>
  <c r="S66" i="44"/>
  <c r="S67" i="44"/>
  <c r="S68" i="44"/>
  <c r="S69" i="44"/>
  <c r="S70" i="44"/>
  <c r="S71" i="44"/>
  <c r="S72" i="44"/>
  <c r="S73" i="44"/>
  <c r="S74" i="44"/>
  <c r="S75" i="44"/>
  <c r="S76" i="44"/>
  <c r="S77" i="44"/>
  <c r="S78" i="44"/>
  <c r="S79" i="44"/>
  <c r="S80" i="44"/>
  <c r="S81" i="44"/>
  <c r="S82" i="44"/>
  <c r="S83" i="44"/>
  <c r="S49" i="44"/>
  <c r="M50" i="44"/>
  <c r="M51" i="44"/>
  <c r="M52" i="44"/>
  <c r="M53" i="44"/>
  <c r="M54" i="44"/>
  <c r="M55" i="44"/>
  <c r="M56" i="44"/>
  <c r="M57" i="44"/>
  <c r="M58" i="44"/>
  <c r="M59" i="44"/>
  <c r="M60" i="44"/>
  <c r="M61" i="44"/>
  <c r="M62" i="44"/>
  <c r="M63" i="44"/>
  <c r="M64" i="44"/>
  <c r="M65" i="44"/>
  <c r="M66" i="44"/>
  <c r="M67" i="44"/>
  <c r="M68" i="44"/>
  <c r="M69" i="44"/>
  <c r="M70" i="44"/>
  <c r="M71" i="44"/>
  <c r="M72" i="44"/>
  <c r="M73" i="44"/>
  <c r="M74" i="44"/>
  <c r="M75" i="44"/>
  <c r="M76" i="44"/>
  <c r="M77" i="44"/>
  <c r="M78" i="44"/>
  <c r="M79" i="44"/>
  <c r="M80" i="44"/>
  <c r="M81" i="44"/>
  <c r="M82" i="44"/>
  <c r="M83" i="44"/>
  <c r="M49" i="44"/>
  <c r="AV83" i="44"/>
  <c r="AQ83" i="44"/>
  <c r="AL83" i="44"/>
  <c r="AG83" i="44"/>
  <c r="AB83" i="44"/>
  <c r="W83" i="44"/>
  <c r="K83" i="44" s="1"/>
  <c r="R83" i="44"/>
  <c r="J83" i="44"/>
  <c r="I83" i="44"/>
  <c r="G83" i="44"/>
  <c r="AV82" i="44"/>
  <c r="AQ82" i="44"/>
  <c r="AL82" i="44"/>
  <c r="AG82" i="44"/>
  <c r="AB82" i="44"/>
  <c r="W82" i="44"/>
  <c r="R82" i="44"/>
  <c r="J82" i="44"/>
  <c r="I82" i="44"/>
  <c r="G82" i="44"/>
  <c r="AV81" i="44"/>
  <c r="AQ81" i="44"/>
  <c r="AL81" i="44"/>
  <c r="AG81" i="44"/>
  <c r="AB81" i="44"/>
  <c r="W81" i="44"/>
  <c r="R81" i="44"/>
  <c r="K81" i="44" s="1"/>
  <c r="J81" i="44"/>
  <c r="I81" i="44"/>
  <c r="G81" i="44"/>
  <c r="AV80" i="44"/>
  <c r="AQ80" i="44"/>
  <c r="AL80" i="44"/>
  <c r="AG80" i="44"/>
  <c r="AB80" i="44"/>
  <c r="W80" i="44"/>
  <c r="R80" i="44"/>
  <c r="K80" i="44"/>
  <c r="J80" i="44"/>
  <c r="I80" i="44"/>
  <c r="G80" i="44"/>
  <c r="AV79" i="44"/>
  <c r="AQ79" i="44"/>
  <c r="AL79" i="44"/>
  <c r="AG79" i="44"/>
  <c r="AB79" i="44"/>
  <c r="W79" i="44"/>
  <c r="R79" i="44"/>
  <c r="K79" i="44"/>
  <c r="J79" i="44"/>
  <c r="I79" i="44"/>
  <c r="G79" i="44"/>
  <c r="AV78" i="44"/>
  <c r="AQ78" i="44"/>
  <c r="AL78" i="44"/>
  <c r="AG78" i="44"/>
  <c r="AB78" i="44"/>
  <c r="W78" i="44"/>
  <c r="R78" i="44"/>
  <c r="K78" i="44"/>
  <c r="J78" i="44"/>
  <c r="I78" i="44"/>
  <c r="G78" i="44"/>
  <c r="AV77" i="44"/>
  <c r="AQ77" i="44"/>
  <c r="AL77" i="44"/>
  <c r="AG77" i="44"/>
  <c r="AB77" i="44"/>
  <c r="W77" i="44"/>
  <c r="R77" i="44"/>
  <c r="K77" i="44"/>
  <c r="J77" i="44"/>
  <c r="I77" i="44"/>
  <c r="G77" i="44"/>
  <c r="AV76" i="44"/>
  <c r="AQ76" i="44"/>
  <c r="K76" i="44" s="1"/>
  <c r="AL76" i="44"/>
  <c r="AG76" i="44"/>
  <c r="AB76" i="44"/>
  <c r="W76" i="44"/>
  <c r="R76" i="44"/>
  <c r="J76" i="44"/>
  <c r="I76" i="44"/>
  <c r="G76" i="44"/>
  <c r="AV75" i="44"/>
  <c r="AQ75" i="44"/>
  <c r="AL75" i="44"/>
  <c r="AG75" i="44"/>
  <c r="AB75" i="44"/>
  <c r="W75" i="44"/>
  <c r="R75" i="44"/>
  <c r="K75" i="44"/>
  <c r="J75" i="44"/>
  <c r="I75" i="44"/>
  <c r="G75" i="44"/>
  <c r="AV74" i="44"/>
  <c r="AQ74" i="44"/>
  <c r="AL74" i="44"/>
  <c r="K74" i="44" s="1"/>
  <c r="AG74" i="44"/>
  <c r="AB74" i="44"/>
  <c r="W74" i="44"/>
  <c r="R74" i="44"/>
  <c r="J74" i="44"/>
  <c r="I74" i="44"/>
  <c r="G74" i="44"/>
  <c r="AV73" i="44"/>
  <c r="AQ73" i="44"/>
  <c r="AL73" i="44"/>
  <c r="AG73" i="44"/>
  <c r="AB73" i="44"/>
  <c r="K73" i="44" s="1"/>
  <c r="W73" i="44"/>
  <c r="R73" i="44"/>
  <c r="J73" i="44"/>
  <c r="I73" i="44"/>
  <c r="G73" i="44"/>
  <c r="AV72" i="44"/>
  <c r="AQ72" i="44"/>
  <c r="AL72" i="44"/>
  <c r="AG72" i="44"/>
  <c r="K72" i="44" s="1"/>
  <c r="AB72" i="44"/>
  <c r="W72" i="44"/>
  <c r="R72" i="44"/>
  <c r="J72" i="44"/>
  <c r="I72" i="44"/>
  <c r="G72" i="44"/>
  <c r="AV71" i="44"/>
  <c r="AQ71" i="44"/>
  <c r="AL71" i="44"/>
  <c r="AG71" i="44"/>
  <c r="AB71" i="44"/>
  <c r="W71" i="44"/>
  <c r="K71" i="44" s="1"/>
  <c r="R71" i="44"/>
  <c r="J71" i="44"/>
  <c r="I71" i="44"/>
  <c r="G71" i="44"/>
  <c r="AV70" i="44"/>
  <c r="AQ70" i="44"/>
  <c r="AL70" i="44"/>
  <c r="AG70" i="44"/>
  <c r="AB70" i="44"/>
  <c r="W70" i="44"/>
  <c r="K70" i="44" s="1"/>
  <c r="R70" i="44"/>
  <c r="J70" i="44"/>
  <c r="I70" i="44"/>
  <c r="G70" i="44"/>
  <c r="AV69" i="44"/>
  <c r="AQ69" i="44"/>
  <c r="AL69" i="44"/>
  <c r="AG69" i="44"/>
  <c r="AB69" i="44"/>
  <c r="W69" i="44"/>
  <c r="R69" i="44"/>
  <c r="K69" i="44" s="1"/>
  <c r="J69" i="44"/>
  <c r="I69" i="44"/>
  <c r="G69" i="44"/>
  <c r="AV68" i="44"/>
  <c r="AQ68" i="44"/>
  <c r="AL68" i="44"/>
  <c r="AG68" i="44"/>
  <c r="AB68" i="44"/>
  <c r="W68" i="44"/>
  <c r="R68" i="44"/>
  <c r="K68" i="44" s="1"/>
  <c r="J68" i="44"/>
  <c r="I68" i="44"/>
  <c r="G68" i="44"/>
  <c r="AV67" i="44"/>
  <c r="AQ67" i="44"/>
  <c r="AL67" i="44"/>
  <c r="AG67" i="44"/>
  <c r="AB67" i="44"/>
  <c r="W67" i="44"/>
  <c r="R67" i="44"/>
  <c r="J67" i="44"/>
  <c r="I67" i="44"/>
  <c r="G67" i="44"/>
  <c r="AV66" i="44"/>
  <c r="AQ66" i="44"/>
  <c r="AL66" i="44"/>
  <c r="AG66" i="44"/>
  <c r="AB66" i="44"/>
  <c r="W66" i="44"/>
  <c r="R66" i="44"/>
  <c r="J66" i="44"/>
  <c r="I66" i="44"/>
  <c r="G66" i="44"/>
  <c r="AV65" i="44"/>
  <c r="AQ65" i="44"/>
  <c r="AL65" i="44"/>
  <c r="AG65" i="44"/>
  <c r="AB65" i="44"/>
  <c r="W65" i="44"/>
  <c r="R65" i="44"/>
  <c r="J65" i="44"/>
  <c r="I65" i="44"/>
  <c r="G65" i="44"/>
  <c r="AV64" i="44"/>
  <c r="AQ64" i="44"/>
  <c r="AL64" i="44"/>
  <c r="AG64" i="44"/>
  <c r="AB64" i="44"/>
  <c r="W64" i="44"/>
  <c r="R64" i="44"/>
  <c r="J64" i="44"/>
  <c r="I64" i="44"/>
  <c r="G64" i="44"/>
  <c r="AV63" i="44"/>
  <c r="AQ63" i="44"/>
  <c r="AL63" i="44"/>
  <c r="AG63" i="44"/>
  <c r="AB63" i="44"/>
  <c r="W63" i="44"/>
  <c r="K63" i="44" s="1"/>
  <c r="R63" i="44"/>
  <c r="J63" i="44"/>
  <c r="I63" i="44"/>
  <c r="G63" i="44"/>
  <c r="AV62" i="44"/>
  <c r="AQ62" i="44"/>
  <c r="AL62" i="44"/>
  <c r="AG62" i="44"/>
  <c r="AB62" i="44"/>
  <c r="W62" i="44"/>
  <c r="R62" i="44"/>
  <c r="J62" i="44"/>
  <c r="I62" i="44"/>
  <c r="G62" i="44"/>
  <c r="AQ61" i="44"/>
  <c r="AL61" i="44"/>
  <c r="AG61" i="44"/>
  <c r="AB61" i="44"/>
  <c r="W61" i="44"/>
  <c r="R61" i="44"/>
  <c r="K61" i="44"/>
  <c r="J61" i="44"/>
  <c r="I61" i="44"/>
  <c r="G61" i="44"/>
  <c r="AV60" i="44"/>
  <c r="AQ60" i="44"/>
  <c r="AL60" i="44"/>
  <c r="AG60" i="44"/>
  <c r="AB60" i="44"/>
  <c r="W60" i="44"/>
  <c r="R60" i="44"/>
  <c r="K60" i="44"/>
  <c r="J60" i="44"/>
  <c r="I60" i="44"/>
  <c r="G60" i="44"/>
  <c r="AV59" i="44"/>
  <c r="AQ59" i="44"/>
  <c r="AL59" i="44"/>
  <c r="AG59" i="44"/>
  <c r="AB59" i="44"/>
  <c r="W59" i="44"/>
  <c r="R59" i="44"/>
  <c r="K59" i="44"/>
  <c r="J59" i="44"/>
  <c r="I59" i="44"/>
  <c r="G59" i="44"/>
  <c r="AV58" i="44"/>
  <c r="AQ58" i="44"/>
  <c r="K58" i="44" s="1"/>
  <c r="AL58" i="44"/>
  <c r="AG58" i="44"/>
  <c r="AB58" i="44"/>
  <c r="W58" i="44"/>
  <c r="R58" i="44"/>
  <c r="J58" i="44"/>
  <c r="I58" i="44"/>
  <c r="G58" i="44"/>
  <c r="AV57" i="44"/>
  <c r="AQ57" i="44"/>
  <c r="AL57" i="44"/>
  <c r="AG57" i="44"/>
  <c r="AB57" i="44"/>
  <c r="W57" i="44"/>
  <c r="R57" i="44"/>
  <c r="K57" i="44"/>
  <c r="J57" i="44"/>
  <c r="I57" i="44"/>
  <c r="G57" i="44"/>
  <c r="AV56" i="44"/>
  <c r="AQ56" i="44"/>
  <c r="AL56" i="44"/>
  <c r="K56" i="44" s="1"/>
  <c r="AG56" i="44"/>
  <c r="AB56" i="44"/>
  <c r="W56" i="44"/>
  <c r="R56" i="44"/>
  <c r="J56" i="44"/>
  <c r="I56" i="44"/>
  <c r="G56" i="44"/>
  <c r="AV55" i="44"/>
  <c r="AQ55" i="44"/>
  <c r="AL55" i="44"/>
  <c r="AG55" i="44"/>
  <c r="AB55" i="44"/>
  <c r="K55" i="44" s="1"/>
  <c r="W55" i="44"/>
  <c r="R55" i="44"/>
  <c r="J55" i="44"/>
  <c r="I55" i="44"/>
  <c r="G55" i="44"/>
  <c r="AV54" i="44"/>
  <c r="AQ54" i="44"/>
  <c r="AL54" i="44"/>
  <c r="AG54" i="44"/>
  <c r="K54" i="44" s="1"/>
  <c r="AB54" i="44"/>
  <c r="W54" i="44"/>
  <c r="R54" i="44"/>
  <c r="J54" i="44"/>
  <c r="I54" i="44"/>
  <c r="G54" i="44"/>
  <c r="AV53" i="44"/>
  <c r="AQ53" i="44"/>
  <c r="AL53" i="44"/>
  <c r="AG53" i="44"/>
  <c r="AB53" i="44"/>
  <c r="W53" i="44"/>
  <c r="K53" i="44" s="1"/>
  <c r="R53" i="44"/>
  <c r="J53" i="44"/>
  <c r="I53" i="44"/>
  <c r="G53" i="44"/>
  <c r="AV52" i="44"/>
  <c r="AQ52" i="44"/>
  <c r="AL52" i="44"/>
  <c r="AG52" i="44"/>
  <c r="AB52" i="44"/>
  <c r="W52" i="44"/>
  <c r="K52" i="44" s="1"/>
  <c r="R52" i="44"/>
  <c r="J52" i="44"/>
  <c r="I52" i="44"/>
  <c r="G52" i="44"/>
  <c r="AV51" i="44"/>
  <c r="AQ51" i="44"/>
  <c r="AL51" i="44"/>
  <c r="AG51" i="44"/>
  <c r="AB51" i="44"/>
  <c r="W51" i="44"/>
  <c r="R51" i="44"/>
  <c r="K51" i="44" s="1"/>
  <c r="J51" i="44"/>
  <c r="I51" i="44"/>
  <c r="G51" i="44"/>
  <c r="AV50" i="44"/>
  <c r="AQ50" i="44"/>
  <c r="AL50" i="44"/>
  <c r="AG50" i="44"/>
  <c r="AB50" i="44"/>
  <c r="W50" i="44"/>
  <c r="R50" i="44"/>
  <c r="K50" i="44" s="1"/>
  <c r="J50" i="44"/>
  <c r="I50" i="44"/>
  <c r="G50" i="44"/>
  <c r="AV49" i="44"/>
  <c r="AX49" i="44" s="1"/>
  <c r="AQ49" i="44"/>
  <c r="AS49" i="44" s="1"/>
  <c r="AL49" i="44"/>
  <c r="K49" i="44" s="1"/>
  <c r="AG49" i="44"/>
  <c r="AI49" i="44" s="1"/>
  <c r="AB49" i="44"/>
  <c r="W49" i="44"/>
  <c r="R49" i="44"/>
  <c r="T49" i="44" s="1"/>
  <c r="J49" i="44"/>
  <c r="I49" i="44"/>
  <c r="G49" i="44"/>
  <c r="H49" i="44" s="1"/>
  <c r="B14" i="6"/>
  <c r="D14" i="6"/>
  <c r="D15" i="6"/>
  <c r="D16" i="6" s="1"/>
  <c r="D17" i="6" s="1"/>
  <c r="D18" i="6" s="1"/>
  <c r="D19" i="6" s="1"/>
  <c r="D20" i="6" s="1"/>
  <c r="AC20" i="6"/>
  <c r="S20" i="6"/>
  <c r="M20" i="6"/>
  <c r="AC19" i="6"/>
  <c r="S19" i="6"/>
  <c r="M19" i="6"/>
  <c r="AC18" i="6"/>
  <c r="S18" i="6"/>
  <c r="M18" i="6"/>
  <c r="AC17" i="6"/>
  <c r="S17" i="6"/>
  <c r="M17" i="6"/>
  <c r="AC16" i="6"/>
  <c r="S16" i="6"/>
  <c r="M16" i="6"/>
  <c r="AC15" i="6"/>
  <c r="S15" i="6"/>
  <c r="M15" i="6"/>
  <c r="AC14" i="6"/>
  <c r="AD14" i="6" s="1"/>
  <c r="X14" i="6"/>
  <c r="V14" i="6"/>
  <c r="S14" i="6"/>
  <c r="T14" i="6" s="1"/>
  <c r="M14" i="6"/>
  <c r="N14" i="6" s="1"/>
  <c r="L14" i="6"/>
  <c r="F14" i="6"/>
  <c r="AL14" i="6" s="1"/>
  <c r="B14" i="7"/>
  <c r="AC20" i="7"/>
  <c r="S20" i="7"/>
  <c r="M20" i="7"/>
  <c r="AC19" i="7"/>
  <c r="S19" i="7"/>
  <c r="M19" i="7"/>
  <c r="F19" i="7"/>
  <c r="AL19" i="7" s="1"/>
  <c r="AC18" i="7"/>
  <c r="S18" i="7"/>
  <c r="M18" i="7"/>
  <c r="AC17" i="7"/>
  <c r="S17" i="7"/>
  <c r="M17" i="7"/>
  <c r="AC16" i="7"/>
  <c r="S16" i="7"/>
  <c r="F16" i="7" s="1"/>
  <c r="AL16" i="7" s="1"/>
  <c r="M16" i="7"/>
  <c r="AC15" i="7"/>
  <c r="S15" i="7"/>
  <c r="M15" i="7"/>
  <c r="AC14" i="7"/>
  <c r="S14" i="7"/>
  <c r="M14" i="7"/>
  <c r="U13" i="5"/>
  <c r="U14" i="5"/>
  <c r="U15" i="5"/>
  <c r="U16" i="5"/>
  <c r="U17" i="5"/>
  <c r="U18" i="5"/>
  <c r="U12" i="5"/>
  <c r="F15" i="7" l="1"/>
  <c r="AL15" i="7" s="1"/>
  <c r="F20" i="7"/>
  <c r="AL20" i="7" s="1"/>
  <c r="AD19" i="7"/>
  <c r="T19" i="7"/>
  <c r="T16" i="7"/>
  <c r="AD16" i="7"/>
  <c r="F18" i="7"/>
  <c r="AL18" i="7" s="1"/>
  <c r="N19" i="7"/>
  <c r="F17" i="7"/>
  <c r="AL17" i="7" s="1"/>
  <c r="N16" i="7"/>
  <c r="K30" i="52"/>
  <c r="K27" i="52"/>
  <c r="K31" i="52"/>
  <c r="AI27" i="51"/>
  <c r="K35" i="51"/>
  <c r="K27" i="51"/>
  <c r="K34" i="51"/>
  <c r="K32" i="51"/>
  <c r="T27" i="51"/>
  <c r="K28" i="51"/>
  <c r="AD27" i="51"/>
  <c r="K29" i="49"/>
  <c r="K28" i="49"/>
  <c r="Y27" i="49"/>
  <c r="K32" i="49"/>
  <c r="K33" i="49"/>
  <c r="K31" i="49"/>
  <c r="K30" i="49"/>
  <c r="AD27" i="49"/>
  <c r="AS27" i="49"/>
  <c r="AS27" i="48"/>
  <c r="K32" i="48"/>
  <c r="K31" i="48"/>
  <c r="K30" i="48"/>
  <c r="K29" i="48"/>
  <c r="Y27" i="48"/>
  <c r="AS27" i="47"/>
  <c r="L27" i="47"/>
  <c r="K30" i="47"/>
  <c r="AX27" i="47"/>
  <c r="K29" i="47"/>
  <c r="K28" i="47"/>
  <c r="L27" i="46"/>
  <c r="AD27" i="46"/>
  <c r="AN27" i="46"/>
  <c r="T27" i="45"/>
  <c r="K29" i="45"/>
  <c r="Y27" i="45"/>
  <c r="AI27" i="45"/>
  <c r="Y49" i="44"/>
  <c r="K67" i="44"/>
  <c r="K66" i="44"/>
  <c r="K65" i="44"/>
  <c r="AD49" i="44"/>
  <c r="K64" i="44"/>
  <c r="K62" i="44"/>
  <c r="K82" i="44"/>
  <c r="AN49" i="44"/>
  <c r="N16" i="6"/>
  <c r="N18" i="6"/>
  <c r="T18" i="6"/>
  <c r="AD18" i="6"/>
  <c r="F15" i="6"/>
  <c r="F16" i="6"/>
  <c r="T16" i="6" s="1"/>
  <c r="F17" i="6"/>
  <c r="N17" i="6" s="1"/>
  <c r="F18" i="6"/>
  <c r="F19" i="6"/>
  <c r="N19" i="6" s="1"/>
  <c r="F20" i="6"/>
  <c r="J14" i="6"/>
  <c r="P14" i="6"/>
  <c r="R14" i="6"/>
  <c r="AB14" i="6"/>
  <c r="AF14" i="6"/>
  <c r="AH14" i="6"/>
  <c r="Z14" i="6"/>
  <c r="AJ14" i="6"/>
  <c r="AB19" i="7"/>
  <c r="F14" i="7"/>
  <c r="J19" i="7"/>
  <c r="L18" i="7"/>
  <c r="P19" i="7"/>
  <c r="R19" i="7"/>
  <c r="J16" i="7"/>
  <c r="L16" i="7"/>
  <c r="L19" i="7"/>
  <c r="P16" i="7"/>
  <c r="P20" i="7"/>
  <c r="R16" i="7"/>
  <c r="V16" i="7"/>
  <c r="V19" i="7"/>
  <c r="AF16" i="7"/>
  <c r="Z16" i="7"/>
  <c r="AB16" i="7"/>
  <c r="X16" i="7"/>
  <c r="X19" i="7"/>
  <c r="Z20" i="7"/>
  <c r="AF20" i="7"/>
  <c r="AH15" i="7"/>
  <c r="AJ16" i="7"/>
  <c r="AJ19" i="7"/>
  <c r="Z19" i="7"/>
  <c r="AF19" i="7"/>
  <c r="AH16" i="7"/>
  <c r="AH18" i="7"/>
  <c r="AH19" i="7"/>
  <c r="N20" i="6" l="1"/>
  <c r="H11" i="6"/>
  <c r="G14" i="6"/>
  <c r="P15" i="7"/>
  <c r="AD15" i="7"/>
  <c r="T20" i="7"/>
  <c r="AF15" i="7"/>
  <c r="R15" i="7"/>
  <c r="AB15" i="7"/>
  <c r="T15" i="7"/>
  <c r="Z15" i="7"/>
  <c r="J15" i="7"/>
  <c r="L15" i="7"/>
  <c r="AB20" i="7"/>
  <c r="X20" i="7"/>
  <c r="Z18" i="7"/>
  <c r="R18" i="7"/>
  <c r="X15" i="7"/>
  <c r="V20" i="7"/>
  <c r="L20" i="7"/>
  <c r="AJ20" i="7"/>
  <c r="J20" i="7"/>
  <c r="V18" i="7"/>
  <c r="N15" i="7"/>
  <c r="AD20" i="7"/>
  <c r="AJ15" i="7"/>
  <c r="V15" i="7"/>
  <c r="N20" i="7"/>
  <c r="AH20" i="7"/>
  <c r="R20" i="7"/>
  <c r="V17" i="7"/>
  <c r="AB17" i="7"/>
  <c r="L17" i="7"/>
  <c r="X17" i="7"/>
  <c r="AF18" i="7"/>
  <c r="AF17" i="7"/>
  <c r="AJ18" i="7"/>
  <c r="N18" i="7"/>
  <c r="N17" i="7"/>
  <c r="AD17" i="7"/>
  <c r="X18" i="7"/>
  <c r="R17" i="7"/>
  <c r="P18" i="7"/>
  <c r="P17" i="7"/>
  <c r="AD18" i="7"/>
  <c r="AH17" i="7"/>
  <c r="AB18" i="7"/>
  <c r="J17" i="7"/>
  <c r="Z17" i="7"/>
  <c r="T17" i="7"/>
  <c r="J18" i="7"/>
  <c r="AJ17" i="7"/>
  <c r="T18" i="7"/>
  <c r="L27" i="52"/>
  <c r="L27" i="51"/>
  <c r="L27" i="49"/>
  <c r="L27" i="48"/>
  <c r="L27" i="45"/>
  <c r="L49" i="44"/>
  <c r="AD20" i="6"/>
  <c r="T20" i="6"/>
  <c r="AL15" i="6"/>
  <c r="Z15" i="6"/>
  <c r="AJ15" i="6"/>
  <c r="AH15" i="6"/>
  <c r="X15" i="6"/>
  <c r="AF15" i="6"/>
  <c r="V15" i="6"/>
  <c r="AB15" i="6"/>
  <c r="R15" i="6"/>
  <c r="P15" i="6"/>
  <c r="L15" i="6"/>
  <c r="J15" i="6"/>
  <c r="AD19" i="6"/>
  <c r="T19" i="6"/>
  <c r="AD17" i="6"/>
  <c r="T17" i="6"/>
  <c r="AD16" i="6"/>
  <c r="AL20" i="6"/>
  <c r="X20" i="6"/>
  <c r="AJ20" i="6"/>
  <c r="AH20" i="6"/>
  <c r="V20" i="6"/>
  <c r="AF20" i="6"/>
  <c r="Z20" i="6"/>
  <c r="AB20" i="6"/>
  <c r="L20" i="6"/>
  <c r="R20" i="6"/>
  <c r="P20" i="6"/>
  <c r="J20" i="6"/>
  <c r="AL19" i="6"/>
  <c r="V19" i="6"/>
  <c r="AJ19" i="6"/>
  <c r="AH19" i="6"/>
  <c r="X19" i="6"/>
  <c r="AF19" i="6"/>
  <c r="Z19" i="6"/>
  <c r="AB19" i="6"/>
  <c r="R19" i="6"/>
  <c r="P19" i="6"/>
  <c r="L19" i="6"/>
  <c r="J19" i="6"/>
  <c r="AL18" i="6"/>
  <c r="AJ18" i="6"/>
  <c r="X18" i="6"/>
  <c r="V18" i="6"/>
  <c r="AH18" i="6"/>
  <c r="AF18" i="6"/>
  <c r="AB18" i="6"/>
  <c r="Z18" i="6"/>
  <c r="L18" i="6"/>
  <c r="R18" i="6"/>
  <c r="P18" i="6"/>
  <c r="J18" i="6"/>
  <c r="AD15" i="6"/>
  <c r="AL17" i="6"/>
  <c r="AJ17" i="6"/>
  <c r="AH17" i="6"/>
  <c r="Z17" i="6"/>
  <c r="X17" i="6"/>
  <c r="AF17" i="6"/>
  <c r="AB17" i="6"/>
  <c r="V17" i="6"/>
  <c r="R17" i="6"/>
  <c r="L17" i="6"/>
  <c r="P17" i="6"/>
  <c r="J17" i="6"/>
  <c r="T15" i="6"/>
  <c r="AL16" i="6"/>
  <c r="AJ16" i="6"/>
  <c r="AH16" i="6"/>
  <c r="X16" i="6"/>
  <c r="AF16" i="6"/>
  <c r="Z16" i="6"/>
  <c r="AB16" i="6"/>
  <c r="R16" i="6"/>
  <c r="P16" i="6"/>
  <c r="L16" i="6"/>
  <c r="V16" i="6"/>
  <c r="J16" i="6"/>
  <c r="N15" i="6"/>
  <c r="AL14" i="7"/>
  <c r="AH14" i="7"/>
  <c r="AJ14" i="7"/>
  <c r="X14" i="7"/>
  <c r="AF14" i="7"/>
  <c r="AB14" i="7"/>
  <c r="Z14" i="7"/>
  <c r="J14" i="7"/>
  <c r="V14" i="7"/>
  <c r="R14" i="7"/>
  <c r="P14" i="7"/>
  <c r="L14" i="7"/>
  <c r="G14" i="7"/>
  <c r="N14" i="7"/>
  <c r="AD14" i="7"/>
  <c r="T14" i="7"/>
  <c r="B10" i="41" l="1"/>
  <c r="B9" i="41"/>
  <c r="K30" i="62" l="1"/>
  <c r="K22" i="62"/>
  <c r="K14" i="62"/>
  <c r="K30" i="20"/>
  <c r="K38" i="20"/>
  <c r="K30" i="19"/>
  <c r="K14" i="19"/>
  <c r="K22" i="19"/>
  <c r="C9" i="41"/>
  <c r="S24" i="63"/>
  <c r="V24" i="63" s="1"/>
  <c r="R24" i="63"/>
  <c r="P24" i="63"/>
  <c r="O24" i="63"/>
  <c r="N24" i="63"/>
  <c r="L24" i="63"/>
  <c r="J24" i="63"/>
  <c r="F24" i="63"/>
  <c r="R23" i="63"/>
  <c r="O23" i="63"/>
  <c r="S23" i="63" s="1"/>
  <c r="N23" i="63"/>
  <c r="L23" i="63"/>
  <c r="J23" i="63"/>
  <c r="F23" i="63"/>
  <c r="R22" i="63"/>
  <c r="O22" i="63"/>
  <c r="S22" i="63" s="1"/>
  <c r="N22" i="63"/>
  <c r="L22" i="63"/>
  <c r="J22" i="63"/>
  <c r="F22" i="63"/>
  <c r="R21" i="63"/>
  <c r="O21" i="63"/>
  <c r="P21" i="63" s="1"/>
  <c r="N21" i="63"/>
  <c r="L21" i="63"/>
  <c r="J21" i="63"/>
  <c r="F21" i="63"/>
  <c r="R20" i="63"/>
  <c r="O20" i="63"/>
  <c r="P20" i="63" s="1"/>
  <c r="N20" i="63"/>
  <c r="L20" i="63"/>
  <c r="J20" i="63"/>
  <c r="F20" i="63"/>
  <c r="R19" i="63"/>
  <c r="O19" i="63"/>
  <c r="S19" i="63" s="1"/>
  <c r="N19" i="63"/>
  <c r="L19" i="63"/>
  <c r="J19" i="63"/>
  <c r="F19" i="63"/>
  <c r="R18" i="63"/>
  <c r="O18" i="63"/>
  <c r="P18" i="63" s="1"/>
  <c r="N18" i="63"/>
  <c r="L18" i="63"/>
  <c r="J18" i="63"/>
  <c r="F18" i="63"/>
  <c r="R17" i="63"/>
  <c r="O17" i="63"/>
  <c r="S17" i="63" s="1"/>
  <c r="N17" i="63"/>
  <c r="L17" i="63"/>
  <c r="J17" i="63"/>
  <c r="F17" i="63"/>
  <c r="V16" i="63"/>
  <c r="W16" i="63" s="1"/>
  <c r="U16" i="63"/>
  <c r="S16" i="63"/>
  <c r="T16" i="63" s="1"/>
  <c r="R16" i="63"/>
  <c r="O16" i="63"/>
  <c r="P16" i="63" s="1"/>
  <c r="N16" i="63"/>
  <c r="L16" i="63"/>
  <c r="J16" i="63"/>
  <c r="F16" i="63"/>
  <c r="R15" i="63"/>
  <c r="O15" i="63"/>
  <c r="S15" i="63" s="1"/>
  <c r="N15" i="63"/>
  <c r="L15" i="63"/>
  <c r="J15" i="63"/>
  <c r="F15" i="63"/>
  <c r="R14" i="63"/>
  <c r="O14" i="63"/>
  <c r="S14" i="63" s="1"/>
  <c r="N14" i="63"/>
  <c r="L14" i="63"/>
  <c r="J14" i="63"/>
  <c r="F14" i="63"/>
  <c r="R13" i="63"/>
  <c r="O13" i="63"/>
  <c r="S13" i="63" s="1"/>
  <c r="N13" i="63"/>
  <c r="L13" i="63"/>
  <c r="J13" i="63"/>
  <c r="F13" i="63"/>
  <c r="R12" i="63"/>
  <c r="O12" i="63"/>
  <c r="S12" i="63" s="1"/>
  <c r="N12" i="63"/>
  <c r="L12" i="63"/>
  <c r="J12" i="63"/>
  <c r="F12" i="63"/>
  <c r="R11" i="63"/>
  <c r="O11" i="63"/>
  <c r="P11" i="63" s="1"/>
  <c r="N11" i="63"/>
  <c r="L11" i="63"/>
  <c r="J11" i="63"/>
  <c r="F11" i="63"/>
  <c r="S10" i="63"/>
  <c r="U10" i="63" s="1"/>
  <c r="R10" i="63"/>
  <c r="P10" i="63"/>
  <c r="O10" i="63"/>
  <c r="N10" i="63"/>
  <c r="L10" i="63"/>
  <c r="J10" i="63"/>
  <c r="F10" i="63"/>
  <c r="R9" i="63"/>
  <c r="O9" i="63"/>
  <c r="P9" i="63" s="1"/>
  <c r="N9" i="63"/>
  <c r="L9" i="63"/>
  <c r="J9" i="63"/>
  <c r="F9" i="63"/>
  <c r="R8" i="63"/>
  <c r="O8" i="63"/>
  <c r="P8" i="63" s="1"/>
  <c r="N8" i="63"/>
  <c r="L8" i="63"/>
  <c r="J8" i="63"/>
  <c r="F8" i="63"/>
  <c r="S7" i="63"/>
  <c r="U7" i="63" s="1"/>
  <c r="R7" i="63"/>
  <c r="O7" i="63"/>
  <c r="P7" i="63" s="1"/>
  <c r="N7" i="63"/>
  <c r="L7" i="63"/>
  <c r="J7" i="63"/>
  <c r="F7" i="63"/>
  <c r="R6" i="63"/>
  <c r="O6" i="63"/>
  <c r="P6" i="63" s="1"/>
  <c r="N6" i="63"/>
  <c r="L6" i="63"/>
  <c r="J6" i="63"/>
  <c r="F6" i="63"/>
  <c r="R5" i="63"/>
  <c r="O5" i="63"/>
  <c r="S5" i="63" s="1"/>
  <c r="N5" i="63"/>
  <c r="L5" i="63"/>
  <c r="J5" i="63"/>
  <c r="F5" i="63"/>
  <c r="S24" i="66"/>
  <c r="R24" i="66"/>
  <c r="O24" i="66"/>
  <c r="P24" i="66" s="1"/>
  <c r="N24" i="66"/>
  <c r="L24" i="66"/>
  <c r="J24" i="66"/>
  <c r="T23" i="66"/>
  <c r="V23" i="66" s="1"/>
  <c r="S23" i="66"/>
  <c r="R23" i="66"/>
  <c r="P23" i="66"/>
  <c r="O23" i="66"/>
  <c r="N23" i="66"/>
  <c r="L23" i="66"/>
  <c r="J23" i="66"/>
  <c r="S22" i="66"/>
  <c r="R22" i="66"/>
  <c r="O22" i="66"/>
  <c r="T22" i="66" s="1"/>
  <c r="N22" i="66"/>
  <c r="L22" i="66"/>
  <c r="J22" i="66"/>
  <c r="S21" i="66"/>
  <c r="R21" i="66"/>
  <c r="O21" i="66"/>
  <c r="P21" i="66" s="1"/>
  <c r="N21" i="66"/>
  <c r="L21" i="66"/>
  <c r="J21" i="66"/>
  <c r="T20" i="66"/>
  <c r="V20" i="66" s="1"/>
  <c r="S20" i="66"/>
  <c r="R20" i="66"/>
  <c r="P20" i="66"/>
  <c r="O20" i="66"/>
  <c r="N20" i="66"/>
  <c r="L20" i="66"/>
  <c r="J20" i="66"/>
  <c r="S19" i="66"/>
  <c r="R19" i="66"/>
  <c r="O19" i="66"/>
  <c r="T19" i="66" s="1"/>
  <c r="N19" i="66"/>
  <c r="L19" i="66"/>
  <c r="J19" i="66"/>
  <c r="S18" i="66"/>
  <c r="R18" i="66"/>
  <c r="O18" i="66"/>
  <c r="T18" i="66" s="1"/>
  <c r="N18" i="66"/>
  <c r="L18" i="66"/>
  <c r="J18" i="66"/>
  <c r="S17" i="66"/>
  <c r="R17" i="66"/>
  <c r="O17" i="66"/>
  <c r="T17" i="66" s="1"/>
  <c r="N17" i="66"/>
  <c r="L17" i="66"/>
  <c r="J17" i="66"/>
  <c r="S16" i="66"/>
  <c r="R16" i="66"/>
  <c r="O16" i="66"/>
  <c r="P16" i="66" s="1"/>
  <c r="N16" i="66"/>
  <c r="L16" i="66"/>
  <c r="J16" i="66"/>
  <c r="S15" i="66"/>
  <c r="R15" i="66"/>
  <c r="O15" i="66"/>
  <c r="T15" i="66" s="1"/>
  <c r="N15" i="66"/>
  <c r="L15" i="66"/>
  <c r="J15" i="66"/>
  <c r="S14" i="66"/>
  <c r="R14" i="66"/>
  <c r="O14" i="66"/>
  <c r="T14" i="66" s="1"/>
  <c r="N14" i="66"/>
  <c r="L14" i="66"/>
  <c r="J14" i="66"/>
  <c r="S13" i="66"/>
  <c r="R13" i="66"/>
  <c r="O13" i="66"/>
  <c r="P13" i="66" s="1"/>
  <c r="N13" i="66"/>
  <c r="L13" i="66"/>
  <c r="J13" i="66"/>
  <c r="S12" i="66"/>
  <c r="R12" i="66"/>
  <c r="O12" i="66"/>
  <c r="T12" i="66" s="1"/>
  <c r="N12" i="66"/>
  <c r="L12" i="66"/>
  <c r="J12" i="66"/>
  <c r="S11" i="66"/>
  <c r="R11" i="66"/>
  <c r="O11" i="66"/>
  <c r="P11" i="66" s="1"/>
  <c r="N11" i="66"/>
  <c r="L11" i="66"/>
  <c r="J11" i="66"/>
  <c r="S10" i="66"/>
  <c r="R10" i="66"/>
  <c r="O10" i="66"/>
  <c r="P10" i="66" s="1"/>
  <c r="N10" i="66"/>
  <c r="L10" i="66"/>
  <c r="J10" i="66"/>
  <c r="T9" i="66"/>
  <c r="F9" i="66" s="1"/>
  <c r="S9" i="66"/>
  <c r="R9" i="66"/>
  <c r="P9" i="66"/>
  <c r="O9" i="66"/>
  <c r="N9" i="66"/>
  <c r="L9" i="66"/>
  <c r="J9" i="66"/>
  <c r="S8" i="66"/>
  <c r="R8" i="66"/>
  <c r="O8" i="66"/>
  <c r="T8" i="66" s="1"/>
  <c r="N8" i="66"/>
  <c r="L8" i="66"/>
  <c r="J8" i="66"/>
  <c r="S7" i="66"/>
  <c r="R7" i="66"/>
  <c r="O7" i="66"/>
  <c r="T7" i="66" s="1"/>
  <c r="N7" i="66"/>
  <c r="L7" i="66"/>
  <c r="J7" i="66"/>
  <c r="T6" i="66"/>
  <c r="F6" i="66" s="1"/>
  <c r="S6" i="66"/>
  <c r="R6" i="66"/>
  <c r="O6" i="66"/>
  <c r="P6" i="66" s="1"/>
  <c r="N6" i="66"/>
  <c r="L6" i="66"/>
  <c r="J6" i="66"/>
  <c r="S5" i="66"/>
  <c r="R5" i="66"/>
  <c r="O5" i="66"/>
  <c r="P5" i="66" s="1"/>
  <c r="N5" i="66"/>
  <c r="L5" i="66"/>
  <c r="J5" i="66"/>
  <c r="B60" i="25"/>
  <c r="A60" i="25"/>
  <c r="T9" i="3"/>
  <c r="E10" i="39" s="1"/>
  <c r="N9" i="3"/>
  <c r="E8" i="39" s="1"/>
  <c r="K9" i="3"/>
  <c r="E7" i="39" s="1"/>
  <c r="H9" i="3"/>
  <c r="E6" i="39" s="1"/>
  <c r="M57" i="62"/>
  <c r="M56" i="62"/>
  <c r="M55" i="62"/>
  <c r="M54" i="62"/>
  <c r="M53" i="62"/>
  <c r="M49" i="62"/>
  <c r="M48" i="62"/>
  <c r="M47" i="62"/>
  <c r="M46" i="62"/>
  <c r="M45" i="62"/>
  <c r="M58" i="62" l="1"/>
  <c r="K58" i="62" s="1"/>
  <c r="M42" i="62"/>
  <c r="K42" i="62" s="1"/>
  <c r="M50" i="62"/>
  <c r="K50" i="62" s="1"/>
  <c r="Q9" i="3"/>
  <c r="E9" i="39" s="1"/>
  <c r="W9" i="3"/>
  <c r="E11" i="39" s="1"/>
  <c r="V22" i="63"/>
  <c r="U22" i="63"/>
  <c r="T22" i="63"/>
  <c r="U19" i="63"/>
  <c r="T19" i="63"/>
  <c r="V19" i="63"/>
  <c r="V23" i="63"/>
  <c r="T23" i="63"/>
  <c r="U23" i="63"/>
  <c r="V5" i="63"/>
  <c r="U5" i="63"/>
  <c r="T5" i="63"/>
  <c r="T12" i="63"/>
  <c r="V12" i="63"/>
  <c r="U12" i="63"/>
  <c r="V13" i="63"/>
  <c r="U13" i="63"/>
  <c r="T13" i="63"/>
  <c r="U14" i="63"/>
  <c r="T14" i="63"/>
  <c r="V14" i="63"/>
  <c r="U17" i="63"/>
  <c r="T17" i="63"/>
  <c r="V17" i="63"/>
  <c r="V15" i="63"/>
  <c r="U15" i="63"/>
  <c r="T15" i="63"/>
  <c r="X24" i="63"/>
  <c r="W24" i="63"/>
  <c r="V10" i="63"/>
  <c r="X16" i="63"/>
  <c r="S21" i="63"/>
  <c r="P23" i="63"/>
  <c r="S6" i="63"/>
  <c r="P17" i="63"/>
  <c r="S20" i="63"/>
  <c r="P5" i="63"/>
  <c r="S11" i="63"/>
  <c r="S8" i="63"/>
  <c r="P22" i="63"/>
  <c r="T24" i="63"/>
  <c r="V7" i="63"/>
  <c r="P12" i="63"/>
  <c r="S18" i="63"/>
  <c r="U24" i="63"/>
  <c r="S9" i="63"/>
  <c r="P19" i="63"/>
  <c r="P13" i="63"/>
  <c r="T10" i="63"/>
  <c r="T7" i="63"/>
  <c r="P15" i="63"/>
  <c r="P14" i="63"/>
  <c r="V17" i="66"/>
  <c r="F17" i="66"/>
  <c r="U17" i="66"/>
  <c r="U14" i="66"/>
  <c r="F14" i="66"/>
  <c r="V14" i="66"/>
  <c r="X20" i="66"/>
  <c r="W20" i="66"/>
  <c r="F8" i="66"/>
  <c r="V8" i="66"/>
  <c r="U8" i="66"/>
  <c r="V18" i="66"/>
  <c r="F18" i="66"/>
  <c r="U18" i="66"/>
  <c r="V12" i="66"/>
  <c r="F12" i="66"/>
  <c r="U12" i="66"/>
  <c r="V19" i="66"/>
  <c r="F19" i="66"/>
  <c r="U19" i="66"/>
  <c r="V22" i="66"/>
  <c r="F22" i="66"/>
  <c r="U22" i="66"/>
  <c r="F7" i="66"/>
  <c r="V7" i="66"/>
  <c r="U7" i="66"/>
  <c r="X23" i="66"/>
  <c r="W23" i="66"/>
  <c r="U15" i="66"/>
  <c r="F15" i="66"/>
  <c r="V15" i="66"/>
  <c r="U6" i="66"/>
  <c r="V9" i="66"/>
  <c r="P14" i="66"/>
  <c r="P8" i="66"/>
  <c r="U20" i="66"/>
  <c r="T11" i="66"/>
  <c r="P22" i="66"/>
  <c r="P19" i="66"/>
  <c r="T5" i="66"/>
  <c r="P7" i="66"/>
  <c r="T16" i="66"/>
  <c r="T13" i="66"/>
  <c r="T10" i="66"/>
  <c r="P18" i="66"/>
  <c r="F23" i="66"/>
  <c r="P15" i="66"/>
  <c r="F20" i="66"/>
  <c r="T24" i="66"/>
  <c r="P12" i="66"/>
  <c r="T21" i="66"/>
  <c r="U9" i="66"/>
  <c r="P17" i="66"/>
  <c r="U23" i="66"/>
  <c r="V6" i="66"/>
  <c r="M57" i="19"/>
  <c r="M56" i="19"/>
  <c r="M55" i="19"/>
  <c r="M54" i="19"/>
  <c r="M53" i="19"/>
  <c r="M58" i="19" s="1"/>
  <c r="K58" i="19" s="1"/>
  <c r="M49" i="19"/>
  <c r="M48" i="19"/>
  <c r="M47" i="19"/>
  <c r="M46" i="19"/>
  <c r="M45" i="19"/>
  <c r="M50" i="19" s="1"/>
  <c r="M41" i="19"/>
  <c r="M40" i="19"/>
  <c r="M39" i="19"/>
  <c r="M38" i="19"/>
  <c r="M42" i="19" s="1"/>
  <c r="K42" i="19" s="1"/>
  <c r="M37" i="19"/>
  <c r="K70" i="41"/>
  <c r="J70" i="41"/>
  <c r="I70" i="41"/>
  <c r="H70" i="41"/>
  <c r="G70" i="41"/>
  <c r="F70" i="41"/>
  <c r="K69" i="41"/>
  <c r="J69" i="41"/>
  <c r="H69" i="41"/>
  <c r="G69" i="41"/>
  <c r="F69" i="41"/>
  <c r="M65" i="41"/>
  <c r="L65" i="41"/>
  <c r="J65" i="41"/>
  <c r="I65" i="41"/>
  <c r="H65" i="41"/>
  <c r="G65" i="41"/>
  <c r="F65" i="41"/>
  <c r="B65" i="41"/>
  <c r="M64" i="41"/>
  <c r="L64" i="41"/>
  <c r="K64" i="41"/>
  <c r="J64" i="41"/>
  <c r="I64" i="41"/>
  <c r="H64" i="41"/>
  <c r="G64" i="41"/>
  <c r="F64" i="41"/>
  <c r="B64" i="41"/>
  <c r="M71" i="20"/>
  <c r="M70" i="20"/>
  <c r="M69" i="20"/>
  <c r="M74" i="20" s="1"/>
  <c r="M65" i="20"/>
  <c r="M64" i="20"/>
  <c r="M63" i="20"/>
  <c r="M62" i="20"/>
  <c r="M61" i="20"/>
  <c r="M57" i="20"/>
  <c r="M56" i="20"/>
  <c r="M55" i="20"/>
  <c r="M54" i="20"/>
  <c r="M53" i="20"/>
  <c r="M49" i="20"/>
  <c r="M48" i="20"/>
  <c r="M47" i="20"/>
  <c r="M46" i="20"/>
  <c r="M45" i="20"/>
  <c r="M50" i="20" s="1"/>
  <c r="M66" i="20" l="1"/>
  <c r="K66" i="20" s="1"/>
  <c r="M58" i="20"/>
  <c r="K58" i="20" s="1"/>
  <c r="X12" i="63"/>
  <c r="W12" i="63"/>
  <c r="V11" i="63"/>
  <c r="U11" i="63"/>
  <c r="T11" i="63"/>
  <c r="V20" i="63"/>
  <c r="T20" i="63"/>
  <c r="U20" i="63"/>
  <c r="W5" i="63"/>
  <c r="X5" i="63"/>
  <c r="X23" i="63"/>
  <c r="W23" i="63"/>
  <c r="V9" i="63"/>
  <c r="T9" i="63"/>
  <c r="U9" i="63"/>
  <c r="V18" i="63"/>
  <c r="U18" i="63"/>
  <c r="T18" i="63"/>
  <c r="X17" i="63"/>
  <c r="W17" i="63"/>
  <c r="X7" i="63"/>
  <c r="W7" i="63"/>
  <c r="V8" i="63"/>
  <c r="U8" i="63"/>
  <c r="T8" i="63"/>
  <c r="W13" i="63"/>
  <c r="X13" i="63"/>
  <c r="U6" i="63"/>
  <c r="V6" i="63"/>
  <c r="T6" i="63"/>
  <c r="U21" i="63"/>
  <c r="V21" i="63"/>
  <c r="T21" i="63"/>
  <c r="X10" i="63"/>
  <c r="W10" i="63"/>
  <c r="X19" i="63"/>
  <c r="W19" i="63"/>
  <c r="W15" i="63"/>
  <c r="X15" i="63"/>
  <c r="X14" i="63"/>
  <c r="W14" i="63"/>
  <c r="X22" i="63"/>
  <c r="W22" i="63"/>
  <c r="V5" i="66"/>
  <c r="U5" i="66"/>
  <c r="F5" i="66"/>
  <c r="X19" i="66"/>
  <c r="W19" i="66"/>
  <c r="F11" i="66"/>
  <c r="U11" i="66"/>
  <c r="V11" i="66"/>
  <c r="X6" i="66"/>
  <c r="W6" i="66"/>
  <c r="W12" i="66"/>
  <c r="X12" i="66"/>
  <c r="X8" i="66"/>
  <c r="W8" i="66"/>
  <c r="V21" i="66"/>
  <c r="U21" i="66"/>
  <c r="F21" i="66"/>
  <c r="X18" i="66"/>
  <c r="W18" i="66"/>
  <c r="X15" i="66"/>
  <c r="W15" i="66"/>
  <c r="F10" i="66"/>
  <c r="U10" i="66"/>
  <c r="V10" i="66"/>
  <c r="V13" i="66"/>
  <c r="U13" i="66"/>
  <c r="F13" i="66"/>
  <c r="X9" i="66"/>
  <c r="W9" i="66"/>
  <c r="F24" i="66"/>
  <c r="V24" i="66"/>
  <c r="U24" i="66"/>
  <c r="X14" i="66"/>
  <c r="W14" i="66"/>
  <c r="X7" i="66"/>
  <c r="W7" i="66"/>
  <c r="V16" i="66"/>
  <c r="F16" i="66"/>
  <c r="U16" i="66"/>
  <c r="X22" i="66"/>
  <c r="W22" i="66"/>
  <c r="W17" i="66"/>
  <c r="X17" i="66"/>
  <c r="B10" i="40"/>
  <c r="H23" i="13"/>
  <c r="H22" i="13"/>
  <c r="H21" i="13"/>
  <c r="H20" i="13"/>
  <c r="H18" i="13"/>
  <c r="H17" i="13"/>
  <c r="B23" i="13"/>
  <c r="B22" i="13"/>
  <c r="B21" i="13"/>
  <c r="B20" i="13"/>
  <c r="B18" i="13"/>
  <c r="B17" i="13"/>
  <c r="I11" i="13"/>
  <c r="I10" i="13"/>
  <c r="I9" i="13"/>
  <c r="I8" i="13"/>
  <c r="I7" i="13"/>
  <c r="I6" i="13"/>
  <c r="E6" i="13"/>
  <c r="B11" i="13"/>
  <c r="B10" i="13"/>
  <c r="B9" i="13"/>
  <c r="B8" i="13"/>
  <c r="B7" i="13"/>
  <c r="B6" i="13"/>
  <c r="B5" i="40" s="1"/>
  <c r="X18" i="63" l="1"/>
  <c r="W18" i="63"/>
  <c r="X11" i="63"/>
  <c r="W11" i="63"/>
  <c r="W9" i="63"/>
  <c r="X9" i="63"/>
  <c r="W21" i="63"/>
  <c r="X21" i="63"/>
  <c r="X6" i="63"/>
  <c r="W6" i="63"/>
  <c r="W20" i="63"/>
  <c r="X20" i="63"/>
  <c r="X8" i="63"/>
  <c r="W8" i="63"/>
  <c r="W5" i="66"/>
  <c r="X5" i="66"/>
  <c r="W16" i="66"/>
  <c r="X16" i="66"/>
  <c r="W21" i="66"/>
  <c r="X21" i="66"/>
  <c r="X24" i="66"/>
  <c r="W24" i="66"/>
  <c r="X11" i="66"/>
  <c r="W11" i="66"/>
  <c r="X13" i="66"/>
  <c r="W13" i="66"/>
  <c r="X10" i="66"/>
  <c r="W10" i="66"/>
  <c r="B34" i="25"/>
  <c r="A34" i="25"/>
  <c r="AW7" i="52"/>
  <c r="AC11" i="52"/>
  <c r="AC10" i="52"/>
  <c r="AC9" i="52"/>
  <c r="AC8" i="52"/>
  <c r="AC7" i="52"/>
  <c r="S9" i="52"/>
  <c r="AV11" i="52"/>
  <c r="AW11" i="52" s="1"/>
  <c r="AQ11" i="52"/>
  <c r="AR11" i="52" s="1"/>
  <c r="AL11" i="52"/>
  <c r="AM11" i="52" s="1"/>
  <c r="AG11" i="52"/>
  <c r="AH9" i="52" s="1"/>
  <c r="AB11" i="52"/>
  <c r="W11" i="52"/>
  <c r="X11" i="52" s="1"/>
  <c r="R11" i="52"/>
  <c r="S11" i="52" s="1"/>
  <c r="J11" i="52"/>
  <c r="I11" i="52"/>
  <c r="G11" i="52"/>
  <c r="AV10" i="52"/>
  <c r="AQ10" i="52"/>
  <c r="AL10" i="52"/>
  <c r="AG10" i="52"/>
  <c r="AB10" i="52"/>
  <c r="W10" i="52"/>
  <c r="X10" i="52" s="1"/>
  <c r="R10" i="52"/>
  <c r="S10" i="52" s="1"/>
  <c r="K10" i="52"/>
  <c r="J10" i="52"/>
  <c r="I10" i="52"/>
  <c r="G10" i="52"/>
  <c r="AV9" i="52"/>
  <c r="AQ9" i="52"/>
  <c r="AR7" i="52" s="1"/>
  <c r="AL9" i="52"/>
  <c r="AG9" i="52"/>
  <c r="AB9" i="52"/>
  <c r="W9" i="52"/>
  <c r="X9" i="52" s="1"/>
  <c r="R9" i="52"/>
  <c r="J9" i="52"/>
  <c r="I9" i="52"/>
  <c r="G9" i="52"/>
  <c r="AV8" i="52"/>
  <c r="AQ8" i="52"/>
  <c r="AR8" i="52" s="1"/>
  <c r="AL8" i="52"/>
  <c r="AM8" i="52" s="1"/>
  <c r="AG8" i="52"/>
  <c r="AH10" i="52" s="1"/>
  <c r="AB8" i="52"/>
  <c r="W8" i="52"/>
  <c r="X8" i="52" s="1"/>
  <c r="R8" i="52"/>
  <c r="S8" i="52" s="1"/>
  <c r="J8" i="52"/>
  <c r="I8" i="52"/>
  <c r="G8" i="52"/>
  <c r="AV7" i="52"/>
  <c r="AX7" i="52" s="1"/>
  <c r="AS7" i="52"/>
  <c r="AQ7" i="52"/>
  <c r="AL7" i="52"/>
  <c r="AM7" i="52" s="1"/>
  <c r="AG7" i="52"/>
  <c r="AB7" i="52"/>
  <c r="W7" i="52"/>
  <c r="X7" i="52" s="1"/>
  <c r="R7" i="52"/>
  <c r="S7" i="52" s="1"/>
  <c r="J7" i="52"/>
  <c r="I7" i="52"/>
  <c r="G7" i="52"/>
  <c r="AR13" i="51"/>
  <c r="AH9" i="51"/>
  <c r="X10" i="51"/>
  <c r="X9" i="51"/>
  <c r="X8" i="51"/>
  <c r="X7" i="51"/>
  <c r="S8" i="51"/>
  <c r="S9" i="51"/>
  <c r="AV14" i="51"/>
  <c r="AW14" i="51" s="1"/>
  <c r="AQ14" i="51"/>
  <c r="AL14" i="51"/>
  <c r="AM14" i="51" s="1"/>
  <c r="AG14" i="51"/>
  <c r="AH10" i="51" s="1"/>
  <c r="AB14" i="51"/>
  <c r="AC14" i="51" s="1"/>
  <c r="W14" i="51"/>
  <c r="R14" i="51"/>
  <c r="J14" i="51"/>
  <c r="I14" i="51"/>
  <c r="G14" i="51"/>
  <c r="AV13" i="51"/>
  <c r="AQ13" i="51"/>
  <c r="AL13" i="51"/>
  <c r="AM13" i="51" s="1"/>
  <c r="AG13" i="51"/>
  <c r="AB13" i="51"/>
  <c r="AC13" i="51" s="1"/>
  <c r="W13" i="51"/>
  <c r="X13" i="51" s="1"/>
  <c r="R13" i="51"/>
  <c r="S13" i="51" s="1"/>
  <c r="K13" i="51"/>
  <c r="J13" i="51"/>
  <c r="I13" i="51"/>
  <c r="G13" i="51"/>
  <c r="AV12" i="51"/>
  <c r="AW12" i="51" s="1"/>
  <c r="AQ12" i="51"/>
  <c r="AR12" i="51" s="1"/>
  <c r="AL12" i="51"/>
  <c r="AM12" i="51" s="1"/>
  <c r="AG12" i="51"/>
  <c r="AB12" i="51"/>
  <c r="W12" i="51"/>
  <c r="R12" i="51"/>
  <c r="S12" i="51" s="1"/>
  <c r="J12" i="51"/>
  <c r="I12" i="51"/>
  <c r="G12" i="51"/>
  <c r="AV11" i="51"/>
  <c r="AQ11" i="51"/>
  <c r="AR11" i="51" s="1"/>
  <c r="AL11" i="51"/>
  <c r="AM11" i="51" s="1"/>
  <c r="AG11" i="51"/>
  <c r="AB11" i="51"/>
  <c r="AC11" i="51" s="1"/>
  <c r="W11" i="51"/>
  <c r="R11" i="51"/>
  <c r="S11" i="51" s="1"/>
  <c r="J11" i="51"/>
  <c r="I11" i="51"/>
  <c r="G11" i="51"/>
  <c r="AV10" i="51"/>
  <c r="AW10" i="51" s="1"/>
  <c r="AQ10" i="51"/>
  <c r="AR10" i="51" s="1"/>
  <c r="AL10" i="51"/>
  <c r="AM10" i="51" s="1"/>
  <c r="AG10" i="51"/>
  <c r="AB10" i="51"/>
  <c r="AC10" i="51" s="1"/>
  <c r="W10" i="51"/>
  <c r="R10" i="51"/>
  <c r="S10" i="51" s="1"/>
  <c r="J10" i="51"/>
  <c r="I10" i="51"/>
  <c r="G10" i="51"/>
  <c r="AV9" i="51"/>
  <c r="AQ9" i="51"/>
  <c r="AR9" i="51" s="1"/>
  <c r="AL9" i="51"/>
  <c r="AG9" i="51"/>
  <c r="AB9" i="51"/>
  <c r="AC9" i="51" s="1"/>
  <c r="W9" i="51"/>
  <c r="R9" i="51"/>
  <c r="J9" i="51"/>
  <c r="I9" i="51"/>
  <c r="G9" i="51"/>
  <c r="AV8" i="51"/>
  <c r="AW13" i="51" s="1"/>
  <c r="AQ8" i="51"/>
  <c r="AR8" i="51" s="1"/>
  <c r="AL8" i="51"/>
  <c r="AM9" i="51" s="1"/>
  <c r="AG8" i="51"/>
  <c r="AH8" i="51" s="1"/>
  <c r="AB8" i="51"/>
  <c r="W8" i="51"/>
  <c r="R8" i="51"/>
  <c r="J8" i="51"/>
  <c r="I8" i="51"/>
  <c r="G8" i="51"/>
  <c r="AV7" i="51"/>
  <c r="AQ7" i="51"/>
  <c r="AL7" i="51"/>
  <c r="AN7" i="51" s="1"/>
  <c r="AG7" i="51"/>
  <c r="AH7" i="51" s="1"/>
  <c r="AB7" i="51"/>
  <c r="AC12" i="51" s="1"/>
  <c r="W7" i="51"/>
  <c r="Y7" i="51" s="1"/>
  <c r="R7" i="51"/>
  <c r="T7" i="51" s="1"/>
  <c r="J7" i="51"/>
  <c r="I7" i="51"/>
  <c r="G7" i="51"/>
  <c r="H7" i="51" s="1"/>
  <c r="U2" i="50"/>
  <c r="Z2" i="50" s="1"/>
  <c r="AE2" i="50" s="1"/>
  <c r="AJ2" i="50" s="1"/>
  <c r="AO2" i="50" s="1"/>
  <c r="AT2" i="50" s="1"/>
  <c r="AR7" i="49"/>
  <c r="AM15" i="49"/>
  <c r="AM14" i="49"/>
  <c r="AV15" i="49"/>
  <c r="AW15" i="49" s="1"/>
  <c r="AQ15" i="49"/>
  <c r="AR15" i="49" s="1"/>
  <c r="AL15" i="49"/>
  <c r="AG15" i="49"/>
  <c r="AH15" i="49" s="1"/>
  <c r="AB15" i="49"/>
  <c r="AC15" i="49" s="1"/>
  <c r="W15" i="49"/>
  <c r="X15" i="49" s="1"/>
  <c r="R15" i="49"/>
  <c r="S15" i="49" s="1"/>
  <c r="J15" i="49"/>
  <c r="I15" i="49"/>
  <c r="G15" i="49"/>
  <c r="AV14" i="49"/>
  <c r="AQ14" i="49"/>
  <c r="AL14" i="49"/>
  <c r="AG14" i="49"/>
  <c r="AH14" i="49" s="1"/>
  <c r="AB14" i="49"/>
  <c r="W14" i="49"/>
  <c r="R14" i="49"/>
  <c r="J14" i="49"/>
  <c r="I14" i="49"/>
  <c r="G14" i="49"/>
  <c r="AV13" i="49"/>
  <c r="AW13" i="49" s="1"/>
  <c r="AQ13" i="49"/>
  <c r="AR13" i="49" s="1"/>
  <c r="AL13" i="49"/>
  <c r="AM13" i="49" s="1"/>
  <c r="AG13" i="49"/>
  <c r="AH13" i="49" s="1"/>
  <c r="AB13" i="49"/>
  <c r="W13" i="49"/>
  <c r="X13" i="49" s="1"/>
  <c r="R13" i="49"/>
  <c r="S13" i="49" s="1"/>
  <c r="J13" i="49"/>
  <c r="I13" i="49"/>
  <c r="G13" i="49"/>
  <c r="AV12" i="49"/>
  <c r="AW12" i="49" s="1"/>
  <c r="AQ12" i="49"/>
  <c r="AL12" i="49"/>
  <c r="AG12" i="49"/>
  <c r="AH12" i="49" s="1"/>
  <c r="AB12" i="49"/>
  <c r="W12" i="49"/>
  <c r="X12" i="49" s="1"/>
  <c r="R12" i="49"/>
  <c r="J12" i="49"/>
  <c r="I12" i="49"/>
  <c r="G12" i="49"/>
  <c r="AV11" i="49"/>
  <c r="AW11" i="49" s="1"/>
  <c r="AQ11" i="49"/>
  <c r="AR11" i="49" s="1"/>
  <c r="AL11" i="49"/>
  <c r="AM11" i="49" s="1"/>
  <c r="AG11" i="49"/>
  <c r="AH11" i="49" s="1"/>
  <c r="AB11" i="49"/>
  <c r="AC11" i="49" s="1"/>
  <c r="W11" i="49"/>
  <c r="X11" i="49" s="1"/>
  <c r="R11" i="49"/>
  <c r="T7" i="49" s="1"/>
  <c r="J11" i="49"/>
  <c r="I11" i="49"/>
  <c r="G11" i="49"/>
  <c r="AV10" i="49"/>
  <c r="AW10" i="49" s="1"/>
  <c r="AQ10" i="49"/>
  <c r="AL10" i="49"/>
  <c r="AM10" i="49" s="1"/>
  <c r="AG10" i="49"/>
  <c r="AB10" i="49"/>
  <c r="AC10" i="49" s="1"/>
  <c r="W10" i="49"/>
  <c r="R10" i="49"/>
  <c r="J10" i="49"/>
  <c r="I10" i="49"/>
  <c r="G10" i="49"/>
  <c r="AV9" i="49"/>
  <c r="AW9" i="49" s="1"/>
  <c r="AQ9" i="49"/>
  <c r="AR9" i="49" s="1"/>
  <c r="AL9" i="49"/>
  <c r="AG9" i="49"/>
  <c r="AH9" i="49" s="1"/>
  <c r="AB9" i="49"/>
  <c r="AC9" i="49" s="1"/>
  <c r="W9" i="49"/>
  <c r="X14" i="49" s="1"/>
  <c r="R9" i="49"/>
  <c r="J9" i="49"/>
  <c r="I9" i="49"/>
  <c r="G9" i="49"/>
  <c r="AV8" i="49"/>
  <c r="AQ8" i="49"/>
  <c r="AL8" i="49"/>
  <c r="AM8" i="49" s="1"/>
  <c r="AG8" i="49"/>
  <c r="K8" i="49" s="1"/>
  <c r="AB8" i="49"/>
  <c r="W8" i="49"/>
  <c r="R8" i="49"/>
  <c r="S14" i="49" s="1"/>
  <c r="J8" i="49"/>
  <c r="I8" i="49"/>
  <c r="G8" i="49"/>
  <c r="AV7" i="49"/>
  <c r="AX7" i="49" s="1"/>
  <c r="AQ7" i="49"/>
  <c r="AL7" i="49"/>
  <c r="AM12" i="49" s="1"/>
  <c r="AG7" i="49"/>
  <c r="AH7" i="49" s="1"/>
  <c r="AB7" i="49"/>
  <c r="AD7" i="49" s="1"/>
  <c r="W7" i="49"/>
  <c r="X10" i="49" s="1"/>
  <c r="R7" i="49"/>
  <c r="S7" i="49" s="1"/>
  <c r="J7" i="49"/>
  <c r="I7" i="49"/>
  <c r="G7" i="49"/>
  <c r="AW12" i="48"/>
  <c r="AW11" i="48"/>
  <c r="AR13" i="48"/>
  <c r="AR12" i="48"/>
  <c r="AR11" i="48"/>
  <c r="AR10" i="48"/>
  <c r="AR9" i="48"/>
  <c r="AH7" i="48"/>
  <c r="AC14" i="48"/>
  <c r="AC13" i="48"/>
  <c r="AV14" i="48"/>
  <c r="AQ14" i="48"/>
  <c r="AL14" i="48"/>
  <c r="AM14" i="48" s="1"/>
  <c r="AG14" i="48"/>
  <c r="AH14" i="48" s="1"/>
  <c r="AB14" i="48"/>
  <c r="W14" i="48"/>
  <c r="X14" i="48" s="1"/>
  <c r="R14" i="48"/>
  <c r="S14" i="48" s="1"/>
  <c r="K14" i="48"/>
  <c r="J14" i="48"/>
  <c r="I14" i="48"/>
  <c r="G14" i="48"/>
  <c r="AV13" i="48"/>
  <c r="AQ13" i="48"/>
  <c r="AL13" i="48"/>
  <c r="AG13" i="48"/>
  <c r="AB13" i="48"/>
  <c r="W13" i="48"/>
  <c r="X13" i="48" s="1"/>
  <c r="R13" i="48"/>
  <c r="K13" i="48"/>
  <c r="J13" i="48"/>
  <c r="I13" i="48"/>
  <c r="G13" i="48"/>
  <c r="AV12" i="48"/>
  <c r="AQ12" i="48"/>
  <c r="AL12" i="48"/>
  <c r="AM12" i="48" s="1"/>
  <c r="AG12" i="48"/>
  <c r="AH12" i="48" s="1"/>
  <c r="AB12" i="48"/>
  <c r="AC12" i="48" s="1"/>
  <c r="W12" i="48"/>
  <c r="X12" i="48" s="1"/>
  <c r="R12" i="48"/>
  <c r="S12" i="48" s="1"/>
  <c r="J12" i="48"/>
  <c r="I12" i="48"/>
  <c r="G12" i="48"/>
  <c r="AV11" i="48"/>
  <c r="AQ11" i="48"/>
  <c r="AL11" i="48"/>
  <c r="AM11" i="48" s="1"/>
  <c r="AG11" i="48"/>
  <c r="AB11" i="48"/>
  <c r="AC11" i="48" s="1"/>
  <c r="W11" i="48"/>
  <c r="R11" i="48"/>
  <c r="J11" i="48"/>
  <c r="I11" i="48"/>
  <c r="G11" i="48"/>
  <c r="AV10" i="48"/>
  <c r="AW10" i="48" s="1"/>
  <c r="AQ10" i="48"/>
  <c r="AL10" i="48"/>
  <c r="AM10" i="48" s="1"/>
  <c r="AG10" i="48"/>
  <c r="AH10" i="48" s="1"/>
  <c r="AB10" i="48"/>
  <c r="AC10" i="48" s="1"/>
  <c r="W10" i="48"/>
  <c r="X10" i="48" s="1"/>
  <c r="R10" i="48"/>
  <c r="S10" i="48" s="1"/>
  <c r="J10" i="48"/>
  <c r="I10" i="48"/>
  <c r="G10" i="48"/>
  <c r="AV9" i="48"/>
  <c r="AQ9" i="48"/>
  <c r="AL9" i="48"/>
  <c r="AG9" i="48"/>
  <c r="AB9" i="48"/>
  <c r="AC9" i="48" s="1"/>
  <c r="W9" i="48"/>
  <c r="X9" i="48" s="1"/>
  <c r="R9" i="48"/>
  <c r="J9" i="48"/>
  <c r="I9" i="48"/>
  <c r="G9" i="48"/>
  <c r="AV8" i="48"/>
  <c r="AW14" i="48" s="1"/>
  <c r="AQ8" i="48"/>
  <c r="AR8" i="48" s="1"/>
  <c r="AL8" i="48"/>
  <c r="AM9" i="48" s="1"/>
  <c r="AG8" i="48"/>
  <c r="AH11" i="48" s="1"/>
  <c r="AB8" i="48"/>
  <c r="AC8" i="48" s="1"/>
  <c r="W8" i="48"/>
  <c r="X11" i="48" s="1"/>
  <c r="R8" i="48"/>
  <c r="S11" i="48" s="1"/>
  <c r="J8" i="48"/>
  <c r="I8" i="48"/>
  <c r="G8" i="48"/>
  <c r="AV7" i="48"/>
  <c r="AQ7" i="48"/>
  <c r="AL7" i="48"/>
  <c r="AM13" i="48" s="1"/>
  <c r="AG7" i="48"/>
  <c r="AH13" i="48" s="1"/>
  <c r="AB7" i="48"/>
  <c r="AC7" i="48" s="1"/>
  <c r="W7" i="48"/>
  <c r="R7" i="48"/>
  <c r="J7" i="48"/>
  <c r="I7" i="48"/>
  <c r="G7" i="48"/>
  <c r="H7" i="48" s="1"/>
  <c r="AW10" i="47"/>
  <c r="AW9" i="47"/>
  <c r="X8" i="47"/>
  <c r="S9" i="47"/>
  <c r="S10" i="47"/>
  <c r="S11" i="47"/>
  <c r="S12" i="47"/>
  <c r="S7" i="47"/>
  <c r="AV12" i="47"/>
  <c r="AQ12" i="47"/>
  <c r="AR12" i="47" s="1"/>
  <c r="AL12" i="47"/>
  <c r="AG12" i="47"/>
  <c r="AH12" i="47" s="1"/>
  <c r="AB12" i="47"/>
  <c r="AC12" i="47" s="1"/>
  <c r="W12" i="47"/>
  <c r="X9" i="47" s="1"/>
  <c r="R12" i="47"/>
  <c r="J12" i="47"/>
  <c r="I12" i="47"/>
  <c r="G12" i="47"/>
  <c r="AV11" i="47"/>
  <c r="AQ11" i="47"/>
  <c r="AR11" i="47" s="1"/>
  <c r="AL11" i="47"/>
  <c r="AM11" i="47" s="1"/>
  <c r="AG11" i="47"/>
  <c r="AH7" i="47" s="1"/>
  <c r="AB11" i="47"/>
  <c r="AC11" i="47" s="1"/>
  <c r="W11" i="47"/>
  <c r="R11" i="47"/>
  <c r="K11" i="47" s="1"/>
  <c r="J11" i="47"/>
  <c r="I11" i="47"/>
  <c r="G11" i="47"/>
  <c r="AV10" i="47"/>
  <c r="AQ10" i="47"/>
  <c r="AR10" i="47" s="1"/>
  <c r="AL10" i="47"/>
  <c r="AG10" i="47"/>
  <c r="AH10" i="47" s="1"/>
  <c r="AB10" i="47"/>
  <c r="W10" i="47"/>
  <c r="R10" i="47"/>
  <c r="J10" i="47"/>
  <c r="I10" i="47"/>
  <c r="G10" i="47"/>
  <c r="AV9" i="47"/>
  <c r="AQ9" i="47"/>
  <c r="AR9" i="47" s="1"/>
  <c r="AL9" i="47"/>
  <c r="AM9" i="47" s="1"/>
  <c r="AG9" i="47"/>
  <c r="AB9" i="47"/>
  <c r="AC9" i="47" s="1"/>
  <c r="W9" i="47"/>
  <c r="R9" i="47"/>
  <c r="J9" i="47"/>
  <c r="I9" i="47"/>
  <c r="G9" i="47"/>
  <c r="AV8" i="47"/>
  <c r="AW8" i="47" s="1"/>
  <c r="AQ8" i="47"/>
  <c r="AR8" i="47" s="1"/>
  <c r="AL8" i="47"/>
  <c r="AM8" i="47" s="1"/>
  <c r="AG8" i="47"/>
  <c r="AH9" i="47" s="1"/>
  <c r="AB8" i="47"/>
  <c r="W8" i="47"/>
  <c r="R8" i="47"/>
  <c r="S8" i="47" s="1"/>
  <c r="J8" i="47"/>
  <c r="I8" i="47"/>
  <c r="G8" i="47"/>
  <c r="H7" i="47" s="1"/>
  <c r="AV7" i="47"/>
  <c r="AW7" i="47" s="1"/>
  <c r="AQ7" i="47"/>
  <c r="AR7" i="47" s="1"/>
  <c r="AL7" i="47"/>
  <c r="AN7" i="47" s="1"/>
  <c r="AG7" i="47"/>
  <c r="AB7" i="47"/>
  <c r="W7" i="47"/>
  <c r="X7" i="47" s="1"/>
  <c r="R7" i="47"/>
  <c r="J7" i="47"/>
  <c r="I7" i="47"/>
  <c r="G7" i="47"/>
  <c r="AH7" i="46"/>
  <c r="AC7" i="46"/>
  <c r="X7" i="46"/>
  <c r="S7" i="46"/>
  <c r="AV7" i="46"/>
  <c r="AX7" i="46" s="1"/>
  <c r="AQ7" i="46"/>
  <c r="AR7" i="46" s="1"/>
  <c r="AL7" i="46"/>
  <c r="AN7" i="46" s="1"/>
  <c r="AG7" i="46"/>
  <c r="AI7" i="46" s="1"/>
  <c r="AB7" i="46"/>
  <c r="AD7" i="46" s="1"/>
  <c r="W7" i="46"/>
  <c r="R7" i="46"/>
  <c r="T7" i="46" s="1"/>
  <c r="J7" i="46"/>
  <c r="I7" i="46"/>
  <c r="G7" i="46"/>
  <c r="H7" i="46" s="1"/>
  <c r="AC8" i="45"/>
  <c r="X7" i="45"/>
  <c r="S8" i="45"/>
  <c r="S9" i="45"/>
  <c r="S10" i="45"/>
  <c r="S7" i="45"/>
  <c r="AV10" i="45"/>
  <c r="AQ10" i="45"/>
  <c r="AL10" i="45"/>
  <c r="AG10" i="45"/>
  <c r="AH10" i="45" s="1"/>
  <c r="AB10" i="45"/>
  <c r="W10" i="45"/>
  <c r="X10" i="45" s="1"/>
  <c r="R10" i="45"/>
  <c r="K10" i="45"/>
  <c r="J10" i="45"/>
  <c r="I10" i="45"/>
  <c r="G10" i="45"/>
  <c r="AV9" i="45"/>
  <c r="AW9" i="45" s="1"/>
  <c r="AQ9" i="45"/>
  <c r="AR9" i="45" s="1"/>
  <c r="AL9" i="45"/>
  <c r="AG9" i="45"/>
  <c r="K9" i="45" s="1"/>
  <c r="AB9" i="45"/>
  <c r="W9" i="45"/>
  <c r="R9" i="45"/>
  <c r="J9" i="45"/>
  <c r="I9" i="45"/>
  <c r="G9" i="45"/>
  <c r="AV8" i="45"/>
  <c r="AQ8" i="45"/>
  <c r="AL8" i="45"/>
  <c r="AM8" i="45" s="1"/>
  <c r="AG8" i="45"/>
  <c r="AH8" i="45" s="1"/>
  <c r="AB8" i="45"/>
  <c r="AC10" i="45" s="1"/>
  <c r="W8" i="45"/>
  <c r="X9" i="45" s="1"/>
  <c r="R8" i="45"/>
  <c r="J8" i="45"/>
  <c r="I8" i="45"/>
  <c r="G8" i="45"/>
  <c r="AV7" i="45"/>
  <c r="AX7" i="45" s="1"/>
  <c r="AQ7" i="45"/>
  <c r="AS7" i="45" s="1"/>
  <c r="AL7" i="45"/>
  <c r="AN7" i="45" s="1"/>
  <c r="AG7" i="45"/>
  <c r="AB7" i="45"/>
  <c r="W7" i="45"/>
  <c r="R7" i="45"/>
  <c r="J7" i="45"/>
  <c r="I7" i="45"/>
  <c r="G7" i="45"/>
  <c r="AW40" i="44"/>
  <c r="AW30" i="44"/>
  <c r="AW29" i="44"/>
  <c r="AW10" i="44"/>
  <c r="AW9" i="44"/>
  <c r="AR25" i="44"/>
  <c r="AR24" i="44"/>
  <c r="AM39" i="44"/>
  <c r="AM20" i="44"/>
  <c r="AM19" i="44"/>
  <c r="AH34" i="44"/>
  <c r="AH14" i="44"/>
  <c r="AC29" i="44"/>
  <c r="AV41" i="44"/>
  <c r="AW41" i="44" s="1"/>
  <c r="AQ41" i="44"/>
  <c r="AR41" i="44" s="1"/>
  <c r="AL41" i="44"/>
  <c r="AG41" i="44"/>
  <c r="AB41" i="44"/>
  <c r="W41" i="44"/>
  <c r="R41" i="44"/>
  <c r="K41" i="44"/>
  <c r="J41" i="44"/>
  <c r="I41" i="44"/>
  <c r="G41" i="44"/>
  <c r="AV40" i="44"/>
  <c r="AQ40" i="44"/>
  <c r="AL40" i="44"/>
  <c r="AG40" i="44"/>
  <c r="AB40" i="44"/>
  <c r="W40" i="44"/>
  <c r="R40" i="44"/>
  <c r="K40" i="44" s="1"/>
  <c r="J40" i="44"/>
  <c r="I40" i="44"/>
  <c r="G40" i="44"/>
  <c r="AV39" i="44"/>
  <c r="AQ39" i="44"/>
  <c r="AL39" i="44"/>
  <c r="AG39" i="44"/>
  <c r="AB39" i="44"/>
  <c r="W39" i="44"/>
  <c r="R39" i="44"/>
  <c r="J39" i="44"/>
  <c r="I39" i="44"/>
  <c r="G39" i="44"/>
  <c r="AV38" i="44"/>
  <c r="AW38" i="44" s="1"/>
  <c r="AQ38" i="44"/>
  <c r="AL38" i="44"/>
  <c r="AG38" i="44"/>
  <c r="AB38" i="44"/>
  <c r="W38" i="44"/>
  <c r="R38" i="44"/>
  <c r="J38" i="44"/>
  <c r="I38" i="44"/>
  <c r="G38" i="44"/>
  <c r="AV37" i="44"/>
  <c r="AW37" i="44" s="1"/>
  <c r="AQ37" i="44"/>
  <c r="AL37" i="44"/>
  <c r="AG37" i="44"/>
  <c r="AB37" i="44"/>
  <c r="W37" i="44"/>
  <c r="R37" i="44"/>
  <c r="J37" i="44"/>
  <c r="I37" i="44"/>
  <c r="G37" i="44"/>
  <c r="AV36" i="44"/>
  <c r="AW36" i="44" s="1"/>
  <c r="AQ36" i="44"/>
  <c r="AR36" i="44" s="1"/>
  <c r="AL36" i="44"/>
  <c r="AG36" i="44"/>
  <c r="AB36" i="44"/>
  <c r="W36" i="44"/>
  <c r="R36" i="44"/>
  <c r="J36" i="44"/>
  <c r="I36" i="44"/>
  <c r="G36" i="44"/>
  <c r="AV35" i="44"/>
  <c r="AQ35" i="44"/>
  <c r="AL35" i="44"/>
  <c r="AG35" i="44"/>
  <c r="AB35" i="44"/>
  <c r="W35" i="44"/>
  <c r="R35" i="44"/>
  <c r="J35" i="44"/>
  <c r="I35" i="44"/>
  <c r="G35" i="44"/>
  <c r="AV34" i="44"/>
  <c r="AQ34" i="44"/>
  <c r="AR34" i="44" s="1"/>
  <c r="AL34" i="44"/>
  <c r="AG34" i="44"/>
  <c r="AB34" i="44"/>
  <c r="W34" i="44"/>
  <c r="R34" i="44"/>
  <c r="J34" i="44"/>
  <c r="I34" i="44"/>
  <c r="G34" i="44"/>
  <c r="AV33" i="44"/>
  <c r="AQ33" i="44"/>
  <c r="AL33" i="44"/>
  <c r="AG33" i="44"/>
  <c r="AB33" i="44"/>
  <c r="W33" i="44"/>
  <c r="R33" i="44"/>
  <c r="J33" i="44"/>
  <c r="I33" i="44"/>
  <c r="G33" i="44"/>
  <c r="AV32" i="44"/>
  <c r="AQ32" i="44"/>
  <c r="AR32" i="44" s="1"/>
  <c r="AL32" i="44"/>
  <c r="AG32" i="44"/>
  <c r="AB32" i="44"/>
  <c r="W32" i="44"/>
  <c r="R32" i="44"/>
  <c r="J32" i="44"/>
  <c r="I32" i="44"/>
  <c r="G32" i="44"/>
  <c r="AV31" i="44"/>
  <c r="AQ31" i="44"/>
  <c r="AR31" i="44" s="1"/>
  <c r="AL31" i="44"/>
  <c r="AG31" i="44"/>
  <c r="AB31" i="44"/>
  <c r="W31" i="44"/>
  <c r="R31" i="44"/>
  <c r="J31" i="44"/>
  <c r="I31" i="44"/>
  <c r="G31" i="44"/>
  <c r="AV30" i="44"/>
  <c r="AQ30" i="44"/>
  <c r="AR30" i="44" s="1"/>
  <c r="AL30" i="44"/>
  <c r="AG30" i="44"/>
  <c r="AB30" i="44"/>
  <c r="W30" i="44"/>
  <c r="R30" i="44"/>
  <c r="J30" i="44"/>
  <c r="I30" i="44"/>
  <c r="G30" i="44"/>
  <c r="AV29" i="44"/>
  <c r="AQ29" i="44"/>
  <c r="AL29" i="44"/>
  <c r="AG29" i="44"/>
  <c r="AB29" i="44"/>
  <c r="W29" i="44"/>
  <c r="R29" i="44"/>
  <c r="J29" i="44"/>
  <c r="I29" i="44"/>
  <c r="G29" i="44"/>
  <c r="AV28" i="44"/>
  <c r="AW28" i="44" s="1"/>
  <c r="AQ28" i="44"/>
  <c r="AL28" i="44"/>
  <c r="AG28" i="44"/>
  <c r="AB28" i="44"/>
  <c r="W28" i="44"/>
  <c r="R28" i="44"/>
  <c r="J28" i="44"/>
  <c r="I28" i="44"/>
  <c r="G28" i="44"/>
  <c r="AV27" i="44"/>
  <c r="AQ27" i="44"/>
  <c r="AL27" i="44"/>
  <c r="AG27" i="44"/>
  <c r="AB27" i="44"/>
  <c r="W27" i="44"/>
  <c r="R27" i="44"/>
  <c r="K27" i="44" s="1"/>
  <c r="J27" i="44"/>
  <c r="I27" i="44"/>
  <c r="G27" i="44"/>
  <c r="AV26" i="44"/>
  <c r="AW26" i="44" s="1"/>
  <c r="AQ26" i="44"/>
  <c r="AL26" i="44"/>
  <c r="AG26" i="44"/>
  <c r="AB26" i="44"/>
  <c r="W26" i="44"/>
  <c r="R26" i="44"/>
  <c r="J26" i="44"/>
  <c r="I26" i="44"/>
  <c r="G26" i="44"/>
  <c r="AV25" i="44"/>
  <c r="AQ25" i="44"/>
  <c r="AL25" i="44"/>
  <c r="AG25" i="44"/>
  <c r="AB25" i="44"/>
  <c r="W25" i="44"/>
  <c r="R25" i="44"/>
  <c r="K25" i="44"/>
  <c r="J25" i="44"/>
  <c r="I25" i="44"/>
  <c r="G25" i="44"/>
  <c r="AV24" i="44"/>
  <c r="AQ24" i="44"/>
  <c r="AL24" i="44"/>
  <c r="AG24" i="44"/>
  <c r="AB24" i="44"/>
  <c r="W24" i="44"/>
  <c r="R24" i="44"/>
  <c r="J24" i="44"/>
  <c r="I24" i="44"/>
  <c r="G24" i="44"/>
  <c r="AV23" i="44"/>
  <c r="AQ23" i="44"/>
  <c r="AR23" i="44" s="1"/>
  <c r="AL23" i="44"/>
  <c r="AG23" i="44"/>
  <c r="AB23" i="44"/>
  <c r="W23" i="44"/>
  <c r="R23" i="44"/>
  <c r="K23" i="44"/>
  <c r="J23" i="44"/>
  <c r="I23" i="44"/>
  <c r="G23" i="44"/>
  <c r="AV22" i="44"/>
  <c r="AQ22" i="44"/>
  <c r="AR22" i="44" s="1"/>
  <c r="AL22" i="44"/>
  <c r="AG22" i="44"/>
  <c r="K22" i="44" s="1"/>
  <c r="AB22" i="44"/>
  <c r="W22" i="44"/>
  <c r="R22" i="44"/>
  <c r="J22" i="44"/>
  <c r="I22" i="44"/>
  <c r="G22" i="44"/>
  <c r="AV21" i="44"/>
  <c r="AW21" i="44" s="1"/>
  <c r="AQ21" i="44"/>
  <c r="AR21" i="44" s="1"/>
  <c r="AL21" i="44"/>
  <c r="AG21" i="44"/>
  <c r="AB21" i="44"/>
  <c r="W21" i="44"/>
  <c r="R21" i="44"/>
  <c r="J21" i="44"/>
  <c r="I21" i="44"/>
  <c r="G21" i="44"/>
  <c r="AV20" i="44"/>
  <c r="AW20" i="44" s="1"/>
  <c r="AQ20" i="44"/>
  <c r="AR20" i="44" s="1"/>
  <c r="AL20" i="44"/>
  <c r="AG20" i="44"/>
  <c r="AB20" i="44"/>
  <c r="W20" i="44"/>
  <c r="R20" i="44"/>
  <c r="J20" i="44"/>
  <c r="I20" i="44"/>
  <c r="G20" i="44"/>
  <c r="AV19" i="44"/>
  <c r="AQ19" i="44"/>
  <c r="AR19" i="44" s="1"/>
  <c r="AL19" i="44"/>
  <c r="AG19" i="44"/>
  <c r="AB19" i="44"/>
  <c r="W19" i="44"/>
  <c r="R19" i="44"/>
  <c r="S19" i="44" s="1"/>
  <c r="J19" i="44"/>
  <c r="I19" i="44"/>
  <c r="G19" i="44"/>
  <c r="AV18" i="44"/>
  <c r="K18" i="44" s="1"/>
  <c r="AQ18" i="44"/>
  <c r="AL18" i="44"/>
  <c r="AG18" i="44"/>
  <c r="AB18" i="44"/>
  <c r="W18" i="44"/>
  <c r="R18" i="44"/>
  <c r="J18" i="44"/>
  <c r="I18" i="44"/>
  <c r="G18" i="44"/>
  <c r="AV17" i="44"/>
  <c r="AW17" i="44" s="1"/>
  <c r="AQ17" i="44"/>
  <c r="AR17" i="44" s="1"/>
  <c r="AL17" i="44"/>
  <c r="AG17" i="44"/>
  <c r="AB17" i="44"/>
  <c r="AC17" i="44" s="1"/>
  <c r="W17" i="44"/>
  <c r="R17" i="44"/>
  <c r="J17" i="44"/>
  <c r="I17" i="44"/>
  <c r="G17" i="44"/>
  <c r="AV16" i="44"/>
  <c r="AW16" i="44" s="1"/>
  <c r="AQ16" i="44"/>
  <c r="AR16" i="44" s="1"/>
  <c r="AL16" i="44"/>
  <c r="AG16" i="44"/>
  <c r="AB16" i="44"/>
  <c r="W16" i="44"/>
  <c r="R16" i="44"/>
  <c r="J16" i="44"/>
  <c r="I16" i="44"/>
  <c r="G16" i="44"/>
  <c r="AV15" i="44"/>
  <c r="AW15" i="44" s="1"/>
  <c r="AQ15" i="44"/>
  <c r="AR15" i="44" s="1"/>
  <c r="AL15" i="44"/>
  <c r="AG15" i="44"/>
  <c r="AB15" i="44"/>
  <c r="W15" i="44"/>
  <c r="X15" i="44" s="1"/>
  <c r="R15" i="44"/>
  <c r="J15" i="44"/>
  <c r="I15" i="44"/>
  <c r="G15" i="44"/>
  <c r="AV14" i="44"/>
  <c r="AW14" i="44" s="1"/>
  <c r="AQ14" i="44"/>
  <c r="AL14" i="44"/>
  <c r="AG14" i="44"/>
  <c r="AB14" i="44"/>
  <c r="W14" i="44"/>
  <c r="R14" i="44"/>
  <c r="J14" i="44"/>
  <c r="I14" i="44"/>
  <c r="G14" i="44"/>
  <c r="AV13" i="44"/>
  <c r="AW13" i="44" s="1"/>
  <c r="AQ13" i="44"/>
  <c r="AR13" i="44" s="1"/>
  <c r="AL13" i="44"/>
  <c r="AG13" i="44"/>
  <c r="AB13" i="44"/>
  <c r="W13" i="44"/>
  <c r="R13" i="44"/>
  <c r="S13" i="44" s="1"/>
  <c r="J13" i="44"/>
  <c r="I13" i="44"/>
  <c r="G13" i="44"/>
  <c r="AV12" i="44"/>
  <c r="AW12" i="44" s="1"/>
  <c r="AQ12" i="44"/>
  <c r="AR12" i="44" s="1"/>
  <c r="AL12" i="44"/>
  <c r="AG12" i="44"/>
  <c r="AB12" i="44"/>
  <c r="W12" i="44"/>
  <c r="R12" i="44"/>
  <c r="J12" i="44"/>
  <c r="I12" i="44"/>
  <c r="G12" i="44"/>
  <c r="AV11" i="44"/>
  <c r="AQ11" i="44"/>
  <c r="AR11" i="44" s="1"/>
  <c r="AL11" i="44"/>
  <c r="AG11" i="44"/>
  <c r="AB11" i="44"/>
  <c r="W11" i="44"/>
  <c r="X11" i="44" s="1"/>
  <c r="R11" i="44"/>
  <c r="S11" i="44" s="1"/>
  <c r="J11" i="44"/>
  <c r="I11" i="44"/>
  <c r="G11" i="44"/>
  <c r="AV10" i="44"/>
  <c r="AQ10" i="44"/>
  <c r="AL10" i="44"/>
  <c r="AG10" i="44"/>
  <c r="AB10" i="44"/>
  <c r="W10" i="44"/>
  <c r="R10" i="44"/>
  <c r="J10" i="44"/>
  <c r="I10" i="44"/>
  <c r="G10" i="44"/>
  <c r="AV9" i="44"/>
  <c r="AQ9" i="44"/>
  <c r="AR9" i="44" s="1"/>
  <c r="AL9" i="44"/>
  <c r="AG9" i="44"/>
  <c r="AB9" i="44"/>
  <c r="W9" i="44"/>
  <c r="R9" i="44"/>
  <c r="J9" i="44"/>
  <c r="I9" i="44"/>
  <c r="G9" i="44"/>
  <c r="AV8" i="44"/>
  <c r="AW8" i="44" s="1"/>
  <c r="AQ8" i="44"/>
  <c r="AL8" i="44"/>
  <c r="AG8" i="44"/>
  <c r="AB8" i="44"/>
  <c r="W8" i="44"/>
  <c r="R8" i="44"/>
  <c r="J8" i="44"/>
  <c r="I8" i="44"/>
  <c r="G8" i="44"/>
  <c r="AV7" i="44"/>
  <c r="AW7" i="44" s="1"/>
  <c r="AQ7" i="44"/>
  <c r="AS7" i="44" s="1"/>
  <c r="AL7" i="44"/>
  <c r="AG7" i="44"/>
  <c r="AB7" i="44"/>
  <c r="W7" i="44"/>
  <c r="X22" i="44" s="1"/>
  <c r="R7" i="44"/>
  <c r="S12" i="44" s="1"/>
  <c r="J7" i="44"/>
  <c r="I7" i="44"/>
  <c r="G7" i="44"/>
  <c r="AH7" i="52" l="1"/>
  <c r="AH8" i="52"/>
  <c r="AH11" i="52"/>
  <c r="K9" i="52"/>
  <c r="H7" i="52"/>
  <c r="AW8" i="52"/>
  <c r="AW9" i="52"/>
  <c r="AM9" i="52"/>
  <c r="K11" i="52"/>
  <c r="AD7" i="52"/>
  <c r="AI7" i="52"/>
  <c r="AR9" i="52"/>
  <c r="AR10" i="52"/>
  <c r="AW10" i="52"/>
  <c r="K7" i="52"/>
  <c r="M7" i="52" s="1"/>
  <c r="AM10" i="52"/>
  <c r="T7" i="52"/>
  <c r="AN7" i="52"/>
  <c r="AR14" i="51"/>
  <c r="AH11" i="51"/>
  <c r="AH12" i="51"/>
  <c r="AM7" i="51"/>
  <c r="AM8" i="51"/>
  <c r="X14" i="51"/>
  <c r="AC7" i="51"/>
  <c r="K7" i="51"/>
  <c r="M7" i="51" s="1"/>
  <c r="AC8" i="51"/>
  <c r="AX7" i="51"/>
  <c r="K11" i="51"/>
  <c r="AH13" i="51"/>
  <c r="K14" i="51"/>
  <c r="AW9" i="51"/>
  <c r="AH14" i="51"/>
  <c r="X11" i="51"/>
  <c r="AR7" i="51"/>
  <c r="AW7" i="51"/>
  <c r="AW8" i="51"/>
  <c r="AW11" i="51"/>
  <c r="X12" i="51"/>
  <c r="S7" i="51"/>
  <c r="S14" i="51"/>
  <c r="S11" i="49"/>
  <c r="K9" i="49"/>
  <c r="S9" i="49"/>
  <c r="AH8" i="49"/>
  <c r="AH10" i="49"/>
  <c r="X9" i="49"/>
  <c r="K10" i="49"/>
  <c r="AC12" i="49"/>
  <c r="AC13" i="49"/>
  <c r="AS7" i="49"/>
  <c r="S10" i="49"/>
  <c r="AR8" i="49"/>
  <c r="AR10" i="49"/>
  <c r="X7" i="49"/>
  <c r="X8" i="49"/>
  <c r="AR12" i="49"/>
  <c r="AR14" i="49"/>
  <c r="AW7" i="49"/>
  <c r="H7" i="49"/>
  <c r="AC7" i="49"/>
  <c r="AM9" i="49"/>
  <c r="AM7" i="49"/>
  <c r="AC8" i="49"/>
  <c r="AW14" i="49"/>
  <c r="S12" i="49"/>
  <c r="AC14" i="49"/>
  <c r="S8" i="49"/>
  <c r="AW8" i="49"/>
  <c r="Y7" i="49"/>
  <c r="S13" i="48"/>
  <c r="AH8" i="48"/>
  <c r="S9" i="48"/>
  <c r="AH9" i="48"/>
  <c r="S8" i="48"/>
  <c r="AR14" i="48"/>
  <c r="X7" i="48"/>
  <c r="AW7" i="48"/>
  <c r="X8" i="48"/>
  <c r="AW8" i="48"/>
  <c r="T7" i="48"/>
  <c r="AW9" i="48"/>
  <c r="AS7" i="48"/>
  <c r="S7" i="48"/>
  <c r="AR7" i="48"/>
  <c r="Y7" i="48"/>
  <c r="AM7" i="48"/>
  <c r="AM8" i="48"/>
  <c r="AW13" i="48"/>
  <c r="AN7" i="48"/>
  <c r="AI7" i="48"/>
  <c r="AX7" i="48"/>
  <c r="AH8" i="47"/>
  <c r="K9" i="47"/>
  <c r="AW11" i="47"/>
  <c r="AW12" i="47"/>
  <c r="AH11" i="47"/>
  <c r="AM7" i="47"/>
  <c r="K12" i="47"/>
  <c r="X12" i="47"/>
  <c r="X10" i="47"/>
  <c r="AC8" i="47"/>
  <c r="T7" i="47"/>
  <c r="AS7" i="47"/>
  <c r="X11" i="47"/>
  <c r="AC10" i="47"/>
  <c r="K10" i="47"/>
  <c r="AC7" i="47"/>
  <c r="K7" i="47"/>
  <c r="AD7" i="47"/>
  <c r="AM10" i="47"/>
  <c r="AM12" i="47"/>
  <c r="AS7" i="46"/>
  <c r="AM7" i="46"/>
  <c r="AW7" i="46"/>
  <c r="K7" i="46"/>
  <c r="M7" i="46" s="1"/>
  <c r="Y7" i="46"/>
  <c r="AR10" i="45"/>
  <c r="AW7" i="45"/>
  <c r="X8" i="45"/>
  <c r="AW8" i="45"/>
  <c r="AW10" i="45"/>
  <c r="AC7" i="45"/>
  <c r="AH7" i="45"/>
  <c r="AM9" i="45"/>
  <c r="AM10" i="45"/>
  <c r="AR7" i="45"/>
  <c r="AR8" i="45"/>
  <c r="AC9" i="45"/>
  <c r="K7" i="45"/>
  <c r="AH9" i="45"/>
  <c r="Y7" i="45"/>
  <c r="AD7" i="45"/>
  <c r="AM7" i="45"/>
  <c r="H7" i="45"/>
  <c r="S39" i="44"/>
  <c r="AH29" i="44"/>
  <c r="AH28" i="44"/>
  <c r="AH8" i="44"/>
  <c r="AH27" i="44"/>
  <c r="AH7" i="44"/>
  <c r="AH38" i="44"/>
  <c r="AH37" i="44"/>
  <c r="AH18" i="44"/>
  <c r="AH36" i="44"/>
  <c r="AH35" i="44"/>
  <c r="AH16" i="44"/>
  <c r="AH13" i="44"/>
  <c r="AH21" i="44"/>
  <c r="X35" i="44"/>
  <c r="S41" i="44"/>
  <c r="AM15" i="44"/>
  <c r="AC25" i="44"/>
  <c r="AH31" i="44"/>
  <c r="AH39" i="44"/>
  <c r="AM31" i="44"/>
  <c r="S14" i="44"/>
  <c r="S34" i="44"/>
  <c r="S15" i="44"/>
  <c r="S16" i="44"/>
  <c r="S36" i="44"/>
  <c r="S17" i="44"/>
  <c r="S8" i="44"/>
  <c r="S29" i="44"/>
  <c r="S23" i="44"/>
  <c r="S26" i="44"/>
  <c r="S28" i="44"/>
  <c r="S9" i="44"/>
  <c r="X23" i="44"/>
  <c r="S33" i="44"/>
  <c r="S37" i="44"/>
  <c r="AH17" i="44"/>
  <c r="X29" i="44"/>
  <c r="X39" i="44"/>
  <c r="AM17" i="44"/>
  <c r="AC33" i="44"/>
  <c r="AC39" i="44"/>
  <c r="AC41" i="44"/>
  <c r="AH41" i="44"/>
  <c r="K21" i="44"/>
  <c r="X19" i="44"/>
  <c r="X18" i="44"/>
  <c r="X37" i="44"/>
  <c r="X17" i="44"/>
  <c r="X21" i="44"/>
  <c r="X7" i="44"/>
  <c r="X8" i="44"/>
  <c r="X25" i="44"/>
  <c r="X9" i="44"/>
  <c r="AC22" i="44"/>
  <c r="AC21" i="44"/>
  <c r="AC13" i="44"/>
  <c r="AC32" i="44"/>
  <c r="AC31" i="44"/>
  <c r="AC30" i="44"/>
  <c r="AC11" i="44"/>
  <c r="AC15" i="44"/>
  <c r="AC14" i="44"/>
  <c r="AC12" i="44"/>
  <c r="AC10" i="44"/>
  <c r="S31" i="44"/>
  <c r="AH9" i="44"/>
  <c r="AH15" i="44"/>
  <c r="AC23" i="44"/>
  <c r="X27" i="44"/>
  <c r="X33" i="44"/>
  <c r="AM35" i="44"/>
  <c r="AM34" i="44"/>
  <c r="AM14" i="44"/>
  <c r="AM33" i="44"/>
  <c r="AM32" i="44"/>
  <c r="AM12" i="44"/>
  <c r="AM40" i="44"/>
  <c r="AM41" i="44"/>
  <c r="AM21" i="44"/>
  <c r="AM8" i="44"/>
  <c r="AM7" i="44"/>
  <c r="AM23" i="44"/>
  <c r="AM22" i="44"/>
  <c r="AM11" i="44"/>
  <c r="AH23" i="44"/>
  <c r="AC35" i="44"/>
  <c r="X41" i="44"/>
  <c r="AM25" i="44"/>
  <c r="AM29" i="44"/>
  <c r="AM37" i="44"/>
  <c r="S18" i="44"/>
  <c r="S21" i="44"/>
  <c r="X20" i="44"/>
  <c r="AC16" i="44"/>
  <c r="AC20" i="44"/>
  <c r="S38" i="44"/>
  <c r="X36" i="44"/>
  <c r="S25" i="44"/>
  <c r="S35" i="44"/>
  <c r="AH11" i="44"/>
  <c r="AH19" i="44"/>
  <c r="X31" i="44"/>
  <c r="AM9" i="44"/>
  <c r="AM13" i="44"/>
  <c r="AC27" i="44"/>
  <c r="AC37" i="44"/>
  <c r="AH25" i="44"/>
  <c r="AH33" i="44"/>
  <c r="AM27" i="44"/>
  <c r="X12" i="44"/>
  <c r="X16" i="44"/>
  <c r="AC18" i="44"/>
  <c r="AH10" i="44"/>
  <c r="AH20" i="44"/>
  <c r="AC24" i="44"/>
  <c r="X26" i="44"/>
  <c r="X28" i="44"/>
  <c r="X30" i="44"/>
  <c r="X32" i="44"/>
  <c r="X34" i="44"/>
  <c r="X38" i="44"/>
  <c r="X40" i="44"/>
  <c r="AM10" i="44"/>
  <c r="AM16" i="44"/>
  <c r="AM18" i="44"/>
  <c r="AH24" i="44"/>
  <c r="AC26" i="44"/>
  <c r="AC28" i="44"/>
  <c r="AC34" i="44"/>
  <c r="AC36" i="44"/>
  <c r="AC38" i="44"/>
  <c r="AC40" i="44"/>
  <c r="S30" i="44"/>
  <c r="AM24" i="44"/>
  <c r="AH26" i="44"/>
  <c r="AH30" i="44"/>
  <c r="AH32" i="44"/>
  <c r="AH40" i="44"/>
  <c r="S10" i="44"/>
  <c r="AM26" i="44"/>
  <c r="AM28" i="44"/>
  <c r="AM30" i="44"/>
  <c r="AM36" i="44"/>
  <c r="AM38" i="44"/>
  <c r="X24" i="44"/>
  <c r="AC9" i="44"/>
  <c r="AW11" i="44"/>
  <c r="K19" i="44"/>
  <c r="S27" i="44"/>
  <c r="AW32" i="44"/>
  <c r="AR29" i="44"/>
  <c r="AW34" i="44"/>
  <c r="S24" i="44"/>
  <c r="X10" i="44"/>
  <c r="AR10" i="44"/>
  <c r="AW35" i="44"/>
  <c r="K20" i="44"/>
  <c r="K39" i="44"/>
  <c r="S7" i="44"/>
  <c r="S22" i="44"/>
  <c r="AH22" i="44"/>
  <c r="AR26" i="44"/>
  <c r="AR27" i="44"/>
  <c r="AR28" i="44"/>
  <c r="X13" i="44"/>
  <c r="AR33" i="44"/>
  <c r="AW18" i="44"/>
  <c r="AW31" i="44"/>
  <c r="AR7" i="44"/>
  <c r="AR8" i="44"/>
  <c r="AW33" i="44"/>
  <c r="AD7" i="44"/>
  <c r="AI7" i="44"/>
  <c r="S40" i="44"/>
  <c r="S20" i="44"/>
  <c r="X14" i="44"/>
  <c r="AC19" i="44"/>
  <c r="AR14" i="44"/>
  <c r="AW19" i="44"/>
  <c r="AW39" i="44"/>
  <c r="K24" i="44"/>
  <c r="AR35" i="44"/>
  <c r="K26" i="44"/>
  <c r="AW25" i="44"/>
  <c r="K38" i="44"/>
  <c r="AW27" i="44"/>
  <c r="AR37" i="44"/>
  <c r="AW22" i="44"/>
  <c r="K30" i="44"/>
  <c r="AR18" i="44"/>
  <c r="AR38" i="44"/>
  <c r="AW23" i="44"/>
  <c r="AR39" i="44"/>
  <c r="AW24" i="44"/>
  <c r="AR40" i="44"/>
  <c r="S32" i="44"/>
  <c r="AC7" i="44"/>
  <c r="AH12" i="44"/>
  <c r="K11" i="44"/>
  <c r="AC8" i="44"/>
  <c r="B53" i="41"/>
  <c r="B54" i="41"/>
  <c r="K8" i="52"/>
  <c r="Y7" i="52"/>
  <c r="K12" i="51"/>
  <c r="K10" i="51"/>
  <c r="K9" i="51"/>
  <c r="K8" i="51"/>
  <c r="AS7" i="51"/>
  <c r="AD7" i="51"/>
  <c r="AI7" i="51"/>
  <c r="AN7" i="49"/>
  <c r="K7" i="49"/>
  <c r="K15" i="49"/>
  <c r="K14" i="49"/>
  <c r="K13" i="49"/>
  <c r="K12" i="49"/>
  <c r="M12" i="49" s="1"/>
  <c r="K11" i="49"/>
  <c r="AI7" i="49"/>
  <c r="K12" i="48"/>
  <c r="K11" i="48"/>
  <c r="K10" i="48"/>
  <c r="K9" i="48"/>
  <c r="K8" i="48"/>
  <c r="M8" i="48" s="1"/>
  <c r="AD7" i="48"/>
  <c r="K7" i="48"/>
  <c r="M14" i="48" s="1"/>
  <c r="AX7" i="47"/>
  <c r="K8" i="47"/>
  <c r="M8" i="47" s="1"/>
  <c r="Y7" i="47"/>
  <c r="AI7" i="47"/>
  <c r="T7" i="45"/>
  <c r="K8" i="45"/>
  <c r="M8" i="45" s="1"/>
  <c r="AI7" i="45"/>
  <c r="AX7" i="44"/>
  <c r="Y7" i="44"/>
  <c r="K8" i="44"/>
  <c r="K7" i="44"/>
  <c r="M18" i="44" s="1"/>
  <c r="AN7" i="44"/>
  <c r="H7" i="44"/>
  <c r="K28" i="44"/>
  <c r="K31" i="44"/>
  <c r="K17" i="44"/>
  <c r="K37" i="44"/>
  <c r="K16" i="44"/>
  <c r="M16" i="44" s="1"/>
  <c r="K36" i="44"/>
  <c r="K15" i="44"/>
  <c r="K35" i="44"/>
  <c r="K34" i="44"/>
  <c r="K13" i="44"/>
  <c r="K33" i="44"/>
  <c r="K14" i="44"/>
  <c r="K12" i="44"/>
  <c r="K32" i="44"/>
  <c r="T7" i="44"/>
  <c r="K10" i="44"/>
  <c r="K9" i="44"/>
  <c r="K29" i="44"/>
  <c r="M11" i="52" l="1"/>
  <c r="M8" i="52"/>
  <c r="M9" i="52"/>
  <c r="M10" i="52"/>
  <c r="M8" i="51"/>
  <c r="M14" i="51"/>
  <c r="M9" i="51"/>
  <c r="M10" i="51"/>
  <c r="M11" i="51"/>
  <c r="M12" i="51"/>
  <c r="M13" i="51"/>
  <c r="M14" i="49"/>
  <c r="M9" i="49"/>
  <c r="M13" i="49"/>
  <c r="M15" i="49"/>
  <c r="M7" i="49"/>
  <c r="M10" i="49"/>
  <c r="M11" i="49"/>
  <c r="M8" i="49"/>
  <c r="M9" i="48"/>
  <c r="M10" i="48"/>
  <c r="M12" i="48"/>
  <c r="M11" i="48"/>
  <c r="M7" i="48"/>
  <c r="M13" i="48"/>
  <c r="M7" i="47"/>
  <c r="M10" i="47"/>
  <c r="M12" i="47"/>
  <c r="M9" i="47"/>
  <c r="M11" i="47"/>
  <c r="L7" i="46"/>
  <c r="M7" i="45"/>
  <c r="M10" i="45"/>
  <c r="M9" i="45"/>
  <c r="M40" i="44"/>
  <c r="M17" i="44"/>
  <c r="M30" i="44"/>
  <c r="M38" i="44"/>
  <c r="M8" i="44"/>
  <c r="M10" i="44"/>
  <c r="M24" i="44"/>
  <c r="M14" i="44"/>
  <c r="M11" i="44"/>
  <c r="M21" i="44"/>
  <c r="M7" i="44"/>
  <c r="M9" i="44"/>
  <c r="M26" i="44"/>
  <c r="M31" i="44"/>
  <c r="M29" i="44"/>
  <c r="M37" i="44"/>
  <c r="M28" i="44"/>
  <c r="M19" i="44"/>
  <c r="M32" i="44"/>
  <c r="M41" i="44"/>
  <c r="M12" i="44"/>
  <c r="M33" i="44"/>
  <c r="M39" i="44"/>
  <c r="M13" i="44"/>
  <c r="M20" i="44"/>
  <c r="M34" i="44"/>
  <c r="M35" i="44"/>
  <c r="M25" i="44"/>
  <c r="M23" i="44"/>
  <c r="M15" i="44"/>
  <c r="M36" i="44"/>
  <c r="M22" i="44"/>
  <c r="M27" i="44"/>
  <c r="L7" i="52"/>
  <c r="L7" i="51"/>
  <c r="L7" i="49"/>
  <c r="L7" i="48"/>
  <c r="L7" i="47"/>
  <c r="L7" i="45"/>
  <c r="L7" i="44"/>
  <c r="W9" i="5" l="1"/>
  <c r="K11" i="39" s="1"/>
  <c r="T9" i="5"/>
  <c r="K10" i="39" s="1"/>
  <c r="Q9" i="5"/>
  <c r="K9" i="39" s="1"/>
  <c r="N9" i="5"/>
  <c r="K8" i="39" s="1"/>
  <c r="H9" i="5"/>
  <c r="K6" i="39" s="1"/>
  <c r="G33" i="5"/>
  <c r="I33" i="5"/>
  <c r="M33" i="5"/>
  <c r="P33" i="5"/>
  <c r="S33" i="5"/>
  <c r="V33" i="5"/>
  <c r="I34" i="5"/>
  <c r="I35" i="5"/>
  <c r="I36" i="5"/>
  <c r="I37" i="5"/>
  <c r="I38" i="5"/>
  <c r="I39" i="5"/>
  <c r="G26" i="5"/>
  <c r="I26" i="5"/>
  <c r="M26" i="5"/>
  <c r="P26" i="5"/>
  <c r="S26" i="5"/>
  <c r="V26" i="5"/>
  <c r="I27" i="5"/>
  <c r="I28" i="5"/>
  <c r="I29" i="5"/>
  <c r="I30" i="5"/>
  <c r="I31" i="5"/>
  <c r="I32" i="5"/>
  <c r="G19" i="5"/>
  <c r="I6" i="39" s="1"/>
  <c r="I19" i="5"/>
  <c r="M19" i="5"/>
  <c r="I8" i="39" s="1"/>
  <c r="P19" i="5"/>
  <c r="I9" i="39" s="1"/>
  <c r="S19" i="5"/>
  <c r="I10" i="39" s="1"/>
  <c r="V19" i="5"/>
  <c r="I20" i="5"/>
  <c r="I21" i="5"/>
  <c r="I22" i="5"/>
  <c r="I23" i="5"/>
  <c r="I24" i="5"/>
  <c r="I25" i="5"/>
  <c r="U6" i="5"/>
  <c r="U7" i="5"/>
  <c r="U8" i="5"/>
  <c r="U9" i="5"/>
  <c r="U10" i="5"/>
  <c r="U11" i="5"/>
  <c r="U5" i="5"/>
  <c r="B12" i="5"/>
  <c r="B19" i="5" s="1"/>
  <c r="B26" i="5" s="1"/>
  <c r="B33" i="5" s="1"/>
  <c r="G12" i="5"/>
  <c r="I12" i="5"/>
  <c r="M12" i="5"/>
  <c r="P12" i="5"/>
  <c r="S12" i="5"/>
  <c r="V12" i="5"/>
  <c r="I13" i="5"/>
  <c r="I14" i="5"/>
  <c r="I15" i="5"/>
  <c r="I16" i="5"/>
  <c r="I17" i="5"/>
  <c r="I18" i="5"/>
  <c r="J26" i="5" l="1"/>
  <c r="J19" i="5"/>
  <c r="I7" i="39" s="1"/>
  <c r="J33" i="5"/>
  <c r="J12" i="5"/>
  <c r="G12" i="3" l="1"/>
  <c r="G26" i="3"/>
  <c r="V26" i="3" s="1"/>
  <c r="J26" i="3"/>
  <c r="M26" i="3"/>
  <c r="O26" i="3"/>
  <c r="P26" i="3"/>
  <c r="S26" i="3"/>
  <c r="U26" i="3"/>
  <c r="O27" i="3"/>
  <c r="U27" i="3"/>
  <c r="O28" i="3"/>
  <c r="U28" i="3"/>
  <c r="O29" i="3"/>
  <c r="U29" i="3"/>
  <c r="O30" i="3"/>
  <c r="U30" i="3"/>
  <c r="O31" i="3"/>
  <c r="U31" i="3"/>
  <c r="O32" i="3"/>
  <c r="U32" i="3"/>
  <c r="G33" i="3"/>
  <c r="V33" i="3" s="1"/>
  <c r="J33" i="3"/>
  <c r="M33" i="3"/>
  <c r="O33" i="3"/>
  <c r="P33" i="3"/>
  <c r="S33" i="3"/>
  <c r="U33" i="3"/>
  <c r="O34" i="3"/>
  <c r="U34" i="3"/>
  <c r="O35" i="3"/>
  <c r="U35" i="3"/>
  <c r="O36" i="3"/>
  <c r="U36" i="3"/>
  <c r="O37" i="3"/>
  <c r="U37" i="3"/>
  <c r="O38" i="3"/>
  <c r="U38" i="3"/>
  <c r="O39" i="3"/>
  <c r="U39" i="3"/>
  <c r="G19" i="3"/>
  <c r="B6" i="39" s="1"/>
  <c r="B27" i="41" s="1"/>
  <c r="J19" i="3"/>
  <c r="B7" i="39" s="1"/>
  <c r="M19" i="3"/>
  <c r="B8" i="39" s="1"/>
  <c r="O19" i="3"/>
  <c r="S19" i="3"/>
  <c r="B10" i="39" s="1"/>
  <c r="U19" i="3"/>
  <c r="O20" i="3"/>
  <c r="U20" i="3"/>
  <c r="O21" i="3"/>
  <c r="U21" i="3"/>
  <c r="O22" i="3"/>
  <c r="U22" i="3"/>
  <c r="O23" i="3"/>
  <c r="U23" i="3"/>
  <c r="O24" i="3"/>
  <c r="U24" i="3"/>
  <c r="O25" i="3"/>
  <c r="U25" i="3"/>
  <c r="J12" i="3"/>
  <c r="M12" i="3"/>
  <c r="O12" i="3"/>
  <c r="S12" i="3"/>
  <c r="U12" i="3"/>
  <c r="O13" i="3"/>
  <c r="U13" i="3"/>
  <c r="O14" i="3"/>
  <c r="U14" i="3"/>
  <c r="O15" i="3"/>
  <c r="U15" i="3"/>
  <c r="O16" i="3"/>
  <c r="U16" i="3"/>
  <c r="O17" i="3"/>
  <c r="U17" i="3"/>
  <c r="O18" i="3"/>
  <c r="U18" i="3"/>
  <c r="P19" i="3" l="1"/>
  <c r="B9" i="39" s="1"/>
  <c r="V19" i="3"/>
  <c r="B11" i="39" s="1"/>
  <c r="P12" i="3"/>
  <c r="V12" i="3"/>
  <c r="D8" i="6" l="1"/>
  <c r="D9" i="6" s="1"/>
  <c r="D10" i="6" s="1"/>
  <c r="D11" i="6" s="1"/>
  <c r="D12" i="6" s="1"/>
  <c r="D13" i="6" s="1"/>
  <c r="AC13" i="6"/>
  <c r="S13" i="6"/>
  <c r="M13" i="6"/>
  <c r="F13" i="6"/>
  <c r="AL13" i="6" s="1"/>
  <c r="AC12" i="6"/>
  <c r="S12" i="6"/>
  <c r="F12" i="6" s="1"/>
  <c r="AL12" i="6" s="1"/>
  <c r="M12" i="6"/>
  <c r="AC11" i="6"/>
  <c r="S11" i="6"/>
  <c r="M11" i="6"/>
  <c r="F11" i="6" s="1"/>
  <c r="AC10" i="6"/>
  <c r="S10" i="6"/>
  <c r="M10" i="6"/>
  <c r="F10" i="6"/>
  <c r="AL10" i="6" s="1"/>
  <c r="AC9" i="6"/>
  <c r="S9" i="6"/>
  <c r="M9" i="6"/>
  <c r="F9" i="6"/>
  <c r="AL9" i="6" s="1"/>
  <c r="AC8" i="6"/>
  <c r="S8" i="6"/>
  <c r="M8" i="6"/>
  <c r="F8" i="6"/>
  <c r="AL8" i="6" s="1"/>
  <c r="AC7" i="6"/>
  <c r="S7" i="6"/>
  <c r="M7" i="6"/>
  <c r="AC13" i="7"/>
  <c r="S13" i="7"/>
  <c r="M13" i="7"/>
  <c r="F13" i="7"/>
  <c r="AL13" i="7" s="1"/>
  <c r="AC12" i="7"/>
  <c r="S12" i="7"/>
  <c r="M12" i="7"/>
  <c r="AC11" i="7"/>
  <c r="S11" i="7"/>
  <c r="M11" i="7"/>
  <c r="F11" i="7"/>
  <c r="AC10" i="7"/>
  <c r="S10" i="7"/>
  <c r="M10" i="7"/>
  <c r="F10" i="7" s="1"/>
  <c r="AL10" i="7" s="1"/>
  <c r="AC9" i="7"/>
  <c r="S9" i="7"/>
  <c r="M9" i="7"/>
  <c r="F9" i="7"/>
  <c r="AL9" i="7" s="1"/>
  <c r="AC8" i="7"/>
  <c r="S8" i="7"/>
  <c r="M8" i="7"/>
  <c r="F8" i="7"/>
  <c r="AL8" i="7" s="1"/>
  <c r="AC7" i="7"/>
  <c r="S7" i="7"/>
  <c r="M7" i="7"/>
  <c r="B19" i="13" l="1"/>
  <c r="AL11" i="6"/>
  <c r="H16" i="13"/>
  <c r="AD7" i="6"/>
  <c r="H19" i="13"/>
  <c r="T13" i="6"/>
  <c r="T9" i="6"/>
  <c r="T10" i="6"/>
  <c r="AD13" i="6"/>
  <c r="AD9" i="6"/>
  <c r="N8" i="6"/>
  <c r="N13" i="6"/>
  <c r="AD8" i="6"/>
  <c r="N9" i="6"/>
  <c r="N10" i="6"/>
  <c r="N11" i="6"/>
  <c r="AD11" i="6"/>
  <c r="AD12" i="6"/>
  <c r="T8" i="6"/>
  <c r="F7" i="6"/>
  <c r="AL7" i="6" s="1"/>
  <c r="T12" i="6"/>
  <c r="AD10" i="6"/>
  <c r="T11" i="6"/>
  <c r="N7" i="6"/>
  <c r="H15" i="13"/>
  <c r="N12" i="6"/>
  <c r="T7" i="7"/>
  <c r="B16" i="13"/>
  <c r="N13" i="7"/>
  <c r="N9" i="7"/>
  <c r="N10" i="7"/>
  <c r="T13" i="7"/>
  <c r="T10" i="7"/>
  <c r="T9" i="7"/>
  <c r="AL11" i="7"/>
  <c r="T12" i="7"/>
  <c r="T8" i="7"/>
  <c r="N11" i="7"/>
  <c r="T11" i="7"/>
  <c r="B15" i="13"/>
  <c r="N8" i="7"/>
  <c r="F7" i="7"/>
  <c r="AL7" i="7" s="1"/>
  <c r="F12" i="7"/>
  <c r="AL12" i="7" s="1"/>
  <c r="J9" i="6"/>
  <c r="L9" i="6"/>
  <c r="G7" i="6"/>
  <c r="J13" i="6"/>
  <c r="L7" i="6"/>
  <c r="L10" i="6"/>
  <c r="P11" i="6"/>
  <c r="R7" i="6"/>
  <c r="R12" i="6"/>
  <c r="V10" i="6"/>
  <c r="X10" i="6"/>
  <c r="Z13" i="6"/>
  <c r="J8" i="6"/>
  <c r="J10" i="6"/>
  <c r="L12" i="6"/>
  <c r="P8" i="6"/>
  <c r="P12" i="6"/>
  <c r="R8" i="6"/>
  <c r="R9" i="6"/>
  <c r="R10" i="6"/>
  <c r="R13" i="6"/>
  <c r="V12" i="6"/>
  <c r="X12" i="6"/>
  <c r="Z7" i="6"/>
  <c r="Z8" i="6"/>
  <c r="Z9" i="6"/>
  <c r="Z12" i="6"/>
  <c r="AB11" i="6"/>
  <c r="AF7" i="6"/>
  <c r="AF11" i="6"/>
  <c r="AH8" i="6"/>
  <c r="AH9" i="6"/>
  <c r="AH10" i="6"/>
  <c r="AH11" i="6"/>
  <c r="AH12" i="6"/>
  <c r="AH13" i="6"/>
  <c r="J11" i="6"/>
  <c r="L11" i="6"/>
  <c r="P7" i="6"/>
  <c r="P9" i="6"/>
  <c r="P10" i="6"/>
  <c r="P13" i="6"/>
  <c r="R11" i="6"/>
  <c r="V11" i="6"/>
  <c r="X7" i="6"/>
  <c r="X11" i="6"/>
  <c r="Z10" i="6"/>
  <c r="AB8" i="6"/>
  <c r="AB10" i="6"/>
  <c r="AB12" i="6"/>
  <c r="AF12" i="6"/>
  <c r="AJ7" i="6"/>
  <c r="AJ8" i="6"/>
  <c r="AJ9" i="6"/>
  <c r="AJ10" i="6"/>
  <c r="AJ11" i="6"/>
  <c r="AJ12" i="6"/>
  <c r="AJ13" i="6"/>
  <c r="J12" i="6"/>
  <c r="L8" i="6"/>
  <c r="L13" i="6"/>
  <c r="V7" i="6"/>
  <c r="V8" i="6"/>
  <c r="V9" i="6"/>
  <c r="V13" i="6"/>
  <c r="X8" i="6"/>
  <c r="X9" i="6"/>
  <c r="X13" i="6"/>
  <c r="Z11" i="6"/>
  <c r="AB9" i="6"/>
  <c r="AB13" i="6"/>
  <c r="AF8" i="6"/>
  <c r="AF9" i="6"/>
  <c r="AF10" i="6"/>
  <c r="AF13" i="6"/>
  <c r="J9" i="7"/>
  <c r="J13" i="7"/>
  <c r="L11" i="7"/>
  <c r="P8" i="7"/>
  <c r="P13" i="7"/>
  <c r="V11" i="7"/>
  <c r="X8" i="7"/>
  <c r="X9" i="7"/>
  <c r="X11" i="7"/>
  <c r="Z11" i="7"/>
  <c r="AB10" i="7"/>
  <c r="L8" i="7"/>
  <c r="R13" i="7"/>
  <c r="X13" i="7"/>
  <c r="AB11" i="7"/>
  <c r="AF13" i="7"/>
  <c r="AH7" i="7"/>
  <c r="AH8" i="7"/>
  <c r="AH9" i="7"/>
  <c r="AH10" i="7"/>
  <c r="AH11" i="7"/>
  <c r="AH13" i="7"/>
  <c r="J8" i="7"/>
  <c r="J11" i="7"/>
  <c r="L7" i="7"/>
  <c r="P7" i="7"/>
  <c r="P9" i="7"/>
  <c r="P10" i="7"/>
  <c r="P12" i="7"/>
  <c r="R7" i="7"/>
  <c r="R8" i="7"/>
  <c r="R9" i="7"/>
  <c r="R10" i="7"/>
  <c r="R12" i="7"/>
  <c r="V8" i="7"/>
  <c r="V10" i="7"/>
  <c r="V12" i="7"/>
  <c r="X10" i="7"/>
  <c r="Z8" i="7"/>
  <c r="Z9" i="7"/>
  <c r="Z13" i="7"/>
  <c r="AB8" i="7"/>
  <c r="AB9" i="7"/>
  <c r="AB13" i="7"/>
  <c r="AD7" i="7"/>
  <c r="AD8" i="7"/>
  <c r="AD9" i="7"/>
  <c r="AD10" i="7"/>
  <c r="AD11" i="7"/>
  <c r="AD12" i="7"/>
  <c r="AF7" i="7"/>
  <c r="AF8" i="7"/>
  <c r="AF9" i="7"/>
  <c r="AF10" i="7"/>
  <c r="AF11" i="7"/>
  <c r="AJ7" i="7"/>
  <c r="AJ8" i="7"/>
  <c r="AJ9" i="7"/>
  <c r="AJ10" i="7"/>
  <c r="AJ11" i="7"/>
  <c r="AJ13" i="7"/>
  <c r="J10" i="7"/>
  <c r="L9" i="7"/>
  <c r="L10" i="7"/>
  <c r="L13" i="7"/>
  <c r="P11" i="7"/>
  <c r="R11" i="7"/>
  <c r="V7" i="7"/>
  <c r="V9" i="7"/>
  <c r="V13" i="7"/>
  <c r="X7" i="7"/>
  <c r="X12" i="7"/>
  <c r="Z7" i="7"/>
  <c r="Z10" i="7"/>
  <c r="AB7" i="7"/>
  <c r="AD13" i="7"/>
  <c r="AF12" i="7"/>
  <c r="J7" i="7" l="1"/>
  <c r="N7" i="7"/>
  <c r="T7" i="6"/>
  <c r="J7" i="6"/>
  <c r="AB7" i="6"/>
  <c r="AH7" i="6"/>
  <c r="J12" i="7"/>
  <c r="L12" i="7"/>
  <c r="AJ12" i="7"/>
  <c r="AB12" i="7"/>
  <c r="AH12" i="7"/>
  <c r="Z12" i="7"/>
  <c r="G7" i="7"/>
  <c r="N12" i="7"/>
  <c r="I58" i="41"/>
  <c r="C54" i="41"/>
  <c r="C53" i="41"/>
  <c r="K54" i="41"/>
  <c r="M29" i="62"/>
  <c r="M28" i="62"/>
  <c r="M27" i="62"/>
  <c r="M26" i="62"/>
  <c r="M25" i="62"/>
  <c r="M21" i="62"/>
  <c r="M20" i="62"/>
  <c r="M19" i="62"/>
  <c r="M18" i="62"/>
  <c r="M17" i="62"/>
  <c r="M22" i="62" s="1"/>
  <c r="M13" i="62"/>
  <c r="M12" i="62"/>
  <c r="M11" i="62"/>
  <c r="M10" i="62"/>
  <c r="M9" i="62"/>
  <c r="M35" i="20"/>
  <c r="M34" i="20"/>
  <c r="M33" i="20"/>
  <c r="M38" i="20" s="1"/>
  <c r="M29" i="20"/>
  <c r="M28" i="20"/>
  <c r="M27" i="20"/>
  <c r="M26" i="20"/>
  <c r="M25" i="20"/>
  <c r="M21" i="20"/>
  <c r="M20" i="20"/>
  <c r="M19" i="20"/>
  <c r="M18" i="20"/>
  <c r="M17" i="20"/>
  <c r="M13" i="20"/>
  <c r="M12" i="20"/>
  <c r="M11" i="20"/>
  <c r="M10" i="20"/>
  <c r="M9" i="20"/>
  <c r="M14" i="20" s="1"/>
  <c r="K14" i="20" s="1"/>
  <c r="M29" i="19"/>
  <c r="M28" i="19"/>
  <c r="M27" i="19"/>
  <c r="M26" i="19"/>
  <c r="M25" i="19"/>
  <c r="M21" i="19"/>
  <c r="M20" i="19"/>
  <c r="M19" i="19"/>
  <c r="M18" i="19"/>
  <c r="M17" i="19"/>
  <c r="M22" i="19" s="1"/>
  <c r="M13" i="19"/>
  <c r="M12" i="19"/>
  <c r="M11" i="19"/>
  <c r="M10" i="19"/>
  <c r="M9" i="19"/>
  <c r="M14" i="19" s="1"/>
  <c r="M30" i="62" l="1"/>
  <c r="M22" i="20"/>
  <c r="K22" i="20" s="1"/>
  <c r="M30" i="20"/>
  <c r="M30" i="19"/>
  <c r="M14" i="62"/>
  <c r="AH95" i="66"/>
  <c r="AI95" i="66"/>
  <c r="AJ95" i="66"/>
  <c r="AK95" i="66"/>
  <c r="AL95" i="66"/>
  <c r="AM95" i="66"/>
  <c r="AH96" i="66"/>
  <c r="AI96" i="66"/>
  <c r="AM96" i="66"/>
  <c r="AG95" i="66"/>
  <c r="AG96" i="66"/>
  <c r="S112" i="66"/>
  <c r="R112" i="66"/>
  <c r="O112" i="66"/>
  <c r="T112" i="66" s="1"/>
  <c r="N112" i="66"/>
  <c r="L112" i="66"/>
  <c r="J112" i="66"/>
  <c r="S111" i="66"/>
  <c r="R111" i="66"/>
  <c r="O111" i="66"/>
  <c r="P111" i="66" s="1"/>
  <c r="N111" i="66"/>
  <c r="L111" i="66"/>
  <c r="J111" i="66"/>
  <c r="S110" i="66"/>
  <c r="R110" i="66"/>
  <c r="O110" i="66"/>
  <c r="T110" i="66" s="1"/>
  <c r="N110" i="66"/>
  <c r="L110" i="66"/>
  <c r="J110" i="66"/>
  <c r="S109" i="66"/>
  <c r="R109" i="66"/>
  <c r="O109" i="66"/>
  <c r="T109" i="66" s="1"/>
  <c r="N109" i="66"/>
  <c r="L109" i="66"/>
  <c r="J109" i="66"/>
  <c r="S108" i="66"/>
  <c r="R108" i="66"/>
  <c r="O108" i="66"/>
  <c r="T108" i="66" s="1"/>
  <c r="F108" i="66" s="1"/>
  <c r="N108" i="66"/>
  <c r="L108" i="66"/>
  <c r="J108" i="66"/>
  <c r="S107" i="66"/>
  <c r="R107" i="66"/>
  <c r="O107" i="66"/>
  <c r="P107" i="66" s="1"/>
  <c r="N107" i="66"/>
  <c r="L107" i="66"/>
  <c r="J107" i="66"/>
  <c r="S106" i="66"/>
  <c r="R106" i="66"/>
  <c r="O106" i="66"/>
  <c r="T106" i="66" s="1"/>
  <c r="N106" i="66"/>
  <c r="L106" i="66"/>
  <c r="J106" i="66"/>
  <c r="S105" i="66"/>
  <c r="R105" i="66"/>
  <c r="O105" i="66"/>
  <c r="T105" i="66" s="1"/>
  <c r="F105" i="66" s="1"/>
  <c r="N105" i="66"/>
  <c r="L105" i="66"/>
  <c r="J105" i="66"/>
  <c r="S104" i="66"/>
  <c r="R104" i="66"/>
  <c r="O104" i="66"/>
  <c r="P104" i="66" s="1"/>
  <c r="N104" i="66"/>
  <c r="L104" i="66"/>
  <c r="J104" i="66"/>
  <c r="S103" i="66"/>
  <c r="R103" i="66"/>
  <c r="O103" i="66"/>
  <c r="T103" i="66" s="1"/>
  <c r="N103" i="66"/>
  <c r="L103" i="66"/>
  <c r="J103" i="66"/>
  <c r="S102" i="66"/>
  <c r="R102" i="66"/>
  <c r="O102" i="66"/>
  <c r="P102" i="66" s="1"/>
  <c r="N102" i="66"/>
  <c r="L102" i="66"/>
  <c r="J102" i="66"/>
  <c r="S101" i="66"/>
  <c r="R101" i="66"/>
  <c r="O101" i="66"/>
  <c r="P101" i="66" s="1"/>
  <c r="N101" i="66"/>
  <c r="L101" i="66"/>
  <c r="J101" i="66"/>
  <c r="S100" i="66"/>
  <c r="R100" i="66"/>
  <c r="O100" i="66"/>
  <c r="T100" i="66" s="1"/>
  <c r="N100" i="66"/>
  <c r="L100" i="66"/>
  <c r="J100" i="66"/>
  <c r="S99" i="66"/>
  <c r="R99" i="66"/>
  <c r="O99" i="66"/>
  <c r="T99" i="66" s="1"/>
  <c r="N99" i="66"/>
  <c r="L99" i="66"/>
  <c r="J99" i="66"/>
  <c r="S98" i="66"/>
  <c r="R98" i="66"/>
  <c r="O98" i="66"/>
  <c r="P98" i="66" s="1"/>
  <c r="N98" i="66"/>
  <c r="L98" i="66"/>
  <c r="J98" i="66"/>
  <c r="S97" i="66"/>
  <c r="R97" i="66"/>
  <c r="O97" i="66"/>
  <c r="T97" i="66" s="1"/>
  <c r="V97" i="66" s="1"/>
  <c r="N97" i="66"/>
  <c r="L97" i="66"/>
  <c r="J97" i="66"/>
  <c r="S96" i="66"/>
  <c r="R96" i="66"/>
  <c r="O96" i="66"/>
  <c r="T96" i="66" s="1"/>
  <c r="V96" i="66" s="1"/>
  <c r="N96" i="66"/>
  <c r="L96" i="66"/>
  <c r="J96" i="66"/>
  <c r="AF95" i="66"/>
  <c r="AI97" i="66" s="1"/>
  <c r="K65" i="41" s="1"/>
  <c r="S95" i="66"/>
  <c r="R95" i="66"/>
  <c r="O95" i="66"/>
  <c r="P95" i="66" s="1"/>
  <c r="N95" i="66"/>
  <c r="L95" i="66"/>
  <c r="J95" i="66"/>
  <c r="S94" i="66"/>
  <c r="R94" i="66"/>
  <c r="O94" i="66"/>
  <c r="T94" i="66" s="1"/>
  <c r="N94" i="66"/>
  <c r="L94" i="66"/>
  <c r="J94" i="66"/>
  <c r="S93" i="66"/>
  <c r="R93" i="66"/>
  <c r="O93" i="66"/>
  <c r="T93" i="66" s="1"/>
  <c r="N93" i="66"/>
  <c r="L93" i="66"/>
  <c r="J93" i="66"/>
  <c r="AH95" i="63"/>
  <c r="AI95" i="63"/>
  <c r="AJ95" i="63"/>
  <c r="AK95" i="63"/>
  <c r="AL95" i="63"/>
  <c r="AM95" i="63"/>
  <c r="AH96" i="63"/>
  <c r="AJ96" i="63"/>
  <c r="AM96" i="63"/>
  <c r="AG95" i="63"/>
  <c r="R112" i="63"/>
  <c r="O112" i="63"/>
  <c r="S112" i="63" s="1"/>
  <c r="N112" i="63"/>
  <c r="L112" i="63"/>
  <c r="J112" i="63"/>
  <c r="F112" i="63"/>
  <c r="R111" i="63"/>
  <c r="O111" i="63"/>
  <c r="P111" i="63" s="1"/>
  <c r="N111" i="63"/>
  <c r="L111" i="63"/>
  <c r="J111" i="63"/>
  <c r="F111" i="63"/>
  <c r="R110" i="63"/>
  <c r="O110" i="63"/>
  <c r="S110" i="63" s="1"/>
  <c r="N110" i="63"/>
  <c r="L110" i="63"/>
  <c r="J110" i="63"/>
  <c r="F110" i="63"/>
  <c r="R109" i="63"/>
  <c r="O109" i="63"/>
  <c r="S109" i="63" s="1"/>
  <c r="N109" i="63"/>
  <c r="L109" i="63"/>
  <c r="J109" i="63"/>
  <c r="F109" i="63"/>
  <c r="R108" i="63"/>
  <c r="O108" i="63"/>
  <c r="S108" i="63" s="1"/>
  <c r="N108" i="63"/>
  <c r="L108" i="63"/>
  <c r="J108" i="63"/>
  <c r="F108" i="63"/>
  <c r="R107" i="63"/>
  <c r="O107" i="63"/>
  <c r="S107" i="63" s="1"/>
  <c r="N107" i="63"/>
  <c r="L107" i="63"/>
  <c r="J107" i="63"/>
  <c r="F107" i="63"/>
  <c r="R106" i="63"/>
  <c r="O106" i="63"/>
  <c r="S106" i="63" s="1"/>
  <c r="N106" i="63"/>
  <c r="L106" i="63"/>
  <c r="J106" i="63"/>
  <c r="F106" i="63"/>
  <c r="R105" i="63"/>
  <c r="O105" i="63"/>
  <c r="P105" i="63" s="1"/>
  <c r="N105" i="63"/>
  <c r="L105" i="63"/>
  <c r="J105" i="63"/>
  <c r="F105" i="63"/>
  <c r="R104" i="63"/>
  <c r="O104" i="63"/>
  <c r="S104" i="63" s="1"/>
  <c r="N104" i="63"/>
  <c r="L104" i="63"/>
  <c r="J104" i="63"/>
  <c r="F104" i="63"/>
  <c r="R103" i="63"/>
  <c r="O103" i="63"/>
  <c r="S103" i="63" s="1"/>
  <c r="N103" i="63"/>
  <c r="L103" i="63"/>
  <c r="J103" i="63"/>
  <c r="F103" i="63"/>
  <c r="R102" i="63"/>
  <c r="O102" i="63"/>
  <c r="S102" i="63" s="1"/>
  <c r="V102" i="63" s="1"/>
  <c r="N102" i="63"/>
  <c r="L102" i="63"/>
  <c r="J102" i="63"/>
  <c r="F102" i="63"/>
  <c r="R101" i="63"/>
  <c r="O101" i="63"/>
  <c r="S101" i="63" s="1"/>
  <c r="N101" i="63"/>
  <c r="L101" i="63"/>
  <c r="J101" i="63"/>
  <c r="F101" i="63"/>
  <c r="R100" i="63"/>
  <c r="O100" i="63"/>
  <c r="S100" i="63" s="1"/>
  <c r="N100" i="63"/>
  <c r="L100" i="63"/>
  <c r="J100" i="63"/>
  <c r="F100" i="63"/>
  <c r="R99" i="63"/>
  <c r="O99" i="63"/>
  <c r="S99" i="63" s="1"/>
  <c r="V99" i="63" s="1"/>
  <c r="N99" i="63"/>
  <c r="L99" i="63"/>
  <c r="J99" i="63"/>
  <c r="F99" i="63"/>
  <c r="AG96" i="63" s="1"/>
  <c r="R98" i="63"/>
  <c r="O98" i="63"/>
  <c r="P98" i="63" s="1"/>
  <c r="N98" i="63"/>
  <c r="L98" i="63"/>
  <c r="J98" i="63"/>
  <c r="F98" i="63"/>
  <c r="R97" i="63"/>
  <c r="O97" i="63"/>
  <c r="P97" i="63" s="1"/>
  <c r="N97" i="63"/>
  <c r="L97" i="63"/>
  <c r="J97" i="63"/>
  <c r="F97" i="63"/>
  <c r="AI96" i="63" s="1"/>
  <c r="R96" i="63"/>
  <c r="O96" i="63"/>
  <c r="P96" i="63" s="1"/>
  <c r="N96" i="63"/>
  <c r="L96" i="63"/>
  <c r="J96" i="63"/>
  <c r="F96" i="63"/>
  <c r="AK96" i="63" s="1"/>
  <c r="AF95" i="63"/>
  <c r="R95" i="63"/>
  <c r="O95" i="63"/>
  <c r="S95" i="63" s="1"/>
  <c r="N95" i="63"/>
  <c r="L95" i="63"/>
  <c r="J95" i="63"/>
  <c r="F95" i="63"/>
  <c r="R94" i="63"/>
  <c r="O94" i="63"/>
  <c r="P94" i="63" s="1"/>
  <c r="N94" i="63"/>
  <c r="L94" i="63"/>
  <c r="J94" i="63"/>
  <c r="F94" i="63"/>
  <c r="R93" i="63"/>
  <c r="O93" i="63"/>
  <c r="S93" i="63" s="1"/>
  <c r="N93" i="63"/>
  <c r="L93" i="63"/>
  <c r="J93" i="63"/>
  <c r="F93" i="63"/>
  <c r="AL96" i="63" s="1"/>
  <c r="B8" i="25"/>
  <c r="A8" i="25"/>
  <c r="T104" i="66" l="1"/>
  <c r="V104" i="66" s="1"/>
  <c r="X104" i="66" s="1"/>
  <c r="AH97" i="66"/>
  <c r="I54" i="41" s="1"/>
  <c r="T98" i="66"/>
  <c r="V98" i="66" s="1"/>
  <c r="X98" i="66" s="1"/>
  <c r="T101" i="66"/>
  <c r="V101" i="66" s="1"/>
  <c r="W101" i="66" s="1"/>
  <c r="P108" i="66"/>
  <c r="F54" i="41"/>
  <c r="AG97" i="66"/>
  <c r="G54" i="41" s="1"/>
  <c r="J54" i="41"/>
  <c r="H54" i="41"/>
  <c r="AM97" i="66"/>
  <c r="K59" i="41" s="1"/>
  <c r="AL97" i="66"/>
  <c r="I59" i="41" s="1"/>
  <c r="AK97" i="66"/>
  <c r="G59" i="41" s="1"/>
  <c r="AJ97" i="66"/>
  <c r="M54" i="41" s="1"/>
  <c r="J59" i="41"/>
  <c r="F53" i="41"/>
  <c r="J58" i="41"/>
  <c r="H58" i="41"/>
  <c r="F58" i="41"/>
  <c r="L53" i="41"/>
  <c r="H53" i="41"/>
  <c r="J53" i="41"/>
  <c r="AG97" i="63"/>
  <c r="G53" i="41" s="1"/>
  <c r="AM97" i="63"/>
  <c r="K58" i="41" s="1"/>
  <c r="AK97" i="63"/>
  <c r="G58" i="41" s="1"/>
  <c r="AJ97" i="63"/>
  <c r="M53" i="41" s="1"/>
  <c r="AI97" i="63"/>
  <c r="K53" i="41" s="1"/>
  <c r="AH97" i="63"/>
  <c r="I53" i="41" s="1"/>
  <c r="AL97" i="63"/>
  <c r="P97" i="66"/>
  <c r="P93" i="66"/>
  <c r="P96" i="66"/>
  <c r="T107" i="66"/>
  <c r="F107" i="66" s="1"/>
  <c r="P99" i="66"/>
  <c r="P105" i="66"/>
  <c r="T102" i="66"/>
  <c r="F102" i="66" s="1"/>
  <c r="T95" i="66"/>
  <c r="V95" i="66" s="1"/>
  <c r="W95" i="66" s="1"/>
  <c r="T111" i="66"/>
  <c r="U105" i="66"/>
  <c r="F97" i="66"/>
  <c r="U108" i="66"/>
  <c r="F96" i="66"/>
  <c r="V108" i="66"/>
  <c r="X108" i="66" s="1"/>
  <c r="P107" i="63"/>
  <c r="S105" i="63"/>
  <c r="V105" i="63" s="1"/>
  <c r="W105" i="63" s="1"/>
  <c r="V108" i="63"/>
  <c r="X108" i="63" s="1"/>
  <c r="U108" i="63"/>
  <c r="T108" i="63"/>
  <c r="P108" i="63"/>
  <c r="S111" i="63"/>
  <c r="V111" i="63" s="1"/>
  <c r="X111" i="63" s="1"/>
  <c r="P104" i="63"/>
  <c r="T111" i="63"/>
  <c r="F99" i="66"/>
  <c r="V99" i="66"/>
  <c r="U99" i="66"/>
  <c r="V110" i="66"/>
  <c r="U110" i="66"/>
  <c r="F110" i="66"/>
  <c r="F94" i="66"/>
  <c r="V94" i="66"/>
  <c r="U94" i="66"/>
  <c r="X97" i="66"/>
  <c r="W97" i="66"/>
  <c r="F100" i="66"/>
  <c r="V100" i="66"/>
  <c r="U100" i="66"/>
  <c r="U103" i="66"/>
  <c r="F103" i="66"/>
  <c r="V103" i="66"/>
  <c r="V106" i="66"/>
  <c r="U106" i="66"/>
  <c r="F106" i="66"/>
  <c r="X96" i="66"/>
  <c r="W96" i="66"/>
  <c r="V109" i="66"/>
  <c r="U109" i="66"/>
  <c r="F109" i="66"/>
  <c r="V112" i="66"/>
  <c r="U112" i="66"/>
  <c r="F112" i="66"/>
  <c r="F93" i="66"/>
  <c r="AK96" i="66" s="1"/>
  <c r="F59" i="41" s="1"/>
  <c r="V93" i="66"/>
  <c r="U93" i="66"/>
  <c r="F104" i="66"/>
  <c r="V105" i="66"/>
  <c r="P110" i="66"/>
  <c r="V102" i="66"/>
  <c r="U104" i="66"/>
  <c r="P112" i="66"/>
  <c r="P109" i="66"/>
  <c r="U96" i="66"/>
  <c r="U97" i="66"/>
  <c r="P106" i="66"/>
  <c r="P103" i="66"/>
  <c r="P94" i="66"/>
  <c r="P100" i="66"/>
  <c r="S94" i="63"/>
  <c r="T94" i="63" s="1"/>
  <c r="P99" i="63"/>
  <c r="P102" i="63"/>
  <c r="S97" i="63"/>
  <c r="V97" i="63" s="1"/>
  <c r="W97" i="63" s="1"/>
  <c r="S96" i="63"/>
  <c r="V96" i="63" s="1"/>
  <c r="X96" i="63" s="1"/>
  <c r="S98" i="63"/>
  <c r="V98" i="63" s="1"/>
  <c r="X98" i="63" s="1"/>
  <c r="V95" i="63"/>
  <c r="U95" i="63"/>
  <c r="T95" i="63"/>
  <c r="V110" i="63"/>
  <c r="U110" i="63"/>
  <c r="T110" i="63"/>
  <c r="X99" i="63"/>
  <c r="W99" i="63"/>
  <c r="X102" i="63"/>
  <c r="W102" i="63"/>
  <c r="V93" i="63"/>
  <c r="U93" i="63"/>
  <c r="T93" i="63"/>
  <c r="T100" i="63"/>
  <c r="V100" i="63"/>
  <c r="U100" i="63"/>
  <c r="U103" i="63"/>
  <c r="T103" i="63"/>
  <c r="V103" i="63"/>
  <c r="V106" i="63"/>
  <c r="U106" i="63"/>
  <c r="T106" i="63"/>
  <c r="V101" i="63"/>
  <c r="U101" i="63"/>
  <c r="T101" i="63"/>
  <c r="V104" i="63"/>
  <c r="U104" i="63"/>
  <c r="T104" i="63"/>
  <c r="V109" i="63"/>
  <c r="U109" i="63"/>
  <c r="T109" i="63"/>
  <c r="V107" i="63"/>
  <c r="U107" i="63"/>
  <c r="T107" i="63"/>
  <c r="V112" i="63"/>
  <c r="U112" i="63"/>
  <c r="T112" i="63"/>
  <c r="P93" i="63"/>
  <c r="T102" i="63"/>
  <c r="T99" i="63"/>
  <c r="U102" i="63"/>
  <c r="P110" i="63"/>
  <c r="U99" i="63"/>
  <c r="P95" i="63"/>
  <c r="P101" i="63"/>
  <c r="P112" i="63"/>
  <c r="P109" i="63"/>
  <c r="P106" i="63"/>
  <c r="P103" i="63"/>
  <c r="P100" i="63"/>
  <c r="T105" i="63" l="1"/>
  <c r="U111" i="63"/>
  <c r="W104" i="66"/>
  <c r="U95" i="66"/>
  <c r="X95" i="66"/>
  <c r="U102" i="66"/>
  <c r="W98" i="66"/>
  <c r="U101" i="66"/>
  <c r="F101" i="66"/>
  <c r="U98" i="66"/>
  <c r="X101" i="66"/>
  <c r="F98" i="66"/>
  <c r="W111" i="63"/>
  <c r="F95" i="66"/>
  <c r="AJ96" i="66" s="1"/>
  <c r="L54" i="41" s="1"/>
  <c r="V107" i="66"/>
  <c r="U107" i="66"/>
  <c r="V111" i="66"/>
  <c r="U111" i="66"/>
  <c r="F111" i="66"/>
  <c r="AL96" i="66" s="1"/>
  <c r="H59" i="41" s="1"/>
  <c r="W108" i="66"/>
  <c r="X105" i="63"/>
  <c r="U105" i="63"/>
  <c r="W108" i="63"/>
  <c r="T97" i="63"/>
  <c r="T96" i="63"/>
  <c r="U97" i="63"/>
  <c r="X93" i="66"/>
  <c r="W93" i="66"/>
  <c r="X103" i="66"/>
  <c r="W103" i="66"/>
  <c r="X112" i="66"/>
  <c r="W112" i="66"/>
  <c r="X94" i="66"/>
  <c r="W94" i="66"/>
  <c r="X105" i="66"/>
  <c r="W105" i="66"/>
  <c r="X99" i="66"/>
  <c r="W99" i="66"/>
  <c r="X106" i="66"/>
  <c r="W106" i="66"/>
  <c r="X100" i="66"/>
  <c r="W100" i="66"/>
  <c r="X102" i="66"/>
  <c r="W102" i="66"/>
  <c r="W109" i="66"/>
  <c r="X109" i="66"/>
  <c r="X110" i="66"/>
  <c r="W110" i="66"/>
  <c r="X97" i="63"/>
  <c r="W96" i="63"/>
  <c r="V94" i="63"/>
  <c r="X94" i="63" s="1"/>
  <c r="U98" i="63"/>
  <c r="U94" i="63"/>
  <c r="U96" i="63"/>
  <c r="T98" i="63"/>
  <c r="W98" i="63"/>
  <c r="X100" i="63"/>
  <c r="W100" i="63"/>
  <c r="X93" i="63"/>
  <c r="W93" i="63"/>
  <c r="X104" i="63"/>
  <c r="W104" i="63"/>
  <c r="X101" i="63"/>
  <c r="W101" i="63"/>
  <c r="X106" i="63"/>
  <c r="W106" i="63"/>
  <c r="X110" i="63"/>
  <c r="W110" i="63"/>
  <c r="X112" i="63"/>
  <c r="W112" i="63"/>
  <c r="X103" i="63"/>
  <c r="W103" i="63"/>
  <c r="X107" i="63"/>
  <c r="W107" i="63"/>
  <c r="W109" i="63"/>
  <c r="X109" i="63"/>
  <c r="X95" i="63"/>
  <c r="W95" i="63"/>
  <c r="X111" i="66" l="1"/>
  <c r="W111" i="66"/>
  <c r="W107" i="66"/>
  <c r="X107" i="66"/>
  <c r="W94" i="63"/>
  <c r="B43" i="41" l="1"/>
  <c r="B42" i="41"/>
  <c r="C42" i="41" l="1"/>
  <c r="R67" i="63"/>
  <c r="O67" i="63"/>
  <c r="S67" i="63" s="1"/>
  <c r="N67" i="63"/>
  <c r="L67" i="63"/>
  <c r="J67" i="63"/>
  <c r="F67" i="63"/>
  <c r="R66" i="63"/>
  <c r="O66" i="63"/>
  <c r="P66" i="63" s="1"/>
  <c r="N66" i="63"/>
  <c r="L66" i="63"/>
  <c r="J66" i="63"/>
  <c r="F66" i="63"/>
  <c r="R65" i="63"/>
  <c r="O65" i="63"/>
  <c r="S65" i="63" s="1"/>
  <c r="N65" i="63"/>
  <c r="L65" i="63"/>
  <c r="J65" i="63"/>
  <c r="F65" i="63"/>
  <c r="R64" i="63"/>
  <c r="O64" i="63"/>
  <c r="S64" i="63" s="1"/>
  <c r="N64" i="63"/>
  <c r="L64" i="63"/>
  <c r="J64" i="63"/>
  <c r="F64" i="63"/>
  <c r="R63" i="63"/>
  <c r="O63" i="63"/>
  <c r="S63" i="63" s="1"/>
  <c r="N63" i="63"/>
  <c r="L63" i="63"/>
  <c r="J63" i="63"/>
  <c r="F63" i="63"/>
  <c r="R62" i="63"/>
  <c r="O62" i="63"/>
  <c r="S62" i="63" s="1"/>
  <c r="N62" i="63"/>
  <c r="L62" i="63"/>
  <c r="J62" i="63"/>
  <c r="F62" i="63"/>
  <c r="R61" i="63"/>
  <c r="O61" i="63"/>
  <c r="S61" i="63" s="1"/>
  <c r="N61" i="63"/>
  <c r="L61" i="63"/>
  <c r="J61" i="63"/>
  <c r="F61" i="63"/>
  <c r="AG73" i="66"/>
  <c r="AG75" i="66" s="1"/>
  <c r="G43" i="41" s="1"/>
  <c r="AH73" i="66"/>
  <c r="AH75" i="66" s="1"/>
  <c r="I43" i="41" s="1"/>
  <c r="AI73" i="66"/>
  <c r="AI75" i="66" s="1"/>
  <c r="K43" i="41" s="1"/>
  <c r="AJ73" i="66"/>
  <c r="AJ75" i="66" s="1"/>
  <c r="M43" i="41" s="1"/>
  <c r="AK73" i="66"/>
  <c r="AK75" i="66" s="1"/>
  <c r="G48" i="41" s="1"/>
  <c r="AL73" i="66"/>
  <c r="AL75" i="66" s="1"/>
  <c r="I48" i="41" s="1"/>
  <c r="AM73" i="66"/>
  <c r="AM75" i="66" s="1"/>
  <c r="K48" i="41" s="1"/>
  <c r="AH74" i="66"/>
  <c r="H43" i="41" s="1"/>
  <c r="AI74" i="66"/>
  <c r="J43" i="41" s="1"/>
  <c r="AM74" i="66"/>
  <c r="J48" i="41" s="1"/>
  <c r="AG74" i="66"/>
  <c r="F43" i="41" s="1"/>
  <c r="S90" i="66"/>
  <c r="R90" i="66"/>
  <c r="O90" i="66"/>
  <c r="T90" i="66" s="1"/>
  <c r="N90" i="66"/>
  <c r="L90" i="66"/>
  <c r="J90" i="66"/>
  <c r="S89" i="66"/>
  <c r="R89" i="66"/>
  <c r="O89" i="66"/>
  <c r="P89" i="66" s="1"/>
  <c r="N89" i="66"/>
  <c r="L89" i="66"/>
  <c r="J89" i="66"/>
  <c r="S88" i="66"/>
  <c r="R88" i="66"/>
  <c r="O88" i="66"/>
  <c r="P88" i="66" s="1"/>
  <c r="N88" i="66"/>
  <c r="L88" i="66"/>
  <c r="J88" i="66"/>
  <c r="S87" i="66"/>
  <c r="R87" i="66"/>
  <c r="O87" i="66"/>
  <c r="T87" i="66" s="1"/>
  <c r="N87" i="66"/>
  <c r="L87" i="66"/>
  <c r="J87" i="66"/>
  <c r="S86" i="66"/>
  <c r="R86" i="66"/>
  <c r="O86" i="66"/>
  <c r="T86" i="66" s="1"/>
  <c r="F86" i="66" s="1"/>
  <c r="N86" i="66"/>
  <c r="L86" i="66"/>
  <c r="J86" i="66"/>
  <c r="S85" i="66"/>
  <c r="R85" i="66"/>
  <c r="O85" i="66"/>
  <c r="T85" i="66" s="1"/>
  <c r="N85" i="66"/>
  <c r="L85" i="66"/>
  <c r="J85" i="66"/>
  <c r="S84" i="66"/>
  <c r="R84" i="66"/>
  <c r="O84" i="66"/>
  <c r="P84" i="66" s="1"/>
  <c r="N84" i="66"/>
  <c r="L84" i="66"/>
  <c r="J84" i="66"/>
  <c r="S83" i="66"/>
  <c r="R83" i="66"/>
  <c r="O83" i="66"/>
  <c r="P83" i="66" s="1"/>
  <c r="N83" i="66"/>
  <c r="L83" i="66"/>
  <c r="J83" i="66"/>
  <c r="S82" i="66"/>
  <c r="R82" i="66"/>
  <c r="O82" i="66"/>
  <c r="P82" i="66" s="1"/>
  <c r="N82" i="66"/>
  <c r="L82" i="66"/>
  <c r="J82" i="66"/>
  <c r="S81" i="66"/>
  <c r="R81" i="66"/>
  <c r="O81" i="66"/>
  <c r="T81" i="66" s="1"/>
  <c r="N81" i="66"/>
  <c r="L81" i="66"/>
  <c r="J81" i="66"/>
  <c r="S80" i="66"/>
  <c r="R80" i="66"/>
  <c r="O80" i="66"/>
  <c r="P80" i="66" s="1"/>
  <c r="N80" i="66"/>
  <c r="L80" i="66"/>
  <c r="J80" i="66"/>
  <c r="S79" i="66"/>
  <c r="R79" i="66"/>
  <c r="O79" i="66"/>
  <c r="T79" i="66" s="1"/>
  <c r="N79" i="66"/>
  <c r="L79" i="66"/>
  <c r="J79" i="66"/>
  <c r="S78" i="66"/>
  <c r="R78" i="66"/>
  <c r="O78" i="66"/>
  <c r="T78" i="66" s="1"/>
  <c r="N78" i="66"/>
  <c r="L78" i="66"/>
  <c r="J78" i="66"/>
  <c r="S77" i="66"/>
  <c r="R77" i="66"/>
  <c r="O77" i="66"/>
  <c r="P77" i="66" s="1"/>
  <c r="N77" i="66"/>
  <c r="L77" i="66"/>
  <c r="J77" i="66"/>
  <c r="S76" i="66"/>
  <c r="R76" i="66"/>
  <c r="O76" i="66"/>
  <c r="T76" i="66" s="1"/>
  <c r="N76" i="66"/>
  <c r="L76" i="66"/>
  <c r="J76" i="66"/>
  <c r="S75" i="66"/>
  <c r="R75" i="66"/>
  <c r="O75" i="66"/>
  <c r="T75" i="66" s="1"/>
  <c r="N75" i="66"/>
  <c r="L75" i="66"/>
  <c r="J75" i="66"/>
  <c r="S74" i="66"/>
  <c r="R74" i="66"/>
  <c r="O74" i="66"/>
  <c r="T74" i="66" s="1"/>
  <c r="N74" i="66"/>
  <c r="L74" i="66"/>
  <c r="J74" i="66"/>
  <c r="AF73" i="66"/>
  <c r="S73" i="66"/>
  <c r="R73" i="66"/>
  <c r="O73" i="66"/>
  <c r="T73" i="66" s="1"/>
  <c r="N73" i="66"/>
  <c r="L73" i="66"/>
  <c r="J73" i="66"/>
  <c r="S72" i="66"/>
  <c r="R72" i="66"/>
  <c r="O72" i="66"/>
  <c r="T72" i="66" s="1"/>
  <c r="N72" i="66"/>
  <c r="L72" i="66"/>
  <c r="J72" i="66"/>
  <c r="S71" i="66"/>
  <c r="R71" i="66"/>
  <c r="O71" i="66"/>
  <c r="P71" i="66" s="1"/>
  <c r="N71" i="66"/>
  <c r="L71" i="66"/>
  <c r="J71" i="66"/>
  <c r="AH51" i="66"/>
  <c r="AH53" i="66" s="1"/>
  <c r="I32" i="41" s="1"/>
  <c r="AI51" i="66"/>
  <c r="AI53" i="66" s="1"/>
  <c r="K32" i="41" s="1"/>
  <c r="AJ51" i="66"/>
  <c r="AJ53" i="66" s="1"/>
  <c r="M32" i="41" s="1"/>
  <c r="AK51" i="66"/>
  <c r="AK53" i="66" s="1"/>
  <c r="G37" i="41" s="1"/>
  <c r="AL51" i="66"/>
  <c r="AL53" i="66" s="1"/>
  <c r="I37" i="41" s="1"/>
  <c r="AM51" i="66"/>
  <c r="AM53" i="66" s="1"/>
  <c r="K37" i="41" s="1"/>
  <c r="AH52" i="66"/>
  <c r="H32" i="41" s="1"/>
  <c r="AI52" i="66"/>
  <c r="J32" i="41" s="1"/>
  <c r="AM52" i="66"/>
  <c r="J37" i="41" s="1"/>
  <c r="AG52" i="66"/>
  <c r="F32" i="41" s="1"/>
  <c r="AG51" i="66"/>
  <c r="AG53" i="66" s="1"/>
  <c r="G32" i="41" s="1"/>
  <c r="S68" i="66"/>
  <c r="R68" i="66"/>
  <c r="O68" i="66"/>
  <c r="T68" i="66" s="1"/>
  <c r="V68" i="66" s="1"/>
  <c r="N68" i="66"/>
  <c r="L68" i="66"/>
  <c r="J68" i="66"/>
  <c r="S67" i="66"/>
  <c r="R67" i="66"/>
  <c r="O67" i="66"/>
  <c r="P67" i="66" s="1"/>
  <c r="N67" i="66"/>
  <c r="L67" i="66"/>
  <c r="J67" i="66"/>
  <c r="S66" i="66"/>
  <c r="R66" i="66"/>
  <c r="O66" i="66"/>
  <c r="P66" i="66" s="1"/>
  <c r="N66" i="66"/>
  <c r="L66" i="66"/>
  <c r="J66" i="66"/>
  <c r="S65" i="66"/>
  <c r="R65" i="66"/>
  <c r="O65" i="66"/>
  <c r="T65" i="66" s="1"/>
  <c r="N65" i="66"/>
  <c r="L65" i="66"/>
  <c r="J65" i="66"/>
  <c r="S64" i="66"/>
  <c r="R64" i="66"/>
  <c r="O64" i="66"/>
  <c r="T64" i="66" s="1"/>
  <c r="F64" i="66" s="1"/>
  <c r="N64" i="66"/>
  <c r="L64" i="66"/>
  <c r="J64" i="66"/>
  <c r="S63" i="66"/>
  <c r="R63" i="66"/>
  <c r="O63" i="66"/>
  <c r="P63" i="66" s="1"/>
  <c r="N63" i="66"/>
  <c r="L63" i="66"/>
  <c r="J63" i="66"/>
  <c r="S62" i="66"/>
  <c r="R62" i="66"/>
  <c r="O62" i="66"/>
  <c r="T62" i="66" s="1"/>
  <c r="N62" i="66"/>
  <c r="L62" i="66"/>
  <c r="J62" i="66"/>
  <c r="S61" i="66"/>
  <c r="R61" i="66"/>
  <c r="O61" i="66"/>
  <c r="T61" i="66" s="1"/>
  <c r="N61" i="66"/>
  <c r="L61" i="66"/>
  <c r="J61" i="66"/>
  <c r="S60" i="66"/>
  <c r="R60" i="66"/>
  <c r="O60" i="66"/>
  <c r="P60" i="66" s="1"/>
  <c r="N60" i="66"/>
  <c r="L60" i="66"/>
  <c r="J60" i="66"/>
  <c r="S59" i="66"/>
  <c r="R59" i="66"/>
  <c r="O59" i="66"/>
  <c r="T59" i="66" s="1"/>
  <c r="N59" i="66"/>
  <c r="L59" i="66"/>
  <c r="J59" i="66"/>
  <c r="S58" i="66"/>
  <c r="R58" i="66"/>
  <c r="O58" i="66"/>
  <c r="P58" i="66" s="1"/>
  <c r="N58" i="66"/>
  <c r="L58" i="66"/>
  <c r="J58" i="66"/>
  <c r="S57" i="66"/>
  <c r="R57" i="66"/>
  <c r="O57" i="66"/>
  <c r="P57" i="66" s="1"/>
  <c r="N57" i="66"/>
  <c r="L57" i="66"/>
  <c r="J57" i="66"/>
  <c r="S56" i="66"/>
  <c r="R56" i="66"/>
  <c r="O56" i="66"/>
  <c r="T56" i="66" s="1"/>
  <c r="N56" i="66"/>
  <c r="L56" i="66"/>
  <c r="J56" i="66"/>
  <c r="S55" i="66"/>
  <c r="R55" i="66"/>
  <c r="O55" i="66"/>
  <c r="T55" i="66" s="1"/>
  <c r="N55" i="66"/>
  <c r="L55" i="66"/>
  <c r="J55" i="66"/>
  <c r="S54" i="66"/>
  <c r="R54" i="66"/>
  <c r="O54" i="66"/>
  <c r="P54" i="66" s="1"/>
  <c r="N54" i="66"/>
  <c r="L54" i="66"/>
  <c r="J54" i="66"/>
  <c r="S53" i="66"/>
  <c r="R53" i="66"/>
  <c r="O53" i="66"/>
  <c r="P53" i="66" s="1"/>
  <c r="N53" i="66"/>
  <c r="L53" i="66"/>
  <c r="J53" i="66"/>
  <c r="S52" i="66"/>
  <c r="R52" i="66"/>
  <c r="O52" i="66"/>
  <c r="P52" i="66" s="1"/>
  <c r="N52" i="66"/>
  <c r="L52" i="66"/>
  <c r="J52" i="66"/>
  <c r="AF51" i="66"/>
  <c r="S51" i="66"/>
  <c r="R51" i="66"/>
  <c r="O51" i="66"/>
  <c r="T51" i="66" s="1"/>
  <c r="V51" i="66" s="1"/>
  <c r="N51" i="66"/>
  <c r="L51" i="66"/>
  <c r="J51" i="66"/>
  <c r="S50" i="66"/>
  <c r="R50" i="66"/>
  <c r="O50" i="66"/>
  <c r="T50" i="66" s="1"/>
  <c r="N50" i="66"/>
  <c r="L50" i="66"/>
  <c r="J50" i="66"/>
  <c r="S49" i="66"/>
  <c r="R49" i="66"/>
  <c r="O49" i="66"/>
  <c r="P49" i="66" s="1"/>
  <c r="N49" i="66"/>
  <c r="L49" i="66"/>
  <c r="J49" i="66"/>
  <c r="AH73" i="63"/>
  <c r="AI73" i="63"/>
  <c r="AI75" i="63" s="1"/>
  <c r="K42" i="41" s="1"/>
  <c r="AJ73" i="63"/>
  <c r="AJ75" i="63" s="1"/>
  <c r="M42" i="41" s="1"/>
  <c r="AK73" i="63"/>
  <c r="AK75" i="63" s="1"/>
  <c r="G47" i="41" s="1"/>
  <c r="AL73" i="63"/>
  <c r="AL75" i="63" s="1"/>
  <c r="I47" i="41" s="1"/>
  <c r="AM73" i="63"/>
  <c r="AM75" i="63" s="1"/>
  <c r="K47" i="41" s="1"/>
  <c r="AH74" i="63"/>
  <c r="H42" i="41" s="1"/>
  <c r="AJ74" i="63"/>
  <c r="L42" i="41" s="1"/>
  <c r="AK74" i="63"/>
  <c r="F47" i="41" s="1"/>
  <c r="AM74" i="63"/>
  <c r="J47" i="41" s="1"/>
  <c r="AG73" i="63"/>
  <c r="AF73" i="63"/>
  <c r="AH51" i="63"/>
  <c r="AI51" i="63"/>
  <c r="AJ51" i="63"/>
  <c r="AK51" i="63"/>
  <c r="AL51" i="63"/>
  <c r="AM51" i="63"/>
  <c r="AH52" i="63"/>
  <c r="H31" i="41" s="1"/>
  <c r="AJ52" i="63"/>
  <c r="L31" i="41" s="1"/>
  <c r="AM52" i="63"/>
  <c r="J36" i="41" s="1"/>
  <c r="R90" i="63"/>
  <c r="O90" i="63"/>
  <c r="S90" i="63" s="1"/>
  <c r="N90" i="63"/>
  <c r="L90" i="63"/>
  <c r="J90" i="63"/>
  <c r="F90" i="63"/>
  <c r="R89" i="63"/>
  <c r="O89" i="63"/>
  <c r="P89" i="63" s="1"/>
  <c r="N89" i="63"/>
  <c r="L89" i="63"/>
  <c r="J89" i="63"/>
  <c r="F89" i="63"/>
  <c r="R88" i="63"/>
  <c r="O88" i="63"/>
  <c r="P88" i="63" s="1"/>
  <c r="N88" i="63"/>
  <c r="L88" i="63"/>
  <c r="J88" i="63"/>
  <c r="F88" i="63"/>
  <c r="R87" i="63"/>
  <c r="O87" i="63"/>
  <c r="S87" i="63" s="1"/>
  <c r="N87" i="63"/>
  <c r="L87" i="63"/>
  <c r="J87" i="63"/>
  <c r="F87" i="63"/>
  <c r="R86" i="63"/>
  <c r="O86" i="63"/>
  <c r="S86" i="63" s="1"/>
  <c r="U86" i="63" s="1"/>
  <c r="N86" i="63"/>
  <c r="L86" i="63"/>
  <c r="J86" i="63"/>
  <c r="F86" i="63"/>
  <c r="R85" i="63"/>
  <c r="O85" i="63"/>
  <c r="S85" i="63" s="1"/>
  <c r="N85" i="63"/>
  <c r="L85" i="63"/>
  <c r="J85" i="63"/>
  <c r="F85" i="63"/>
  <c r="R84" i="63"/>
  <c r="O84" i="63"/>
  <c r="S84" i="63" s="1"/>
  <c r="N84" i="63"/>
  <c r="L84" i="63"/>
  <c r="J84" i="63"/>
  <c r="F84" i="63"/>
  <c r="R83" i="63"/>
  <c r="O83" i="63"/>
  <c r="P83" i="63" s="1"/>
  <c r="N83" i="63"/>
  <c r="L83" i="63"/>
  <c r="J83" i="63"/>
  <c r="F83" i="63"/>
  <c r="R82" i="63"/>
  <c r="O82" i="63"/>
  <c r="S82" i="63" s="1"/>
  <c r="N82" i="63"/>
  <c r="L82" i="63"/>
  <c r="J82" i="63"/>
  <c r="F82" i="63"/>
  <c r="R81" i="63"/>
  <c r="O81" i="63"/>
  <c r="S81" i="63" s="1"/>
  <c r="N81" i="63"/>
  <c r="L81" i="63"/>
  <c r="J81" i="63"/>
  <c r="F81" i="63"/>
  <c r="R80" i="63"/>
  <c r="O80" i="63"/>
  <c r="P80" i="63" s="1"/>
  <c r="N80" i="63"/>
  <c r="L80" i="63"/>
  <c r="J80" i="63"/>
  <c r="F80" i="63"/>
  <c r="R79" i="63"/>
  <c r="O79" i="63"/>
  <c r="S79" i="63" s="1"/>
  <c r="N79" i="63"/>
  <c r="L79" i="63"/>
  <c r="J79" i="63"/>
  <c r="F79" i="63"/>
  <c r="R78" i="63"/>
  <c r="O78" i="63"/>
  <c r="P78" i="63" s="1"/>
  <c r="N78" i="63"/>
  <c r="L78" i="63"/>
  <c r="J78" i="63"/>
  <c r="F78" i="63"/>
  <c r="R77" i="63"/>
  <c r="O77" i="63"/>
  <c r="S77" i="63" s="1"/>
  <c r="N77" i="63"/>
  <c r="L77" i="63"/>
  <c r="J77" i="63"/>
  <c r="F77" i="63"/>
  <c r="R76" i="63"/>
  <c r="O76" i="63"/>
  <c r="S76" i="63" s="1"/>
  <c r="N76" i="63"/>
  <c r="L76" i="63"/>
  <c r="J76" i="63"/>
  <c r="F76" i="63"/>
  <c r="R75" i="63"/>
  <c r="O75" i="63"/>
  <c r="S75" i="63" s="1"/>
  <c r="N75" i="63"/>
  <c r="L75" i="63"/>
  <c r="J75" i="63"/>
  <c r="F75" i="63"/>
  <c r="R74" i="63"/>
  <c r="O74" i="63"/>
  <c r="S74" i="63" s="1"/>
  <c r="N74" i="63"/>
  <c r="L74" i="63"/>
  <c r="J74" i="63"/>
  <c r="F74" i="63"/>
  <c r="R73" i="63"/>
  <c r="O73" i="63"/>
  <c r="S73" i="63" s="1"/>
  <c r="N73" i="63"/>
  <c r="L73" i="63"/>
  <c r="J73" i="63"/>
  <c r="F73" i="63"/>
  <c r="R72" i="63"/>
  <c r="O72" i="63"/>
  <c r="P72" i="63" s="1"/>
  <c r="N72" i="63"/>
  <c r="L72" i="63"/>
  <c r="J72" i="63"/>
  <c r="F72" i="63"/>
  <c r="R71" i="63"/>
  <c r="O71" i="63"/>
  <c r="P71" i="63" s="1"/>
  <c r="N71" i="63"/>
  <c r="L71" i="63"/>
  <c r="J71" i="63"/>
  <c r="F71" i="63"/>
  <c r="AL74" i="63" s="1"/>
  <c r="H47" i="41" s="1"/>
  <c r="R68" i="63"/>
  <c r="O68" i="63"/>
  <c r="S68" i="63" s="1"/>
  <c r="N68" i="63"/>
  <c r="L68" i="63"/>
  <c r="J68" i="63"/>
  <c r="F68" i="63"/>
  <c r="R60" i="63"/>
  <c r="O60" i="63"/>
  <c r="S60" i="63" s="1"/>
  <c r="N60" i="63"/>
  <c r="L60" i="63"/>
  <c r="J60" i="63"/>
  <c r="F60" i="63"/>
  <c r="R59" i="63"/>
  <c r="O59" i="63"/>
  <c r="P59" i="63" s="1"/>
  <c r="N59" i="63"/>
  <c r="L59" i="63"/>
  <c r="J59" i="63"/>
  <c r="F59" i="63"/>
  <c r="R58" i="63"/>
  <c r="O58" i="63"/>
  <c r="S58" i="63" s="1"/>
  <c r="N58" i="63"/>
  <c r="L58" i="63"/>
  <c r="J58" i="63"/>
  <c r="F58" i="63"/>
  <c r="R57" i="63"/>
  <c r="O57" i="63"/>
  <c r="S57" i="63" s="1"/>
  <c r="N57" i="63"/>
  <c r="L57" i="63"/>
  <c r="J57" i="63"/>
  <c r="F57" i="63"/>
  <c r="R56" i="63"/>
  <c r="O56" i="63"/>
  <c r="S56" i="63" s="1"/>
  <c r="T56" i="63" s="1"/>
  <c r="N56" i="63"/>
  <c r="L56" i="63"/>
  <c r="J56" i="63"/>
  <c r="F56" i="63"/>
  <c r="R55" i="63"/>
  <c r="O55" i="63"/>
  <c r="S55" i="63" s="1"/>
  <c r="N55" i="63"/>
  <c r="L55" i="63"/>
  <c r="J55" i="63"/>
  <c r="F55" i="63"/>
  <c r="R54" i="63"/>
  <c r="O54" i="63"/>
  <c r="S54" i="63" s="1"/>
  <c r="N54" i="63"/>
  <c r="L54" i="63"/>
  <c r="J54" i="63"/>
  <c r="F54" i="63"/>
  <c r="R53" i="63"/>
  <c r="O53" i="63"/>
  <c r="S53" i="63" s="1"/>
  <c r="N53" i="63"/>
  <c r="L53" i="63"/>
  <c r="J53" i="63"/>
  <c r="F53" i="63"/>
  <c r="R52" i="63"/>
  <c r="O52" i="63"/>
  <c r="S52" i="63" s="1"/>
  <c r="N52" i="63"/>
  <c r="L52" i="63"/>
  <c r="J52" i="63"/>
  <c r="F52" i="63"/>
  <c r="AK52" i="63" s="1"/>
  <c r="F36" i="41" s="1"/>
  <c r="AF51" i="63"/>
  <c r="R51" i="63"/>
  <c r="O51" i="63"/>
  <c r="S51" i="63" s="1"/>
  <c r="N51" i="63"/>
  <c r="L51" i="63"/>
  <c r="J51" i="63"/>
  <c r="F51" i="63"/>
  <c r="R50" i="63"/>
  <c r="O50" i="63"/>
  <c r="P50" i="63" s="1"/>
  <c r="N50" i="63"/>
  <c r="L50" i="63"/>
  <c r="J50" i="63"/>
  <c r="F50" i="63"/>
  <c r="R49" i="63"/>
  <c r="O49" i="63"/>
  <c r="S49" i="63" s="1"/>
  <c r="N49" i="63"/>
  <c r="L49" i="63"/>
  <c r="J49" i="63"/>
  <c r="F49" i="63"/>
  <c r="C32" i="41" l="1"/>
  <c r="K78" i="62"/>
  <c r="K86" i="62"/>
  <c r="K70" i="62"/>
  <c r="K102" i="20"/>
  <c r="K86" i="19"/>
  <c r="K94" i="20"/>
  <c r="K78" i="19"/>
  <c r="K86" i="20"/>
  <c r="K110" i="20"/>
  <c r="K70" i="19"/>
  <c r="AI74" i="63"/>
  <c r="J42" i="41" s="1"/>
  <c r="F42" i="41"/>
  <c r="U63" i="63"/>
  <c r="T63" i="63"/>
  <c r="V63" i="63"/>
  <c r="X63" i="63" s="1"/>
  <c r="AH75" i="63"/>
  <c r="I42" i="41" s="1"/>
  <c r="P62" i="63"/>
  <c r="AL53" i="63"/>
  <c r="I36" i="41" s="1"/>
  <c r="AK53" i="63"/>
  <c r="G36" i="41" s="1"/>
  <c r="AG53" i="63"/>
  <c r="G31" i="41" s="1"/>
  <c r="AM53" i="63"/>
  <c r="K36" i="41" s="1"/>
  <c r="AJ53" i="63"/>
  <c r="M31" i="41" s="1"/>
  <c r="AI52" i="63"/>
  <c r="J31" i="41" s="1"/>
  <c r="AI53" i="63"/>
  <c r="K31" i="41" s="1"/>
  <c r="P63" i="63"/>
  <c r="AG75" i="63"/>
  <c r="G42" i="41" s="1"/>
  <c r="S72" i="63"/>
  <c r="T72" i="63" s="1"/>
  <c r="S66" i="63"/>
  <c r="T89" i="66"/>
  <c r="F89" i="66" s="1"/>
  <c r="V85" i="66"/>
  <c r="X85" i="66" s="1"/>
  <c r="F85" i="66"/>
  <c r="P86" i="66"/>
  <c r="P85" i="66"/>
  <c r="T88" i="66"/>
  <c r="V88" i="66" s="1"/>
  <c r="S89" i="63"/>
  <c r="T89" i="63" s="1"/>
  <c r="P86" i="63"/>
  <c r="S78" i="63"/>
  <c r="T78" i="63" s="1"/>
  <c r="C31" i="41"/>
  <c r="V65" i="63"/>
  <c r="U65" i="63"/>
  <c r="T65" i="63"/>
  <c r="V61" i="63"/>
  <c r="U61" i="63"/>
  <c r="T61" i="63"/>
  <c r="V64" i="63"/>
  <c r="U64" i="63"/>
  <c r="T64" i="63"/>
  <c r="V67" i="63"/>
  <c r="U67" i="63"/>
  <c r="T67" i="63"/>
  <c r="V62" i="63"/>
  <c r="X62" i="63" s="1"/>
  <c r="U62" i="63"/>
  <c r="T62" i="63"/>
  <c r="P65" i="63"/>
  <c r="P67" i="63"/>
  <c r="P64" i="63"/>
  <c r="P61" i="63"/>
  <c r="AG52" i="63"/>
  <c r="F31" i="41" s="1"/>
  <c r="AL52" i="63"/>
  <c r="H36" i="41" s="1"/>
  <c r="S50" i="63"/>
  <c r="V50" i="63" s="1"/>
  <c r="W50" i="63" s="1"/>
  <c r="V76" i="66"/>
  <c r="U76" i="66"/>
  <c r="F76" i="66"/>
  <c r="U72" i="66"/>
  <c r="F72" i="66"/>
  <c r="V72" i="66"/>
  <c r="U90" i="66"/>
  <c r="V90" i="66"/>
  <c r="F90" i="66"/>
  <c r="U74" i="66"/>
  <c r="V74" i="66"/>
  <c r="F74" i="66"/>
  <c r="U73" i="66"/>
  <c r="V73" i="66"/>
  <c r="F73" i="66"/>
  <c r="V78" i="66"/>
  <c r="F78" i="66"/>
  <c r="U78" i="66"/>
  <c r="V79" i="66"/>
  <c r="U79" i="66"/>
  <c r="F79" i="66"/>
  <c r="U81" i="66"/>
  <c r="F81" i="66"/>
  <c r="V81" i="66"/>
  <c r="F87" i="66"/>
  <c r="V87" i="66"/>
  <c r="U87" i="66"/>
  <c r="V75" i="66"/>
  <c r="U75" i="66"/>
  <c r="F75" i="66"/>
  <c r="T83" i="66"/>
  <c r="U86" i="66"/>
  <c r="T80" i="66"/>
  <c r="V86" i="66"/>
  <c r="T71" i="66"/>
  <c r="T77" i="66"/>
  <c r="T82" i="66"/>
  <c r="P73" i="66"/>
  <c r="P79" i="66"/>
  <c r="P74" i="66"/>
  <c r="P76" i="66"/>
  <c r="U85" i="66"/>
  <c r="P81" i="66"/>
  <c r="T84" i="66"/>
  <c r="P75" i="66"/>
  <c r="P90" i="66"/>
  <c r="P87" i="66"/>
  <c r="P72" i="66"/>
  <c r="P78" i="66"/>
  <c r="T52" i="66"/>
  <c r="V52" i="66" s="1"/>
  <c r="W52" i="66" s="1"/>
  <c r="T60" i="66"/>
  <c r="F60" i="66" s="1"/>
  <c r="T57" i="66"/>
  <c r="V57" i="66" s="1"/>
  <c r="X57" i="66" s="1"/>
  <c r="T54" i="66"/>
  <c r="V54" i="66" s="1"/>
  <c r="X54" i="66" s="1"/>
  <c r="P51" i="66"/>
  <c r="P64" i="66"/>
  <c r="T67" i="66"/>
  <c r="F67" i="66" s="1"/>
  <c r="T63" i="66"/>
  <c r="U63" i="66" s="1"/>
  <c r="T66" i="66"/>
  <c r="V66" i="66" s="1"/>
  <c r="W66" i="66" s="1"/>
  <c r="T53" i="66"/>
  <c r="V53" i="66" s="1"/>
  <c r="X53" i="66" s="1"/>
  <c r="P68" i="66"/>
  <c r="X51" i="66"/>
  <c r="W51" i="66"/>
  <c r="F55" i="66"/>
  <c r="V55" i="66"/>
  <c r="U55" i="66"/>
  <c r="F56" i="66"/>
  <c r="U56" i="66"/>
  <c r="V56" i="66"/>
  <c r="F61" i="66"/>
  <c r="V61" i="66"/>
  <c r="U61" i="66"/>
  <c r="U59" i="66"/>
  <c r="F59" i="66"/>
  <c r="V59" i="66"/>
  <c r="V62" i="66"/>
  <c r="U62" i="66"/>
  <c r="F62" i="66"/>
  <c r="U50" i="66"/>
  <c r="F50" i="66"/>
  <c r="V50" i="66"/>
  <c r="V65" i="66"/>
  <c r="U65" i="66"/>
  <c r="F65" i="66"/>
  <c r="X68" i="66"/>
  <c r="W68" i="66"/>
  <c r="P61" i="66"/>
  <c r="P55" i="66"/>
  <c r="F51" i="66"/>
  <c r="U64" i="66"/>
  <c r="T58" i="66"/>
  <c r="V64" i="66"/>
  <c r="T49" i="66"/>
  <c r="F68" i="66"/>
  <c r="U51" i="66"/>
  <c r="P65" i="66"/>
  <c r="U54" i="66"/>
  <c r="P62" i="66"/>
  <c r="P59" i="66"/>
  <c r="P50" i="66"/>
  <c r="P56" i="66"/>
  <c r="U68" i="66"/>
  <c r="V79" i="63"/>
  <c r="U79" i="63"/>
  <c r="T79" i="63"/>
  <c r="U81" i="63"/>
  <c r="T81" i="63"/>
  <c r="V81" i="63"/>
  <c r="V75" i="63"/>
  <c r="U75" i="63"/>
  <c r="T75" i="63"/>
  <c r="V85" i="63"/>
  <c r="U85" i="63"/>
  <c r="T85" i="63"/>
  <c r="V82" i="63"/>
  <c r="U82" i="63"/>
  <c r="T82" i="63"/>
  <c r="V76" i="63"/>
  <c r="U76" i="63"/>
  <c r="T76" i="63"/>
  <c r="V74" i="63"/>
  <c r="U74" i="63"/>
  <c r="T74" i="63"/>
  <c r="U77" i="63"/>
  <c r="V77" i="63"/>
  <c r="T77" i="63"/>
  <c r="V73" i="63"/>
  <c r="U73" i="63"/>
  <c r="T73" i="63"/>
  <c r="V90" i="63"/>
  <c r="U90" i="63"/>
  <c r="T90" i="63"/>
  <c r="V84" i="63"/>
  <c r="U84" i="63"/>
  <c r="T84" i="63"/>
  <c r="V87" i="63"/>
  <c r="U87" i="63"/>
  <c r="T87" i="63"/>
  <c r="P77" i="63"/>
  <c r="S83" i="63"/>
  <c r="T86" i="63"/>
  <c r="U89" i="63"/>
  <c r="S80" i="63"/>
  <c r="V89" i="63"/>
  <c r="S71" i="63"/>
  <c r="V86" i="63"/>
  <c r="P82" i="63"/>
  <c r="S88" i="63"/>
  <c r="P85" i="63"/>
  <c r="P73" i="63"/>
  <c r="P79" i="63"/>
  <c r="P74" i="63"/>
  <c r="P75" i="63"/>
  <c r="P76" i="63"/>
  <c r="P90" i="63"/>
  <c r="P87" i="63"/>
  <c r="P84" i="63"/>
  <c r="P81" i="63"/>
  <c r="U56" i="63"/>
  <c r="S59" i="63"/>
  <c r="U59" i="63" s="1"/>
  <c r="V56" i="63"/>
  <c r="W56" i="63" s="1"/>
  <c r="V55" i="63"/>
  <c r="U55" i="63"/>
  <c r="T55" i="63"/>
  <c r="V58" i="63"/>
  <c r="U58" i="63"/>
  <c r="T58" i="63"/>
  <c r="V49" i="63"/>
  <c r="U49" i="63"/>
  <c r="T49" i="63"/>
  <c r="P49" i="63"/>
  <c r="AH53" i="63"/>
  <c r="I31" i="41" s="1"/>
  <c r="V54" i="63"/>
  <c r="U54" i="63"/>
  <c r="T54" i="63"/>
  <c r="V57" i="63"/>
  <c r="U57" i="63"/>
  <c r="T57" i="63"/>
  <c r="V53" i="63"/>
  <c r="U53" i="63"/>
  <c r="T53" i="63"/>
  <c r="P55" i="63"/>
  <c r="V60" i="63"/>
  <c r="U60" i="63"/>
  <c r="T60" i="63"/>
  <c r="P58" i="63"/>
  <c r="V52" i="63"/>
  <c r="U52" i="63"/>
  <c r="T52" i="63"/>
  <c r="U68" i="63"/>
  <c r="T68" i="63"/>
  <c r="V51" i="63"/>
  <c r="U51" i="63"/>
  <c r="T51" i="63"/>
  <c r="V68" i="63"/>
  <c r="P60" i="63"/>
  <c r="P51" i="63"/>
  <c r="P57" i="63"/>
  <c r="P52" i="63"/>
  <c r="P53" i="63"/>
  <c r="P54" i="63"/>
  <c r="P68" i="63"/>
  <c r="P56" i="63"/>
  <c r="W54" i="66" l="1"/>
  <c r="W63" i="63"/>
  <c r="X50" i="63"/>
  <c r="F54" i="66"/>
  <c r="AL52" i="66" s="1"/>
  <c r="H37" i="41" s="1"/>
  <c r="F57" i="66"/>
  <c r="T66" i="63"/>
  <c r="U66" i="63"/>
  <c r="V66" i="63"/>
  <c r="V72" i="63"/>
  <c r="X72" i="63" s="1"/>
  <c r="T50" i="63"/>
  <c r="U72" i="63"/>
  <c r="U50" i="63"/>
  <c r="V89" i="66"/>
  <c r="X89" i="66" s="1"/>
  <c r="W85" i="66"/>
  <c r="U89" i="66"/>
  <c r="U88" i="66"/>
  <c r="F88" i="66"/>
  <c r="W72" i="63"/>
  <c r="U78" i="63"/>
  <c r="V78" i="63"/>
  <c r="U57" i="66"/>
  <c r="V67" i="66"/>
  <c r="X67" i="66" s="1"/>
  <c r="X66" i="66"/>
  <c r="U52" i="66"/>
  <c r="X52" i="66"/>
  <c r="U60" i="66"/>
  <c r="F53" i="66"/>
  <c r="F52" i="66"/>
  <c r="V60" i="66"/>
  <c r="X60" i="66" s="1"/>
  <c r="W62" i="63"/>
  <c r="X67" i="63"/>
  <c r="W67" i="63"/>
  <c r="W64" i="63"/>
  <c r="X64" i="63"/>
  <c r="X61" i="63"/>
  <c r="W61" i="63"/>
  <c r="X65" i="63"/>
  <c r="W65" i="63"/>
  <c r="V59" i="63"/>
  <c r="X59" i="63" s="1"/>
  <c r="T59" i="63"/>
  <c r="X56" i="63"/>
  <c r="F77" i="66"/>
  <c r="AL74" i="66" s="1"/>
  <c r="H48" i="41" s="1"/>
  <c r="V77" i="66"/>
  <c r="U77" i="66"/>
  <c r="F71" i="66"/>
  <c r="AK74" i="66" s="1"/>
  <c r="F48" i="41" s="1"/>
  <c r="U71" i="66"/>
  <c r="V71" i="66"/>
  <c r="W78" i="66"/>
  <c r="X78" i="66"/>
  <c r="X86" i="66"/>
  <c r="W86" i="66"/>
  <c r="X73" i="66"/>
  <c r="W73" i="66"/>
  <c r="F80" i="66"/>
  <c r="V80" i="66"/>
  <c r="U80" i="66"/>
  <c r="F83" i="66"/>
  <c r="V83" i="66"/>
  <c r="U83" i="66"/>
  <c r="X74" i="66"/>
  <c r="W74" i="66"/>
  <c r="X90" i="66"/>
  <c r="W90" i="66"/>
  <c r="V84" i="66"/>
  <c r="U84" i="66"/>
  <c r="F84" i="66"/>
  <c r="W87" i="66"/>
  <c r="X87" i="66"/>
  <c r="X72" i="66"/>
  <c r="W72" i="66"/>
  <c r="W81" i="66"/>
  <c r="X81" i="66"/>
  <c r="W75" i="66"/>
  <c r="X75" i="66"/>
  <c r="W76" i="66"/>
  <c r="X76" i="66"/>
  <c r="X88" i="66"/>
  <c r="W88" i="66"/>
  <c r="V82" i="66"/>
  <c r="U82" i="66"/>
  <c r="F82" i="66"/>
  <c r="X79" i="66"/>
  <c r="W79" i="66"/>
  <c r="W57" i="66"/>
  <c r="W53" i="66"/>
  <c r="V63" i="66"/>
  <c r="X63" i="66" s="1"/>
  <c r="U53" i="66"/>
  <c r="F66" i="66"/>
  <c r="F63" i="66"/>
  <c r="U66" i="66"/>
  <c r="U67" i="66"/>
  <c r="X59" i="66"/>
  <c r="W59" i="66"/>
  <c r="X61" i="66"/>
  <c r="W61" i="66"/>
  <c r="W56" i="66"/>
  <c r="X56" i="66"/>
  <c r="F49" i="66"/>
  <c r="AK52" i="66" s="1"/>
  <c r="F37" i="41" s="1"/>
  <c r="V49" i="66"/>
  <c r="U49" i="66"/>
  <c r="X64" i="66"/>
  <c r="W64" i="66"/>
  <c r="F58" i="66"/>
  <c r="V58" i="66"/>
  <c r="U58" i="66"/>
  <c r="W65" i="66"/>
  <c r="X65" i="66"/>
  <c r="X50" i="66"/>
  <c r="W50" i="66"/>
  <c r="X55" i="66"/>
  <c r="W55" i="66"/>
  <c r="W62" i="66"/>
  <c r="X62" i="66"/>
  <c r="V83" i="63"/>
  <c r="U83" i="63"/>
  <c r="T83" i="63"/>
  <c r="X74" i="63"/>
  <c r="W74" i="63"/>
  <c r="W87" i="63"/>
  <c r="X87" i="63"/>
  <c r="X82" i="63"/>
  <c r="W82" i="63"/>
  <c r="X84" i="63"/>
  <c r="W84" i="63"/>
  <c r="X85" i="63"/>
  <c r="W85" i="63"/>
  <c r="X76" i="63"/>
  <c r="W76" i="63"/>
  <c r="X90" i="63"/>
  <c r="W90" i="63"/>
  <c r="V88" i="63"/>
  <c r="U88" i="63"/>
  <c r="T88" i="63"/>
  <c r="X75" i="63"/>
  <c r="W75" i="63"/>
  <c r="X81" i="63"/>
  <c r="W81" i="63"/>
  <c r="W86" i="63"/>
  <c r="X86" i="63"/>
  <c r="X73" i="63"/>
  <c r="W73" i="63"/>
  <c r="U71" i="63"/>
  <c r="V71" i="63"/>
  <c r="T71" i="63"/>
  <c r="X89" i="63"/>
  <c r="W89" i="63"/>
  <c r="X77" i="63"/>
  <c r="W77" i="63"/>
  <c r="V80" i="63"/>
  <c r="U80" i="63"/>
  <c r="T80" i="63"/>
  <c r="X79" i="63"/>
  <c r="W79" i="63"/>
  <c r="W53" i="63"/>
  <c r="X53" i="63"/>
  <c r="X49" i="63"/>
  <c r="W49" i="63"/>
  <c r="X57" i="63"/>
  <c r="W57" i="63"/>
  <c r="W59" i="63"/>
  <c r="W52" i="63"/>
  <c r="X52" i="63"/>
  <c r="X58" i="63"/>
  <c r="W58" i="63"/>
  <c r="W54" i="63"/>
  <c r="X54" i="63"/>
  <c r="X55" i="63"/>
  <c r="W55" i="63"/>
  <c r="X68" i="63"/>
  <c r="W68" i="63"/>
  <c r="X60" i="63"/>
  <c r="W60" i="63"/>
  <c r="X51" i="63"/>
  <c r="W51" i="63"/>
  <c r="AJ74" i="66" l="1"/>
  <c r="L43" i="41" s="1"/>
  <c r="W89" i="66"/>
  <c r="X66" i="63"/>
  <c r="W66" i="63"/>
  <c r="W78" i="63"/>
  <c r="X78" i="63"/>
  <c r="W60" i="66"/>
  <c r="W67" i="66"/>
  <c r="AJ52" i="66"/>
  <c r="L32" i="41" s="1"/>
  <c r="W82" i="66"/>
  <c r="X82" i="66"/>
  <c r="X80" i="66"/>
  <c r="W80" i="66"/>
  <c r="X83" i="66"/>
  <c r="W83" i="66"/>
  <c r="X71" i="66"/>
  <c r="W71" i="66"/>
  <c r="X84" i="66"/>
  <c r="W84" i="66"/>
  <c r="X77" i="66"/>
  <c r="W77" i="66"/>
  <c r="W63" i="66"/>
  <c r="X58" i="66"/>
  <c r="W58" i="66"/>
  <c r="X49" i="66"/>
  <c r="W49" i="66"/>
  <c r="X88" i="63"/>
  <c r="W88" i="63"/>
  <c r="X80" i="63"/>
  <c r="W80" i="63"/>
  <c r="X71" i="63"/>
  <c r="W71" i="63"/>
  <c r="X83" i="63"/>
  <c r="W83" i="63"/>
  <c r="R46" i="63" l="1"/>
  <c r="R45" i="63"/>
  <c r="R44" i="63"/>
  <c r="R43" i="63"/>
  <c r="R42" i="63"/>
  <c r="R41" i="63"/>
  <c r="R40" i="63"/>
  <c r="R39" i="63"/>
  <c r="R38" i="63"/>
  <c r="R37" i="63"/>
  <c r="R36" i="63"/>
  <c r="R35" i="63"/>
  <c r="R34" i="63"/>
  <c r="R33" i="63"/>
  <c r="R32" i="63"/>
  <c r="R31" i="63"/>
  <c r="R30" i="63"/>
  <c r="R29" i="63"/>
  <c r="R28" i="63"/>
  <c r="R27" i="63"/>
  <c r="AH29" i="66" l="1"/>
  <c r="AI29" i="66"/>
  <c r="AJ29" i="66"/>
  <c r="AK29" i="66"/>
  <c r="AL29" i="66"/>
  <c r="AM29" i="66"/>
  <c r="AH30" i="66"/>
  <c r="AI30" i="66"/>
  <c r="AM30" i="66"/>
  <c r="AG30" i="66"/>
  <c r="AG29" i="66"/>
  <c r="S46" i="66"/>
  <c r="R46" i="66"/>
  <c r="O46" i="66"/>
  <c r="P46" i="66" s="1"/>
  <c r="N46" i="66"/>
  <c r="L46" i="66"/>
  <c r="J46" i="66"/>
  <c r="S45" i="66"/>
  <c r="R45" i="66"/>
  <c r="O45" i="66"/>
  <c r="T45" i="66" s="1"/>
  <c r="N45" i="66"/>
  <c r="L45" i="66"/>
  <c r="J45" i="66"/>
  <c r="S44" i="66"/>
  <c r="R44" i="66"/>
  <c r="O44" i="66"/>
  <c r="P44" i="66" s="1"/>
  <c r="N44" i="66"/>
  <c r="L44" i="66"/>
  <c r="J44" i="66"/>
  <c r="S43" i="66"/>
  <c r="R43" i="66"/>
  <c r="O43" i="66"/>
  <c r="P43" i="66" s="1"/>
  <c r="N43" i="66"/>
  <c r="L43" i="66"/>
  <c r="J43" i="66"/>
  <c r="S42" i="66"/>
  <c r="R42" i="66"/>
  <c r="O42" i="66"/>
  <c r="T42" i="66" s="1"/>
  <c r="N42" i="66"/>
  <c r="L42" i="66"/>
  <c r="J42" i="66"/>
  <c r="S41" i="66"/>
  <c r="R41" i="66"/>
  <c r="O41" i="66"/>
  <c r="P41" i="66" s="1"/>
  <c r="N41" i="66"/>
  <c r="L41" i="66"/>
  <c r="J41" i="66"/>
  <c r="S40" i="66"/>
  <c r="R40" i="66"/>
  <c r="O40" i="66"/>
  <c r="T40" i="66" s="1"/>
  <c r="F40" i="66" s="1"/>
  <c r="N40" i="66"/>
  <c r="L40" i="66"/>
  <c r="J40" i="66"/>
  <c r="S39" i="66"/>
  <c r="R39" i="66"/>
  <c r="O39" i="66"/>
  <c r="T39" i="66" s="1"/>
  <c r="N39" i="66"/>
  <c r="L39" i="66"/>
  <c r="J39" i="66"/>
  <c r="S38" i="66"/>
  <c r="R38" i="66"/>
  <c r="O38" i="66"/>
  <c r="P38" i="66" s="1"/>
  <c r="N38" i="66"/>
  <c r="L38" i="66"/>
  <c r="J38" i="66"/>
  <c r="S37" i="66"/>
  <c r="R37" i="66"/>
  <c r="O37" i="66"/>
  <c r="P37" i="66" s="1"/>
  <c r="N37" i="66"/>
  <c r="L37" i="66"/>
  <c r="J37" i="66"/>
  <c r="S36" i="66"/>
  <c r="R36" i="66"/>
  <c r="O36" i="66"/>
  <c r="P36" i="66" s="1"/>
  <c r="N36" i="66"/>
  <c r="L36" i="66"/>
  <c r="J36" i="66"/>
  <c r="S35" i="66"/>
  <c r="R35" i="66"/>
  <c r="O35" i="66"/>
  <c r="T35" i="66" s="1"/>
  <c r="U35" i="66" s="1"/>
  <c r="N35" i="66"/>
  <c r="L35" i="66"/>
  <c r="J35" i="66"/>
  <c r="S34" i="66"/>
  <c r="R34" i="66"/>
  <c r="O34" i="66"/>
  <c r="T34" i="66" s="1"/>
  <c r="N34" i="66"/>
  <c r="L34" i="66"/>
  <c r="J34" i="66"/>
  <c r="S33" i="66"/>
  <c r="R33" i="66"/>
  <c r="O33" i="66"/>
  <c r="P33" i="66" s="1"/>
  <c r="N33" i="66"/>
  <c r="L33" i="66"/>
  <c r="J33" i="66"/>
  <c r="S32" i="66"/>
  <c r="R32" i="66"/>
  <c r="O32" i="66"/>
  <c r="T32" i="66" s="1"/>
  <c r="N32" i="66"/>
  <c r="L32" i="66"/>
  <c r="J32" i="66"/>
  <c r="S31" i="66"/>
  <c r="R31" i="66"/>
  <c r="O31" i="66"/>
  <c r="T31" i="66" s="1"/>
  <c r="N31" i="66"/>
  <c r="L31" i="66"/>
  <c r="J31" i="66"/>
  <c r="S30" i="66"/>
  <c r="R30" i="66"/>
  <c r="O30" i="66"/>
  <c r="T30" i="66" s="1"/>
  <c r="N30" i="66"/>
  <c r="L30" i="66"/>
  <c r="J30" i="66"/>
  <c r="AF29" i="66"/>
  <c r="S29" i="66"/>
  <c r="R29" i="66"/>
  <c r="O29" i="66"/>
  <c r="T29" i="66" s="1"/>
  <c r="U29" i="66" s="1"/>
  <c r="N29" i="66"/>
  <c r="L29" i="66"/>
  <c r="J29" i="66"/>
  <c r="S28" i="66"/>
  <c r="R28" i="66"/>
  <c r="O28" i="66"/>
  <c r="P28" i="66" s="1"/>
  <c r="N28" i="66"/>
  <c r="L28" i="66"/>
  <c r="J28" i="66"/>
  <c r="S27" i="66"/>
  <c r="R27" i="66"/>
  <c r="O27" i="66"/>
  <c r="P27" i="66" s="1"/>
  <c r="N27" i="66"/>
  <c r="L27" i="66"/>
  <c r="J27" i="66"/>
  <c r="AH29" i="63"/>
  <c r="AH31" i="63" s="1"/>
  <c r="I20" i="41" s="1"/>
  <c r="AI29" i="63"/>
  <c r="AI31" i="63" s="1"/>
  <c r="K20" i="41" s="1"/>
  <c r="AJ29" i="63"/>
  <c r="AJ31" i="63" s="1"/>
  <c r="M20" i="41" s="1"/>
  <c r="AK29" i="63"/>
  <c r="AK31" i="63" s="1"/>
  <c r="G25" i="41" s="1"/>
  <c r="AL29" i="63"/>
  <c r="AL31" i="63" s="1"/>
  <c r="I25" i="41" s="1"/>
  <c r="AM29" i="63"/>
  <c r="AM31" i="63" s="1"/>
  <c r="K25" i="41" s="1"/>
  <c r="AH30" i="63"/>
  <c r="H20" i="41" s="1"/>
  <c r="AJ30" i="63"/>
  <c r="L20" i="41" s="1"/>
  <c r="AM30" i="63"/>
  <c r="J25" i="41" s="1"/>
  <c r="AG29" i="63"/>
  <c r="AG31" i="63" s="1"/>
  <c r="G20" i="41" s="1"/>
  <c r="F27" i="63"/>
  <c r="F28" i="63"/>
  <c r="F29" i="63"/>
  <c r="F30" i="63"/>
  <c r="AK30" i="63" s="1"/>
  <c r="F25" i="41" s="1"/>
  <c r="F31" i="63"/>
  <c r="F32" i="63"/>
  <c r="F33" i="63"/>
  <c r="F34" i="63"/>
  <c r="F35" i="63"/>
  <c r="F36" i="63"/>
  <c r="F37" i="63"/>
  <c r="F38" i="63"/>
  <c r="F39" i="63"/>
  <c r="AG30" i="63" s="1"/>
  <c r="F20" i="41" s="1"/>
  <c r="F40" i="63"/>
  <c r="F41" i="63"/>
  <c r="F42" i="63"/>
  <c r="F43" i="63"/>
  <c r="F44" i="63"/>
  <c r="F45" i="63"/>
  <c r="F46" i="63"/>
  <c r="O46" i="63"/>
  <c r="S46" i="63" s="1"/>
  <c r="N46" i="63"/>
  <c r="L46" i="63"/>
  <c r="J46" i="63"/>
  <c r="O45" i="63"/>
  <c r="P45" i="63" s="1"/>
  <c r="N45" i="63"/>
  <c r="L45" i="63"/>
  <c r="J45" i="63"/>
  <c r="O44" i="63"/>
  <c r="S44" i="63" s="1"/>
  <c r="N44" i="63"/>
  <c r="L44" i="63"/>
  <c r="J44" i="63"/>
  <c r="O43" i="63"/>
  <c r="S43" i="63" s="1"/>
  <c r="N43" i="63"/>
  <c r="L43" i="63"/>
  <c r="J43" i="63"/>
  <c r="O42" i="63"/>
  <c r="S42" i="63" s="1"/>
  <c r="U42" i="63" s="1"/>
  <c r="N42" i="63"/>
  <c r="L42" i="63"/>
  <c r="J42" i="63"/>
  <c r="O41" i="63"/>
  <c r="S41" i="63" s="1"/>
  <c r="N41" i="63"/>
  <c r="L41" i="63"/>
  <c r="J41" i="63"/>
  <c r="O40" i="63"/>
  <c r="S40" i="63" s="1"/>
  <c r="N40" i="63"/>
  <c r="L40" i="63"/>
  <c r="J40" i="63"/>
  <c r="O39" i="63"/>
  <c r="S39" i="63" s="1"/>
  <c r="N39" i="63"/>
  <c r="L39" i="63"/>
  <c r="J39" i="63"/>
  <c r="O38" i="63"/>
  <c r="P38" i="63" s="1"/>
  <c r="N38" i="63"/>
  <c r="L38" i="63"/>
  <c r="J38" i="63"/>
  <c r="O37" i="63"/>
  <c r="S37" i="63" s="1"/>
  <c r="N37" i="63"/>
  <c r="L37" i="63"/>
  <c r="J37" i="63"/>
  <c r="O36" i="63"/>
  <c r="P36" i="63" s="1"/>
  <c r="N36" i="63"/>
  <c r="L36" i="63"/>
  <c r="J36" i="63"/>
  <c r="O35" i="63"/>
  <c r="P35" i="63" s="1"/>
  <c r="N35" i="63"/>
  <c r="L35" i="63"/>
  <c r="J35" i="63"/>
  <c r="O34" i="63"/>
  <c r="S34" i="63" s="1"/>
  <c r="N34" i="63"/>
  <c r="L34" i="63"/>
  <c r="J34" i="63"/>
  <c r="O33" i="63"/>
  <c r="P33" i="63" s="1"/>
  <c r="N33" i="63"/>
  <c r="L33" i="63"/>
  <c r="J33" i="63"/>
  <c r="O32" i="63"/>
  <c r="S32" i="63" s="1"/>
  <c r="V32" i="63" s="1"/>
  <c r="N32" i="63"/>
  <c r="L32" i="63"/>
  <c r="J32" i="63"/>
  <c r="O31" i="63"/>
  <c r="P31" i="63" s="1"/>
  <c r="N31" i="63"/>
  <c r="L31" i="63"/>
  <c r="J31" i="63"/>
  <c r="O30" i="63"/>
  <c r="S30" i="63" s="1"/>
  <c r="V30" i="63" s="1"/>
  <c r="N30" i="63"/>
  <c r="L30" i="63"/>
  <c r="J30" i="63"/>
  <c r="AF29" i="63"/>
  <c r="O29" i="63"/>
  <c r="P29" i="63" s="1"/>
  <c r="N29" i="63"/>
  <c r="L29" i="63"/>
  <c r="J29" i="63"/>
  <c r="O28" i="63"/>
  <c r="S28" i="63" s="1"/>
  <c r="N28" i="63"/>
  <c r="L28" i="63"/>
  <c r="J28" i="63"/>
  <c r="O27" i="63"/>
  <c r="S27" i="63" s="1"/>
  <c r="N27" i="63"/>
  <c r="L27" i="63"/>
  <c r="J27" i="63"/>
  <c r="C10" i="41"/>
  <c r="C21" i="41"/>
  <c r="AL30" i="63" l="1"/>
  <c r="H25" i="41" s="1"/>
  <c r="AG31" i="66"/>
  <c r="G21" i="41" s="1"/>
  <c r="F21" i="41"/>
  <c r="J26" i="41"/>
  <c r="J21" i="41"/>
  <c r="AM31" i="66"/>
  <c r="K26" i="41" s="1"/>
  <c r="AL31" i="66"/>
  <c r="I26" i="41" s="1"/>
  <c r="AJ31" i="66"/>
  <c r="M21" i="41" s="1"/>
  <c r="AI31" i="66"/>
  <c r="K21" i="41" s="1"/>
  <c r="H21" i="41"/>
  <c r="AK31" i="66"/>
  <c r="G26" i="41" s="1"/>
  <c r="AH31" i="66"/>
  <c r="I21" i="41" s="1"/>
  <c r="AI30" i="63"/>
  <c r="J20" i="41" s="1"/>
  <c r="P35" i="66"/>
  <c r="T38" i="66"/>
  <c r="V38" i="66" s="1"/>
  <c r="X38" i="66" s="1"/>
  <c r="T41" i="66"/>
  <c r="V41" i="66" s="1"/>
  <c r="X41" i="66" s="1"/>
  <c r="T44" i="66"/>
  <c r="V44" i="66" s="1"/>
  <c r="X44" i="66" s="1"/>
  <c r="P29" i="66"/>
  <c r="P40" i="66"/>
  <c r="T43" i="66"/>
  <c r="V43" i="66" s="1"/>
  <c r="T46" i="66"/>
  <c r="V46" i="66" s="1"/>
  <c r="X46" i="66" s="1"/>
  <c r="V35" i="66"/>
  <c r="X35" i="66" s="1"/>
  <c r="V29" i="66"/>
  <c r="X29" i="66" s="1"/>
  <c r="F35" i="66"/>
  <c r="F29" i="66"/>
  <c r="V30" i="66"/>
  <c r="U30" i="66"/>
  <c r="F30" i="66"/>
  <c r="F39" i="66"/>
  <c r="V39" i="66"/>
  <c r="U39" i="66"/>
  <c r="U45" i="66"/>
  <c r="V45" i="66"/>
  <c r="F45" i="66"/>
  <c r="F34" i="66"/>
  <c r="U34" i="66"/>
  <c r="V34" i="66"/>
  <c r="V31" i="66"/>
  <c r="U31" i="66"/>
  <c r="F31" i="66"/>
  <c r="F42" i="66"/>
  <c r="V42" i="66"/>
  <c r="U42" i="66"/>
  <c r="X43" i="66"/>
  <c r="W43" i="66"/>
  <c r="V32" i="66"/>
  <c r="F32" i="66"/>
  <c r="U32" i="66"/>
  <c r="T37" i="66"/>
  <c r="U40" i="66"/>
  <c r="T28" i="66"/>
  <c r="P39" i="66"/>
  <c r="T36" i="66"/>
  <c r="T27" i="66"/>
  <c r="T33" i="66"/>
  <c r="P34" i="66"/>
  <c r="V40" i="66"/>
  <c r="P45" i="66"/>
  <c r="P42" i="66"/>
  <c r="P30" i="66"/>
  <c r="P31" i="66"/>
  <c r="P32" i="66"/>
  <c r="P32" i="63"/>
  <c r="P30" i="63"/>
  <c r="S45" i="63"/>
  <c r="T45" i="63" s="1"/>
  <c r="S38" i="63"/>
  <c r="V38" i="63" s="1"/>
  <c r="X38" i="63" s="1"/>
  <c r="S31" i="63"/>
  <c r="V31" i="63" s="1"/>
  <c r="X31" i="63" s="1"/>
  <c r="P37" i="63"/>
  <c r="S29" i="63"/>
  <c r="V29" i="63" s="1"/>
  <c r="X29" i="63" s="1"/>
  <c r="P42" i="63"/>
  <c r="S35" i="63"/>
  <c r="V35" i="63" s="1"/>
  <c r="X35" i="63" s="1"/>
  <c r="T34" i="63"/>
  <c r="V34" i="63"/>
  <c r="U34" i="63"/>
  <c r="T41" i="63"/>
  <c r="V41" i="63"/>
  <c r="U41" i="63"/>
  <c r="V28" i="63"/>
  <c r="U28" i="63"/>
  <c r="T28" i="63"/>
  <c r="U44" i="63"/>
  <c r="V44" i="63"/>
  <c r="T44" i="63"/>
  <c r="X30" i="63"/>
  <c r="W30" i="63"/>
  <c r="V27" i="63"/>
  <c r="U27" i="63"/>
  <c r="T27" i="63"/>
  <c r="V46" i="63"/>
  <c r="U46" i="63"/>
  <c r="T46" i="63"/>
  <c r="X32" i="63"/>
  <c r="W32" i="63"/>
  <c r="U39" i="63"/>
  <c r="V39" i="63"/>
  <c r="T39" i="63"/>
  <c r="U37" i="63"/>
  <c r="T37" i="63"/>
  <c r="V37" i="63"/>
  <c r="V40" i="63"/>
  <c r="U40" i="63"/>
  <c r="T40" i="63"/>
  <c r="V43" i="63"/>
  <c r="U43" i="63"/>
  <c r="T43" i="63"/>
  <c r="S33" i="63"/>
  <c r="P44" i="63"/>
  <c r="P41" i="63"/>
  <c r="P39" i="63"/>
  <c r="T42" i="63"/>
  <c r="S36" i="63"/>
  <c r="V42" i="63"/>
  <c r="P46" i="63"/>
  <c r="T30" i="63"/>
  <c r="T32" i="63"/>
  <c r="P43" i="63"/>
  <c r="U30" i="63"/>
  <c r="U32" i="63"/>
  <c r="P40" i="63"/>
  <c r="P28" i="63"/>
  <c r="P34" i="63"/>
  <c r="P27" i="63"/>
  <c r="C20" i="41"/>
  <c r="U46" i="66" l="1"/>
  <c r="W35" i="66"/>
  <c r="F43" i="66"/>
  <c r="F38" i="66"/>
  <c r="W29" i="66"/>
  <c r="F41" i="66"/>
  <c r="F46" i="66"/>
  <c r="U38" i="66"/>
  <c r="U41" i="66"/>
  <c r="W38" i="66"/>
  <c r="F44" i="66"/>
  <c r="W44" i="66"/>
  <c r="U44" i="66"/>
  <c r="W41" i="66"/>
  <c r="W46" i="66"/>
  <c r="U43" i="66"/>
  <c r="X42" i="66"/>
  <c r="W42" i="66"/>
  <c r="X30" i="66"/>
  <c r="W30" i="66"/>
  <c r="X31" i="66"/>
  <c r="W31" i="66"/>
  <c r="V33" i="66"/>
  <c r="U33" i="66"/>
  <c r="F33" i="66"/>
  <c r="W34" i="66"/>
  <c r="X34" i="66"/>
  <c r="F27" i="66"/>
  <c r="AK30" i="66" s="1"/>
  <c r="V27" i="66"/>
  <c r="U27" i="66"/>
  <c r="F36" i="66"/>
  <c r="V36" i="66"/>
  <c r="U36" i="66"/>
  <c r="F28" i="66"/>
  <c r="V28" i="66"/>
  <c r="U28" i="66"/>
  <c r="X45" i="66"/>
  <c r="W45" i="66"/>
  <c r="F37" i="66"/>
  <c r="V37" i="66"/>
  <c r="U37" i="66"/>
  <c r="X39" i="66"/>
  <c r="W39" i="66"/>
  <c r="X32" i="66"/>
  <c r="W32" i="66"/>
  <c r="W40" i="66"/>
  <c r="X40" i="66"/>
  <c r="U35" i="63"/>
  <c r="U38" i="63"/>
  <c r="W35" i="63"/>
  <c r="V45" i="63"/>
  <c r="X45" i="63" s="1"/>
  <c r="U45" i="63"/>
  <c r="U31" i="63"/>
  <c r="W29" i="63"/>
  <c r="W31" i="63"/>
  <c r="T31" i="63"/>
  <c r="U29" i="63"/>
  <c r="T35" i="63"/>
  <c r="W38" i="63"/>
  <c r="T29" i="63"/>
  <c r="T38" i="63"/>
  <c r="W40" i="63"/>
  <c r="X40" i="63"/>
  <c r="X42" i="63"/>
  <c r="W42" i="63"/>
  <c r="X46" i="63"/>
  <c r="W46" i="63"/>
  <c r="W34" i="63"/>
  <c r="X34" i="63"/>
  <c r="W43" i="63"/>
  <c r="X43" i="63"/>
  <c r="X44" i="63"/>
  <c r="W44" i="63"/>
  <c r="X37" i="63"/>
  <c r="W37" i="63"/>
  <c r="X28" i="63"/>
  <c r="W28" i="63"/>
  <c r="X39" i="63"/>
  <c r="W39" i="63"/>
  <c r="X41" i="63"/>
  <c r="W41" i="63"/>
  <c r="V36" i="63"/>
  <c r="U36" i="63"/>
  <c r="T36" i="63"/>
  <c r="V33" i="63"/>
  <c r="U33" i="63"/>
  <c r="T33" i="63"/>
  <c r="X27" i="63"/>
  <c r="W27" i="63"/>
  <c r="AJ30" i="66" l="1"/>
  <c r="F26" i="41"/>
  <c r="AL30" i="66"/>
  <c r="W45" i="63"/>
  <c r="X28" i="66"/>
  <c r="W28" i="66"/>
  <c r="X36" i="66"/>
  <c r="W36" i="66"/>
  <c r="X27" i="66"/>
  <c r="W27" i="66"/>
  <c r="X33" i="66"/>
  <c r="W33" i="66"/>
  <c r="X37" i="66"/>
  <c r="W37" i="66"/>
  <c r="X33" i="63"/>
  <c r="W33" i="63"/>
  <c r="X36" i="63"/>
  <c r="W36" i="63"/>
  <c r="L21" i="41" l="1"/>
  <c r="AJ111" i="66"/>
  <c r="H26" i="41"/>
  <c r="AH7" i="66" l="1"/>
  <c r="AH110" i="66" s="1"/>
  <c r="AI7" i="66"/>
  <c r="AI110" i="66" s="1"/>
  <c r="AJ7" i="66"/>
  <c r="AJ110" i="66" s="1"/>
  <c r="AK7" i="66"/>
  <c r="AK110" i="66" s="1"/>
  <c r="AL7" i="66"/>
  <c r="AL110" i="66" s="1"/>
  <c r="AM7" i="66"/>
  <c r="AM110" i="66" s="1"/>
  <c r="AH8" i="66"/>
  <c r="AI8" i="66"/>
  <c r="AM8" i="66"/>
  <c r="AG8" i="66"/>
  <c r="AG7" i="66"/>
  <c r="AG110" i="66" s="1"/>
  <c r="AF7" i="66"/>
  <c r="AF110" i="66" s="1"/>
  <c r="AH8" i="63"/>
  <c r="AJ8" i="63"/>
  <c r="AK8" i="63"/>
  <c r="AM8" i="63"/>
  <c r="AG7" i="63"/>
  <c r="AG110" i="63" s="1"/>
  <c r="AG112" i="63" s="1"/>
  <c r="G9" i="40" s="1"/>
  <c r="AH7" i="63"/>
  <c r="AH110" i="63" s="1"/>
  <c r="AH112" i="63" s="1"/>
  <c r="I9" i="40" s="1"/>
  <c r="AI7" i="63"/>
  <c r="AI110" i="63" s="1"/>
  <c r="AI112" i="63" s="1"/>
  <c r="K9" i="40" s="1"/>
  <c r="AJ7" i="63"/>
  <c r="AJ110" i="63" s="1"/>
  <c r="AJ112" i="63" s="1"/>
  <c r="M9" i="40" s="1"/>
  <c r="AK7" i="63"/>
  <c r="AK110" i="63" s="1"/>
  <c r="AK112" i="63" s="1"/>
  <c r="G14" i="40" s="1"/>
  <c r="AL7" i="63"/>
  <c r="AL110" i="63" s="1"/>
  <c r="AM7" i="63"/>
  <c r="AM110" i="63" s="1"/>
  <c r="AF7" i="63"/>
  <c r="AF110" i="63" s="1"/>
  <c r="AM112" i="66" l="1"/>
  <c r="K15" i="40" s="1"/>
  <c r="AL112" i="66"/>
  <c r="I15" i="40" s="1"/>
  <c r="AK112" i="66"/>
  <c r="G15" i="40" s="1"/>
  <c r="J15" i="41"/>
  <c r="AM111" i="66"/>
  <c r="J15" i="40" s="1"/>
  <c r="J10" i="41"/>
  <c r="AI111" i="66"/>
  <c r="AG112" i="66"/>
  <c r="G10" i="40" s="1"/>
  <c r="F10" i="41"/>
  <c r="AG111" i="66"/>
  <c r="F10" i="40" s="1"/>
  <c r="AI112" i="66"/>
  <c r="K10" i="40" s="1"/>
  <c r="H10" i="41"/>
  <c r="AH111" i="66"/>
  <c r="H10" i="40" s="1"/>
  <c r="AJ112" i="66"/>
  <c r="M10" i="40" s="1"/>
  <c r="AH112" i="66"/>
  <c r="I10" i="40" s="1"/>
  <c r="F14" i="41"/>
  <c r="AK111" i="63"/>
  <c r="F14" i="40" s="1"/>
  <c r="H9" i="41"/>
  <c r="AH111" i="63"/>
  <c r="H9" i="40" s="1"/>
  <c r="L9" i="41"/>
  <c r="AJ111" i="63"/>
  <c r="L9" i="40" s="1"/>
  <c r="AL8" i="63"/>
  <c r="AM112" i="63"/>
  <c r="K14" i="40" s="1"/>
  <c r="J14" i="41"/>
  <c r="AM111" i="63"/>
  <c r="J14" i="40" s="1"/>
  <c r="AL112" i="63"/>
  <c r="I14" i="40" s="1"/>
  <c r="AK9" i="63"/>
  <c r="G14" i="41" s="1"/>
  <c r="AJ9" i="63"/>
  <c r="M9" i="41" s="1"/>
  <c r="AG8" i="63"/>
  <c r="AI9" i="63"/>
  <c r="K9" i="41" s="1"/>
  <c r="AG9" i="63"/>
  <c r="G9" i="41" s="1"/>
  <c r="AI8" i="63"/>
  <c r="AG9" i="66"/>
  <c r="G10" i="41" s="1"/>
  <c r="AJ9" i="66"/>
  <c r="M10" i="41" s="1"/>
  <c r="AK9" i="66"/>
  <c r="G15" i="41" s="1"/>
  <c r="AH9" i="66"/>
  <c r="I10" i="41" s="1"/>
  <c r="AI9" i="66"/>
  <c r="K10" i="41" s="1"/>
  <c r="AM9" i="66"/>
  <c r="K15" i="41" s="1"/>
  <c r="AL9" i="66"/>
  <c r="I15" i="41" s="1"/>
  <c r="AH9" i="63"/>
  <c r="I9" i="41" s="1"/>
  <c r="AL9" i="63"/>
  <c r="I14" i="41" s="1"/>
  <c r="AM9" i="63"/>
  <c r="K14" i="41" s="1"/>
  <c r="H14" i="41" l="1"/>
  <c r="AL111" i="63"/>
  <c r="H14" i="40" s="1"/>
  <c r="AG111" i="63"/>
  <c r="F9" i="40" s="1"/>
  <c r="F9" i="41"/>
  <c r="J9" i="41"/>
  <c r="AI111" i="63"/>
  <c r="AK8" i="66"/>
  <c r="AL8" i="66"/>
  <c r="F15" i="41" l="1"/>
  <c r="AK111" i="66"/>
  <c r="F15" i="40" s="1"/>
  <c r="H15" i="41"/>
  <c r="AL111" i="66"/>
  <c r="H15" i="40" s="1"/>
  <c r="AJ8" i="66"/>
  <c r="J10" i="40"/>
  <c r="J9" i="40"/>
  <c r="L10" i="41" l="1"/>
  <c r="L10" i="40"/>
  <c r="G5" i="5"/>
  <c r="I5" i="5"/>
  <c r="M5" i="5"/>
  <c r="P5" i="5"/>
  <c r="S5" i="5"/>
  <c r="V5" i="5"/>
  <c r="I6" i="5"/>
  <c r="I7" i="5"/>
  <c r="I8" i="5"/>
  <c r="I9" i="5"/>
  <c r="K9" i="5" s="1"/>
  <c r="K7" i="39" s="1"/>
  <c r="I10" i="5"/>
  <c r="I11" i="5"/>
  <c r="G5" i="3"/>
  <c r="J5" i="3"/>
  <c r="M5" i="3"/>
  <c r="O5" i="3"/>
  <c r="S5" i="3"/>
  <c r="U5" i="3"/>
  <c r="O6" i="3"/>
  <c r="U6" i="3"/>
  <c r="O7" i="3"/>
  <c r="U7" i="3"/>
  <c r="O8" i="3"/>
  <c r="U8" i="3"/>
  <c r="O9" i="3"/>
  <c r="U9" i="3"/>
  <c r="O10" i="3"/>
  <c r="U10" i="3"/>
  <c r="O11" i="3"/>
  <c r="U11" i="3"/>
  <c r="D6" i="3"/>
  <c r="D7" i="3" l="1"/>
  <c r="D8" i="3" s="1"/>
  <c r="D9" i="3" s="1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B5" i="3"/>
  <c r="B12" i="3" s="1"/>
  <c r="B19" i="3" s="1"/>
  <c r="B26" i="3" s="1"/>
  <c r="B33" i="3" s="1"/>
  <c r="C64" i="41"/>
  <c r="C65" i="41"/>
  <c r="V5" i="3"/>
  <c r="P5" i="3"/>
  <c r="C43" i="41"/>
  <c r="J5" i="5"/>
  <c r="M26" i="58" l="1"/>
  <c r="M27" i="58"/>
  <c r="M28" i="58"/>
  <c r="M29" i="58"/>
  <c r="B9" i="40" l="1"/>
  <c r="P15" i="65" l="1"/>
  <c r="K11" i="13" s="1"/>
  <c r="G11" i="65" l="1"/>
  <c r="B36" i="13"/>
  <c r="D36" i="13" s="1"/>
  <c r="B35" i="13"/>
  <c r="D35" i="13" s="1"/>
  <c r="B34" i="13"/>
  <c r="D34" i="13" s="1"/>
  <c r="B33" i="13"/>
  <c r="D33" i="13" s="1"/>
  <c r="B32" i="13"/>
  <c r="D32" i="13" s="1"/>
  <c r="B31" i="13"/>
  <c r="D31" i="13" s="1"/>
  <c r="B30" i="13"/>
  <c r="D30" i="13" s="1"/>
  <c r="B29" i="13"/>
  <c r="D29" i="13" s="1"/>
  <c r="B28" i="13"/>
  <c r="D28" i="13" s="1"/>
  <c r="D24" i="13"/>
  <c r="J24" i="13"/>
  <c r="I69" i="41" l="1"/>
  <c r="C15" i="39" l="1"/>
  <c r="D10" i="13"/>
  <c r="D8" i="13"/>
  <c r="E15" i="39" l="1"/>
  <c r="I18" i="13"/>
  <c r="K18" i="13" s="1"/>
  <c r="D7" i="13"/>
  <c r="I15" i="13"/>
  <c r="I16" i="13"/>
  <c r="K16" i="13" s="1"/>
  <c r="I17" i="13"/>
  <c r="K17" i="13" s="1"/>
  <c r="I19" i="13"/>
  <c r="K19" i="13" s="1"/>
  <c r="I20" i="13"/>
  <c r="K20" i="13" s="1"/>
  <c r="I21" i="13"/>
  <c r="K21" i="13" s="1"/>
  <c r="I23" i="13"/>
  <c r="K23" i="13" s="1"/>
  <c r="I22" i="13"/>
  <c r="K22" i="13" s="1"/>
  <c r="D9" i="13"/>
  <c r="D11" i="13"/>
  <c r="D6" i="13"/>
  <c r="C21" i="13"/>
  <c r="E21" i="13" s="1"/>
  <c r="C22" i="13"/>
  <c r="E22" i="13" s="1"/>
  <c r="C18" i="13"/>
  <c r="E18" i="13" s="1"/>
  <c r="C23" i="13"/>
  <c r="E23" i="13" s="1"/>
  <c r="C20" i="13"/>
  <c r="E20" i="13" s="1"/>
  <c r="C17" i="13"/>
  <c r="E17" i="13" s="1"/>
  <c r="K15" i="13" l="1"/>
  <c r="I24" i="13"/>
  <c r="C15" i="13" l="1"/>
  <c r="C16" i="13"/>
  <c r="E16" i="13" s="1"/>
  <c r="C19" i="13"/>
  <c r="E19" i="13" s="1"/>
  <c r="C24" i="13" l="1"/>
  <c r="E15" i="13"/>
  <c r="P45" i="65" l="1"/>
  <c r="E36" i="13" s="1"/>
  <c r="P44" i="65"/>
  <c r="E35" i="13" s="1"/>
  <c r="P43" i="65"/>
  <c r="E34" i="13" s="1"/>
  <c r="P42" i="65"/>
  <c r="E33" i="13" s="1"/>
  <c r="P41" i="65"/>
  <c r="E32" i="13" s="1"/>
  <c r="P40" i="65"/>
  <c r="E31" i="13" s="1"/>
  <c r="P39" i="65"/>
  <c r="E30" i="13" s="1"/>
  <c r="P38" i="65"/>
  <c r="E29" i="13" s="1"/>
  <c r="P37" i="65"/>
  <c r="E28" i="13" s="1"/>
  <c r="P35" i="65"/>
  <c r="P34" i="65"/>
  <c r="P33" i="65"/>
  <c r="P32" i="65"/>
  <c r="P31" i="65"/>
  <c r="P30" i="65"/>
  <c r="P29" i="65"/>
  <c r="P28" i="65"/>
  <c r="P27" i="65"/>
  <c r="P25" i="65"/>
  <c r="P24" i="65"/>
  <c r="P23" i="65"/>
  <c r="P22" i="65"/>
  <c r="P21" i="65"/>
  <c r="P20" i="65"/>
  <c r="P19" i="65"/>
  <c r="P18" i="65"/>
  <c r="P17" i="65"/>
  <c r="P14" i="65"/>
  <c r="K10" i="13" s="1"/>
  <c r="P13" i="65"/>
  <c r="K9" i="13" s="1"/>
  <c r="P12" i="65"/>
  <c r="K8" i="13" s="1"/>
  <c r="O11" i="65"/>
  <c r="N11" i="65"/>
  <c r="M11" i="65"/>
  <c r="L11" i="65"/>
  <c r="K11" i="65"/>
  <c r="P11" i="65"/>
  <c r="K7" i="13" s="1"/>
  <c r="F11" i="65"/>
  <c r="E11" i="65"/>
  <c r="D11" i="65"/>
  <c r="P10" i="65"/>
  <c r="K6" i="13" s="1"/>
  <c r="P9" i="65"/>
  <c r="O7" i="65"/>
  <c r="N7" i="65"/>
  <c r="M7" i="65"/>
  <c r="L7" i="65"/>
  <c r="K7" i="65"/>
  <c r="P7" i="65"/>
  <c r="E11" i="13" s="1"/>
  <c r="P6" i="65"/>
  <c r="E10" i="13" s="1"/>
  <c r="O5" i="65"/>
  <c r="N5" i="65"/>
  <c r="M5" i="65"/>
  <c r="P5" i="65" s="1"/>
  <c r="E9" i="13" s="1"/>
  <c r="L5" i="65"/>
  <c r="K5" i="65"/>
  <c r="P4" i="65"/>
  <c r="E8" i="13" s="1"/>
  <c r="P3" i="65"/>
  <c r="E7" i="13" s="1"/>
  <c r="P2" i="65"/>
  <c r="D28" i="39" l="1"/>
  <c r="E34" i="39" l="1"/>
  <c r="D6" i="5" l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C10" i="40" l="1"/>
  <c r="C9" i="40"/>
  <c r="D30" i="39" l="1"/>
  <c r="E28" i="39" l="1"/>
  <c r="C21" i="39" l="1"/>
  <c r="C22" i="39"/>
  <c r="C17" i="39"/>
  <c r="C20" i="39"/>
  <c r="C23" i="39"/>
  <c r="C19" i="39"/>
  <c r="C18" i="39"/>
  <c r="C16" i="39"/>
  <c r="C24" i="39" l="1"/>
  <c r="K22" i="57" l="1"/>
  <c r="E29" i="39" l="1"/>
  <c r="D8" i="39" l="1"/>
  <c r="M10" i="58" l="1"/>
  <c r="M11" i="58"/>
  <c r="M12" i="58"/>
  <c r="M13" i="58"/>
  <c r="M9" i="58"/>
  <c r="M29" i="60" l="1"/>
  <c r="M29" i="61" l="1"/>
  <c r="M28" i="61"/>
  <c r="M27" i="61"/>
  <c r="M26" i="61"/>
  <c r="M30" i="61" s="1"/>
  <c r="M25" i="61"/>
  <c r="M21" i="61"/>
  <c r="M20" i="61"/>
  <c r="M19" i="61"/>
  <c r="M18" i="61"/>
  <c r="M17" i="61"/>
  <c r="M22" i="61" s="1"/>
  <c r="M13" i="61"/>
  <c r="M12" i="61"/>
  <c r="M11" i="61"/>
  <c r="M10" i="61"/>
  <c r="M9" i="61"/>
  <c r="M14" i="61" s="1"/>
  <c r="M26" i="60" l="1"/>
  <c r="M27" i="60"/>
  <c r="M28" i="60"/>
  <c r="M21" i="58"/>
  <c r="M20" i="58"/>
  <c r="M35" i="60" l="1"/>
  <c r="M34" i="60"/>
  <c r="M33" i="60"/>
  <c r="M38" i="60" s="1"/>
  <c r="M25" i="60"/>
  <c r="M30" i="60" s="1"/>
  <c r="M19" i="60"/>
  <c r="M18" i="60"/>
  <c r="M17" i="60"/>
  <c r="M13" i="60"/>
  <c r="M12" i="60"/>
  <c r="M11" i="60"/>
  <c r="M10" i="60"/>
  <c r="M9" i="60"/>
  <c r="M29" i="59"/>
  <c r="M28" i="59"/>
  <c r="M27" i="59"/>
  <c r="M26" i="59"/>
  <c r="M25" i="59"/>
  <c r="M30" i="59" s="1"/>
  <c r="M21" i="59"/>
  <c r="M20" i="59"/>
  <c r="M19" i="59"/>
  <c r="M18" i="59"/>
  <c r="M17" i="59"/>
  <c r="M22" i="59" s="1"/>
  <c r="M13" i="59"/>
  <c r="M12" i="59"/>
  <c r="M11" i="59"/>
  <c r="M10" i="59"/>
  <c r="M14" i="59" s="1"/>
  <c r="M9" i="59"/>
  <c r="M35" i="58"/>
  <c r="M34" i="58"/>
  <c r="M33" i="58"/>
  <c r="M25" i="58"/>
  <c r="M30" i="58" s="1"/>
  <c r="K30" i="58" s="1"/>
  <c r="M19" i="58"/>
  <c r="M18" i="58"/>
  <c r="M17" i="58"/>
  <c r="M22" i="58" s="1"/>
  <c r="M29" i="57"/>
  <c r="M28" i="57"/>
  <c r="M27" i="57"/>
  <c r="M26" i="57"/>
  <c r="M25" i="57"/>
  <c r="M21" i="57"/>
  <c r="M20" i="57"/>
  <c r="M19" i="57"/>
  <c r="M18" i="57"/>
  <c r="M17" i="57"/>
  <c r="M13" i="57"/>
  <c r="M12" i="57"/>
  <c r="M11" i="57"/>
  <c r="M10" i="57"/>
  <c r="M9" i="57"/>
  <c r="M14" i="57" l="1"/>
  <c r="K14" i="57" s="1"/>
  <c r="K22" i="58"/>
  <c r="M22" i="57"/>
  <c r="M38" i="58"/>
  <c r="K38" i="58" s="1"/>
  <c r="M30" i="57"/>
  <c r="K30" i="57" s="1"/>
  <c r="M14" i="60"/>
  <c r="M22" i="60"/>
  <c r="M14" i="58"/>
  <c r="K14" i="58" s="1"/>
  <c r="K22" i="60" l="1"/>
  <c r="K22" i="59"/>
  <c r="K38" i="60"/>
  <c r="K30" i="59"/>
  <c r="K14" i="60"/>
  <c r="K30" i="60"/>
  <c r="K14" i="59"/>
  <c r="J24" i="39" l="1"/>
  <c r="D24" i="39"/>
  <c r="I15" i="39" l="1"/>
  <c r="D34" i="39" l="1"/>
  <c r="D33" i="39" l="1"/>
  <c r="D31" i="39"/>
  <c r="D32" i="39"/>
  <c r="D36" i="39"/>
  <c r="D35" i="39"/>
  <c r="E36" i="39"/>
  <c r="E31" i="39" l="1"/>
  <c r="D29" i="39"/>
  <c r="E30" i="39" l="1"/>
  <c r="E32" i="39"/>
  <c r="E33" i="39"/>
  <c r="E35" i="39"/>
  <c r="Q19" i="1" l="1"/>
  <c r="L20" i="21" l="1"/>
  <c r="L19" i="21" l="1"/>
  <c r="L18" i="21"/>
  <c r="L17" i="21"/>
  <c r="L16" i="21"/>
  <c r="L10" i="21"/>
  <c r="L11" i="21"/>
  <c r="L12" i="21"/>
  <c r="L13" i="21"/>
  <c r="L9" i="21"/>
  <c r="D6" i="39" l="1"/>
  <c r="D10" i="39"/>
  <c r="E16" i="39"/>
  <c r="E22" i="39"/>
  <c r="E18" i="39"/>
  <c r="E21" i="39"/>
  <c r="E20" i="39"/>
  <c r="E17" i="39"/>
  <c r="E23" i="39"/>
  <c r="E19" i="39"/>
  <c r="I16" i="39"/>
  <c r="I21" i="39"/>
  <c r="K21" i="39" s="1"/>
  <c r="D7" i="39"/>
  <c r="I23" i="39"/>
  <c r="K23" i="39" s="1"/>
  <c r="I20" i="39"/>
  <c r="K20" i="39" s="1"/>
  <c r="I17" i="39"/>
  <c r="K17" i="39" s="1"/>
  <c r="I22" i="39"/>
  <c r="K22" i="39" s="1"/>
  <c r="I18" i="39"/>
  <c r="K18" i="39" s="1"/>
  <c r="I19" i="39"/>
  <c r="K19" i="39" s="1"/>
  <c r="K16" i="39" l="1"/>
  <c r="I24" i="39"/>
  <c r="D9" i="39"/>
  <c r="K15" i="39"/>
  <c r="D11" i="39" l="1"/>
  <c r="X55" i="1"/>
  <c r="X54" i="1"/>
  <c r="X53" i="1"/>
  <c r="X52" i="1"/>
  <c r="X47" i="1"/>
  <c r="X46" i="1"/>
  <c r="X45" i="1"/>
  <c r="X44" i="1"/>
  <c r="X43" i="1"/>
  <c r="X48" i="1" s="1"/>
  <c r="V48" i="1" s="1"/>
  <c r="X41" i="1"/>
  <c r="X40" i="1"/>
  <c r="X39" i="1"/>
  <c r="X38" i="1"/>
  <c r="X37" i="1"/>
  <c r="X42" i="1" s="1"/>
  <c r="V42" i="1" s="1"/>
  <c r="X33" i="1"/>
  <c r="X32" i="1"/>
  <c r="X31" i="1"/>
  <c r="X30" i="1"/>
  <c r="X29" i="1"/>
  <c r="X27" i="1"/>
  <c r="X26" i="1"/>
  <c r="X25" i="1"/>
  <c r="X24" i="1"/>
  <c r="X23" i="1"/>
  <c r="S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Q11" i="1" s="1"/>
  <c r="C11" i="1"/>
  <c r="B11" i="1"/>
  <c r="E11" i="1" s="1"/>
  <c r="U10" i="1"/>
  <c r="W10" i="1" s="1"/>
  <c r="O10" i="1"/>
  <c r="Q10" i="1" s="1"/>
  <c r="E10" i="1"/>
  <c r="D10" i="1"/>
  <c r="U9" i="1"/>
  <c r="W9" i="1" s="1"/>
  <c r="O9" i="1"/>
  <c r="Q9" i="1" s="1"/>
  <c r="C9" i="1"/>
  <c r="B9" i="1"/>
  <c r="E9" i="1" s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Q6" i="1" s="1"/>
  <c r="E6" i="1"/>
  <c r="D6" i="1"/>
  <c r="X34" i="1" l="1"/>
  <c r="V34" i="1" s="1"/>
  <c r="D9" i="1"/>
  <c r="O14" i="1"/>
  <c r="D11" i="1"/>
  <c r="X28" i="1"/>
  <c r="V28" i="1" s="1"/>
  <c r="U14" i="1"/>
</calcChain>
</file>

<file path=xl/comments1.xml><?xml version="1.0" encoding="utf-8"?>
<comments xmlns="http://schemas.openxmlformats.org/spreadsheetml/2006/main">
  <authors>
    <author>陳佳萱</author>
  </authors>
  <commentList>
    <comment ref="C9" authorId="0" shapeId="0">
      <text>
        <r>
          <rPr>
            <b/>
            <sz val="9"/>
            <color indexed="81"/>
            <rFont val="細明體"/>
            <family val="3"/>
            <charset val="136"/>
          </rPr>
          <t>陳佳萱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為變動值，故要列上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1" authorId="0" shapeId="0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<sst xmlns="http://schemas.openxmlformats.org/spreadsheetml/2006/main" count="6550" uniqueCount="722">
  <si>
    <t>・・・・・・・・</t>
  </si>
  <si>
    <t>前月</t>
  </si>
  <si>
    <t>差異</t>
  </si>
  <si>
    <t>累計</t>
  </si>
  <si>
    <t>達成率</t>
  </si>
  <si>
    <t>材料費</t>
  </si>
  <si>
    <t>材料費率</t>
  </si>
  <si>
    <t>導入率</t>
  </si>
  <si>
    <t>-</t>
  </si>
  <si>
    <t>-%</t>
  </si>
  <si>
    <t>合計</t>
  </si>
  <si>
    <t>金額</t>
  </si>
  <si>
    <t>商品名</t>
  </si>
  <si>
    <t>前月比</t>
  </si>
  <si>
    <t>手巻明太子</t>
  </si>
  <si>
    <t>6/30新商品</t>
  </si>
  <si>
    <t>海老炒飯</t>
  </si>
  <si>
    <t>（９）歩留</t>
  </si>
  <si>
    <t>No.</t>
  </si>
  <si>
    <t>規格</t>
  </si>
  <si>
    <t>工廠</t>
    <phoneticPr fontId="10"/>
  </si>
  <si>
    <t>（１）收支狀況</t>
    <phoneticPr fontId="10"/>
  </si>
  <si>
    <t>當月</t>
    <phoneticPr fontId="10"/>
  </si>
  <si>
    <t>※單位：千元</t>
    <phoneticPr fontId="10"/>
  </si>
  <si>
    <t>業績金額</t>
    <phoneticPr fontId="10"/>
  </si>
  <si>
    <t>訂單數量</t>
    <phoneticPr fontId="10"/>
  </si>
  <si>
    <t>半成品報廢</t>
    <phoneticPr fontId="10"/>
  </si>
  <si>
    <t>半成品超用</t>
    <phoneticPr fontId="10"/>
  </si>
  <si>
    <t>固定產線</t>
    <phoneticPr fontId="10"/>
  </si>
  <si>
    <t>教育訓練</t>
    <phoneticPr fontId="10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</si>
  <si>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10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</si>
  <si>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10"/>
  </si>
  <si>
    <t>（３）業績構成比</t>
    <phoneticPr fontId="10"/>
  </si>
  <si>
    <t>（４）訂單數量構成比</t>
    <phoneticPr fontId="10"/>
  </si>
  <si>
    <t>飯糰</t>
    <phoneticPr fontId="10"/>
  </si>
  <si>
    <t>大口飯糰</t>
    <phoneticPr fontId="10"/>
  </si>
  <si>
    <t>便當</t>
    <phoneticPr fontId="10"/>
  </si>
  <si>
    <t>調理麵包</t>
    <phoneticPr fontId="10"/>
  </si>
  <si>
    <t>袋裝調理麵包</t>
    <phoneticPr fontId="10"/>
  </si>
  <si>
    <t>義大利麵</t>
    <phoneticPr fontId="10"/>
  </si>
  <si>
    <t>調理包</t>
    <phoneticPr fontId="10"/>
  </si>
  <si>
    <t>比例</t>
    <phoneticPr fontId="10"/>
  </si>
  <si>
    <t>作業原因</t>
    <phoneticPr fontId="10"/>
  </si>
  <si>
    <t>規格原因</t>
    <phoneticPr fontId="10"/>
  </si>
  <si>
    <t>調理麵</t>
    <phoneticPr fontId="10"/>
  </si>
  <si>
    <t>（６）人時生產性前幾名品項</t>
    <phoneticPr fontId="10"/>
  </si>
  <si>
    <t>人數</t>
    <phoneticPr fontId="10"/>
  </si>
  <si>
    <t>排名</t>
    <phoneticPr fontId="10"/>
  </si>
  <si>
    <t>產能</t>
    <phoneticPr fontId="10"/>
  </si>
  <si>
    <t>人時生產性</t>
    <phoneticPr fontId="10"/>
  </si>
  <si>
    <t>主要原因&amp;對策</t>
  </si>
  <si>
    <t>主要原因&amp;對策</t>
    <phoneticPr fontId="10"/>
  </si>
  <si>
    <t>（８）報廢原因別前幾名品項</t>
    <phoneticPr fontId="10"/>
  </si>
  <si>
    <t>半成品名</t>
    <phoneticPr fontId="10"/>
  </si>
  <si>
    <t>單價</t>
    <phoneticPr fontId="10"/>
  </si>
  <si>
    <t>報廢率</t>
    <phoneticPr fontId="10"/>
  </si>
  <si>
    <t>數量</t>
    <phoneticPr fontId="10"/>
  </si>
  <si>
    <t>實績</t>
    <phoneticPr fontId="10"/>
  </si>
  <si>
    <t>前幾名合計比例</t>
    <phoneticPr fontId="10"/>
  </si>
  <si>
    <t>前幾名合計金額</t>
    <phoneticPr fontId="10"/>
  </si>
  <si>
    <t>※補充</t>
    <phoneticPr fontId="10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</si>
  <si>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10"/>
  </si>
  <si>
    <t>實施率</t>
    <phoneticPr fontId="10"/>
  </si>
  <si>
    <t>（５）品群別人時生產性</t>
    <phoneticPr fontId="10"/>
  </si>
  <si>
    <t>勞務成本</t>
    <phoneticPr fontId="10"/>
  </si>
  <si>
    <t>勞務費率</t>
    <phoneticPr fontId="10"/>
  </si>
  <si>
    <t>比例</t>
    <phoneticPr fontId="10"/>
  </si>
  <si>
    <t>前月</t>
    <phoneticPr fontId="10"/>
  </si>
  <si>
    <t>差異</t>
    <phoneticPr fontId="10"/>
  </si>
  <si>
    <t>KPI</t>
    <phoneticPr fontId="10"/>
  </si>
  <si>
    <t>當月</t>
    <phoneticPr fontId="10"/>
  </si>
  <si>
    <t>（２）ＫＰＩ達成進度</t>
    <phoneticPr fontId="10"/>
  </si>
  <si>
    <t>（７）原因別分析</t>
    <phoneticPr fontId="10"/>
  </si>
  <si>
    <t>月別</t>
    <phoneticPr fontId="10"/>
  </si>
  <si>
    <t>工廠名</t>
    <phoneticPr fontId="10"/>
  </si>
  <si>
    <t>手巻卵黄雞絞肉</t>
    <phoneticPr fontId="10"/>
  </si>
  <si>
    <t>減少暫時停止生產,人時UP</t>
    <phoneticPr fontId="10"/>
  </si>
  <si>
    <t>因組裝2食材,人員增加,產速減少</t>
    <phoneticPr fontId="10"/>
  </si>
  <si>
    <t>透由調整速度提升。</t>
    <phoneticPr fontId="10"/>
  </si>
  <si>
    <t>直巻明太子美奶茲</t>
    <phoneticPr fontId="10"/>
  </si>
  <si>
    <t>大口飯糰燒肉美奶滋</t>
    <phoneticPr fontId="10"/>
  </si>
  <si>
    <t>因摺疊增員。實施教育訓練。</t>
    <phoneticPr fontId="10"/>
  </si>
  <si>
    <t>明太子海苔便當</t>
    <phoneticPr fontId="10"/>
  </si>
  <si>
    <t>指導鋪開炒柴魚片</t>
    <phoneticPr fontId="10"/>
  </si>
  <si>
    <t>肉狀態不良，已連動開發</t>
    <phoneticPr fontId="10"/>
  </si>
  <si>
    <t>油炸白身魚</t>
    <phoneticPr fontId="10"/>
  </si>
  <si>
    <t>油調過多報廢。變更條件。</t>
    <phoneticPr fontId="10"/>
  </si>
  <si>
    <t>川燙蝦子拌醬</t>
    <phoneticPr fontId="10"/>
  </si>
  <si>
    <t>蝦子入數不足</t>
    <phoneticPr fontId="10"/>
  </si>
  <si>
    <t>特製醬汁炙燒牛五花便當</t>
    <phoneticPr fontId="10"/>
  </si>
  <si>
    <t>牛五花醬汁</t>
    <phoneticPr fontId="10"/>
  </si>
  <si>
    <t>難度有差異。調理指導。</t>
    <phoneticPr fontId="10"/>
  </si>
  <si>
    <t>因原料變更。</t>
    <phoneticPr fontId="10"/>
  </si>
  <si>
    <t>牛五花燒成</t>
    <phoneticPr fontId="10"/>
  </si>
  <si>
    <t>大口飯糰三種起司午餐肉</t>
    <phoneticPr fontId="10"/>
  </si>
  <si>
    <t>３種起司燒成</t>
    <phoneticPr fontId="10"/>
  </si>
  <si>
    <t>與燒成範本不同。</t>
    <phoneticPr fontId="10"/>
  </si>
  <si>
    <t>燒成過多，調整調理條件。</t>
    <phoneticPr fontId="10"/>
  </si>
  <si>
    <t>超用率</t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</si>
  <si>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</si>
  <si>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</si>
  <si>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</si>
  <si>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</si>
  <si>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10"/>
  </si>
  <si>
    <t>超用率</t>
    <phoneticPr fontId="10"/>
  </si>
  <si>
    <t>日期</t>
    <phoneticPr fontId="13" type="noConversion"/>
  </si>
  <si>
    <t xml:space="preserve">半成品超用(%) </t>
  </si>
  <si>
    <t xml:space="preserve">人時生產性(個/人) </t>
  </si>
  <si>
    <t xml:space="preserve">人時生產性達成率(%) </t>
  </si>
  <si>
    <t>品類業績</t>
    <phoneticPr fontId="13" type="noConversion"/>
  </si>
  <si>
    <t>業績(元)</t>
    <phoneticPr fontId="13" type="noConversion"/>
  </si>
  <si>
    <t>比例(%)</t>
    <phoneticPr fontId="13" type="noConversion"/>
  </si>
  <si>
    <t>三</t>
    <phoneticPr fontId="13" type="noConversion"/>
  </si>
  <si>
    <t>四</t>
    <phoneticPr fontId="13" type="noConversion"/>
  </si>
  <si>
    <t>五</t>
    <phoneticPr fontId="13" type="noConversion"/>
  </si>
  <si>
    <t>六</t>
    <phoneticPr fontId="13" type="noConversion"/>
  </si>
  <si>
    <t>日</t>
    <phoneticPr fontId="13" type="noConversion"/>
  </si>
  <si>
    <t>一</t>
    <phoneticPr fontId="13" type="noConversion"/>
  </si>
  <si>
    <t>二</t>
    <phoneticPr fontId="13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</si>
  <si>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3" type="noConversion"/>
  </si>
  <si>
    <t>週累積</t>
    <phoneticPr fontId="13" type="noConversion"/>
  </si>
  <si>
    <t>月累積</t>
    <phoneticPr fontId="13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</si>
  <si>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3" type="noConversion"/>
  </si>
  <si>
    <t>營業額(元)</t>
    <phoneticPr fontId="13" type="noConversion"/>
  </si>
  <si>
    <t>訂單數量(個)</t>
    <phoneticPr fontId="13" type="noConversion"/>
  </si>
  <si>
    <t>材料費(元)</t>
    <phoneticPr fontId="13" type="noConversion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</si>
  <si>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3" type="noConversion"/>
  </si>
  <si>
    <t>材料費率（材料費／營業額）</t>
    <phoneticPr fontId="13" type="noConversion"/>
  </si>
  <si>
    <t>勞務成本（全廠人事成本）</t>
    <phoneticPr fontId="13" type="noConversion"/>
  </si>
  <si>
    <t>勞務費率（勞務成本／營業額）</t>
    <phoneticPr fontId="13" type="noConversion"/>
  </si>
  <si>
    <t>（２）ＫＰＩ達成進度</t>
    <phoneticPr fontId="13" type="noConversion"/>
  </si>
  <si>
    <t>週平均</t>
    <phoneticPr fontId="13" type="noConversion"/>
  </si>
  <si>
    <t>月平均</t>
    <phoneticPr fontId="13" type="noConversion"/>
  </si>
  <si>
    <t>一配</t>
    <phoneticPr fontId="13" type="noConversion"/>
  </si>
  <si>
    <t>二配</t>
    <phoneticPr fontId="13" type="noConversion"/>
  </si>
  <si>
    <t>營業額</t>
    <phoneticPr fontId="13" type="noConversion"/>
  </si>
  <si>
    <t>便當</t>
  </si>
  <si>
    <t>便當</t>
    <phoneticPr fontId="13" type="noConversion"/>
  </si>
  <si>
    <t>主食</t>
  </si>
  <si>
    <t>主食</t>
    <phoneticPr fontId="13" type="noConversion"/>
  </si>
  <si>
    <t>熱食義麵</t>
  </si>
  <si>
    <t>季節調理麵</t>
  </si>
  <si>
    <t>微波小吃</t>
  </si>
  <si>
    <t>微波小吃</t>
    <phoneticPr fontId="13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</si>
  <si>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3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</si>
  <si>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3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</si>
  <si>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3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</si>
  <si>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3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</si>
  <si>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3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</si>
  <si>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3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</si>
  <si>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3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</si>
  <si>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3" type="noConversion"/>
  </si>
  <si>
    <t>合計</t>
    <phoneticPr fontId="13" type="noConversion"/>
  </si>
  <si>
    <t>訂單量</t>
    <phoneticPr fontId="13" type="noConversion"/>
  </si>
  <si>
    <t>訂單數</t>
    <phoneticPr fontId="13" type="noConversion"/>
  </si>
  <si>
    <t>18℃-壽司手卷</t>
  </si>
  <si>
    <t>4℃-壽司手卷</t>
  </si>
  <si>
    <t>商品名稱</t>
    <phoneticPr fontId="13" type="noConversion"/>
  </si>
  <si>
    <t>計畫</t>
    <phoneticPr fontId="13" type="noConversion"/>
  </si>
  <si>
    <t>人數</t>
    <phoneticPr fontId="13" type="noConversion"/>
  </si>
  <si>
    <t>實際</t>
    <phoneticPr fontId="13" type="noConversion"/>
  </si>
  <si>
    <t>人時性</t>
    <phoneticPr fontId="13" type="noConversion"/>
  </si>
  <si>
    <t>品群</t>
    <phoneticPr fontId="13" type="noConversion"/>
  </si>
  <si>
    <t>平均人時性</t>
    <phoneticPr fontId="13" type="noConversion"/>
  </si>
  <si>
    <t>日報</t>
    <phoneticPr fontId="13" type="noConversion"/>
  </si>
  <si>
    <t>排名</t>
    <phoneticPr fontId="13" type="noConversion"/>
  </si>
  <si>
    <t>製程不穩</t>
    <phoneticPr fontId="10"/>
  </si>
  <si>
    <t>研發設定</t>
    <phoneticPr fontId="10"/>
  </si>
  <si>
    <t>類別</t>
  </si>
  <si>
    <t>備註-商品名稱</t>
  </si>
  <si>
    <t>組合端</t>
  </si>
  <si>
    <t>品群</t>
    <phoneticPr fontId="10"/>
  </si>
  <si>
    <t>原物料規格</t>
    <phoneticPr fontId="10"/>
  </si>
  <si>
    <t>其他原因</t>
    <phoneticPr fontId="10"/>
  </si>
  <si>
    <t>類型</t>
    <phoneticPr fontId="13" type="noConversion"/>
  </si>
  <si>
    <t>作業原因</t>
    <phoneticPr fontId="10"/>
  </si>
  <si>
    <t>類型</t>
    <phoneticPr fontId="13" type="noConversion"/>
  </si>
  <si>
    <t>原料原因</t>
    <phoneticPr fontId="10"/>
  </si>
  <si>
    <t>個／MH</t>
    <phoneticPr fontId="10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</si>
  <si>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0"/>
  </si>
  <si>
    <t>項目</t>
    <phoneticPr fontId="13" type="noConversion"/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</si>
  <si>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0"/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</si>
  <si>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0"/>
  </si>
  <si>
    <t>半成品-報廢(%)</t>
    <phoneticPr fontId="10"/>
  </si>
  <si>
    <t>半成品-超用(%)</t>
    <phoneticPr fontId="10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</si>
  <si>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  <phoneticPr fontId="10"/>
  </si>
  <si>
    <r>
      <t>教育訓練-</t>
    </r>
    <r>
      <rPr>
        <sz val="10"/>
        <color theme="1"/>
        <rFont val="細明體"/>
        <family val="3"/>
        <charset val="136"/>
      </rPr>
      <t>實施率(%)</t>
    </r>
    <phoneticPr fontId="10"/>
  </si>
  <si>
    <t>▼1</t>
    <phoneticPr fontId="10"/>
  </si>
  <si>
    <t>▼3</t>
    <phoneticPr fontId="10"/>
  </si>
  <si>
    <r>
      <t>18℃-飯</t>
    </r>
    <r>
      <rPr>
        <sz val="11"/>
        <color theme="1"/>
        <rFont val="Arial"/>
        <family val="2"/>
      </rPr>
      <t>糰</t>
    </r>
  </si>
  <si>
    <r>
      <t>4℃-飯</t>
    </r>
    <r>
      <rPr>
        <sz val="11"/>
        <color theme="1"/>
        <rFont val="Arial"/>
        <family val="3"/>
        <charset val="136"/>
      </rPr>
      <t>糰</t>
    </r>
  </si>
  <si>
    <r>
      <t>熱食義</t>
    </r>
    <r>
      <rPr>
        <sz val="11"/>
        <color theme="1"/>
        <rFont val="Arial"/>
        <family val="2"/>
      </rPr>
      <t>麵</t>
    </r>
  </si>
  <si>
    <t>▼2</t>
    <phoneticPr fontId="10"/>
  </si>
  <si>
    <t>▼4</t>
    <phoneticPr fontId="10"/>
  </si>
  <si>
    <t>▼5</t>
    <phoneticPr fontId="10"/>
  </si>
  <si>
    <r>
      <t>調理多</t>
    </r>
    <r>
      <rPr>
        <sz val="11"/>
        <color theme="1"/>
        <rFont val="Arial"/>
        <family val="3"/>
        <charset val="136"/>
      </rPr>
      <t>產</t>
    </r>
    <phoneticPr fontId="10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</si>
  <si>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3" type="noConversion"/>
  </si>
  <si>
    <t>抓樣不穩</t>
  </si>
  <si>
    <t>原物料規格</t>
  </si>
  <si>
    <t>研發設定</t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</si>
  <si>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0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</si>
  <si>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0"/>
  </si>
  <si>
    <r>
      <t>4℃-飯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(065)</t>
    </r>
    <phoneticPr fontId="13" type="noConversion"/>
  </si>
  <si>
    <t>4℃-壽司手卷(077)</t>
  </si>
  <si>
    <t>4℃-壽司手卷(077)</t>
    <phoneticPr fontId="13" type="noConversion"/>
  </si>
  <si>
    <t>18℃-壽司手卷(071,072,075,076)</t>
  </si>
  <si>
    <t>18℃-壽司手卷(071,072,075,076)</t>
    <phoneticPr fontId="13" type="noConversion"/>
  </si>
  <si>
    <t>主食(091,092,093,094,095)</t>
  </si>
  <si>
    <t>主食(091,092,093,094,095)</t>
    <phoneticPr fontId="13" type="noConversion"/>
  </si>
  <si>
    <t>便當(083)</t>
  </si>
  <si>
    <t>便當(083)</t>
    <phoneticPr fontId="13" type="noConversion"/>
  </si>
  <si>
    <t>一配經典肉鬆飯糰</t>
  </si>
  <si>
    <t>一配壹號醬炙烤牛飯糰</t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</si>
  <si>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3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</si>
  <si>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3" type="noConversion"/>
  </si>
  <si>
    <t>微波小吃(153,154,155)</t>
  </si>
  <si>
    <t>微波小吃(153,154,155)</t>
    <phoneticPr fontId="13" type="noConversion"/>
  </si>
  <si>
    <t>18℃-飯A15:A23糰(061,063)</t>
  </si>
  <si>
    <t>4℃-飯糰(065)</t>
  </si>
  <si>
    <t>熱食義麵(122,123,124,126)</t>
  </si>
  <si>
    <t>季節調理麵(111,112)</t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</si>
  <si>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3" type="noConversion"/>
  </si>
  <si>
    <t>項目</t>
    <phoneticPr fontId="13" type="noConversion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</si>
  <si>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10"/>
  </si>
  <si>
    <t>比例</t>
    <phoneticPr fontId="10"/>
  </si>
  <si>
    <t>報廢</t>
    <phoneticPr fontId="10"/>
  </si>
  <si>
    <t>超用</t>
    <phoneticPr fontId="10"/>
  </si>
  <si>
    <t>總件數</t>
    <phoneticPr fontId="13" type="noConversion"/>
  </si>
  <si>
    <t>分析原因</t>
    <phoneticPr fontId="13" type="noConversion"/>
  </si>
  <si>
    <t>次數</t>
    <phoneticPr fontId="13" type="noConversion"/>
  </si>
  <si>
    <t>分析原因（件）</t>
    <phoneticPr fontId="13" type="noConversion"/>
  </si>
  <si>
    <t>其他原因</t>
    <phoneticPr fontId="13" type="noConversion"/>
  </si>
  <si>
    <t>展開量高於１０5％</t>
    <phoneticPr fontId="10"/>
  </si>
  <si>
    <t>18℃-壽司手卷(071,072,075,076)</t>
    <phoneticPr fontId="13" type="noConversion"/>
  </si>
  <si>
    <t>鮮食品群番</t>
    <phoneticPr fontId="13" type="noConversion"/>
  </si>
  <si>
    <t>06</t>
  </si>
  <si>
    <t>飯糰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</si>
  <si>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</si>
  <si>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</si>
  <si>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</si>
  <si>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</si>
  <si>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</si>
  <si>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</si>
  <si>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</si>
  <si>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</si>
  <si>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</si>
  <si>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</si>
  <si>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</si>
  <si>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</si>
  <si>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</si>
  <si>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</si>
  <si>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</si>
  <si>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</si>
  <si>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</si>
  <si>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</si>
  <si>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</si>
  <si>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</si>
  <si>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</si>
  <si>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</si>
  <si>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</si>
  <si>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</si>
  <si>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</si>
  <si>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</si>
  <si>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</si>
  <si>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</si>
  <si>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</si>
  <si>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</si>
  <si>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</si>
  <si>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</si>
  <si>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</si>
  <si>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</si>
  <si>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義大利麵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</si>
  <si>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</si>
  <si>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</si>
  <si>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</si>
  <si>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</si>
  <si>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</si>
  <si>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</si>
  <si>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</si>
  <si>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</si>
  <si>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</si>
  <si>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</si>
  <si>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</si>
  <si>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</si>
  <si>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</si>
  <si>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</si>
  <si>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</si>
  <si>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</si>
  <si>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</si>
  <si>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</si>
  <si>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</si>
  <si>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</si>
  <si>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</si>
  <si>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</si>
  <si>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</si>
  <si>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</si>
  <si>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</si>
  <si>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</si>
  <si>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</si>
  <si>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</si>
  <si>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品類訂單量</t>
    <phoneticPr fontId="13" type="noConversion"/>
  </si>
  <si>
    <t>（3）業績構成比</t>
    <phoneticPr fontId="13" type="noConversion"/>
  </si>
  <si>
    <t>（4）訂單數量構成比</t>
    <phoneticPr fontId="13" type="noConversion"/>
  </si>
  <si>
    <t xml:space="preserve">半成品報廢(%) </t>
    <phoneticPr fontId="13" type="noConversion"/>
  </si>
  <si>
    <t>月別</t>
    <phoneticPr fontId="10"/>
  </si>
  <si>
    <t>週別</t>
    <phoneticPr fontId="13" type="noConversion"/>
  </si>
  <si>
    <t>當週</t>
  </si>
  <si>
    <t>當週</t>
    <phoneticPr fontId="10"/>
  </si>
  <si>
    <t>前週</t>
  </si>
  <si>
    <t>前週</t>
    <phoneticPr fontId="13" type="noConversion"/>
  </si>
  <si>
    <t>前週</t>
    <phoneticPr fontId="10"/>
  </si>
  <si>
    <t>前週比</t>
    <phoneticPr fontId="13" type="noConversion"/>
  </si>
  <si>
    <t>前週比</t>
  </si>
  <si>
    <r>
      <rPr>
        <b/>
        <sz val="20"/>
        <color rgb="FF000000"/>
        <rFont val="微軟正黑體"/>
        <family val="2"/>
        <charset val="136"/>
      </rPr>
      <t>大溪</t>
    </r>
    <r>
      <rPr>
        <b/>
        <sz val="20"/>
        <color rgb="FF000000"/>
        <rFont val="Meiryo UI"/>
        <family val="2"/>
        <charset val="128"/>
      </rPr>
      <t>廠生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3" type="noConversion"/>
  </si>
  <si>
    <t>烤銀鮭魚肚</t>
  </si>
  <si>
    <t>(V)川燙小青花菜</t>
  </si>
  <si>
    <t>製程不穩</t>
  </si>
  <si>
    <r>
      <t>調理多</t>
    </r>
    <r>
      <rPr>
        <sz val="11"/>
        <color theme="1"/>
        <rFont val="微軟正黑體"/>
        <family val="2"/>
        <charset val="136"/>
      </rPr>
      <t>產</t>
    </r>
    <phoneticPr fontId="10"/>
  </si>
  <si>
    <t>一配贅沢鮭魚肚飯糰</t>
  </si>
  <si>
    <t>共用類</t>
  </si>
  <si>
    <t>二配里肌豬排可可咖哩歐姆蛋飯</t>
  </si>
  <si>
    <t>糖燻野郎三十天熟成牛飯</t>
  </si>
  <si>
    <t>二配哞哞培根奶香海陸焗飯</t>
  </si>
  <si>
    <t>二配壹號醬炙烤牛飯糰</t>
  </si>
  <si>
    <t>二配經典肉鬆飯糰</t>
  </si>
  <si>
    <t>一配長野稻荷壽司</t>
  </si>
  <si>
    <t>麻油雞飯糰</t>
  </si>
  <si>
    <t>微波主食</t>
    <phoneticPr fontId="13" type="noConversion"/>
  </si>
  <si>
    <t>二配黃金雞排蘑菇白醬歐姆蛋飯</t>
  </si>
  <si>
    <t>嫩烤香料雞胸排蔬滿盒</t>
  </si>
  <si>
    <t>健身G肉餐盒</t>
  </si>
  <si>
    <t>烤蛋白餐盒</t>
  </si>
  <si>
    <t>日式茶碗蒸</t>
  </si>
  <si>
    <t>固定產線-導入率(固定產線數/總產線數)</t>
    <phoneticPr fontId="13" type="noConversion"/>
  </si>
  <si>
    <r>
      <t>人時生</t>
    </r>
    <r>
      <rPr>
        <sz val="10"/>
        <color rgb="FF000000"/>
        <rFont val="細明體"/>
        <family val="3"/>
        <charset val="136"/>
      </rPr>
      <t>產性基準值</t>
    </r>
    <phoneticPr fontId="13" type="noConversion"/>
  </si>
  <si>
    <t>炒油蔥醬</t>
  </si>
  <si>
    <t>雞肉飯飯糰</t>
  </si>
  <si>
    <t>大溪廠</t>
    <phoneticPr fontId="13" type="noConversion"/>
  </si>
  <si>
    <r>
      <t>大溪</t>
    </r>
    <r>
      <rPr>
        <b/>
        <sz val="20"/>
        <color rgb="FF000000"/>
        <rFont val="Meiryo UI"/>
        <family val="2"/>
        <charset val="128"/>
      </rPr>
      <t>廠生</t>
    </r>
    <r>
      <rPr>
        <b/>
        <sz val="20"/>
        <color rgb="FF000000"/>
        <rFont val="Meiryo UI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3" type="noConversion"/>
  </si>
  <si>
    <t>生產管理報表</t>
    <phoneticPr fontId="13" type="noConversion"/>
  </si>
  <si>
    <t>展開量105%</t>
  </si>
  <si>
    <r>
      <t>資料</t>
    </r>
    <r>
      <rPr>
        <sz val="10"/>
        <color rgb="FF000000"/>
        <rFont val="Arial"/>
        <family val="3"/>
        <charset val="136"/>
      </rPr>
      <t>繳</t>
    </r>
    <r>
      <rPr>
        <sz val="10"/>
        <color rgb="FF000000"/>
        <rFont val="Meiryo UI"/>
        <family val="2"/>
        <charset val="128"/>
      </rPr>
      <t>交</t>
    </r>
    <phoneticPr fontId="13" type="noConversion"/>
  </si>
  <si>
    <t>實績 (週平均)</t>
    <phoneticPr fontId="13" type="noConversion"/>
  </si>
  <si>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線配置圖</t>
    </r>
    <phoneticPr fontId="13" type="noConversion"/>
  </si>
  <si>
    <r>
      <t>生</t>
    </r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實績</t>
    </r>
    <phoneticPr fontId="13" type="noConversion"/>
  </si>
  <si>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能／時</t>
    </r>
    <phoneticPr fontId="13" type="noConversion"/>
  </si>
  <si>
    <r>
      <t>18℃-飯</t>
    </r>
    <r>
      <rPr>
        <sz val="10"/>
        <color rgb="FF000000"/>
        <rFont val="微軟正黑體"/>
        <family val="2"/>
        <charset val="136"/>
      </rPr>
      <t>糰</t>
    </r>
    <phoneticPr fontId="13" type="noConversion"/>
  </si>
  <si>
    <t>18℃-壽司手卷</t>
    <phoneticPr fontId="13" type="noConversion"/>
  </si>
  <si>
    <t>4℃-壽司手卷</t>
    <phoneticPr fontId="13" type="noConversion"/>
  </si>
  <si>
    <t>季節調理麵</t>
    <phoneticPr fontId="13" type="noConversion"/>
  </si>
  <si>
    <r>
      <t>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3" type="noConversion"/>
  </si>
  <si>
    <r>
      <t>季節調理</t>
    </r>
    <r>
      <rPr>
        <sz val="11"/>
        <color rgb="FF000000"/>
        <rFont val="Arial"/>
        <family val="2"/>
      </rPr>
      <t>麵</t>
    </r>
  </si>
  <si>
    <r>
      <rPr>
        <sz val="11"/>
        <color theme="1"/>
        <rFont val="Arial"/>
        <family val="3"/>
        <charset val="136"/>
      </rPr>
      <t>產</t>
    </r>
    <r>
      <rPr>
        <sz val="11"/>
        <color theme="1"/>
        <rFont val="Meiryo UI"/>
        <family val="2"/>
        <charset val="128"/>
      </rPr>
      <t>能</t>
    </r>
    <phoneticPr fontId="10"/>
  </si>
  <si>
    <r>
      <t>人時生</t>
    </r>
    <r>
      <rPr>
        <sz val="11"/>
        <color theme="1"/>
        <rFont val="Arial"/>
        <family val="3"/>
        <charset val="136"/>
      </rPr>
      <t>產</t>
    </r>
    <r>
      <rPr>
        <sz val="11"/>
        <color theme="1"/>
        <rFont val="Meiryo UI"/>
        <family val="2"/>
        <charset val="128"/>
      </rPr>
      <t>性</t>
    </r>
    <phoneticPr fontId="10"/>
  </si>
  <si>
    <r>
      <t>18℃-飯</t>
    </r>
    <r>
      <rPr>
        <sz val="11"/>
        <color theme="1"/>
        <rFont val="Meiryo UI"/>
        <family val="2"/>
      </rPr>
      <t>糰</t>
    </r>
  </si>
  <si>
    <r>
      <t>4℃-飯</t>
    </r>
    <r>
      <rPr>
        <sz val="11"/>
        <color theme="1"/>
        <rFont val="Meiryo UI"/>
        <family val="2"/>
      </rPr>
      <t>糰</t>
    </r>
  </si>
  <si>
    <r>
      <t>熱食義</t>
    </r>
    <r>
      <rPr>
        <sz val="11"/>
        <color theme="1"/>
        <rFont val="Meiryo UI"/>
        <family val="2"/>
      </rPr>
      <t>麵</t>
    </r>
  </si>
  <si>
    <r>
      <t>季節調理</t>
    </r>
    <r>
      <rPr>
        <sz val="11"/>
        <color theme="1"/>
        <rFont val="Meiryo UI"/>
        <family val="2"/>
      </rPr>
      <t>麵</t>
    </r>
  </si>
  <si>
    <r>
      <t>18℃-飯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(061,063)</t>
    </r>
    <phoneticPr fontId="13" type="noConversion"/>
  </si>
  <si>
    <r>
      <t>18℃-飯</t>
    </r>
    <r>
      <rPr>
        <sz val="10"/>
        <color theme="1"/>
        <rFont val="微軟正黑體"/>
        <family val="2"/>
        <charset val="136"/>
      </rPr>
      <t>糰</t>
    </r>
    <r>
      <rPr>
        <sz val="10"/>
        <color theme="1"/>
        <rFont val="Meiryo UI"/>
        <family val="2"/>
        <charset val="128"/>
      </rPr>
      <t>(061,063)</t>
    </r>
    <phoneticPr fontId="13" type="noConversion"/>
  </si>
  <si>
    <r>
      <t>（9）</t>
    </r>
    <r>
      <rPr>
        <b/>
        <sz val="12"/>
        <color rgb="FF000000"/>
        <rFont val="Meiryo UI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3" type="noConversion"/>
  </si>
  <si>
    <t>調理多產</t>
  </si>
  <si>
    <t>其他原因</t>
  </si>
  <si>
    <t>步留不足</t>
  </si>
  <si>
    <t>蒜炒紅k高麗菜(111年)</t>
  </si>
  <si>
    <t>一配北海道秋鮭親子飯糰</t>
  </si>
  <si>
    <t>一配明太子龍蝦風味沙拉飯糰</t>
  </si>
  <si>
    <t>一配熟成紅鮭飯糰</t>
  </si>
  <si>
    <t>一配蔬食鮪魚飯糰</t>
  </si>
  <si>
    <t>一配鮪魚飯糰</t>
  </si>
  <si>
    <t>一配雞肉飯飯糰</t>
  </si>
  <si>
    <t>一配鹽蔥燒肉飯糰</t>
  </si>
  <si>
    <t>二配北海道秋鮭親子飯糰</t>
  </si>
  <si>
    <t>二配明太子龍蝦風味沙拉飯糰</t>
  </si>
  <si>
    <t>二配芝麻香鬆飯糰</t>
  </si>
  <si>
    <t>二配熟成紅鮭飯糰</t>
  </si>
  <si>
    <t>二配蔬食鮪魚飯糰</t>
  </si>
  <si>
    <t>二配鮪魚飯糰</t>
  </si>
  <si>
    <t>二配雞肉飯飯糰</t>
  </si>
  <si>
    <t>二配鹽蔥燒肉飯糰</t>
  </si>
  <si>
    <r>
      <t>（１）收支</t>
    </r>
    <r>
      <rPr>
        <b/>
        <sz val="12"/>
        <color theme="1"/>
        <rFont val="細明體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10"/>
  </si>
  <si>
    <t>材料費</t>
    <phoneticPr fontId="13" type="noConversion"/>
  </si>
  <si>
    <r>
      <t>人時性(</t>
    </r>
    <r>
      <rPr>
        <sz val="10"/>
        <color theme="1"/>
        <rFont val="Meiryo UI"/>
        <family val="2"/>
      </rPr>
      <t xml:space="preserve">個/月均) </t>
    </r>
    <phoneticPr fontId="10"/>
  </si>
  <si>
    <r>
      <t>人時</t>
    </r>
    <r>
      <rPr>
        <sz val="10"/>
        <color theme="1"/>
        <rFont val="Meiryo UI"/>
        <family val="2"/>
      </rPr>
      <t xml:space="preserve">達成率(%/月均) </t>
    </r>
    <phoneticPr fontId="10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</si>
  <si>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線-導入率(%)</t>
    </r>
    <phoneticPr fontId="10"/>
  </si>
  <si>
    <r>
      <t>教育訓練-</t>
    </r>
    <r>
      <rPr>
        <sz val="10"/>
        <color theme="1"/>
        <rFont val="Meiryo UI"/>
        <family val="2"/>
      </rPr>
      <t>實施率(%)</t>
    </r>
    <phoneticPr fontId="10"/>
  </si>
  <si>
    <t>※單位：千元</t>
    <phoneticPr fontId="10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</si>
  <si>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3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</si>
  <si>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3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</si>
  <si>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3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</si>
  <si>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3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</si>
  <si>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3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</si>
  <si>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3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</si>
  <si>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3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</si>
  <si>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3" type="noConversion"/>
  </si>
  <si>
    <t>調理端</t>
  </si>
  <si>
    <t>報廢</t>
    <phoneticPr fontId="13" type="noConversion"/>
  </si>
  <si>
    <t>超用</t>
    <phoneticPr fontId="13" type="noConversion"/>
  </si>
  <si>
    <t>川燙毛豆玉米</t>
  </si>
  <si>
    <r>
      <t>業績金額(</t>
    </r>
    <r>
      <rPr>
        <sz val="11"/>
        <color theme="1"/>
        <rFont val="細明體"/>
        <family val="3"/>
        <charset val="136"/>
      </rPr>
      <t>千元</t>
    </r>
    <r>
      <rPr>
        <sz val="11"/>
        <color theme="1"/>
        <rFont val="Meiryo UI"/>
        <family val="2"/>
      </rPr>
      <t>)</t>
    </r>
    <phoneticPr fontId="13" type="noConversion"/>
  </si>
  <si>
    <t>製程不穩</t>
    <phoneticPr fontId="79" type="noConversion"/>
  </si>
  <si>
    <r>
      <t>※單位：</t>
    </r>
    <r>
      <rPr>
        <sz val="10"/>
        <color rgb="FFFF0000"/>
        <rFont val="細明體"/>
        <family val="3"/>
        <charset val="136"/>
      </rPr>
      <t>個</t>
    </r>
    <phoneticPr fontId="10"/>
  </si>
  <si>
    <t>教育訓練-實施率(進度/計畫)</t>
    <phoneticPr fontId="13" type="noConversion"/>
  </si>
  <si>
    <t>4℃-飯糰</t>
    <phoneticPr fontId="13" type="noConversion"/>
  </si>
  <si>
    <t>熱食義麵</t>
    <phoneticPr fontId="13" type="noConversion"/>
  </si>
  <si>
    <t>人數配置相同與人時生產性維持穩定</t>
  </si>
  <si>
    <t>取樣不穩</t>
  </si>
  <si>
    <t>取樣不穩</t>
    <phoneticPr fontId="10"/>
  </si>
  <si>
    <t>（８）報廢原因別前幾名品項</t>
    <phoneticPr fontId="13" type="noConversion"/>
  </si>
  <si>
    <t>（８）超用原因別前幾名品項</t>
    <phoneticPr fontId="13" type="noConversion"/>
  </si>
  <si>
    <t>烤照燒雞腿丁</t>
  </si>
  <si>
    <t>海陸雙拼肉肉餐盒</t>
  </si>
  <si>
    <t>二配三杯醬爆菇菇飯糰</t>
  </si>
  <si>
    <t>蔬活腿排補力餐盒</t>
  </si>
  <si>
    <t>二配兩粒飯糰(鮪魚.焦糖鮭魚)</t>
  </si>
  <si>
    <t>香腸腿排雙拼便當</t>
  </si>
  <si>
    <t>一配兩粒飯糰(鮪魚.焦糖鮭魚)</t>
  </si>
  <si>
    <t>二配大飯糰韓式蒜烤豬五花</t>
  </si>
  <si>
    <r>
      <t>報廢前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3" type="noConversion"/>
  </si>
  <si>
    <t>月別</t>
    <phoneticPr fontId="13" type="noConversion"/>
  </si>
  <si>
    <t>後續對策</t>
    <phoneticPr fontId="13" type="noConversion"/>
  </si>
  <si>
    <t>展開量高於需求量</t>
  </si>
  <si>
    <t>烤12切家常豆腐</t>
  </si>
  <si>
    <t>60切-烤豆腐蛋白丁</t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</si>
  <si>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3" type="noConversion"/>
  </si>
  <si>
    <r>
      <t>（７）</t>
    </r>
    <r>
      <rPr>
        <b/>
        <sz val="12"/>
        <color rgb="FFFF0000"/>
        <rFont val="Meiryo UI"/>
        <family val="2"/>
      </rPr>
      <t>前20名</t>
    </r>
    <r>
      <rPr>
        <b/>
        <sz val="12"/>
        <color rgb="FF000000"/>
        <rFont val="Meiryo UI"/>
        <family val="2"/>
      </rPr>
      <t>原因別分析</t>
    </r>
    <phoneticPr fontId="13" type="noConversion"/>
  </si>
  <si>
    <r>
      <rPr>
        <b/>
        <sz val="10"/>
        <color rgb="FFFF0000"/>
        <rFont val="Meiryo UI"/>
        <family val="2"/>
      </rPr>
      <t>前20名</t>
    </r>
    <r>
      <rPr>
        <b/>
        <sz val="10"/>
        <color rgb="FF000000"/>
        <rFont val="Meiryo UI"/>
        <family val="2"/>
      </rPr>
      <t>原因別分析</t>
    </r>
    <phoneticPr fontId="13" type="noConversion"/>
  </si>
  <si>
    <t>展開量高於需求量</t>
    <phoneticPr fontId="10"/>
  </si>
  <si>
    <t>展開量高於需求量</t>
    <phoneticPr fontId="13" type="noConversion"/>
  </si>
  <si>
    <t>調理展開量下修，並已採用多次補單方式執行</t>
  </si>
  <si>
    <t>增加線上抽秤頻率，調理展開量下修，並已採用多次補單方式執行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</si>
  <si>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3" type="noConversion"/>
  </si>
  <si>
    <t>一配鮭魚奶油醬油飯糰</t>
  </si>
  <si>
    <t>烤箱製程蛋片規格厚薄差異
準備室分切剔除，確保賣相準定</t>
    <phoneticPr fontId="13" type="noConversion"/>
  </si>
  <si>
    <t>切烤雞胸肉(111年)</t>
  </si>
  <si>
    <t>蒜炒紅K油菜(A7)</t>
  </si>
  <si>
    <t>健身G肉餐盒(113年)</t>
  </si>
  <si>
    <t>原物料規格過小，無法使用</t>
  </si>
  <si>
    <t>烤箱製程蛋片規格厚薄差異</t>
  </si>
  <si>
    <t>準備室分切剔除，確保賣相準定</t>
  </si>
  <si>
    <t>烤盤產生炭渣，豆腐沾黏焦化物</t>
  </si>
  <si>
    <t>拌鹽烤豬肉片(114年)</t>
  </si>
  <si>
    <t>鹽蔥燒肉飯糰</t>
  </si>
  <si>
    <t>二配濃起司燻腸紅醬焗烤飯</t>
  </si>
  <si>
    <t>青花菜原物料規格偏大造成超用</t>
  </si>
  <si>
    <t>注餡機機台工差設定確認</t>
  </si>
  <si>
    <t>原物料肉片的大小塊差異</t>
  </si>
  <si>
    <t>抓量較不穩定造成超用</t>
  </si>
  <si>
    <t>1月</t>
    <phoneticPr fontId="13" type="noConversion"/>
  </si>
  <si>
    <r>
      <t>（１）收支</t>
    </r>
    <r>
      <rPr>
        <b/>
        <sz val="12"/>
        <color theme="1"/>
        <rFont val="微軟正黑體"/>
        <family val="2"/>
        <charset val="136"/>
      </rPr>
      <t>狀</t>
    </r>
    <r>
      <rPr>
        <b/>
        <sz val="12"/>
        <color theme="1"/>
        <rFont val="Meiryo UI"/>
        <family val="2"/>
      </rPr>
      <t>況</t>
    </r>
    <phoneticPr fontId="10"/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</si>
  <si>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</si>
  <si>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</si>
  <si>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</si>
  <si>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</si>
  <si>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</si>
  <si>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</si>
  <si>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</si>
  <si>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</si>
  <si>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</si>
  <si>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</si>
  <si>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</si>
  <si>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合計/平均</t>
    <phoneticPr fontId="13" type="noConversion"/>
  </si>
  <si>
    <t>業績金額(千元)</t>
    <phoneticPr fontId="13" type="noConversion"/>
  </si>
  <si>
    <r>
      <t>訂單數量</t>
    </r>
    <r>
      <rPr>
        <sz val="10"/>
        <color rgb="FF000000"/>
        <rFont val="Arial"/>
        <family val="3"/>
        <charset val="136"/>
        <scheme val="minor"/>
      </rPr>
      <t/>
    </r>
    <phoneticPr fontId="13" type="noConversion"/>
  </si>
  <si>
    <t>材料費(千元)</t>
    <phoneticPr fontId="13" type="noConversion"/>
  </si>
  <si>
    <t>勞務成本(千元)</t>
    <phoneticPr fontId="13" type="noConversion"/>
  </si>
  <si>
    <t xml:space="preserve">人時性(個/月均) </t>
    <phoneticPr fontId="13" type="noConversion"/>
  </si>
  <si>
    <t xml:space="preserve">人時達成率(%/月均) </t>
    <phoneticPr fontId="13" type="noConversion"/>
  </si>
  <si>
    <t>半成品-報廢(%)</t>
    <phoneticPr fontId="13" type="noConversion"/>
  </si>
  <si>
    <t>半成品-超用(%)</t>
    <phoneticPr fontId="13" type="noConversion"/>
  </si>
  <si>
    <t>二配大飯糰乾燒風味鮮蝦</t>
  </si>
  <si>
    <t>香檸奶油魚排蔬滿盒</t>
  </si>
  <si>
    <t>（１）收支狀況</t>
    <phoneticPr fontId="13" type="noConversion"/>
  </si>
  <si>
    <t>材料費率(%)</t>
    <phoneticPr fontId="13" type="noConversion"/>
  </si>
  <si>
    <t>勞務費率(%)</t>
    <phoneticPr fontId="13" type="noConversion"/>
  </si>
  <si>
    <t>人時性KPI</t>
    <phoneticPr fontId="13" type="noConversion"/>
  </si>
  <si>
    <t>固定產線-導入率(%)</t>
  </si>
  <si>
    <t>教育訓練-實施率(%)</t>
  </si>
  <si>
    <t>（３）業績構成比</t>
    <phoneticPr fontId="13" type="noConversion"/>
  </si>
  <si>
    <t>18℃-飯糰(061,063)</t>
  </si>
  <si>
    <t>（４）訂單數量構成比</t>
    <phoneticPr fontId="13" type="noConversion"/>
  </si>
  <si>
    <t>（５）品群別人時生產性</t>
    <phoneticPr fontId="13" type="noConversion"/>
  </si>
  <si>
    <t>二配贅沢鮭魚肚飯糰</t>
  </si>
  <si>
    <t>一配經典人氣雙手卷</t>
  </si>
  <si>
    <t>一配鮭鮪海饌雙手卷</t>
  </si>
  <si>
    <t>贅沢鮭魚肚飯糰</t>
  </si>
  <si>
    <t>設定放料量範圍，後續開發列入考量調整，針對人員手法教育訓練，並增加線上抽秤頻率。</t>
  </si>
  <si>
    <t>針對人員抓量手法教育訓練，並增加線上抽秤頻率。</t>
  </si>
  <si>
    <t>定期更換烤盤，制定烤盤更換時程，降低豆腐沾黏焦化物而造成報廢</t>
  </si>
  <si>
    <t>烤盤產生炭渣，豆腐沾黏焦化物
定期更換烤盤，制定烤盤更換時程，降低豆腐沾黏焦化物而造成報廢</t>
    <phoneticPr fontId="13" type="noConversion"/>
  </si>
  <si>
    <t>青花菜原物料規格偏大造成超用
設定放料量範圍，後續開發列入考量調整，針對人員手法教育訓練，並增加線上抽秤頻率。</t>
    <phoneticPr fontId="13" type="noConversion"/>
  </si>
  <si>
    <t>一配柚檸海灣貝飯糰</t>
  </si>
  <si>
    <t>大滿足香辣涼麵</t>
  </si>
  <si>
    <t>大滿足麻醬涼麵</t>
  </si>
  <si>
    <t>和風涓絲冷麵</t>
  </si>
  <si>
    <t>煮中華冷麵(110年)</t>
  </si>
  <si>
    <t>原物料規格</t>
    <phoneticPr fontId="13" type="noConversion"/>
  </si>
  <si>
    <t>操作方式冰杓定量，因冰杓規格限制導致超用</t>
  </si>
  <si>
    <t>鰹魚烏龍冷麵</t>
  </si>
  <si>
    <t>煮烏龍冷麵(113年)</t>
  </si>
  <si>
    <t>歐姆蛋-黑咖哩醬</t>
  </si>
  <si>
    <t>操作方式冰杓定量，生產餘料報廢</t>
  </si>
  <si>
    <t>排序</t>
    <phoneticPr fontId="13" type="noConversion"/>
  </si>
  <si>
    <t>半成品名稱</t>
    <phoneticPr fontId="13" type="noConversion"/>
  </si>
  <si>
    <t>報廢金額
(元)</t>
    <phoneticPr fontId="13" type="noConversion"/>
  </si>
  <si>
    <t>半成品單價
(元/kg)</t>
    <phoneticPr fontId="13" type="noConversion"/>
  </si>
  <si>
    <r>
      <t>訂單需求
(kg/</t>
    </r>
    <r>
      <rPr>
        <sz val="12"/>
        <color theme="1"/>
        <rFont val="Meiryo UI"/>
        <family val="2"/>
      </rPr>
      <t>個)</t>
    </r>
    <phoneticPr fontId="13" type="noConversion"/>
  </si>
  <si>
    <t>生管展開</t>
    <phoneticPr fontId="13" type="noConversion"/>
  </si>
  <si>
    <r>
      <t>生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實際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出</t>
    </r>
    <phoneticPr fontId="13" type="noConversion"/>
  </si>
  <si>
    <r>
      <t>生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補單</t>
    </r>
    <phoneticPr fontId="13" type="noConversion"/>
  </si>
  <si>
    <r>
      <t>總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出</t>
    </r>
    <phoneticPr fontId="13" type="noConversion"/>
  </si>
  <si>
    <r>
      <t>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</rPr>
      <t>明</t>
    </r>
    <phoneticPr fontId="13" type="noConversion"/>
  </si>
  <si>
    <r>
      <t>kg/</t>
    </r>
    <r>
      <rPr>
        <sz val="12"/>
        <color theme="1"/>
        <rFont val="Meiryo UI"/>
        <family val="2"/>
      </rPr>
      <t>個</t>
    </r>
    <phoneticPr fontId="13" type="noConversion"/>
  </si>
  <si>
    <t>%</t>
  </si>
  <si>
    <t>元</t>
  </si>
  <si>
    <r>
      <t>調理多</t>
    </r>
    <r>
      <rPr>
        <sz val="12"/>
        <color theme="1"/>
        <rFont val="微軟正黑體"/>
        <family val="2"/>
        <charset val="136"/>
      </rPr>
      <t>產</t>
    </r>
  </si>
  <si>
    <t>百分比</t>
  </si>
  <si>
    <t>屏榮大溪廠半成品管理日別總表</t>
    <phoneticPr fontId="13" type="noConversion"/>
  </si>
  <si>
    <t>二配香烤魚排青醬燉飯</t>
  </si>
  <si>
    <r>
      <rPr>
        <sz val="12"/>
        <color theme="1"/>
        <rFont val="Meiryo UI"/>
        <family val="2"/>
      </rPr>
      <t>超用金額
(元)</t>
    </r>
    <phoneticPr fontId="13" type="noConversion"/>
  </si>
  <si>
    <t>原物料規格過小，無法使用
反映研發，後續開發列入考量，目前報廢量以穩定控制</t>
    <phoneticPr fontId="10"/>
  </si>
  <si>
    <t>操作方式冰杓定量，生產餘料報廢
調理展開量下修，並已採用多次補單方式執行</t>
    <phoneticPr fontId="13" type="noConversion"/>
  </si>
  <si>
    <t>一配黑胡椒洋蔥豬飯糰</t>
  </si>
  <si>
    <t>鮪魚昆布細卷</t>
  </si>
  <si>
    <t>肉鬆火腿細卷</t>
  </si>
  <si>
    <t>懷舊滷雙拼便當</t>
  </si>
  <si>
    <t>蒸黑滷D4棒</t>
  </si>
  <si>
    <t>燉飯青醬(115年)</t>
  </si>
  <si>
    <t>原物料肉片的大小塊差異超用剩餘料報廢
加強分切規格控管與線上抓量教育訓練，降低規格落差及剩料</t>
    <phoneticPr fontId="13" type="noConversion"/>
  </si>
  <si>
    <t>一配椒鹽檸檬鯖魚飯糰</t>
  </si>
  <si>
    <t>韓式辣炒豬肉飯卷</t>
  </si>
  <si>
    <t>日式胡麻雞絲冷麵</t>
  </si>
  <si>
    <t>蒸玉米塊</t>
  </si>
  <si>
    <t>月</t>
    <phoneticPr fontId="13" type="noConversion"/>
  </si>
  <si>
    <t>抓量較不穩定造成超用
針對人員抓量手法教育訓練，並增加線上抽秤頻率。</t>
    <phoneticPr fontId="13" type="noConversion"/>
  </si>
  <si>
    <t>海陸雙拼壽司</t>
  </si>
  <si>
    <t>嘉義崇文白醋涼麵</t>
  </si>
  <si>
    <t>蒸蛋湯</t>
  </si>
  <si>
    <t>馬鈴薯玉米濃湯</t>
  </si>
  <si>
    <t>三合一味噌湯</t>
  </si>
  <si>
    <t>煮白細麵生(方#5/膠片)</t>
  </si>
  <si>
    <t>消毒細切紅蘿蔔絲</t>
  </si>
  <si>
    <t>注餡機機台工差設定確認
生產前確認標準定量的機台設定，生產中抽查確認設定及實際出料重量，餘料報廢。</t>
    <phoneticPr fontId="13" type="noConversion"/>
  </si>
  <si>
    <t>厚香料優格咖哩烤雞飯卷</t>
  </si>
  <si>
    <t>招牌雞絲胡麻涼麵</t>
  </si>
  <si>
    <t>煮傳統冷麵</t>
  </si>
  <si>
    <t>112年拌鮪魚沙拉</t>
  </si>
  <si>
    <t>(V)消毒小黃瓜絲</t>
  </si>
  <si>
    <t>炒醬香豆瓣肉燥</t>
  </si>
  <si>
    <t>玉米濃湯(115年版)</t>
  </si>
  <si>
    <t>鮪魚飯糰</t>
  </si>
  <si>
    <t>越式牛肉寬粉</t>
  </si>
  <si>
    <t>越式湯凍(115年)</t>
  </si>
  <si>
    <t>二配鮭魚毛豆炊飯飯糰</t>
  </si>
  <si>
    <t>二配西班牙風味海鮮燉飯</t>
  </si>
  <si>
    <t>雙拼炒混蔬</t>
  </si>
  <si>
    <t>113年川燙綠豆芽</t>
  </si>
  <si>
    <t>蘑菇白醬</t>
  </si>
  <si>
    <t>抓量較不穩定造成超用餘料報廢
增加線上抽秤頻率，調理展開量下修，並已採用多次補單方式執行</t>
    <phoneticPr fontId="13" type="noConversion"/>
  </si>
  <si>
    <t>二配大飯糰泡菜鮪魚</t>
  </si>
  <si>
    <t>二配柚香雞胸五穀飯糰</t>
  </si>
  <si>
    <t>切-烤牛五花(115年)</t>
  </si>
  <si>
    <t>糖燻野郎三十天熟成牛飯(115年)</t>
  </si>
  <si>
    <t>八</t>
    <phoneticPr fontId="13" type="noConversion"/>
  </si>
  <si>
    <t>地中海布格麥烤魚餐盒</t>
  </si>
  <si>
    <t>蒸-全熟雞肉絲CL(113年)</t>
  </si>
  <si>
    <t>煮茄汁豆腐</t>
  </si>
  <si>
    <t>餐盒用-三色高麗菜</t>
  </si>
  <si>
    <t>超用B(多展-報廢)</t>
    <phoneticPr fontId="13" type="noConversion"/>
  </si>
  <si>
    <r>
      <t>超用A(</t>
    </r>
    <r>
      <rPr>
        <sz val="12"/>
        <rFont val="細明體"/>
        <family val="3"/>
        <charset val="136"/>
      </rPr>
      <t>多展)</t>
    </r>
    <phoneticPr fontId="13" type="noConversion"/>
  </si>
  <si>
    <t>反映研發，後續開發列入考量，目前報廢量以穩定控制</t>
  </si>
  <si>
    <t>煮麵單籃批量設定，餘料報廢</t>
  </si>
  <si>
    <t>抓量較不穩定造成超用餘料報廢</t>
  </si>
  <si>
    <t>生產前確認標準定量的機台設定，生產中抽查確認設定及實際出料重量，餘料報廢。</t>
  </si>
  <si>
    <t>原物料肉片的大小塊差異超用剩餘料報廢</t>
  </si>
  <si>
    <t>加強分切規格控管與線上抓量教育訓練，降低規格落差及剩料</t>
  </si>
  <si>
    <t>秤重標準差異造成超用</t>
  </si>
  <si>
    <t>菜梗、葉差異，影響人員放料手感抓量較不穩定造成超用</t>
  </si>
  <si>
    <t>針對人員手法教育訓練，並增加線上抽秤頻率。</t>
  </si>
  <si>
    <t>金門高粱香腸飯糰</t>
  </si>
  <si>
    <t>日式鮭魚茶泡烤飯</t>
  </si>
  <si>
    <t>日式蕎麥沾麵</t>
  </si>
  <si>
    <t>廢棄週合計</t>
    <phoneticPr fontId="13" type="noConversion"/>
  </si>
  <si>
    <t>超用週合計</t>
    <phoneticPr fontId="13" type="noConversion"/>
  </si>
  <si>
    <t>日期</t>
    <phoneticPr fontId="79" type="noConversion"/>
  </si>
  <si>
    <t>報廢額</t>
    <phoneticPr fontId="79" type="noConversion"/>
  </si>
  <si>
    <r>
      <t xml:space="preserve">報廢率
KPI </t>
    </r>
    <r>
      <rPr>
        <b/>
        <sz val="16"/>
        <color rgb="FFFF0000"/>
        <rFont val="微軟正黑體"/>
        <family val="2"/>
        <charset val="136"/>
      </rPr>
      <t>0.25%</t>
    </r>
    <phoneticPr fontId="13" type="noConversion"/>
  </si>
  <si>
    <t>超用額A</t>
    <phoneticPr fontId="79" type="noConversion"/>
  </si>
  <si>
    <t>超用率A</t>
    <phoneticPr fontId="13" type="noConversion"/>
  </si>
  <si>
    <t>超用額B</t>
    <phoneticPr fontId="79" type="noConversion"/>
  </si>
  <si>
    <t>超用率B</t>
    <phoneticPr fontId="13" type="noConversion"/>
  </si>
  <si>
    <t>營業額合計</t>
    <phoneticPr fontId="79" type="noConversion"/>
  </si>
  <si>
    <t>煮熊本蕎麥生麵(角#18)</t>
  </si>
  <si>
    <t>泡飯-柴魚湯凍(115年)</t>
  </si>
  <si>
    <t>川燙青白花菜</t>
  </si>
  <si>
    <t>炒酸菜豬絞肉</t>
  </si>
  <si>
    <r>
      <t>（５）品群別人時生</t>
    </r>
    <r>
      <rPr>
        <b/>
        <sz val="12"/>
        <color theme="1"/>
        <rFont val="Meiryo UI"/>
        <family val="3"/>
        <charset val="136"/>
      </rPr>
      <t>產</t>
    </r>
    <r>
      <rPr>
        <b/>
        <sz val="12"/>
        <color theme="1"/>
        <rFont val="Meiryo UI"/>
        <family val="2"/>
        <charset val="128"/>
      </rPr>
      <t>性</t>
    </r>
    <phoneticPr fontId="10"/>
  </si>
  <si>
    <t>一配筋子銀鮭飯糰</t>
  </si>
  <si>
    <t>已調整尾數拆半批生產(半籃)，目前報廢量設定目標控制在半批內</t>
  </si>
  <si>
    <t>原物料規格大小差異造成超用剩餘料報廢</t>
  </si>
  <si>
    <t>強化截切及抓量標準化作業，落實人員教育訓練，並增加線上抽秤頻率，調理展開量下修，並已採用多次補單方式執行</t>
  </si>
  <si>
    <t>加強分切規格控管與線上秤重教育訓練，降低規格落差及剩料</t>
  </si>
  <si>
    <t>原物料規格大小差異，生產剩餘料報廢</t>
  </si>
  <si>
    <t>持續強化截切及抓量標準化作業，落實人員教育訓練，並增加線上抽秤頻率。</t>
  </si>
  <si>
    <t>加強教育人員穩定分切厚薄減少規格異常</t>
  </si>
  <si>
    <t>針對人員過磅標準教育訓練，並增加線上抽秤頻率，設定目標控制超用百分比1%內</t>
  </si>
  <si>
    <t>原物料肉片的大小塊差異超用剩餘料報廢
加強分切規格控管與線上秤重教育訓練，降低規格落差及剩料</t>
    <phoneticPr fontId="13" type="noConversion"/>
  </si>
  <si>
    <t>煮麵單籃批量設定，餘料報廢
已調整尾數拆半批生產(半籃)，目前報廢量設定目標控制在半批內</t>
    <phoneticPr fontId="10"/>
  </si>
  <si>
    <t>抓量較不穩定造成超用餘料報廢
強化截切及抓量標準化作業，落實人員教育訓練，並增加線上抽秤頻率，調理展開量下修，並已採用多次補單方式執行</t>
    <phoneticPr fontId="13" type="noConversion"/>
  </si>
  <si>
    <t>原物料肉片的大小塊差異
加強教育人員穩定分切厚薄減少規格異常</t>
    <phoneticPr fontId="13" type="noConversion"/>
  </si>
  <si>
    <t>秤重標準差異造成超用
針對人員過磅標準教育訓練，並增加線上抽秤頻率，設定目標控制超用百分比1%內</t>
    <phoneticPr fontId="13" type="noConversion"/>
  </si>
  <si>
    <t>菜梗、葉差異，影響人員放料手感抓量較不穩定造成超用
持續強化截切及抓量標準化作業，落實人員教育訓練，並增加線上抽秤頻率。</t>
    <phoneticPr fontId="13" type="noConversion"/>
  </si>
  <si>
    <t>一配鹽蔥生鮭飯糰</t>
  </si>
  <si>
    <t>一配青木瓜雞絲泰泰雙手卷</t>
  </si>
  <si>
    <t>月見烏龍冷麵</t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</si>
  <si>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性前幾名品項(0728-0803)</t>
    </r>
    <phoneticPr fontId="13" type="noConversion"/>
  </si>
  <si>
    <t>0728-0803</t>
    <phoneticPr fontId="13" type="noConversion"/>
  </si>
  <si>
    <t>拌明太子龍蝦沙拉(114年)</t>
  </si>
  <si>
    <t>冷凍鮭魚骰子丁(蔥鹽風味)</t>
  </si>
  <si>
    <t>明太子龍蝦風味沙拉飯糰(114年)</t>
  </si>
  <si>
    <t>抓量秤重差異造成超用</t>
  </si>
  <si>
    <t>確認分切工程穩定分切長度減少規格異常，再針對秤重手法教育訓練，並增加線上抽秤頻率。</t>
  </si>
  <si>
    <t>生產前確認標準定量的機台設定，生產中抽查確認設定及實際出料重量。</t>
  </si>
  <si>
    <t>（８）報廢原因別前幾名品項(0728-0803)</t>
    <phoneticPr fontId="13" type="noConversion"/>
  </si>
  <si>
    <t>原物料規格大小差異造成超用剩餘料報廢
調理展開量下修，並已採用多次補單方式執行，目前報廢量以穩定控制</t>
    <phoneticPr fontId="10"/>
  </si>
  <si>
    <t>抓量秤重差異造成超用
確認分切工程穩定分切長度減少規格異常，再針對秤重手法教育訓練，並增加線上抽秤頻率。</t>
    <phoneticPr fontId="13" type="noConversion"/>
  </si>
  <si>
    <t>0728-0803 總合計↑</t>
    <phoneticPr fontId="13" type="noConversion"/>
  </si>
  <si>
    <r>
      <rPr>
        <b/>
        <sz val="12"/>
        <rFont val="Meiryo UI"/>
        <family val="2"/>
        <charset val="136"/>
      </rPr>
      <t>產</t>
    </r>
    <r>
      <rPr>
        <b/>
        <sz val="12"/>
        <rFont val="Meiryo UI"/>
        <family val="2"/>
        <charset val="128"/>
      </rPr>
      <t>線配置圖－</t>
    </r>
    <r>
      <rPr>
        <b/>
        <sz val="12"/>
        <rFont val="Meiryo UI"/>
        <family val="2"/>
        <charset val="136"/>
      </rPr>
      <t>每</t>
    </r>
    <r>
      <rPr>
        <b/>
        <sz val="12"/>
        <rFont val="Meiryo UI"/>
        <family val="2"/>
        <charset val="128"/>
      </rPr>
      <t>週更新(0728-0803)</t>
    </r>
    <phoneticPr fontId="13" type="noConversion"/>
  </si>
  <si>
    <t>產線配置圖－每週更新(0728-0803)</t>
  </si>
  <si>
    <t>醬油生鮭脆卷</t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</si>
  <si>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週更新(0728-0803)</t>
    </r>
    <phoneticPr fontId="13" type="noConversion"/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</si>
  <si>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性前幾名品項(0804-0810)</t>
    </r>
    <phoneticPr fontId="13" type="noConversion"/>
  </si>
  <si>
    <t>歐姆蛋(110年)</t>
  </si>
  <si>
    <t>調理展開量下修，並已採用多次補單方式執行，目前報廢量以穩定控制</t>
  </si>
  <si>
    <t>蒸箱製程後物料骨肉分離無法使用</t>
  </si>
  <si>
    <t>已調整蒸箱製程後段操作方式及入籃量下修，調整後報廢數量已降低。</t>
  </si>
  <si>
    <t>原物料肉塊的大小塊差異</t>
  </si>
  <si>
    <r>
      <rPr>
        <sz val="11"/>
        <color theme="1"/>
        <rFont val="Microsoft JhengHei"/>
        <family val="2"/>
      </rPr>
      <t>熱轉印辨識機完成建置,人數配置少</t>
    </r>
    <r>
      <rPr>
        <sz val="11"/>
        <color theme="1"/>
        <rFont val="Calibri"/>
        <family val="2"/>
      </rPr>
      <t>1</t>
    </r>
    <r>
      <rPr>
        <sz val="11"/>
        <color theme="1"/>
        <rFont val="Microsoft JhengHei"/>
        <family val="2"/>
      </rPr>
      <t>人</t>
    </r>
    <phoneticPr fontId="13" type="noConversion"/>
  </si>
  <si>
    <r>
      <rPr>
        <sz val="11"/>
        <color theme="1"/>
        <rFont val="細明體"/>
        <family val="2"/>
        <charset val="136"/>
      </rPr>
      <t>新品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細明體"/>
        <family val="2"/>
        <charset val="136"/>
      </rPr>
      <t>達成率提升中</t>
    </r>
    <phoneticPr fontId="13" type="noConversion"/>
  </si>
  <si>
    <t>切換促銷版膜料</t>
    <phoneticPr fontId="13" type="noConversion"/>
  </si>
  <si>
    <t>（８）報廢原因別前幾名品項(0804-0810)</t>
    <phoneticPr fontId="13" type="noConversion"/>
  </si>
  <si>
    <t>0804-0810 總合計↑</t>
    <phoneticPr fontId="13" type="noConversion"/>
  </si>
  <si>
    <t>對策:蔬菜截切教育訓練持續進行中，已降低菜梗規格差異影響放料，並持續針對人員抓量秤重進行教育訓練，目前用量已有穩定控制，對比前月報廢率減少0.02%。</t>
    <phoneticPr fontId="13" type="noConversion"/>
  </si>
  <si>
    <t>採冰杓定量作業，因人員舀取角度、壓實程度及單杓重量不一致，導致實際投料量偏高而產生超用。落實人員教育訓練，並增加首件確認與線上抽秤頻率，發現偏差立即修正。改善措施：下修調理展開量設定，並改採多次補單方式供料，降低一次性備料過多及超用風險，提升用量控管精準度。</t>
    <phoneticPr fontId="13" type="noConversion"/>
  </si>
  <si>
    <t>對策:蔬菜截切教育訓練持續進行中，已降低菜梗規格差異影響放料，並持續針對人員抓量秤重進行教育訓練，目前用量已有穩定控制，改善措施：下修調理展開量設定，並改採多次補單方式供料，降低一次性備料過多及超用風險，提升用量控管精準度。</t>
    <phoneticPr fontId="13" type="noConversion"/>
  </si>
  <si>
    <t>主因:抓量較不穩定造成超用，導致餘料報廢。下修調理展開量設定，並改採多次補單方式供料，降低一次性備料過多及超用風險，提升用量控管精準度。</t>
    <phoneticPr fontId="13" type="noConversion"/>
  </si>
  <si>
    <t>主因:抓量較不穩定造成超用，導致餘料報廢。並持續針對人員抓量秤重進行教育訓練，並改採多次補單方式供料，降低一次性備料過多及超用風險，提升用量控管精準度。</t>
    <phoneticPr fontId="13" type="noConversion"/>
  </si>
  <si>
    <t>因烤箱製程蛋片厚薄規格存在差異，準備室於分切時進行篩選剔除，確保產品外觀及賣相穩定，造成剃除報廢。</t>
    <phoneticPr fontId="13" type="noConversion"/>
  </si>
  <si>
    <t>主要原因:烤盤產生炭渣，豆腐沾黏焦化物。對策:定期更換烤盤，制定烤盤更換時程</t>
    <phoneticPr fontId="13" type="noConversion"/>
  </si>
  <si>
    <t>切烤雞胸肉（111年）因原物料肉片大小差異影響分切規格穩定性，已回饋研發納入後續開發評估，並調整分切方式強化厚薄控制，規格異常情形持續改善。</t>
    <phoneticPr fontId="13" type="noConversion"/>
  </si>
  <si>
    <t>主因:抓量較不穩定造成超用，導致餘料報廢。對策:調整人員分切方式，穩定產品長短一致性降低抓量誤差並減少超用及報廢。前月比報廢率減少0.1%。</t>
    <phoneticPr fontId="13" type="noConversion"/>
  </si>
  <si>
    <t>蒸玉米塊原物料大小規格不一，單顆重量差異造成實際產出數量與理論值不符，增加多產及報廢風險。
提高線上抽秤頻率，依實際平均單重動態下修調理展開量，並採分批生產、多次小量補單方式，降低一次性展開過量。</t>
    <phoneticPr fontId="13" type="noConversion"/>
  </si>
  <si>
    <t>主因:青花菜原物料規格偏大造成影響抓量手感，剩餘料報廢，以調整下修展開量報廢量持續減少，報廢數量已穩定控制在0.3%內。</t>
  </si>
  <si>
    <t>青、白花菜原物料規格大小差異造成影響抓量手感，剩餘料報廢，以調整下修展開量報廢量持續減少，報廢數量已控制1%內。</t>
  </si>
  <si>
    <t>主要原因:規格大小不穩定導致斷裂破損產生報廢，偏小比例增加導致報廢增加。對策:持續組裝前準備室先進行整理入籃，減少沾黏狀況，因調理斷裂組合可拼合使用，使用率提高。目前報廢率已控制在0.3%內。</t>
    <phoneticPr fontId="13" type="noConversion"/>
  </si>
  <si>
    <t>因煮中華冷麵採批量設定生產，實際需求量無法完全符合整籃出料單位，造成生產結束後產生餘料報廢，已調整尾數拆半批生產(半籃)，目前報廢量設定目標控制在半批內。</t>
    <phoneticPr fontId="13" type="noConversion"/>
  </si>
  <si>
    <t>因煮熊本蕎麥生麵(角#18)採批量設定生產，實際需求量無法完全符合整籃出料單位，造成生產結束後產生餘料報廢，已調整尾數拆半批生產(半籃)，目前報廢量設定目標控制在半批內。</t>
    <phoneticPr fontId="13" type="noConversion"/>
  </si>
  <si>
    <t>因煮烏龍冷麵(113年)採批量設定生產，實際需求量無法完全符合整籃出料單位，造成生產結束後產生餘料報廢，已調整尾數拆半批生產(半籃)，目前報廢量設定目標控制在半批內。</t>
    <phoneticPr fontId="13" type="noConversion"/>
  </si>
  <si>
    <t>因煮白細麵生(方#5/膠片)採批量設定生產，實際需求量無法完全符合整籃出料單位，造成生產結束後產生餘料報廢，已調整尾數拆半批生產(半籃)，目前報廢量設定目標控制在半批內。</t>
    <phoneticPr fontId="13" type="noConversion"/>
  </si>
  <si>
    <t>對策:蔬菜截切教育訓練持續進行中，已降低菜梗規格差異影響放料，並持續針對人員抓量秤重進行教育訓練，目前用量已有穩定控制在1.5%內，</t>
    <phoneticPr fontId="13" type="noConversion"/>
  </si>
  <si>
    <t>作業人員抓取量控制不一致，單次投料量偏高，造成半成品超用。針對作業人員進行定量抓取手法再教育，並提高線上抽秤頻率；發現用量偏差立即修正，持續追蹤改善成效。</t>
    <phoneticPr fontId="13" type="noConversion"/>
  </si>
  <si>
    <t>採冰杓定量作業，因人員舀取角度、壓實程度及單杓重量不一致，導致實際投料量偏高而產生超用。落實人員教育訓練，並增加首件確認與線上抽秤頻率，發現偏差立即修正。目前超用率為2.6%，前月比減少0.5%。</t>
    <phoneticPr fontId="13" type="noConversion"/>
  </si>
  <si>
    <t>持續優化充填設備參數設定，並加強作業人員用量確認及抽秤管理；同步評估充填噴口規格及定量穩定性，提升配量準確度。</t>
    <phoneticPr fontId="13" type="noConversion"/>
  </si>
  <si>
    <t>炒酸菜豬絞肉因人員抓取手法及單次取料量不一致，造成單份投料重量波動，部分投料偏高而產生超用。
建立單次抓料重量基準，落實人員取料手法教育，並加強首件秤重及線上抽秤；發現重量偏差立即修正。</t>
    <phoneticPr fontId="13" type="noConversion"/>
  </si>
  <si>
    <t>青花菜原物料規格偏大造成超用。對策:量測設定放料量範圍，後續開發列入考量調整，並持續針對人員抓量秤重進行教育訓練，超用率持續維持2%內。</t>
    <phoneticPr fontId="13" type="noConversion"/>
  </si>
  <si>
    <t>切－烤牛五花（112年）因原料肉片長短及形狀差異較大，分切後規格一致性不易控制，造成部分產品規格異常及用量偏差。針對作業人員加強分切手法教育訓練，同步加強線上秤重抽查管理，確保產品規格及配量符合標準。目前超用率控制在1%內。</t>
    <phoneticPr fontId="13" type="noConversion"/>
  </si>
  <si>
    <t>針對各類麵體建立單條重量管理基準，並加強秤麵人員重量上下限規範教育訓練及用量追蹤管理，提升配量準確度。對比前月用量有逐步下降。超用量對比前月下降0.1%百分比，本月超用率控制在0.5%。</t>
    <phoneticPr fontId="13" type="noConversion"/>
  </si>
  <si>
    <t>切烤雞胸肉（111年）因原物料肉片大小差異影響分切規格穩定性，已調整分切方式強化厚薄控制，規格異常情形持續改善，超用率對比前月減少0.1%。本月超用率控制在1.1%。</t>
    <phoneticPr fontId="13" type="noConversion"/>
  </si>
  <si>
    <t>針對各類麵體建立單條重量管理基準，並加強秤麵人員重量上下限規範教育訓練及用量追蹤管理，提升配量準確度。本月超用率控制在1.9%。</t>
    <phoneticPr fontId="13" type="noConversion"/>
  </si>
  <si>
    <t>蒸箱製程後物料骨肉分離無法使用
已調整蒸箱製程後段操作方式及入籃量下修，調整後報廢數量已降低。</t>
    <phoneticPr fontId="13" type="noConversion"/>
  </si>
  <si>
    <t>操作方式冰杓定量，因冰杓規格限制導致超用
針對人員手法教育訓練，並增加線上抽秤頻率。</t>
    <phoneticPr fontId="13" type="noConversion"/>
  </si>
  <si>
    <t>原物料肉片的大小塊差異
針對人員抓量手法教育訓練，並增加線上抽秤頻率。</t>
    <phoneticPr fontId="13" type="noConversion"/>
  </si>
  <si>
    <r>
      <t>8</t>
    </r>
    <r>
      <rPr>
        <sz val="10"/>
        <color rgb="FFFF0000"/>
        <rFont val="Meiryo UI"/>
        <family val="2"/>
        <charset val="128"/>
      </rPr>
      <t>月平均人時性</t>
    </r>
    <phoneticPr fontId="13" type="noConversion"/>
  </si>
  <si>
    <t>8月平均人時性</t>
    <phoneticPr fontId="13" type="noConversion"/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</si>
  <si>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性前幾名品項(0811-0817)</t>
    </r>
    <phoneticPr fontId="13" type="noConversion"/>
  </si>
  <si>
    <t>0804-0810</t>
    <phoneticPr fontId="13" type="noConversion"/>
  </si>
  <si>
    <t>0811-0817</t>
    <phoneticPr fontId="13" type="noConversion"/>
  </si>
  <si>
    <t>0818-0824</t>
    <phoneticPr fontId="13" type="noConversion"/>
  </si>
  <si>
    <t>0825-0831</t>
    <phoneticPr fontId="13" type="noConversion"/>
  </si>
  <si>
    <t>8月總報廢合計</t>
    <phoneticPr fontId="13" type="noConversion"/>
  </si>
  <si>
    <t>8月總報廢率</t>
    <phoneticPr fontId="13" type="noConversion"/>
  </si>
  <si>
    <r>
      <t>8月總超用A合計金額
(</t>
    </r>
    <r>
      <rPr>
        <b/>
        <sz val="18"/>
        <color rgb="FFFF0000"/>
        <rFont val="微軟正黑體"/>
        <family val="2"/>
        <charset val="136"/>
      </rPr>
      <t>多展</t>
    </r>
    <r>
      <rPr>
        <b/>
        <sz val="18"/>
        <color theme="1"/>
        <rFont val="微軟正黑體"/>
        <family val="2"/>
        <charset val="136"/>
      </rPr>
      <t>)</t>
    </r>
    <phoneticPr fontId="13" type="noConversion"/>
  </si>
  <si>
    <r>
      <t>8月總超用率A
(</t>
    </r>
    <r>
      <rPr>
        <b/>
        <sz val="18"/>
        <color rgb="FFFF0000"/>
        <rFont val="微軟正黑體"/>
        <family val="2"/>
        <charset val="136"/>
      </rPr>
      <t>多展</t>
    </r>
    <r>
      <rPr>
        <b/>
        <sz val="18"/>
        <color theme="1"/>
        <rFont val="微軟正黑體"/>
        <family val="2"/>
        <charset val="136"/>
      </rPr>
      <t>)</t>
    </r>
    <phoneticPr fontId="13" type="noConversion"/>
  </si>
  <si>
    <t>8月總超用B合計金額
(多展-報廢)</t>
    <phoneticPr fontId="13" type="noConversion"/>
  </si>
  <si>
    <t>8月總超用率B
(多展-報廢)</t>
    <phoneticPr fontId="13" type="noConversion"/>
  </si>
  <si>
    <t>0811-0817 總合計↑</t>
    <phoneticPr fontId="13" type="noConversion"/>
  </si>
  <si>
    <t>0818-0824 總合計↑</t>
    <phoneticPr fontId="13" type="noConversion"/>
  </si>
  <si>
    <t>0825-0831 總合計↑</t>
    <phoneticPr fontId="13" type="noConversion"/>
  </si>
  <si>
    <r>
      <t>產</t>
    </r>
    <r>
      <rPr>
        <b/>
        <sz val="12"/>
        <rFont val="Meiryo UI"/>
        <family val="2"/>
        <charset val="128"/>
      </rPr>
      <t>線配置圖－</t>
    </r>
    <r>
      <rPr>
        <b/>
        <sz val="12"/>
        <rFont val="Meiryo UI"/>
        <family val="2"/>
        <charset val="136"/>
      </rPr>
      <t>每</t>
    </r>
    <r>
      <rPr>
        <b/>
        <sz val="12"/>
        <rFont val="Meiryo UI"/>
        <family val="2"/>
        <charset val="128"/>
      </rPr>
      <t>週更新(0804-0810)</t>
    </r>
    <phoneticPr fontId="13" type="noConversion"/>
  </si>
  <si>
    <t>產線配置圖－每週更新(0804-0810)</t>
  </si>
  <si>
    <t>韓式泡菜冷麵</t>
  </si>
  <si>
    <t xml:space="preserve">煮白細麵生(方#10) </t>
  </si>
  <si>
    <t>西班牙烤雞腿丁(115年)</t>
  </si>
  <si>
    <t>炒黑胡椒豆芽(餐盒)</t>
  </si>
  <si>
    <t>煮蝦湯凍</t>
  </si>
  <si>
    <t>瀝-僑瑞切片泡菜(準備室)</t>
  </si>
  <si>
    <t>新冷凍銀鮭碎肉</t>
  </si>
  <si>
    <t>焙炒芝麻肉鬆(飯糰)</t>
  </si>
  <si>
    <t>經典肉鬆飯糰(114年)</t>
  </si>
  <si>
    <t>新品一週,達成率上升</t>
    <phoneticPr fontId="13" type="noConversion"/>
  </si>
  <si>
    <t>新品,達成率提升中</t>
    <phoneticPr fontId="13" type="noConversion"/>
  </si>
  <si>
    <t>原物料肉塊的大小塊差異超用剩餘料報廢</t>
  </si>
  <si>
    <r>
      <t>持續強化截切及抓量標準化作業，落實人員教育訓練，並增加線上抽秤頻率，超用量</t>
    </r>
    <r>
      <rPr>
        <sz val="12"/>
        <color theme="1"/>
        <rFont val="Microsoft JhengHei"/>
        <family val="2"/>
      </rPr>
      <t>穩定控制中。</t>
    </r>
    <phoneticPr fontId="13" type="noConversion"/>
  </si>
  <si>
    <r>
      <t>原物料</t>
    </r>
    <r>
      <rPr>
        <sz val="12"/>
        <color theme="1"/>
        <rFont val="Microsoft JhengHei"/>
        <family val="2"/>
      </rPr>
      <t>菜葉</t>
    </r>
    <r>
      <rPr>
        <sz val="12"/>
        <color theme="1"/>
        <rFont val="Meiryo UI"/>
        <family val="2"/>
      </rPr>
      <t>的大小</t>
    </r>
    <r>
      <rPr>
        <sz val="12"/>
        <color theme="1"/>
        <rFont val="Microsoft JhengHei"/>
        <family val="2"/>
      </rPr>
      <t>片</t>
    </r>
    <r>
      <rPr>
        <sz val="12"/>
        <color theme="1"/>
        <rFont val="Meiryo UI"/>
        <family val="2"/>
      </rPr>
      <t>差異</t>
    </r>
    <phoneticPr fontId="13" type="noConversion"/>
  </si>
  <si>
    <t>針對人員過磅標準教育訓練，並增加線上抽秤頻率。</t>
    <phoneticPr fontId="13" type="noConversion"/>
  </si>
  <si>
    <t>（８）報廢原因別前幾名品項(0811-0817)</t>
    <phoneticPr fontId="13" type="noConversion"/>
  </si>
  <si>
    <t>原物料規格過小，無法使用
反映研發，後續開發列入考量，目前報廢量以穩定控制</t>
    <phoneticPr fontId="13" type="noConversion"/>
  </si>
  <si>
    <t>抓量較不穩定造成超用餘料報廢
調理展開量下修，並已採用多次補單方式執行，目前報廢量以穩定控制</t>
    <phoneticPr fontId="13" type="noConversion"/>
  </si>
  <si>
    <t>原物料肉塊的大小塊差異超用剩餘料報廢
調理展開量下修，並已採用多次補單方式執行，目前報廢量以穩定控制</t>
    <phoneticPr fontId="13" type="noConversion"/>
  </si>
  <si>
    <t>菜梗、葉差異，影響人員放料手感抓量較不穩定造成超用
持續強化截切及抓量標準化作業，落實人員教育訓練，並增加線上抽秤頻率，超用量穩定控制中。</t>
    <phoneticPr fontId="13" type="noConversion"/>
  </si>
  <si>
    <t>W2</t>
    <phoneticPr fontId="13" type="noConversion"/>
  </si>
  <si>
    <r>
      <t>產</t>
    </r>
    <r>
      <rPr>
        <b/>
        <sz val="12"/>
        <rFont val="Meiryo UI"/>
        <family val="2"/>
        <charset val="128"/>
      </rPr>
      <t>線配置圖－</t>
    </r>
    <r>
      <rPr>
        <b/>
        <sz val="12"/>
        <rFont val="Meiryo UI"/>
        <family val="2"/>
        <charset val="136"/>
      </rPr>
      <t>每</t>
    </r>
    <r>
      <rPr>
        <b/>
        <sz val="12"/>
        <rFont val="Meiryo UI"/>
        <family val="2"/>
        <charset val="128"/>
      </rPr>
      <t>週更新(0811-0817)</t>
    </r>
    <phoneticPr fontId="13" type="noConversion"/>
  </si>
  <si>
    <t>產線配置圖－每週更新(0811-0817)</t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</si>
  <si>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性前幾名品項(0818-0824)</t>
    </r>
    <phoneticPr fontId="13" type="noConversion"/>
  </si>
  <si>
    <t>(V)炒海苔香鬆(飯糰)</t>
  </si>
  <si>
    <t>煮寬粉(114年)</t>
  </si>
  <si>
    <t>二配芝麻香鬆飯糰(114年)</t>
  </si>
  <si>
    <r>
      <t>焗</t>
    </r>
    <r>
      <rPr>
        <sz val="12"/>
        <color rgb="FF000000"/>
        <rFont val="Meiryo UI"/>
        <family val="2"/>
        <charset val="128"/>
      </rPr>
      <t>飯-義式蕃茄紅</t>
    </r>
    <r>
      <rPr>
        <sz val="12"/>
        <color rgb="FF000000"/>
        <rFont val="Meiryo UI"/>
        <family val="2"/>
      </rPr>
      <t>醬</t>
    </r>
  </si>
  <si>
    <t>煮牛肉片(A7)</t>
  </si>
  <si>
    <t>焗飯-奶香白醬(114年)</t>
  </si>
  <si>
    <t>炒蔥花碎蛋</t>
  </si>
  <si>
    <t>切烤雞胸肉(111年)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</si>
</sst>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4"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0.000%"/>
    <numFmt numFmtId="187" formatCode="[$-404]aaaa;@"/>
    <numFmt numFmtId="188" formatCode="&quot;NT$&quot;#,##0"/>
    <numFmt numFmtId="189" formatCode="&quot;NT$&quot;#,##0_);[Red]\(&quot;NT$&quot;#,##0\)"/>
    <numFmt numFmtId="190" formatCode="0,000&quot;個&quot;"/>
    <numFmt numFmtId="191" formatCode="#,##0.0"/>
    <numFmt numFmtId="192" formatCode="0.0_ "/>
    <numFmt numFmtId="193" formatCode="0,000&quot;元&quot;"/>
    <numFmt numFmtId="194" formatCode="m/d\ aaaa"/>
    <numFmt numFmtId="195" formatCode="000&quot;元&quot;"/>
    <numFmt numFmtId="196" formatCode="#,##0_ "/>
    <numFmt numFmtId="197" formatCode="#,##0.0_ "/>
    <numFmt numFmtId="198" formatCode="#,##0.00_ "/>
  </numFmts>
  <fonts count="123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0"/>
      <color theme="0"/>
      <name val="細明體"/>
      <family val="3"/>
      <charset val="136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1.9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b/>
      <sz val="16"/>
      <color rgb="FF000000"/>
      <name val="Meiryo UI"/>
      <family val="2"/>
      <charset val="128"/>
    </font>
    <font>
      <sz val="10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sz val="11"/>
      <color theme="1"/>
      <name val="Arial"/>
      <family val="2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sz val="10"/>
      <color rgb="FF000000"/>
      <name val="Arial"/>
      <family val="2"/>
      <scheme val="minor"/>
    </font>
    <font>
      <b/>
      <sz val="20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0"/>
      <color rgb="FF000000"/>
      <name val="微軟正黑體"/>
      <family val="2"/>
      <charset val="136"/>
    </font>
    <font>
      <sz val="10"/>
      <color rgb="FF000000"/>
      <name val="細明體"/>
      <family val="3"/>
      <charset val="136"/>
    </font>
    <font>
      <b/>
      <sz val="12"/>
      <color theme="1"/>
      <name val="Arial"/>
      <family val="2"/>
      <charset val="136"/>
      <scheme val="minor"/>
    </font>
    <font>
      <b/>
      <sz val="20"/>
      <color rgb="FF000000"/>
      <name val="Meiryo UI"/>
      <family val="2"/>
      <charset val="136"/>
    </font>
    <font>
      <sz val="10"/>
      <color rgb="FFFF0000"/>
      <name val="Meiryo UI"/>
      <family val="2"/>
      <charset val="128"/>
    </font>
    <font>
      <sz val="11"/>
      <color rgb="FF000000"/>
      <name val="Arial"/>
      <family val="2"/>
    </font>
    <font>
      <sz val="11"/>
      <name val="Meiryo UI"/>
      <family val="2"/>
      <charset val="128"/>
    </font>
    <font>
      <sz val="10"/>
      <color theme="1"/>
      <name val="微軟正黑體"/>
      <family val="2"/>
      <charset val="136"/>
    </font>
    <font>
      <sz val="10"/>
      <color theme="1"/>
      <name val="Meiryo UI"/>
      <family val="2"/>
      <charset val="128"/>
    </font>
    <font>
      <b/>
      <sz val="12"/>
      <color rgb="FF000000"/>
      <name val="Meiryo UI"/>
      <family val="3"/>
      <charset val="136"/>
    </font>
    <font>
      <sz val="11"/>
      <color rgb="FF000000"/>
      <name val="微軟正黑體"/>
      <family val="2"/>
      <charset val="136"/>
    </font>
    <font>
      <sz val="11"/>
      <color theme="1"/>
      <name val="Microsoft JhengHei"/>
      <family val="2"/>
    </font>
    <font>
      <b/>
      <sz val="12"/>
      <color theme="1"/>
      <name val="細明體"/>
      <family val="3"/>
      <charset val="136"/>
    </font>
    <font>
      <sz val="18"/>
      <color rgb="FF000000"/>
      <name val="Meiryo UI"/>
      <family val="2"/>
    </font>
    <font>
      <sz val="9"/>
      <name val="Arial"/>
      <family val="2"/>
      <charset val="136"/>
      <scheme val="minor"/>
    </font>
    <font>
      <sz val="14"/>
      <name val="微軟正黑體"/>
      <family val="2"/>
      <charset val="136"/>
    </font>
    <font>
      <b/>
      <sz val="12"/>
      <color rgb="FF000000"/>
      <name val="Meiryo UI"/>
      <family val="2"/>
      <charset val="136"/>
    </font>
    <font>
      <sz val="11"/>
      <name val="Meiryo UI"/>
      <family val="2"/>
    </font>
    <font>
      <sz val="11"/>
      <color theme="1"/>
      <name val="Microsoft JhengHei"/>
      <family val="3"/>
    </font>
    <font>
      <sz val="10"/>
      <color rgb="FFFF0000"/>
      <name val="細明體"/>
      <family val="3"/>
      <charset val="136"/>
    </font>
    <font>
      <sz val="10"/>
      <color rgb="FF000000"/>
      <name val="細明體"/>
      <family val="2"/>
      <charset val="136"/>
    </font>
    <font>
      <sz val="11"/>
      <color theme="1"/>
      <name val="Microsoft JhengHei"/>
      <family val="2"/>
      <charset val="136"/>
    </font>
    <font>
      <sz val="12"/>
      <color theme="1"/>
      <name val="Microsoft JhengHei"/>
      <family val="2"/>
    </font>
    <font>
      <b/>
      <sz val="10"/>
      <color rgb="FF000000"/>
      <name val="Meiryo UI"/>
      <family val="2"/>
    </font>
    <font>
      <b/>
      <sz val="10"/>
      <color rgb="FFFF0000"/>
      <name val="Meiryo UI"/>
      <family val="2"/>
    </font>
    <font>
      <b/>
      <sz val="12"/>
      <color rgb="FFFF0000"/>
      <name val="Meiryo UI"/>
      <family val="2"/>
    </font>
    <font>
      <sz val="12"/>
      <color theme="1"/>
      <name val="Meiryo UI"/>
      <family val="2"/>
      <charset val="128"/>
    </font>
    <font>
      <sz val="12"/>
      <color theme="1"/>
      <name val="細明體"/>
      <family val="2"/>
      <charset val="136"/>
    </font>
    <font>
      <sz val="10"/>
      <color rgb="FF000000"/>
      <name val="Meiryo UI"/>
      <family val="2"/>
      <charset val="136"/>
    </font>
    <font>
      <b/>
      <sz val="12"/>
      <color theme="1"/>
      <name val="微軟正黑體"/>
      <family val="2"/>
      <charset val="136"/>
    </font>
    <font>
      <b/>
      <sz val="14"/>
      <color rgb="FF000000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sz val="10"/>
      <color rgb="FF000000"/>
      <name val="Microsoft JhengHei UI"/>
      <family val="2"/>
      <charset val="136"/>
    </font>
    <font>
      <sz val="12"/>
      <name val="細明體"/>
      <family val="3"/>
      <charset val="136"/>
    </font>
    <font>
      <b/>
      <sz val="20"/>
      <color theme="0"/>
      <name val="微軟正黑體"/>
      <family val="2"/>
      <charset val="136"/>
    </font>
    <font>
      <b/>
      <sz val="18"/>
      <color theme="1"/>
      <name val="微軟正黑體"/>
      <family val="2"/>
      <charset val="136"/>
    </font>
    <font>
      <b/>
      <sz val="16"/>
      <color theme="1"/>
      <name val="微軟正黑體"/>
      <family val="2"/>
      <charset val="136"/>
    </font>
    <font>
      <b/>
      <sz val="16"/>
      <color rgb="FF000000"/>
      <name val="微軟正黑體"/>
      <family val="2"/>
      <charset val="136"/>
    </font>
    <font>
      <sz val="18"/>
      <color theme="1"/>
      <name val="微軟正黑體"/>
      <family val="2"/>
      <charset val="136"/>
    </font>
    <font>
      <sz val="14"/>
      <color theme="1"/>
      <name val="Noto Sans CJK SC"/>
      <family val="2"/>
    </font>
    <font>
      <sz val="11"/>
      <color theme="1"/>
      <name val="Calibri"/>
      <family val="2"/>
    </font>
    <font>
      <sz val="12"/>
      <color rgb="FF000000"/>
      <name val="Microsoft JhengHei"/>
      <family val="2"/>
    </font>
    <font>
      <b/>
      <sz val="12"/>
      <name val="Meiryo UI"/>
      <family val="2"/>
    </font>
    <font>
      <b/>
      <sz val="12"/>
      <name val="Meiryo UI"/>
      <family val="2"/>
      <charset val="136"/>
    </font>
    <font>
      <b/>
      <sz val="12"/>
      <name val="Meiryo UI"/>
      <family val="2"/>
      <charset val="128"/>
    </font>
    <font>
      <sz val="14"/>
      <color theme="1"/>
      <name val="微軟正黑體"/>
      <family val="2"/>
      <charset val="136"/>
    </font>
    <font>
      <b/>
      <sz val="18"/>
      <color rgb="FFFF0000"/>
      <name val="微軟正黑體"/>
      <family val="2"/>
      <charset val="136"/>
    </font>
    <font>
      <b/>
      <sz val="16"/>
      <color rgb="FFFF0000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sz val="11"/>
      <color theme="1"/>
      <name val="Meiryo UI"/>
      <family val="2"/>
      <charset val="136"/>
    </font>
    <font>
      <sz val="11"/>
      <color theme="1"/>
      <name val="細明體"/>
      <family val="2"/>
      <charset val="136"/>
    </font>
    <font>
      <b/>
      <sz val="12"/>
      <color theme="1"/>
      <name val="Meiryo UI"/>
      <family val="3"/>
      <charset val="136"/>
    </font>
    <font>
      <sz val="12"/>
      <color rgb="FF000000"/>
      <name val="Meiryo UI"/>
      <family val="2"/>
      <charset val="128"/>
    </font>
  </fonts>
  <fills count="12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2060"/>
        <bgColor indexed="64"/>
      </patternFill>
    </fill>
  </fills>
  <borders count="9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 style="thin">
        <color indexed="64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indexed="64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indexed="64"/>
      </bottom>
      <diagonal/>
    </border>
    <border>
      <left style="double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double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double">
        <color rgb="FF000000"/>
      </right>
      <top/>
      <bottom style="thin">
        <color indexed="64"/>
      </bottom>
      <diagonal/>
    </border>
    <border>
      <left style="double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/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double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indexed="64"/>
      </top>
      <bottom style="double">
        <color indexed="64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indexed="64"/>
      </left>
      <right style="thin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double">
        <color rgb="FF000000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double">
        <color rgb="FF000000"/>
      </top>
      <bottom style="thin">
        <color indexed="64"/>
      </bottom>
      <diagonal/>
    </border>
  </borders>
  <cellStyleXfs count="36">
    <xf numFmtId="0" fontId="0" fillId="0" borderId="0"/>
    <xf numFmtId="0" fontId="6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7" fillId="0" borderId="0"/>
    <xf numFmtId="0" fontId="6" fillId="0" borderId="0">
      <alignment vertical="center"/>
    </xf>
    <xf numFmtId="0" fontId="6" fillId="0" borderId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/>
    <xf numFmtId="9" fontId="9" fillId="0" borderId="0" applyFont="0" applyFill="0" applyBorder="0" applyAlignment="0" applyProtection="0"/>
    <xf numFmtId="0" fontId="24" fillId="0" borderId="0"/>
    <xf numFmtId="0" fontId="5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24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4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937">
    <xf numFmtId="0" fontId="0" fillId="0" borderId="0" xfId="0"/>
    <xf numFmtId="0" fontId="7" fillId="0" borderId="0" xfId="0" applyFont="1" applyAlignment="1">
      <alignment shrinkToFit="1"/>
    </xf>
    <xf numFmtId="0" fontId="0" fillId="0" borderId="0" xfId="0" applyAlignment="1">
      <alignment shrinkToFit="1"/>
    </xf>
    <xf numFmtId="0" fontId="7" fillId="0" borderId="1" xfId="0" applyFont="1" applyBorder="1" applyAlignment="1">
      <alignment horizontal="right" shrinkToFit="1"/>
    </xf>
    <xf numFmtId="0" fontId="7" fillId="0" borderId="1" xfId="0" applyFont="1" applyBorder="1" applyAlignment="1">
      <alignment shrinkToFit="1"/>
    </xf>
    <xf numFmtId="0" fontId="7" fillId="0" borderId="2" xfId="0" applyFont="1" applyBorder="1" applyAlignment="1">
      <alignment shrinkToFit="1"/>
    </xf>
    <xf numFmtId="0" fontId="8" fillId="0" borderId="3" xfId="0" applyFont="1" applyBorder="1" applyAlignment="1">
      <alignment shrinkToFit="1"/>
    </xf>
    <xf numFmtId="0" fontId="8" fillId="2" borderId="1" xfId="0" applyFont="1" applyFill="1" applyBorder="1" applyAlignment="1">
      <alignment shrinkToFit="1"/>
    </xf>
    <xf numFmtId="0" fontId="7" fillId="2" borderId="1" xfId="0" applyFont="1" applyFill="1" applyBorder="1" applyAlignment="1">
      <alignment shrinkToFit="1"/>
    </xf>
    <xf numFmtId="3" fontId="7" fillId="0" borderId="1" xfId="0" applyNumberFormat="1" applyFont="1" applyBorder="1" applyAlignment="1">
      <alignment shrinkToFit="1"/>
    </xf>
    <xf numFmtId="3" fontId="7" fillId="3" borderId="1" xfId="0" applyNumberFormat="1" applyFont="1" applyFill="1" applyBorder="1" applyAlignment="1">
      <alignment shrinkToFit="1"/>
    </xf>
    <xf numFmtId="4" fontId="7" fillId="0" borderId="1" xfId="0" applyNumberFormat="1" applyFont="1" applyBorder="1" applyAlignment="1">
      <alignment horizontal="right" shrinkToFit="1"/>
    </xf>
    <xf numFmtId="10" fontId="7" fillId="2" borderId="1" xfId="0" applyNumberFormat="1" applyFont="1" applyFill="1" applyBorder="1" applyAlignment="1">
      <alignment horizontal="right" shrinkToFit="1"/>
    </xf>
    <xf numFmtId="10" fontId="7" fillId="3" borderId="1" xfId="0" applyNumberFormat="1" applyFont="1" applyFill="1" applyBorder="1" applyAlignment="1">
      <alignment shrinkToFit="1"/>
    </xf>
    <xf numFmtId="10" fontId="7" fillId="0" borderId="1" xfId="0" applyNumberFormat="1" applyFont="1" applyBorder="1" applyAlignment="1">
      <alignment shrinkToFit="1"/>
    </xf>
    <xf numFmtId="10" fontId="8" fillId="0" borderId="0" xfId="0" applyNumberFormat="1" applyFont="1" applyAlignment="1">
      <alignment shrinkToFit="1"/>
    </xf>
    <xf numFmtId="0" fontId="7" fillId="3" borderId="1" xfId="0" applyFont="1" applyFill="1" applyBorder="1" applyAlignment="1">
      <alignment shrinkToFit="1"/>
    </xf>
    <xf numFmtId="4" fontId="7" fillId="0" borderId="1" xfId="0" applyNumberFormat="1" applyFont="1" applyBorder="1" applyAlignment="1">
      <alignment shrinkToFit="1"/>
    </xf>
    <xf numFmtId="0" fontId="8" fillId="2" borderId="5" xfId="0" applyFont="1" applyFill="1" applyBorder="1" applyAlignment="1">
      <alignment shrinkToFit="1"/>
    </xf>
    <xf numFmtId="0" fontId="8" fillId="2" borderId="3" xfId="0" applyFont="1" applyFill="1" applyBorder="1" applyAlignment="1">
      <alignment shrinkToFit="1"/>
    </xf>
    <xf numFmtId="0" fontId="8" fillId="2" borderId="6" xfId="0" applyFont="1" applyFill="1" applyBorder="1" applyAlignment="1">
      <alignment shrinkToFit="1"/>
    </xf>
    <xf numFmtId="0" fontId="7" fillId="2" borderId="3" xfId="0" applyFont="1" applyFill="1" applyBorder="1" applyAlignment="1">
      <alignment shrinkToFit="1"/>
    </xf>
    <xf numFmtId="0" fontId="7" fillId="2" borderId="6" xfId="0" applyFont="1" applyFill="1" applyBorder="1" applyAlignment="1">
      <alignment shrinkToFit="1"/>
    </xf>
    <xf numFmtId="0" fontId="8" fillId="2" borderId="7" xfId="0" applyFont="1" applyFill="1" applyBorder="1" applyAlignment="1">
      <alignment shrinkToFit="1"/>
    </xf>
    <xf numFmtId="0" fontId="7" fillId="0" borderId="3" xfId="0" applyFont="1" applyBorder="1" applyAlignment="1">
      <alignment shrinkToFit="1"/>
    </xf>
    <xf numFmtId="0" fontId="7" fillId="2" borderId="7" xfId="0" applyFont="1" applyFill="1" applyBorder="1" applyAlignment="1">
      <alignment shrinkToFit="1"/>
    </xf>
    <xf numFmtId="0" fontId="8" fillId="0" borderId="8" xfId="0" applyFont="1" applyBorder="1" applyAlignment="1">
      <alignment shrinkToFit="1"/>
    </xf>
    <xf numFmtId="0" fontId="7" fillId="0" borderId="5" xfId="0" applyFont="1" applyBorder="1" applyAlignment="1">
      <alignment shrinkToFit="1"/>
    </xf>
    <xf numFmtId="0" fontId="7" fillId="0" borderId="14" xfId="0" applyFont="1" applyBorder="1" applyAlignment="1">
      <alignment shrinkToFit="1"/>
    </xf>
    <xf numFmtId="0" fontId="7" fillId="0" borderId="8" xfId="0" applyFont="1" applyBorder="1" applyAlignment="1">
      <alignment shrinkToFit="1"/>
    </xf>
    <xf numFmtId="10" fontId="7" fillId="0" borderId="5" xfId="0" applyNumberFormat="1" applyFont="1" applyBorder="1" applyAlignment="1">
      <alignment shrinkToFit="1"/>
    </xf>
    <xf numFmtId="0" fontId="7" fillId="3" borderId="5" xfId="0" applyFont="1" applyFill="1" applyBorder="1" applyAlignment="1">
      <alignment shrinkToFit="1"/>
    </xf>
    <xf numFmtId="0" fontId="7" fillId="2" borderId="15" xfId="0" applyFont="1" applyFill="1" applyBorder="1" applyAlignment="1">
      <alignment shrinkToFit="1"/>
    </xf>
    <xf numFmtId="10" fontId="7" fillId="3" borderId="17" xfId="0" applyNumberFormat="1" applyFont="1" applyFill="1" applyBorder="1" applyAlignment="1">
      <alignment shrinkToFit="1"/>
    </xf>
    <xf numFmtId="0" fontId="7" fillId="3" borderId="18" xfId="0" applyFont="1" applyFill="1" applyBorder="1" applyAlignment="1">
      <alignment shrinkToFit="1"/>
    </xf>
    <xf numFmtId="0" fontId="7" fillId="0" borderId="6" xfId="0" applyFont="1" applyBorder="1" applyAlignment="1">
      <alignment shrinkToFit="1"/>
    </xf>
    <xf numFmtId="10" fontId="7" fillId="0" borderId="6" xfId="0" applyNumberFormat="1" applyFont="1" applyBorder="1" applyAlignment="1">
      <alignment shrinkToFit="1"/>
    </xf>
    <xf numFmtId="0" fontId="7" fillId="3" borderId="6" xfId="0" applyFont="1" applyFill="1" applyBorder="1" applyAlignment="1">
      <alignment shrinkToFit="1"/>
    </xf>
    <xf numFmtId="10" fontId="7" fillId="0" borderId="0" xfId="0" applyNumberFormat="1" applyFont="1" applyAlignment="1">
      <alignment shrinkToFit="1"/>
    </xf>
    <xf numFmtId="10" fontId="7" fillId="2" borderId="1" xfId="0" applyNumberFormat="1" applyFont="1" applyFill="1" applyBorder="1" applyAlignment="1">
      <alignment shrinkToFit="1"/>
    </xf>
    <xf numFmtId="0" fontId="7" fillId="3" borderId="7" xfId="0" applyFont="1" applyFill="1" applyBorder="1" applyAlignment="1">
      <alignment shrinkToFit="1"/>
    </xf>
    <xf numFmtId="10" fontId="7" fillId="3" borderId="5" xfId="0" applyNumberFormat="1" applyFont="1" applyFill="1" applyBorder="1" applyAlignment="1">
      <alignment shrinkToFit="1"/>
    </xf>
    <xf numFmtId="0" fontId="7" fillId="0" borderId="11" xfId="0" applyFont="1" applyBorder="1" applyAlignment="1">
      <alignment shrinkToFit="1"/>
    </xf>
    <xf numFmtId="10" fontId="7" fillId="0" borderId="14" xfId="0" applyNumberFormat="1" applyFont="1" applyBorder="1" applyAlignment="1">
      <alignment shrinkToFit="1"/>
    </xf>
    <xf numFmtId="10" fontId="7" fillId="3" borderId="14" xfId="0" applyNumberFormat="1" applyFont="1" applyFill="1" applyBorder="1" applyAlignment="1">
      <alignment shrinkToFit="1"/>
    </xf>
    <xf numFmtId="0" fontId="7" fillId="2" borderId="2" xfId="0" applyFont="1" applyFill="1" applyBorder="1" applyAlignment="1">
      <alignment shrinkToFit="1"/>
    </xf>
    <xf numFmtId="0" fontId="7" fillId="2" borderId="4" xfId="0" applyFont="1" applyFill="1" applyBorder="1" applyAlignment="1">
      <alignment shrinkToFit="1"/>
    </xf>
    <xf numFmtId="0" fontId="11" fillId="0" borderId="1" xfId="0" applyFont="1" applyBorder="1" applyAlignment="1">
      <alignment shrinkToFit="1"/>
    </xf>
    <xf numFmtId="0" fontId="11" fillId="2" borderId="1" xfId="0" applyFont="1" applyFill="1" applyBorder="1" applyAlignment="1">
      <alignment horizontal="left" shrinkToFit="1"/>
    </xf>
    <xf numFmtId="0" fontId="12" fillId="2" borderId="1" xfId="0" applyFont="1" applyFill="1" applyBorder="1" applyAlignment="1">
      <alignment shrinkToFit="1"/>
    </xf>
    <xf numFmtId="0" fontId="11" fillId="2" borderId="6" xfId="0" applyFont="1" applyFill="1" applyBorder="1" applyAlignment="1">
      <alignment shrinkToFit="1"/>
    </xf>
    <xf numFmtId="0" fontId="11" fillId="2" borderId="2" xfId="0" applyFont="1" applyFill="1" applyBorder="1" applyAlignment="1">
      <alignment shrinkToFit="1"/>
    </xf>
    <xf numFmtId="0" fontId="12" fillId="2" borderId="5" xfId="0" applyFont="1" applyFill="1" applyBorder="1" applyAlignment="1">
      <alignment shrinkToFit="1"/>
    </xf>
    <xf numFmtId="0" fontId="12" fillId="2" borderId="4" xfId="0" applyFont="1" applyFill="1" applyBorder="1" applyAlignment="1">
      <alignment shrinkToFit="1"/>
    </xf>
    <xf numFmtId="0" fontId="7" fillId="2" borderId="22" xfId="0" applyFont="1" applyFill="1" applyBorder="1" applyAlignment="1">
      <alignment shrinkToFit="1"/>
    </xf>
    <xf numFmtId="0" fontId="7" fillId="2" borderId="23" xfId="0" applyFont="1" applyFill="1" applyBorder="1" applyAlignment="1">
      <alignment shrinkToFit="1"/>
    </xf>
    <xf numFmtId="0" fontId="11" fillId="2" borderId="22" xfId="0" applyFont="1" applyFill="1" applyBorder="1" applyAlignment="1">
      <alignment shrinkToFit="1"/>
    </xf>
    <xf numFmtId="0" fontId="11" fillId="2" borderId="1" xfId="0" applyFont="1" applyFill="1" applyBorder="1" applyAlignment="1">
      <alignment shrinkToFit="1"/>
    </xf>
    <xf numFmtId="0" fontId="11" fillId="2" borderId="4" xfId="0" applyFont="1" applyFill="1" applyBorder="1" applyAlignment="1">
      <alignment shrinkToFit="1"/>
    </xf>
    <xf numFmtId="0" fontId="11" fillId="2" borderId="16" xfId="0" applyFont="1" applyFill="1" applyBorder="1" applyAlignment="1">
      <alignment shrinkToFit="1"/>
    </xf>
    <xf numFmtId="0" fontId="11" fillId="4" borderId="0" xfId="0" applyFont="1" applyFill="1"/>
    <xf numFmtId="0" fontId="12" fillId="4" borderId="0" xfId="0" applyFont="1" applyFill="1" applyAlignment="1">
      <alignment shrinkToFit="1"/>
    </xf>
    <xf numFmtId="0" fontId="11" fillId="4" borderId="0" xfId="0" applyFont="1" applyFill="1" applyAlignment="1">
      <alignment shrinkToFit="1"/>
    </xf>
    <xf numFmtId="0" fontId="8" fillId="4" borderId="0" xfId="0" applyFont="1" applyFill="1" applyAlignment="1">
      <alignment shrinkToFit="1"/>
    </xf>
    <xf numFmtId="0" fontId="7" fillId="4" borderId="0" xfId="0" applyFont="1" applyFill="1"/>
    <xf numFmtId="10" fontId="7" fillId="4" borderId="0" xfId="0" applyNumberFormat="1" applyFont="1" applyFill="1" applyAlignment="1">
      <alignment shrinkToFit="1"/>
    </xf>
    <xf numFmtId="0" fontId="7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7" fillId="2" borderId="24" xfId="0" applyFont="1" applyFill="1" applyBorder="1" applyAlignment="1">
      <alignment shrinkToFit="1"/>
    </xf>
    <xf numFmtId="0" fontId="12" fillId="0" borderId="11" xfId="0" applyFont="1" applyBorder="1" applyAlignment="1">
      <alignment horizontal="right" shrinkToFit="1"/>
    </xf>
    <xf numFmtId="0" fontId="12" fillId="0" borderId="3" xfId="0" applyFont="1" applyBorder="1" applyAlignment="1">
      <alignment horizontal="right" shrinkToFit="1"/>
    </xf>
    <xf numFmtId="0" fontId="14" fillId="0" borderId="0" xfId="0" applyFont="1" applyAlignment="1">
      <alignment horizontal="center"/>
    </xf>
    <xf numFmtId="10" fontId="14" fillId="0" borderId="0" xfId="0" applyNumberFormat="1" applyFont="1"/>
    <xf numFmtId="0" fontId="14" fillId="0" borderId="0" xfId="0" applyFont="1"/>
    <xf numFmtId="0" fontId="18" fillId="0" borderId="0" xfId="0" applyFont="1" applyAlignment="1">
      <alignment horizontal="left" vertical="center"/>
    </xf>
    <xf numFmtId="0" fontId="26" fillId="0" borderId="0" xfId="0" applyFont="1"/>
    <xf numFmtId="176" fontId="27" fillId="5" borderId="0" xfId="0" applyNumberFormat="1" applyFont="1" applyFill="1" applyAlignment="1">
      <alignment horizontal="center" vertical="center"/>
    </xf>
    <xf numFmtId="0" fontId="26" fillId="0" borderId="0" xfId="0" applyFont="1" applyAlignment="1">
      <alignment horizontal="center"/>
    </xf>
    <xf numFmtId="0" fontId="14" fillId="0" borderId="0" xfId="0" applyFont="1" applyAlignment="1">
      <alignment vertical="center"/>
    </xf>
    <xf numFmtId="176" fontId="27" fillId="0" borderId="0" xfId="0" applyNumberFormat="1" applyFont="1" applyAlignment="1">
      <alignment horizontal="center" vertical="center"/>
    </xf>
    <xf numFmtId="179" fontId="26" fillId="0" borderId="0" xfId="0" applyNumberFormat="1" applyFont="1" applyAlignment="1">
      <alignment horizontal="center"/>
    </xf>
    <xf numFmtId="176" fontId="26" fillId="0" borderId="0" xfId="0" applyNumberFormat="1" applyFont="1"/>
    <xf numFmtId="177" fontId="26" fillId="0" borderId="0" xfId="0" applyNumberFormat="1" applyFont="1"/>
    <xf numFmtId="178" fontId="26" fillId="0" borderId="0" xfId="0" applyNumberFormat="1" applyFont="1"/>
    <xf numFmtId="10" fontId="26" fillId="0" borderId="0" xfId="0" applyNumberFormat="1" applyFont="1"/>
    <xf numFmtId="176" fontId="27" fillId="6" borderId="0" xfId="0" applyNumberFormat="1" applyFont="1" applyFill="1" applyAlignment="1">
      <alignment horizontal="center" vertical="center"/>
    </xf>
    <xf numFmtId="176" fontId="27" fillId="8" borderId="0" xfId="0" applyNumberFormat="1" applyFont="1" applyFill="1" applyAlignment="1">
      <alignment horizontal="center" vertical="center"/>
    </xf>
    <xf numFmtId="180" fontId="14" fillId="0" borderId="0" xfId="0" applyNumberFormat="1" applyFont="1"/>
    <xf numFmtId="176" fontId="17" fillId="0" borderId="0" xfId="0" applyNumberFormat="1" applyFont="1" applyAlignment="1">
      <alignment horizontal="center" vertical="center"/>
    </xf>
    <xf numFmtId="180" fontId="17" fillId="0" borderId="0" xfId="0" applyNumberFormat="1" applyFont="1" applyAlignment="1">
      <alignment horizontal="center" vertical="center"/>
    </xf>
    <xf numFmtId="182" fontId="26" fillId="0" borderId="0" xfId="0" applyNumberFormat="1" applyFont="1"/>
    <xf numFmtId="182" fontId="27" fillId="0" borderId="22" xfId="0" applyNumberFormat="1" applyFont="1" applyBorder="1" applyAlignment="1">
      <alignment horizontal="center" vertical="center"/>
    </xf>
    <xf numFmtId="10" fontId="27" fillId="0" borderId="22" xfId="0" applyNumberFormat="1" applyFont="1" applyBorder="1" applyAlignment="1">
      <alignment horizontal="center" vertical="center"/>
    </xf>
    <xf numFmtId="182" fontId="26" fillId="0" borderId="0" xfId="0" applyNumberFormat="1" applyFont="1" applyAlignment="1">
      <alignment horizontal="center"/>
    </xf>
    <xf numFmtId="0" fontId="31" fillId="0" borderId="0" xfId="0" applyFont="1"/>
    <xf numFmtId="177" fontId="26" fillId="0" borderId="0" xfId="0" applyNumberFormat="1" applyFont="1" applyAlignment="1">
      <alignment horizontal="center"/>
    </xf>
    <xf numFmtId="0" fontId="0" fillId="0" borderId="0" xfId="0" applyAlignment="1">
      <alignment vertical="center" shrinkToFit="1"/>
    </xf>
    <xf numFmtId="0" fontId="0" fillId="0" borderId="0" xfId="0" applyAlignment="1">
      <alignment wrapText="1" shrinkToFit="1"/>
    </xf>
    <xf numFmtId="0" fontId="26" fillId="0" borderId="0" xfId="0" applyFont="1" applyAlignment="1">
      <alignment shrinkToFit="1"/>
    </xf>
    <xf numFmtId="0" fontId="26" fillId="4" borderId="0" xfId="0" applyFont="1" applyFill="1" applyAlignment="1">
      <alignment shrinkToFit="1"/>
    </xf>
    <xf numFmtId="0" fontId="28" fillId="0" borderId="0" xfId="0" applyFont="1" applyAlignment="1">
      <alignment shrinkToFit="1"/>
    </xf>
    <xf numFmtId="0" fontId="42" fillId="0" borderId="0" xfId="0" applyFont="1" applyAlignment="1">
      <alignment shrinkToFit="1"/>
    </xf>
    <xf numFmtId="0" fontId="26" fillId="0" borderId="22" xfId="0" applyFont="1" applyBorder="1" applyAlignment="1">
      <alignment shrinkToFit="1"/>
    </xf>
    <xf numFmtId="0" fontId="26" fillId="0" borderId="0" xfId="0" applyFont="1" applyAlignment="1">
      <alignment horizontal="center" shrinkToFit="1"/>
    </xf>
    <xf numFmtId="0" fontId="28" fillId="0" borderId="0" xfId="0" applyFont="1" applyAlignment="1">
      <alignment horizontal="center" shrinkToFit="1"/>
    </xf>
    <xf numFmtId="0" fontId="26" fillId="0" borderId="0" xfId="0" applyFont="1" applyAlignment="1">
      <alignment horizontal="center" vertical="center" shrinkToFit="1"/>
    </xf>
    <xf numFmtId="0" fontId="42" fillId="0" borderId="22" xfId="0" applyFont="1" applyBorder="1" applyAlignment="1">
      <alignment shrinkToFit="1"/>
    </xf>
    <xf numFmtId="0" fontId="28" fillId="0" borderId="22" xfId="0" applyFont="1" applyBorder="1" applyAlignment="1">
      <alignment shrinkToFit="1"/>
    </xf>
    <xf numFmtId="0" fontId="28" fillId="4" borderId="0" xfId="0" applyFont="1" applyFill="1" applyAlignment="1">
      <alignment shrinkToFit="1"/>
    </xf>
    <xf numFmtId="0" fontId="45" fillId="0" borderId="0" xfId="0" applyFont="1"/>
    <xf numFmtId="0" fontId="47" fillId="0" borderId="0" xfId="0" applyFont="1"/>
    <xf numFmtId="10" fontId="42" fillId="0" borderId="0" xfId="0" applyNumberFormat="1" applyFont="1" applyAlignment="1">
      <alignment shrinkToFit="1"/>
    </xf>
    <xf numFmtId="0" fontId="43" fillId="0" borderId="0" xfId="0" applyFont="1"/>
    <xf numFmtId="0" fontId="48" fillId="0" borderId="22" xfId="0" applyFont="1" applyBorder="1" applyAlignment="1">
      <alignment horizontal="center" vertical="center" shrinkToFit="1"/>
    </xf>
    <xf numFmtId="0" fontId="48" fillId="9" borderId="22" xfId="0" applyFont="1" applyFill="1" applyBorder="1" applyAlignment="1">
      <alignment horizontal="center" vertical="center" shrinkToFit="1"/>
    </xf>
    <xf numFmtId="0" fontId="42" fillId="0" borderId="22" xfId="0" applyFont="1" applyBorder="1" applyAlignment="1">
      <alignment horizontal="center" shrinkToFit="1"/>
    </xf>
    <xf numFmtId="3" fontId="28" fillId="0" borderId="22" xfId="0" applyNumberFormat="1" applyFont="1" applyBorder="1" applyAlignment="1">
      <alignment shrinkToFit="1"/>
    </xf>
    <xf numFmtId="10" fontId="28" fillId="0" borderId="22" xfId="0" applyNumberFormat="1" applyFont="1" applyBorder="1" applyAlignment="1">
      <alignment shrinkToFit="1"/>
    </xf>
    <xf numFmtId="4" fontId="28" fillId="0" borderId="22" xfId="0" applyNumberFormat="1" applyFont="1" applyBorder="1" applyAlignment="1">
      <alignment horizontal="right" shrinkToFit="1"/>
    </xf>
    <xf numFmtId="0" fontId="42" fillId="0" borderId="22" xfId="0" applyFont="1" applyBorder="1" applyAlignment="1">
      <alignment horizontal="center" vertical="center" shrinkToFit="1"/>
    </xf>
    <xf numFmtId="0" fontId="49" fillId="0" borderId="22" xfId="0" applyFont="1" applyBorder="1" applyAlignment="1">
      <alignment horizontal="center" shrinkToFit="1"/>
    </xf>
    <xf numFmtId="0" fontId="7" fillId="0" borderId="0" xfId="0" applyFont="1" applyAlignment="1">
      <alignment horizontal="center" vertical="center" shrinkToFit="1"/>
    </xf>
    <xf numFmtId="0" fontId="0" fillId="4" borderId="0" xfId="0" applyFill="1" applyAlignment="1">
      <alignment horizontal="center" vertical="center" shrinkToFit="1"/>
    </xf>
    <xf numFmtId="0" fontId="7" fillId="0" borderId="0" xfId="0" applyFont="1" applyAlignment="1">
      <alignment horizontal="right" shrinkToFit="1"/>
    </xf>
    <xf numFmtId="0" fontId="11" fillId="0" borderId="0" xfId="0" applyFont="1" applyAlignment="1">
      <alignment shrinkToFit="1"/>
    </xf>
    <xf numFmtId="0" fontId="8" fillId="0" borderId="0" xfId="0" applyFont="1" applyAlignment="1">
      <alignment shrinkToFit="1"/>
    </xf>
    <xf numFmtId="0" fontId="26" fillId="4" borderId="0" xfId="0" applyFont="1" applyFill="1" applyAlignment="1">
      <alignment horizontal="center" vertical="center" shrinkToFit="1"/>
    </xf>
    <xf numFmtId="0" fontId="26" fillId="4" borderId="0" xfId="0" applyFont="1" applyFill="1" applyAlignment="1">
      <alignment horizontal="center" shrinkToFit="1"/>
    </xf>
    <xf numFmtId="0" fontId="28" fillId="0" borderId="22" xfId="0" applyFont="1" applyBorder="1" applyAlignment="1">
      <alignment horizontal="center" vertical="center" shrinkToFit="1"/>
    </xf>
    <xf numFmtId="0" fontId="26" fillId="0" borderId="0" xfId="0" applyFont="1" applyAlignment="1">
      <alignment vertical="center" shrinkToFit="1"/>
    </xf>
    <xf numFmtId="0" fontId="28" fillId="2" borderId="22" xfId="0" applyFont="1" applyFill="1" applyBorder="1" applyAlignment="1">
      <alignment horizontal="center" vertical="center" shrinkToFit="1"/>
    </xf>
    <xf numFmtId="0" fontId="26" fillId="0" borderId="0" xfId="0" applyFont="1" applyAlignment="1">
      <alignment wrapText="1" shrinkToFit="1"/>
    </xf>
    <xf numFmtId="0" fontId="26" fillId="0" borderId="0" xfId="0" applyFont="1" applyAlignment="1">
      <alignment horizontal="center" vertical="center" wrapText="1" shrinkToFit="1"/>
    </xf>
    <xf numFmtId="10" fontId="28" fillId="2" borderId="22" xfId="0" applyNumberFormat="1" applyFont="1" applyFill="1" applyBorder="1" applyAlignment="1">
      <alignment horizontal="center" vertical="center" shrinkToFit="1"/>
    </xf>
    <xf numFmtId="10" fontId="28" fillId="3" borderId="22" xfId="0" applyNumberFormat="1" applyFont="1" applyFill="1" applyBorder="1" applyAlignment="1">
      <alignment shrinkToFit="1"/>
    </xf>
    <xf numFmtId="0" fontId="26" fillId="0" borderId="0" xfId="11" applyFont="1" applyAlignment="1">
      <alignment shrinkToFit="1"/>
    </xf>
    <xf numFmtId="0" fontId="26" fillId="4" borderId="0" xfId="11" applyFont="1" applyFill="1" applyAlignment="1">
      <alignment shrinkToFit="1"/>
    </xf>
    <xf numFmtId="184" fontId="57" fillId="0" borderId="0" xfId="11" applyNumberFormat="1" applyFont="1" applyAlignment="1">
      <alignment shrinkToFit="1"/>
    </xf>
    <xf numFmtId="0" fontId="42" fillId="0" borderId="6" xfId="11" applyFont="1" applyBorder="1" applyAlignment="1">
      <alignment horizontal="center" shrinkToFit="1"/>
    </xf>
    <xf numFmtId="3" fontId="36" fillId="0" borderId="6" xfId="11" applyNumberFormat="1" applyFont="1" applyBorder="1" applyAlignment="1">
      <alignment shrinkToFit="1"/>
    </xf>
    <xf numFmtId="10" fontId="36" fillId="0" borderId="6" xfId="11" applyNumberFormat="1" applyFont="1" applyBorder="1" applyAlignment="1">
      <alignment shrinkToFit="1"/>
    </xf>
    <xf numFmtId="3" fontId="28" fillId="0" borderId="22" xfId="11" applyNumberFormat="1" applyFont="1" applyBorder="1" applyAlignment="1">
      <alignment shrinkToFit="1"/>
    </xf>
    <xf numFmtId="10" fontId="28" fillId="0" borderId="22" xfId="11" applyNumberFormat="1" applyFont="1" applyBorder="1" applyAlignment="1">
      <alignment shrinkToFit="1"/>
    </xf>
    <xf numFmtId="0" fontId="42" fillId="0" borderId="1" xfId="11" applyFont="1" applyBorder="1" applyAlignment="1">
      <alignment horizontal="center" shrinkToFit="1"/>
    </xf>
    <xf numFmtId="3" fontId="36" fillId="0" borderId="1" xfId="11" applyNumberFormat="1" applyFont="1" applyBorder="1" applyAlignment="1">
      <alignment shrinkToFit="1"/>
    </xf>
    <xf numFmtId="0" fontId="31" fillId="0" borderId="0" xfId="11" applyFont="1"/>
    <xf numFmtId="0" fontId="31" fillId="0" borderId="0" xfId="11" applyFont="1" applyAlignment="1">
      <alignment vertical="center"/>
    </xf>
    <xf numFmtId="0" fontId="31" fillId="0" borderId="0" xfId="11" applyFont="1" applyAlignment="1">
      <alignment horizontal="center" vertical="center"/>
    </xf>
    <xf numFmtId="0" fontId="7" fillId="0" borderId="0" xfId="5"/>
    <xf numFmtId="0" fontId="63" fillId="9" borderId="30" xfId="5" applyFont="1" applyFill="1" applyBorder="1"/>
    <xf numFmtId="0" fontId="63" fillId="0" borderId="0" xfId="5" applyFont="1"/>
    <xf numFmtId="0" fontId="63" fillId="0" borderId="22" xfId="5" applyFont="1" applyBorder="1"/>
    <xf numFmtId="0" fontId="63" fillId="9" borderId="22" xfId="5" applyFont="1" applyFill="1" applyBorder="1"/>
    <xf numFmtId="185" fontId="26" fillId="0" borderId="0" xfId="0" applyNumberFormat="1" applyFont="1"/>
    <xf numFmtId="0" fontId="28" fillId="0" borderId="22" xfId="11" applyFont="1" applyBorder="1" applyAlignment="1">
      <alignment horizontal="center" vertical="center" shrinkToFit="1"/>
    </xf>
    <xf numFmtId="0" fontId="36" fillId="5" borderId="23" xfId="5" applyFont="1" applyFill="1" applyBorder="1" applyAlignment="1">
      <alignment horizontal="center" vertical="center"/>
    </xf>
    <xf numFmtId="0" fontId="64" fillId="0" borderId="22" xfId="0" applyFont="1" applyBorder="1" applyAlignment="1">
      <alignment horizontal="center" vertical="center" shrinkToFit="1"/>
    </xf>
    <xf numFmtId="0" fontId="49" fillId="0" borderId="22" xfId="0" applyFont="1" applyBorder="1" applyAlignment="1">
      <alignment horizontal="center" vertical="center" shrinkToFit="1"/>
    </xf>
    <xf numFmtId="0" fontId="49" fillId="0" borderId="22" xfId="0" applyFont="1" applyBorder="1" applyAlignment="1">
      <alignment shrinkToFit="1"/>
    </xf>
    <xf numFmtId="0" fontId="56" fillId="2" borderId="22" xfId="0" applyFont="1" applyFill="1" applyBorder="1" applyAlignment="1">
      <alignment horizontal="center" vertical="center" shrinkToFit="1"/>
    </xf>
    <xf numFmtId="0" fontId="31" fillId="5" borderId="23" xfId="11" applyFont="1" applyFill="1" applyBorder="1" applyAlignment="1">
      <alignment horizontal="center" vertical="center"/>
    </xf>
    <xf numFmtId="186" fontId="26" fillId="0" borderId="0" xfId="0" applyNumberFormat="1" applyFont="1"/>
    <xf numFmtId="0" fontId="14" fillId="9" borderId="0" xfId="11" applyFont="1" applyFill="1" applyAlignment="1">
      <alignment vertical="center"/>
    </xf>
    <xf numFmtId="188" fontId="26" fillId="0" borderId="0" xfId="0" applyNumberFormat="1" applyFont="1"/>
    <xf numFmtId="189" fontId="26" fillId="0" borderId="0" xfId="0" applyNumberFormat="1" applyFont="1"/>
    <xf numFmtId="0" fontId="26" fillId="9" borderId="0" xfId="0" applyFont="1" applyFill="1" applyAlignment="1">
      <alignment horizontal="center"/>
    </xf>
    <xf numFmtId="10" fontId="27" fillId="0" borderId="0" xfId="0" applyNumberFormat="1" applyFont="1" applyAlignment="1">
      <alignment horizontal="center" vertical="center"/>
    </xf>
    <xf numFmtId="186" fontId="14" fillId="0" borderId="0" xfId="0" applyNumberFormat="1" applyFont="1"/>
    <xf numFmtId="186" fontId="27" fillId="0" borderId="0" xfId="0" applyNumberFormat="1" applyFont="1" applyAlignment="1">
      <alignment horizontal="center" vertical="center"/>
    </xf>
    <xf numFmtId="0" fontId="56" fillId="0" borderId="22" xfId="0" applyFont="1" applyBorder="1" applyAlignment="1">
      <alignment horizontal="center" vertical="center" shrinkToFit="1"/>
    </xf>
    <xf numFmtId="179" fontId="14" fillId="0" borderId="22" xfId="0" applyNumberFormat="1" applyFont="1" applyBorder="1" applyAlignment="1">
      <alignment horizontal="center"/>
    </xf>
    <xf numFmtId="189" fontId="14" fillId="9" borderId="22" xfId="0" applyNumberFormat="1" applyFont="1" applyFill="1" applyBorder="1" applyAlignment="1">
      <alignment vertical="center" shrinkToFit="1"/>
    </xf>
    <xf numFmtId="10" fontId="14" fillId="0" borderId="22" xfId="0" applyNumberFormat="1" applyFont="1" applyBorder="1" applyAlignment="1">
      <alignment vertical="center"/>
    </xf>
    <xf numFmtId="10" fontId="27" fillId="0" borderId="23" xfId="0" applyNumberFormat="1" applyFont="1" applyBorder="1" applyAlignment="1">
      <alignment horizontal="center" vertical="center"/>
    </xf>
    <xf numFmtId="183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left" vertical="center" shrinkToFit="1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shrinkToFit="1"/>
    </xf>
    <xf numFmtId="0" fontId="14" fillId="0" borderId="0" xfId="0" applyFont="1" applyAlignment="1">
      <alignment vertical="center" shrinkToFit="1"/>
    </xf>
    <xf numFmtId="0" fontId="14" fillId="0" borderId="22" xfId="0" applyFont="1" applyBorder="1" applyAlignment="1">
      <alignment horizontal="center" vertical="center"/>
    </xf>
    <xf numFmtId="0" fontId="14" fillId="9" borderId="22" xfId="0" applyFont="1" applyFill="1" applyBorder="1" applyAlignment="1">
      <alignment horizontal="center" vertical="center" shrinkToFit="1"/>
    </xf>
    <xf numFmtId="0" fontId="14" fillId="0" borderId="22" xfId="0" applyFont="1" applyBorder="1" applyAlignment="1">
      <alignment horizontal="center" vertical="center" shrinkToFit="1"/>
    </xf>
    <xf numFmtId="0" fontId="14" fillId="0" borderId="22" xfId="0" applyFont="1" applyBorder="1" applyAlignment="1">
      <alignment horizontal="left" vertical="center" shrinkToFit="1"/>
    </xf>
    <xf numFmtId="1" fontId="14" fillId="0" borderId="22" xfId="0" applyNumberFormat="1" applyFont="1" applyBorder="1" applyAlignment="1">
      <alignment horizontal="center" vertical="center"/>
    </xf>
    <xf numFmtId="183" fontId="14" fillId="0" borderId="22" xfId="0" applyNumberFormat="1" applyFont="1" applyBorder="1" applyAlignment="1">
      <alignment horizontal="center" vertical="center"/>
    </xf>
    <xf numFmtId="1" fontId="14" fillId="9" borderId="22" xfId="0" applyNumberFormat="1" applyFont="1" applyFill="1" applyBorder="1" applyAlignment="1">
      <alignment horizontal="center" vertical="center" shrinkToFit="1"/>
    </xf>
    <xf numFmtId="183" fontId="14" fillId="9" borderId="22" xfId="0" applyNumberFormat="1" applyFont="1" applyFill="1" applyBorder="1" applyAlignment="1">
      <alignment horizontal="center" vertical="center" shrinkToFit="1"/>
    </xf>
    <xf numFmtId="1" fontId="14" fillId="0" borderId="22" xfId="0" applyNumberFormat="1" applyFont="1" applyBorder="1" applyAlignment="1">
      <alignment horizontal="center" vertical="center" shrinkToFit="1"/>
    </xf>
    <xf numFmtId="0" fontId="14" fillId="0" borderId="0" xfId="0" applyFont="1" applyAlignment="1">
      <alignment shrinkToFit="1"/>
    </xf>
    <xf numFmtId="0" fontId="14" fillId="4" borderId="0" xfId="0" applyFont="1" applyFill="1" applyAlignment="1">
      <alignment shrinkToFit="1"/>
    </xf>
    <xf numFmtId="0" fontId="56" fillId="5" borderId="22" xfId="0" applyFont="1" applyFill="1" applyBorder="1" applyAlignment="1">
      <alignment horizontal="center" vertical="center" shrinkToFit="1"/>
    </xf>
    <xf numFmtId="0" fontId="15" fillId="4" borderId="0" xfId="0" applyFont="1" applyFill="1" applyAlignment="1">
      <alignment horizontal="center" vertical="center" shrinkToFit="1"/>
    </xf>
    <xf numFmtId="0" fontId="14" fillId="4" borderId="0" xfId="0" applyFont="1" applyFill="1" applyAlignment="1">
      <alignment horizontal="center" vertical="center" shrinkToFit="1"/>
    </xf>
    <xf numFmtId="0" fontId="56" fillId="5" borderId="22" xfId="0" applyFont="1" applyFill="1" applyBorder="1" applyAlignment="1">
      <alignment horizontal="center" shrinkToFit="1"/>
    </xf>
    <xf numFmtId="0" fontId="56" fillId="0" borderId="22" xfId="0" applyFont="1" applyBorder="1" applyAlignment="1">
      <alignment horizontal="center" shrinkToFit="1"/>
    </xf>
    <xf numFmtId="0" fontId="15" fillId="4" borderId="22" xfId="0" applyFont="1" applyFill="1" applyBorder="1" applyAlignment="1">
      <alignment horizontal="center" shrinkToFit="1"/>
    </xf>
    <xf numFmtId="0" fontId="56" fillId="4" borderId="22" xfId="0" applyFont="1" applyFill="1" applyBorder="1" applyAlignment="1">
      <alignment horizontal="center" shrinkToFit="1"/>
    </xf>
    <xf numFmtId="0" fontId="15" fillId="4" borderId="0" xfId="0" applyFont="1" applyFill="1" applyAlignment="1">
      <alignment horizontal="center" shrinkToFit="1"/>
    </xf>
    <xf numFmtId="0" fontId="14" fillId="0" borderId="0" xfId="0" applyFont="1" applyAlignment="1">
      <alignment horizontal="center" shrinkToFit="1"/>
    </xf>
    <xf numFmtId="0" fontId="56" fillId="0" borderId="22" xfId="0" applyFont="1" applyBorder="1" applyAlignment="1">
      <alignment shrinkToFit="1"/>
    </xf>
    <xf numFmtId="0" fontId="71" fillId="0" borderId="22" xfId="0" applyFont="1" applyBorder="1" applyAlignment="1">
      <alignment shrinkToFit="1"/>
    </xf>
    <xf numFmtId="1" fontId="56" fillId="0" borderId="22" xfId="0" applyNumberFormat="1" applyFont="1" applyBorder="1" applyAlignment="1">
      <alignment shrinkToFit="1"/>
    </xf>
    <xf numFmtId="183" fontId="56" fillId="0" borderId="22" xfId="0" applyNumberFormat="1" applyFont="1" applyBorder="1" applyAlignment="1">
      <alignment shrinkToFit="1"/>
    </xf>
    <xf numFmtId="0" fontId="56" fillId="0" borderId="22" xfId="0" applyFont="1" applyBorder="1" applyAlignment="1">
      <alignment horizontal="right" shrinkToFit="1"/>
    </xf>
    <xf numFmtId="1" fontId="71" fillId="0" borderId="22" xfId="0" applyNumberFormat="1" applyFont="1" applyBorder="1" applyAlignment="1">
      <alignment shrinkToFit="1"/>
    </xf>
    <xf numFmtId="183" fontId="71" fillId="0" borderId="22" xfId="0" applyNumberFormat="1" applyFont="1" applyBorder="1" applyAlignment="1">
      <alignment shrinkToFit="1"/>
    </xf>
    <xf numFmtId="0" fontId="56" fillId="2" borderId="22" xfId="0" applyFont="1" applyFill="1" applyBorder="1" applyAlignment="1">
      <alignment horizontal="center" shrinkToFit="1"/>
    </xf>
    <xf numFmtId="0" fontId="14" fillId="4" borderId="0" xfId="0" applyFont="1" applyFill="1" applyAlignment="1">
      <alignment horizontal="center" shrinkToFit="1"/>
    </xf>
    <xf numFmtId="0" fontId="15" fillId="5" borderId="22" xfId="0" applyFont="1" applyFill="1" applyBorder="1" applyAlignment="1">
      <alignment horizontal="center" shrinkToFit="1"/>
    </xf>
    <xf numFmtId="183" fontId="28" fillId="0" borderId="22" xfId="0" applyNumberFormat="1" applyFont="1" applyBorder="1" applyAlignment="1">
      <alignment shrinkToFit="1"/>
    </xf>
    <xf numFmtId="0" fontId="0" fillId="0" borderId="0" xfId="0" applyAlignment="1">
      <alignment horizontal="left" vertical="center" indent="2"/>
    </xf>
    <xf numFmtId="0" fontId="67" fillId="0" borderId="67" xfId="0" applyFont="1" applyBorder="1" applyAlignment="1">
      <alignment horizontal="left" vertical="center"/>
    </xf>
    <xf numFmtId="10" fontId="28" fillId="3" borderId="50" xfId="0" applyNumberFormat="1" applyFont="1" applyFill="1" applyBorder="1" applyAlignment="1">
      <alignment horizontal="center" vertical="center" shrinkToFit="1"/>
    </xf>
    <xf numFmtId="190" fontId="26" fillId="0" borderId="0" xfId="0" applyNumberFormat="1" applyFont="1"/>
    <xf numFmtId="177" fontId="27" fillId="0" borderId="23" xfId="0" applyNumberFormat="1" applyFont="1" applyBorder="1" applyAlignment="1">
      <alignment horizontal="center" vertical="center"/>
    </xf>
    <xf numFmtId="184" fontId="28" fillId="0" borderId="22" xfId="0" applyNumberFormat="1" applyFont="1" applyBorder="1" applyAlignment="1">
      <alignment shrinkToFit="1"/>
    </xf>
    <xf numFmtId="0" fontId="73" fillId="0" borderId="22" xfId="0" applyFont="1" applyBorder="1" applyAlignment="1">
      <alignment shrinkToFit="1"/>
    </xf>
    <xf numFmtId="191" fontId="28" fillId="0" borderId="22" xfId="0" applyNumberFormat="1" applyFont="1" applyBorder="1" applyAlignment="1">
      <alignment horizontal="right" shrinkToFit="1"/>
    </xf>
    <xf numFmtId="185" fontId="28" fillId="0" borderId="22" xfId="0" applyNumberFormat="1" applyFont="1" applyBorder="1" applyAlignment="1">
      <alignment shrinkToFit="1"/>
    </xf>
    <xf numFmtId="186" fontId="28" fillId="0" borderId="22" xfId="0" applyNumberFormat="1" applyFont="1" applyBorder="1" applyAlignment="1">
      <alignment shrinkToFit="1"/>
    </xf>
    <xf numFmtId="192" fontId="28" fillId="0" borderId="22" xfId="0" applyNumberFormat="1" applyFont="1" applyBorder="1" applyAlignment="1">
      <alignment shrinkToFit="1"/>
    </xf>
    <xf numFmtId="191" fontId="28" fillId="0" borderId="22" xfId="0" applyNumberFormat="1" applyFont="1" applyBorder="1" applyAlignment="1">
      <alignment shrinkToFit="1"/>
    </xf>
    <xf numFmtId="191" fontId="27" fillId="0" borderId="22" xfId="0" applyNumberFormat="1" applyFont="1" applyBorder="1" applyAlignment="1">
      <alignment shrinkToFit="1"/>
    </xf>
    <xf numFmtId="0" fontId="66" fillId="0" borderId="0" xfId="11" applyFont="1" applyAlignment="1">
      <alignment shrinkToFit="1"/>
    </xf>
    <xf numFmtId="0" fontId="14" fillId="0" borderId="0" xfId="11" applyFont="1" applyAlignment="1">
      <alignment shrinkToFit="1"/>
    </xf>
    <xf numFmtId="0" fontId="28" fillId="0" borderId="0" xfId="11" applyFont="1" applyAlignment="1">
      <alignment shrinkToFit="1"/>
    </xf>
    <xf numFmtId="184" fontId="42" fillId="0" borderId="0" xfId="11" applyNumberFormat="1" applyFont="1" applyAlignment="1">
      <alignment shrinkToFit="1"/>
    </xf>
    <xf numFmtId="0" fontId="57" fillId="0" borderId="6" xfId="11" applyFont="1" applyBorder="1" applyAlignment="1">
      <alignment horizontal="center" shrinkToFit="1"/>
    </xf>
    <xf numFmtId="0" fontId="57" fillId="0" borderId="1" xfId="11" applyFont="1" applyBorder="1" applyAlignment="1">
      <alignment horizontal="center" shrinkToFit="1"/>
    </xf>
    <xf numFmtId="186" fontId="36" fillId="0" borderId="6" xfId="11" applyNumberFormat="1" applyFont="1" applyBorder="1" applyAlignment="1">
      <alignment shrinkToFit="1"/>
    </xf>
    <xf numFmtId="10" fontId="14" fillId="0" borderId="22" xfId="0" applyNumberFormat="1" applyFont="1" applyBorder="1"/>
    <xf numFmtId="0" fontId="24" fillId="0" borderId="0" xfId="11"/>
    <xf numFmtId="0" fontId="26" fillId="0" borderId="0" xfId="11" applyFont="1" applyAlignment="1">
      <alignment wrapText="1" shrinkToFit="1"/>
    </xf>
    <xf numFmtId="0" fontId="26" fillId="0" borderId="0" xfId="11" applyFont="1" applyAlignment="1">
      <alignment vertical="center" shrinkToFit="1"/>
    </xf>
    <xf numFmtId="0" fontId="28" fillId="2" borderId="22" xfId="11" applyFont="1" applyFill="1" applyBorder="1" applyAlignment="1">
      <alignment horizontal="center" vertical="center" shrinkToFit="1"/>
    </xf>
    <xf numFmtId="0" fontId="26" fillId="0" borderId="0" xfId="11" applyFont="1" applyAlignment="1">
      <alignment horizontal="center" vertical="center" shrinkToFit="1"/>
    </xf>
    <xf numFmtId="0" fontId="28" fillId="0" borderId="22" xfId="11" applyFont="1" applyBorder="1" applyAlignment="1">
      <alignment vertical="center" shrinkToFit="1"/>
    </xf>
    <xf numFmtId="0" fontId="28" fillId="0" borderId="4" xfId="11" applyFont="1" applyBorder="1" applyAlignment="1">
      <alignment vertical="center"/>
    </xf>
    <xf numFmtId="0" fontId="28" fillId="0" borderId="2" xfId="11" applyFont="1" applyBorder="1" applyAlignment="1">
      <alignment vertical="center"/>
    </xf>
    <xf numFmtId="0" fontId="28" fillId="0" borderId="3" xfId="11" applyFont="1" applyBorder="1" applyAlignment="1">
      <alignment vertical="center"/>
    </xf>
    <xf numFmtId="0" fontId="28" fillId="0" borderId="25" xfId="11" applyFont="1" applyBorder="1" applyAlignment="1">
      <alignment horizontal="left" vertical="center"/>
    </xf>
    <xf numFmtId="0" fontId="28" fillId="0" borderId="28" xfId="11" applyFont="1" applyBorder="1" applyAlignment="1">
      <alignment horizontal="left" vertical="center"/>
    </xf>
    <xf numFmtId="10" fontId="28" fillId="0" borderId="22" xfId="11" applyNumberFormat="1" applyFont="1" applyBorder="1" applyAlignment="1">
      <alignment vertical="center" shrinkToFit="1"/>
    </xf>
    <xf numFmtId="0" fontId="63" fillId="0" borderId="22" xfId="11" applyFont="1" applyBorder="1" applyAlignment="1">
      <alignment horizontal="left" vertical="center" shrinkToFit="1"/>
    </xf>
    <xf numFmtId="0" fontId="28" fillId="0" borderId="54" xfId="11" applyFont="1" applyBorder="1" applyAlignment="1">
      <alignment vertical="center"/>
    </xf>
    <xf numFmtId="0" fontId="28" fillId="0" borderId="47" xfId="11" applyFont="1" applyBorder="1" applyAlignment="1">
      <alignment vertical="center"/>
    </xf>
    <xf numFmtId="0" fontId="28" fillId="0" borderId="48" xfId="11" applyFont="1" applyBorder="1" applyAlignment="1">
      <alignment vertical="center"/>
    </xf>
    <xf numFmtId="0" fontId="28" fillId="0" borderId="64" xfId="11" applyFont="1" applyBorder="1" applyAlignment="1">
      <alignment vertical="center" shrinkToFit="1"/>
    </xf>
    <xf numFmtId="10" fontId="28" fillId="0" borderId="64" xfId="11" applyNumberFormat="1" applyFont="1" applyBorder="1" applyAlignment="1">
      <alignment vertical="center" shrinkToFit="1"/>
    </xf>
    <xf numFmtId="0" fontId="28" fillId="2" borderId="49" xfId="11" applyFont="1" applyFill="1" applyBorder="1" applyAlignment="1">
      <alignment horizontal="center" vertical="center" shrinkToFit="1"/>
    </xf>
    <xf numFmtId="0" fontId="28" fillId="3" borderId="51" xfId="11" applyFont="1" applyFill="1" applyBorder="1" applyAlignment="1">
      <alignment vertical="center" shrinkToFit="1"/>
    </xf>
    <xf numFmtId="0" fontId="75" fillId="0" borderId="0" xfId="11" applyFont="1" applyAlignment="1">
      <alignment horizontal="left" vertical="center" shrinkToFit="1"/>
    </xf>
    <xf numFmtId="0" fontId="28" fillId="2" borderId="56" xfId="11" applyFont="1" applyFill="1" applyBorder="1" applyAlignment="1">
      <alignment horizontal="center" vertical="center" shrinkToFit="1"/>
    </xf>
    <xf numFmtId="0" fontId="28" fillId="2" borderId="59" xfId="11" applyFont="1" applyFill="1" applyBorder="1" applyAlignment="1">
      <alignment horizontal="center" vertical="center" shrinkToFit="1"/>
    </xf>
    <xf numFmtId="0" fontId="28" fillId="2" borderId="60" xfId="11" applyFont="1" applyFill="1" applyBorder="1" applyAlignment="1">
      <alignment horizontal="center" vertical="center" shrinkToFit="1"/>
    </xf>
    <xf numFmtId="0" fontId="63" fillId="2" borderId="60" xfId="11" applyFont="1" applyFill="1" applyBorder="1" applyAlignment="1">
      <alignment horizontal="left" vertical="center" shrinkToFit="1"/>
    </xf>
    <xf numFmtId="0" fontId="28" fillId="0" borderId="42" xfId="11" applyFont="1" applyBorder="1" applyAlignment="1">
      <alignment vertical="center" shrinkToFit="1"/>
    </xf>
    <xf numFmtId="0" fontId="28" fillId="0" borderId="1" xfId="11" applyFont="1" applyBorder="1" applyAlignment="1">
      <alignment vertical="center" shrinkToFit="1"/>
    </xf>
    <xf numFmtId="10" fontId="28" fillId="0" borderId="1" xfId="11" applyNumberFormat="1" applyFont="1" applyBorder="1" applyAlignment="1">
      <alignment vertical="center" shrinkToFit="1"/>
    </xf>
    <xf numFmtId="0" fontId="28" fillId="3" borderId="1" xfId="11" applyFont="1" applyFill="1" applyBorder="1" applyAlignment="1">
      <alignment vertical="center" shrinkToFit="1"/>
    </xf>
    <xf numFmtId="0" fontId="63" fillId="0" borderId="1" xfId="11" applyFont="1" applyBorder="1" applyAlignment="1">
      <alignment horizontal="left" vertical="center" shrinkToFit="1"/>
    </xf>
    <xf numFmtId="0" fontId="67" fillId="0" borderId="0" xfId="0" applyFont="1" applyAlignment="1">
      <alignment horizontal="left" vertical="center" indent="1"/>
    </xf>
    <xf numFmtId="0" fontId="28" fillId="0" borderId="41" xfId="11" applyFont="1" applyBorder="1" applyAlignment="1">
      <alignment vertical="center" shrinkToFit="1"/>
    </xf>
    <xf numFmtId="0" fontId="28" fillId="0" borderId="65" xfId="11" applyFont="1" applyBorder="1" applyAlignment="1">
      <alignment vertical="center" shrinkToFit="1"/>
    </xf>
    <xf numFmtId="10" fontId="28" fillId="0" borderId="65" xfId="11" applyNumberFormat="1" applyFont="1" applyBorder="1" applyAlignment="1">
      <alignment vertical="center" shrinkToFit="1"/>
    </xf>
    <xf numFmtId="0" fontId="28" fillId="3" borderId="65" xfId="11" applyFont="1" applyFill="1" applyBorder="1" applyAlignment="1">
      <alignment vertical="center" shrinkToFit="1"/>
    </xf>
    <xf numFmtId="0" fontId="63" fillId="0" borderId="55" xfId="11" applyFont="1" applyBorder="1" applyAlignment="1">
      <alignment horizontal="left" vertical="center" shrinkToFit="1"/>
    </xf>
    <xf numFmtId="0" fontId="75" fillId="0" borderId="0" xfId="11" applyFont="1" applyAlignment="1">
      <alignment vertical="center" shrinkToFit="1"/>
    </xf>
    <xf numFmtId="0" fontId="28" fillId="0" borderId="62" xfId="11" applyFont="1" applyBorder="1" applyAlignment="1">
      <alignment vertical="center"/>
    </xf>
    <xf numFmtId="0" fontId="28" fillId="0" borderId="3" xfId="11" applyFont="1" applyBorder="1" applyAlignment="1">
      <alignment vertical="center" shrinkToFit="1"/>
    </xf>
    <xf numFmtId="0" fontId="63" fillId="0" borderId="1" xfId="11" applyFont="1" applyBorder="1" applyAlignment="1">
      <alignment vertical="center" shrinkToFit="1"/>
    </xf>
    <xf numFmtId="0" fontId="28" fillId="0" borderId="63" xfId="11" applyFont="1" applyBorder="1" applyAlignment="1">
      <alignment vertical="center"/>
    </xf>
    <xf numFmtId="0" fontId="28" fillId="0" borderId="8" xfId="11" applyFont="1" applyBorder="1" applyAlignment="1">
      <alignment vertical="center" shrinkToFit="1"/>
    </xf>
    <xf numFmtId="0" fontId="28" fillId="0" borderId="5" xfId="11" applyFont="1" applyBorder="1" applyAlignment="1">
      <alignment vertical="center" shrinkToFit="1"/>
    </xf>
    <xf numFmtId="0" fontId="28" fillId="2" borderId="44" xfId="11" applyFont="1" applyFill="1" applyBorder="1" applyAlignment="1">
      <alignment horizontal="center" shrinkToFit="1"/>
    </xf>
    <xf numFmtId="0" fontId="11" fillId="2" borderId="8" xfId="11" applyFont="1" applyFill="1" applyBorder="1" applyAlignment="1">
      <alignment horizontal="center" vertical="center" shrinkToFit="1"/>
    </xf>
    <xf numFmtId="0" fontId="11" fillId="2" borderId="1" xfId="11" applyFont="1" applyFill="1" applyBorder="1" applyAlignment="1">
      <alignment horizontal="center" vertical="center" shrinkToFit="1"/>
    </xf>
    <xf numFmtId="0" fontId="7" fillId="2" borderId="1" xfId="11" applyFont="1" applyFill="1" applyBorder="1" applyAlignment="1">
      <alignment horizontal="center" vertical="center" shrinkToFit="1"/>
    </xf>
    <xf numFmtId="0" fontId="24" fillId="0" borderId="0" xfId="11" applyAlignment="1">
      <alignment horizontal="center" vertical="center" shrinkToFit="1"/>
    </xf>
    <xf numFmtId="0" fontId="7" fillId="0" borderId="22" xfId="11" applyFont="1" applyBorder="1" applyAlignment="1">
      <alignment vertical="center" shrinkToFit="1"/>
    </xf>
    <xf numFmtId="0" fontId="28" fillId="0" borderId="4" xfId="11" applyFont="1" applyBorder="1"/>
    <xf numFmtId="0" fontId="28" fillId="0" borderId="2" xfId="11" applyFont="1" applyBorder="1"/>
    <xf numFmtId="0" fontId="28" fillId="0" borderId="3" xfId="11" applyFont="1" applyBorder="1"/>
    <xf numFmtId="0" fontId="28" fillId="0" borderId="27" xfId="11" applyFont="1" applyBorder="1" applyAlignment="1">
      <alignment horizontal="left"/>
    </xf>
    <xf numFmtId="0" fontId="28" fillId="0" borderId="28" xfId="11" applyFont="1" applyBorder="1" applyAlignment="1">
      <alignment horizontal="left"/>
    </xf>
    <xf numFmtId="0" fontId="28" fillId="0" borderId="25" xfId="11" applyFont="1" applyBorder="1" applyAlignment="1">
      <alignment horizontal="left"/>
    </xf>
    <xf numFmtId="0" fontId="7" fillId="0" borderId="3" xfId="11" applyFont="1" applyBorder="1" applyAlignment="1">
      <alignment shrinkToFit="1"/>
    </xf>
    <xf numFmtId="10" fontId="7" fillId="0" borderId="1" xfId="11" applyNumberFormat="1" applyFont="1" applyBorder="1" applyAlignment="1">
      <alignment shrinkToFit="1"/>
    </xf>
    <xf numFmtId="0" fontId="7" fillId="0" borderId="1" xfId="11" applyFont="1" applyBorder="1" applyAlignment="1">
      <alignment shrinkToFit="1"/>
    </xf>
    <xf numFmtId="0" fontId="24" fillId="0" borderId="0" xfId="11" applyAlignment="1">
      <alignment shrinkToFit="1"/>
    </xf>
    <xf numFmtId="0" fontId="28" fillId="0" borderId="54" xfId="11" applyFont="1" applyBorder="1"/>
    <xf numFmtId="0" fontId="28" fillId="0" borderId="47" xfId="11" applyFont="1" applyBorder="1"/>
    <xf numFmtId="0" fontId="28" fillId="0" borderId="48" xfId="11" applyFont="1" applyBorder="1"/>
    <xf numFmtId="0" fontId="7" fillId="0" borderId="8" xfId="11" applyFont="1" applyBorder="1" applyAlignment="1">
      <alignment shrinkToFit="1"/>
    </xf>
    <xf numFmtId="0" fontId="7" fillId="0" borderId="5" xfId="11" applyFont="1" applyBorder="1" applyAlignment="1">
      <alignment shrinkToFit="1"/>
    </xf>
    <xf numFmtId="0" fontId="11" fillId="2" borderId="66" xfId="11" applyFont="1" applyFill="1" applyBorder="1" applyAlignment="1">
      <alignment horizontal="center" shrinkToFit="1"/>
    </xf>
    <xf numFmtId="0" fontId="11" fillId="2" borderId="16" xfId="11" applyFont="1" applyFill="1" applyBorder="1" applyAlignment="1">
      <alignment horizontal="center" shrinkToFit="1"/>
    </xf>
    <xf numFmtId="0" fontId="24" fillId="0" borderId="0" xfId="11" applyAlignment="1">
      <alignment wrapText="1" shrinkToFit="1"/>
    </xf>
    <xf numFmtId="0" fontId="24" fillId="0" borderId="0" xfId="11" applyAlignment="1">
      <alignment vertical="center" shrinkToFit="1"/>
    </xf>
    <xf numFmtId="0" fontId="7" fillId="0" borderId="4" xfId="11" applyFont="1" applyBorder="1" applyAlignment="1">
      <alignment shrinkToFit="1"/>
    </xf>
    <xf numFmtId="0" fontId="9" fillId="0" borderId="3" xfId="11" applyFont="1" applyBorder="1" applyAlignment="1">
      <alignment shrinkToFit="1"/>
    </xf>
    <xf numFmtId="0" fontId="7" fillId="0" borderId="9" xfId="11" applyFont="1" applyBorder="1" applyAlignment="1">
      <alignment shrinkToFit="1"/>
    </xf>
    <xf numFmtId="0" fontId="9" fillId="0" borderId="8" xfId="11" applyFont="1" applyBorder="1" applyAlignment="1">
      <alignment shrinkToFit="1"/>
    </xf>
    <xf numFmtId="0" fontId="11" fillId="2" borderId="22" xfId="11" applyFont="1" applyFill="1" applyBorder="1" applyAlignment="1">
      <alignment horizontal="center" vertical="center" shrinkToFit="1"/>
    </xf>
    <xf numFmtId="0" fontId="11" fillId="2" borderId="3" xfId="11" applyFont="1" applyFill="1" applyBorder="1" applyAlignment="1">
      <alignment horizontal="center" vertical="center" shrinkToFit="1"/>
    </xf>
    <xf numFmtId="0" fontId="28" fillId="0" borderId="28" xfId="11" applyFont="1" applyBorder="1" applyAlignment="1">
      <alignment vertical="center"/>
    </xf>
    <xf numFmtId="0" fontId="28" fillId="0" borderId="25" xfId="11" applyFont="1" applyBorder="1" applyAlignment="1">
      <alignment vertical="center"/>
    </xf>
    <xf numFmtId="185" fontId="82" fillId="0" borderId="22" xfId="0" applyNumberFormat="1" applyFont="1" applyBorder="1" applyAlignment="1">
      <alignment shrinkToFit="1"/>
    </xf>
    <xf numFmtId="177" fontId="14" fillId="9" borderId="22" xfId="0" applyNumberFormat="1" applyFont="1" applyFill="1" applyBorder="1"/>
    <xf numFmtId="0" fontId="57" fillId="0" borderId="0" xfId="0" applyFont="1" applyAlignment="1">
      <alignment shrinkToFit="1"/>
    </xf>
    <xf numFmtId="0" fontId="65" fillId="0" borderId="0" xfId="0" applyFont="1" applyAlignment="1">
      <alignment horizontal="center" vertical="center" shrinkToFit="1"/>
    </xf>
    <xf numFmtId="185" fontId="26" fillId="0" borderId="0" xfId="14" applyNumberFormat="1" applyFont="1" applyAlignment="1">
      <alignment horizontal="center" vertical="center" shrinkToFit="1"/>
    </xf>
    <xf numFmtId="0" fontId="7" fillId="0" borderId="3" xfId="11" applyFont="1" applyBorder="1" applyAlignment="1">
      <alignment vertical="center" shrinkToFit="1"/>
    </xf>
    <xf numFmtId="10" fontId="7" fillId="0" borderId="1" xfId="11" applyNumberFormat="1" applyFont="1" applyBorder="1" applyAlignment="1">
      <alignment vertical="center" shrinkToFit="1"/>
    </xf>
    <xf numFmtId="0" fontId="7" fillId="0" borderId="1" xfId="11" applyFont="1" applyBorder="1" applyAlignment="1">
      <alignment vertical="center" shrinkToFit="1"/>
    </xf>
    <xf numFmtId="0" fontId="0" fillId="0" borderId="0" xfId="0" applyAlignment="1">
      <alignment horizontal="left" vertical="center"/>
    </xf>
    <xf numFmtId="0" fontId="7" fillId="0" borderId="8" xfId="11" applyFont="1" applyBorder="1" applyAlignment="1">
      <alignment vertical="center" shrinkToFit="1"/>
    </xf>
    <xf numFmtId="0" fontId="7" fillId="0" borderId="5" xfId="11" applyFont="1" applyBorder="1" applyAlignment="1">
      <alignment vertical="center" shrinkToFit="1"/>
    </xf>
    <xf numFmtId="0" fontId="67" fillId="0" borderId="0" xfId="0" applyFont="1" applyAlignment="1">
      <alignment horizontal="left" vertical="center"/>
    </xf>
    <xf numFmtId="189" fontId="26" fillId="0" borderId="0" xfId="0" applyNumberFormat="1" applyFont="1" applyAlignment="1">
      <alignment horizontal="center"/>
    </xf>
    <xf numFmtId="189" fontId="14" fillId="0" borderId="22" xfId="0" applyNumberFormat="1" applyFont="1" applyBorder="1" applyAlignment="1">
      <alignment shrinkToFit="1"/>
    </xf>
    <xf numFmtId="190" fontId="14" fillId="0" borderId="22" xfId="0" applyNumberFormat="1" applyFont="1" applyBorder="1"/>
    <xf numFmtId="1" fontId="28" fillId="3" borderId="22" xfId="11" applyNumberFormat="1" applyFont="1" applyFill="1" applyBorder="1" applyAlignment="1">
      <alignment vertical="center" shrinkToFit="1"/>
    </xf>
    <xf numFmtId="1" fontId="28" fillId="3" borderId="64" xfId="11" applyNumberFormat="1" applyFont="1" applyFill="1" applyBorder="1" applyAlignment="1">
      <alignment vertical="center" shrinkToFit="1"/>
    </xf>
    <xf numFmtId="1" fontId="28" fillId="3" borderId="51" xfId="11" applyNumberFormat="1" applyFont="1" applyFill="1" applyBorder="1" applyAlignment="1">
      <alignment vertical="center" shrinkToFit="1"/>
    </xf>
    <xf numFmtId="1" fontId="28" fillId="3" borderId="1" xfId="11" applyNumberFormat="1" applyFont="1" applyFill="1" applyBorder="1" applyAlignment="1">
      <alignment vertical="center" shrinkToFit="1"/>
    </xf>
    <xf numFmtId="1" fontId="28" fillId="3" borderId="45" xfId="11" applyNumberFormat="1" applyFont="1" applyFill="1" applyBorder="1" applyAlignment="1">
      <alignment shrinkToFit="1"/>
    </xf>
    <xf numFmtId="0" fontId="26" fillId="0" borderId="27" xfId="11" applyFont="1" applyBorder="1" applyAlignment="1">
      <alignment horizontal="center" vertical="center" shrinkToFit="1"/>
    </xf>
    <xf numFmtId="0" fontId="56" fillId="0" borderId="27" xfId="11" applyFont="1" applyBorder="1" applyAlignment="1">
      <alignment horizontal="center" vertical="center" shrinkToFit="1"/>
    </xf>
    <xf numFmtId="1" fontId="24" fillId="0" borderId="0" xfId="11" applyNumberFormat="1" applyAlignment="1">
      <alignment shrinkToFit="1"/>
    </xf>
    <xf numFmtId="1" fontId="7" fillId="2" borderId="1" xfId="11" applyNumberFormat="1" applyFont="1" applyFill="1" applyBorder="1" applyAlignment="1">
      <alignment horizontal="center" vertical="center" shrinkToFit="1"/>
    </xf>
    <xf numFmtId="1" fontId="28" fillId="3" borderId="22" xfId="11" applyNumberFormat="1" applyFont="1" applyFill="1" applyBorder="1" applyAlignment="1">
      <alignment shrinkToFit="1"/>
    </xf>
    <xf numFmtId="1" fontId="7" fillId="3" borderId="1" xfId="11" applyNumberFormat="1" applyFont="1" applyFill="1" applyBorder="1" applyAlignment="1">
      <alignment shrinkToFit="1"/>
    </xf>
    <xf numFmtId="1" fontId="7" fillId="3" borderId="5" xfId="11" applyNumberFormat="1" applyFont="1" applyFill="1" applyBorder="1" applyAlignment="1">
      <alignment shrinkToFit="1"/>
    </xf>
    <xf numFmtId="1" fontId="7" fillId="3" borderId="18" xfId="11" applyNumberFormat="1" applyFont="1" applyFill="1" applyBorder="1" applyAlignment="1">
      <alignment shrinkToFit="1"/>
    </xf>
    <xf numFmtId="0" fontId="65" fillId="0" borderId="0" xfId="11" applyFont="1" applyAlignment="1">
      <alignment vertical="center" shrinkToFit="1"/>
    </xf>
    <xf numFmtId="0" fontId="65" fillId="0" borderId="0" xfId="11" applyFont="1" applyAlignment="1">
      <alignment shrinkToFit="1"/>
    </xf>
    <xf numFmtId="0" fontId="0" fillId="0" borderId="0" xfId="0" applyAlignment="1">
      <alignment vertical="center"/>
    </xf>
    <xf numFmtId="10" fontId="28" fillId="3" borderId="50" xfId="11" applyNumberFormat="1" applyFont="1" applyFill="1" applyBorder="1" applyAlignment="1">
      <alignment horizontal="center" vertical="center" shrinkToFit="1"/>
    </xf>
    <xf numFmtId="0" fontId="24" fillId="0" borderId="0" xfId="11" applyAlignment="1">
      <alignment horizontal="left" vertical="center" indent="2"/>
    </xf>
    <xf numFmtId="0" fontId="67" fillId="0" borderId="0" xfId="11" applyFont="1" applyAlignment="1">
      <alignment horizontal="left" vertical="center" indent="1"/>
    </xf>
    <xf numFmtId="0" fontId="24" fillId="0" borderId="0" xfId="11" applyAlignment="1">
      <alignment horizontal="left" vertical="center"/>
    </xf>
    <xf numFmtId="0" fontId="67" fillId="0" borderId="0" xfId="11" applyFont="1" applyAlignment="1">
      <alignment horizontal="left" vertical="center"/>
    </xf>
    <xf numFmtId="0" fontId="67" fillId="0" borderId="67" xfId="11" applyFont="1" applyBorder="1" applyAlignment="1">
      <alignment horizontal="left" vertical="center"/>
    </xf>
    <xf numFmtId="0" fontId="28" fillId="2" borderId="72" xfId="11" applyFont="1" applyFill="1" applyBorder="1" applyAlignment="1">
      <alignment horizontal="center" vertical="center" shrinkToFit="1"/>
    </xf>
    <xf numFmtId="10" fontId="28" fillId="3" borderId="73" xfId="11" applyNumberFormat="1" applyFont="1" applyFill="1" applyBorder="1" applyAlignment="1">
      <alignment horizontal="center" vertical="center" shrinkToFit="1"/>
    </xf>
    <xf numFmtId="0" fontId="28" fillId="2" borderId="74" xfId="11" applyFont="1" applyFill="1" applyBorder="1" applyAlignment="1">
      <alignment horizontal="center" shrinkToFit="1"/>
    </xf>
    <xf numFmtId="0" fontId="11" fillId="2" borderId="75" xfId="11" applyFont="1" applyFill="1" applyBorder="1" applyAlignment="1">
      <alignment horizontal="center" shrinkToFit="1"/>
    </xf>
    <xf numFmtId="0" fontId="11" fillId="2" borderId="74" xfId="11" applyFont="1" applyFill="1" applyBorder="1" applyAlignment="1">
      <alignment horizontal="center" shrinkToFit="1"/>
    </xf>
    <xf numFmtId="1" fontId="7" fillId="3" borderId="76" xfId="11" applyNumberFormat="1" applyFont="1" applyFill="1" applyBorder="1" applyAlignment="1">
      <alignment shrinkToFit="1"/>
    </xf>
    <xf numFmtId="0" fontId="28" fillId="0" borderId="77" xfId="11" applyFont="1" applyBorder="1" applyAlignment="1">
      <alignment vertical="center"/>
    </xf>
    <xf numFmtId="192" fontId="56" fillId="0" borderId="22" xfId="0" applyNumberFormat="1" applyFont="1" applyBorder="1" applyAlignment="1">
      <alignment shrinkToFit="1"/>
    </xf>
    <xf numFmtId="0" fontId="26" fillId="0" borderId="22" xfId="11" applyFont="1" applyBorder="1" applyAlignment="1">
      <alignment horizontal="center" vertical="center" shrinkToFit="1"/>
    </xf>
    <xf numFmtId="0" fontId="56" fillId="0" borderId="22" xfId="11" applyFont="1" applyBorder="1" applyAlignment="1">
      <alignment horizontal="center" vertical="center" shrinkToFit="1"/>
    </xf>
    <xf numFmtId="1" fontId="28" fillId="3" borderId="78" xfId="11" applyNumberFormat="1" applyFont="1" applyFill="1" applyBorder="1" applyAlignment="1">
      <alignment vertical="center" shrinkToFit="1"/>
    </xf>
    <xf numFmtId="0" fontId="28" fillId="0" borderId="71" xfId="11" applyFont="1" applyBorder="1" applyAlignment="1">
      <alignment vertical="center"/>
    </xf>
    <xf numFmtId="9" fontId="28" fillId="0" borderId="22" xfId="11" applyNumberFormat="1" applyFont="1" applyBorder="1" applyAlignment="1">
      <alignment shrinkToFit="1"/>
    </xf>
    <xf numFmtId="0" fontId="28" fillId="0" borderId="22" xfId="11" applyFont="1" applyBorder="1" applyAlignment="1">
      <alignment vertical="center"/>
    </xf>
    <xf numFmtId="0" fontId="28" fillId="0" borderId="57" xfId="11" applyFont="1" applyBorder="1" applyAlignment="1">
      <alignment vertical="center"/>
    </xf>
    <xf numFmtId="0" fontId="28" fillId="0" borderId="58" xfId="11" applyFont="1" applyBorder="1" applyAlignment="1">
      <alignment vertical="center"/>
    </xf>
    <xf numFmtId="0" fontId="28" fillId="0" borderId="61" xfId="11" applyFont="1" applyBorder="1" applyAlignment="1">
      <alignment vertical="center"/>
    </xf>
    <xf numFmtId="0" fontId="31" fillId="0" borderId="22" xfId="11" applyFont="1" applyBorder="1" applyAlignment="1">
      <alignment horizontal="center" vertical="center"/>
    </xf>
    <xf numFmtId="0" fontId="36" fillId="5" borderId="22" xfId="22" applyFont="1" applyFill="1" applyBorder="1" applyAlignment="1">
      <alignment horizontal="center" vertical="center" wrapText="1"/>
    </xf>
    <xf numFmtId="196" fontId="36" fillId="0" borderId="22" xfId="11" applyNumberFormat="1" applyFont="1" applyBorder="1" applyAlignment="1">
      <alignment horizontal="center" vertical="center"/>
    </xf>
    <xf numFmtId="197" fontId="36" fillId="9" borderId="22" xfId="11" applyNumberFormat="1" applyFont="1" applyFill="1" applyBorder="1" applyAlignment="1">
      <alignment horizontal="center" vertical="center"/>
    </xf>
    <xf numFmtId="0" fontId="92" fillId="0" borderId="22" xfId="11" applyFont="1" applyBorder="1" applyAlignment="1">
      <alignment horizontal="center" vertical="center"/>
    </xf>
    <xf numFmtId="0" fontId="36" fillId="0" borderId="22" xfId="11" applyFont="1" applyBorder="1" applyAlignment="1">
      <alignment horizontal="center" vertical="center"/>
    </xf>
    <xf numFmtId="0" fontId="31" fillId="0" borderId="40" xfId="11" applyFont="1" applyBorder="1" applyAlignment="1">
      <alignment horizontal="center" vertical="center"/>
    </xf>
    <xf numFmtId="0" fontId="31" fillId="0" borderId="0" xfId="11" applyFont="1" applyAlignment="1">
      <alignment horizontal="left" vertical="center"/>
    </xf>
    <xf numFmtId="1" fontId="60" fillId="0" borderId="79" xfId="11" applyNumberFormat="1" applyFont="1" applyBorder="1" applyAlignment="1">
      <alignment horizontal="center" vertical="center"/>
    </xf>
    <xf numFmtId="9" fontId="31" fillId="0" borderId="79" xfId="13" applyFont="1" applyBorder="1" applyAlignment="1">
      <alignment horizontal="center"/>
    </xf>
    <xf numFmtId="1" fontId="31" fillId="0" borderId="69" xfId="11" applyNumberFormat="1" applyFont="1" applyBorder="1" applyAlignment="1">
      <alignment horizontal="center" vertical="center"/>
    </xf>
    <xf numFmtId="1" fontId="31" fillId="0" borderId="22" xfId="11" applyNumberFormat="1" applyFont="1" applyBorder="1" applyAlignment="1">
      <alignment horizontal="center" vertical="center"/>
    </xf>
    <xf numFmtId="0" fontId="28" fillId="0" borderId="68" xfId="11" applyFont="1" applyBorder="1" applyAlignment="1">
      <alignment vertical="center"/>
    </xf>
    <xf numFmtId="0" fontId="11" fillId="2" borderId="5" xfId="11" applyFont="1" applyFill="1" applyBorder="1" applyAlignment="1">
      <alignment horizontal="center" vertical="center" shrinkToFit="1"/>
    </xf>
    <xf numFmtId="0" fontId="28" fillId="0" borderId="59" xfId="11" applyFont="1" applyBorder="1" applyAlignment="1">
      <alignment vertical="center"/>
    </xf>
    <xf numFmtId="0" fontId="28" fillId="0" borderId="80" xfId="11" applyFont="1" applyBorder="1" applyAlignment="1">
      <alignment vertical="center"/>
    </xf>
    <xf numFmtId="0" fontId="87" fillId="0" borderId="22" xfId="11" applyFont="1" applyBorder="1" applyAlignment="1">
      <alignment horizontal="center" vertical="center"/>
    </xf>
    <xf numFmtId="0" fontId="14" fillId="0" borderId="0" xfId="11" applyFont="1" applyAlignment="1">
      <alignment horizontal="center" shrinkToFit="1"/>
    </xf>
    <xf numFmtId="10" fontId="7" fillId="0" borderId="65" xfId="11" applyNumberFormat="1" applyFont="1" applyBorder="1" applyAlignment="1">
      <alignment vertical="center" shrinkToFit="1"/>
    </xf>
    <xf numFmtId="183" fontId="14" fillId="0" borderId="0" xfId="0" applyNumberFormat="1" applyFont="1" applyAlignment="1">
      <alignment horizontal="center" vertical="center" shrinkToFit="1"/>
    </xf>
    <xf numFmtId="183" fontId="14" fillId="0" borderId="0" xfId="0" applyNumberFormat="1" applyFont="1" applyAlignment="1">
      <alignment horizontal="center" shrinkToFit="1"/>
    </xf>
    <xf numFmtId="0" fontId="93" fillId="0" borderId="0" xfId="0" applyFont="1" applyAlignment="1">
      <alignment shrinkToFit="1"/>
    </xf>
    <xf numFmtId="0" fontId="7" fillId="0" borderId="81" xfId="11" applyFont="1" applyBorder="1" applyAlignment="1">
      <alignment vertical="center" shrinkToFit="1"/>
    </xf>
    <xf numFmtId="1" fontId="7" fillId="3" borderId="76" xfId="0" applyNumberFormat="1" applyFont="1" applyFill="1" applyBorder="1" applyAlignment="1">
      <alignment shrinkToFit="1"/>
    </xf>
    <xf numFmtId="0" fontId="94" fillId="0" borderId="0" xfId="0" applyFont="1" applyAlignment="1">
      <alignment horizontal="left" vertical="center" indent="1"/>
    </xf>
    <xf numFmtId="0" fontId="65" fillId="0" borderId="0" xfId="0" applyFont="1" applyAlignment="1">
      <alignment horizontal="left" vertical="center" indent="2"/>
    </xf>
    <xf numFmtId="0" fontId="65" fillId="0" borderId="0" xfId="11" applyFont="1"/>
    <xf numFmtId="0" fontId="65" fillId="0" borderId="0" xfId="11" applyFont="1" applyAlignment="1">
      <alignment horizontal="left" vertical="center"/>
    </xf>
    <xf numFmtId="0" fontId="65" fillId="0" borderId="0" xfId="11" applyFont="1" applyAlignment="1">
      <alignment horizontal="left" vertical="center" indent="2"/>
    </xf>
    <xf numFmtId="0" fontId="94" fillId="0" borderId="0" xfId="11" applyFont="1" applyAlignment="1">
      <alignment horizontal="left" vertical="center" indent="1"/>
    </xf>
    <xf numFmtId="0" fontId="94" fillId="0" borderId="0" xfId="11" applyFont="1" applyAlignment="1">
      <alignment horizontal="left" vertical="center"/>
    </xf>
    <xf numFmtId="0" fontId="65" fillId="0" borderId="0" xfId="0" applyFont="1" applyAlignment="1">
      <alignment shrinkToFit="1"/>
    </xf>
    <xf numFmtId="0" fontId="65" fillId="0" borderId="0" xfId="0" applyFont="1"/>
    <xf numFmtId="3" fontId="28" fillId="6" borderId="22" xfId="0" applyNumberFormat="1" applyFont="1" applyFill="1" applyBorder="1" applyAlignment="1">
      <alignment shrinkToFit="1"/>
    </xf>
    <xf numFmtId="0" fontId="95" fillId="0" borderId="83" xfId="11" applyFont="1" applyBorder="1" applyAlignment="1">
      <alignment horizontal="center" vertical="center"/>
    </xf>
    <xf numFmtId="0" fontId="95" fillId="0" borderId="84" xfId="11" applyFont="1" applyBorder="1" applyAlignment="1">
      <alignment horizontal="center" vertical="center"/>
    </xf>
    <xf numFmtId="196" fontId="96" fillId="0" borderId="22" xfId="11" applyNumberFormat="1" applyFont="1" applyBorder="1" applyAlignment="1">
      <alignment horizontal="right" vertical="center"/>
    </xf>
    <xf numFmtId="198" fontId="96" fillId="0" borderId="22" xfId="11" applyNumberFormat="1" applyFont="1" applyBorder="1" applyAlignment="1">
      <alignment horizontal="right" vertical="center"/>
    </xf>
    <xf numFmtId="186" fontId="96" fillId="0" borderId="22" xfId="13" applyNumberFormat="1" applyFont="1" applyBorder="1" applyAlignment="1">
      <alignment vertical="center"/>
    </xf>
    <xf numFmtId="10" fontId="96" fillId="0" borderId="22" xfId="13" applyNumberFormat="1" applyFont="1" applyBorder="1" applyAlignment="1">
      <alignment vertical="center"/>
    </xf>
    <xf numFmtId="183" fontId="96" fillId="0" borderId="22" xfId="11" applyNumberFormat="1" applyFont="1" applyBorder="1" applyAlignment="1">
      <alignment vertical="center"/>
    </xf>
    <xf numFmtId="183" fontId="96" fillId="0" borderId="88" xfId="11" applyNumberFormat="1" applyFont="1" applyBorder="1" applyAlignment="1">
      <alignment vertical="center"/>
    </xf>
    <xf numFmtId="10" fontId="28" fillId="9" borderId="22" xfId="0" applyNumberFormat="1" applyFont="1" applyFill="1" applyBorder="1" applyAlignment="1">
      <alignment shrinkToFit="1"/>
    </xf>
    <xf numFmtId="4" fontId="28" fillId="6" borderId="22" xfId="0" applyNumberFormat="1" applyFont="1" applyFill="1" applyBorder="1" applyAlignment="1">
      <alignment horizontal="right" shrinkToFit="1"/>
    </xf>
    <xf numFmtId="186" fontId="28" fillId="6" borderId="22" xfId="13" applyNumberFormat="1" applyFont="1" applyFill="1" applyBorder="1" applyAlignment="1">
      <alignment horizontal="right" shrinkToFit="1"/>
    </xf>
    <xf numFmtId="10" fontId="28" fillId="6" borderId="22" xfId="13" applyNumberFormat="1" applyFont="1" applyFill="1" applyBorder="1" applyAlignment="1">
      <alignment horizontal="right" shrinkToFit="1"/>
    </xf>
    <xf numFmtId="191" fontId="28" fillId="6" borderId="22" xfId="0" applyNumberFormat="1" applyFont="1" applyFill="1" applyBorder="1" applyAlignment="1">
      <alignment shrinkToFit="1"/>
    </xf>
    <xf numFmtId="0" fontId="96" fillId="0" borderId="22" xfId="11" applyFont="1" applyBorder="1" applyAlignment="1">
      <alignment vertical="center"/>
    </xf>
    <xf numFmtId="196" fontId="96" fillId="9" borderId="86" xfId="11" applyNumberFormat="1" applyFont="1" applyFill="1" applyBorder="1"/>
    <xf numFmtId="0" fontId="96" fillId="9" borderId="22" xfId="11" applyFont="1" applyFill="1" applyBorder="1" applyAlignment="1">
      <alignment vertical="center"/>
    </xf>
    <xf numFmtId="10" fontId="97" fillId="9" borderId="22" xfId="13" applyNumberFormat="1" applyFont="1" applyFill="1" applyBorder="1" applyAlignment="1">
      <alignment horizontal="right" vertical="center"/>
    </xf>
    <xf numFmtId="10" fontId="96" fillId="9" borderId="22" xfId="13" applyNumberFormat="1" applyFont="1" applyFill="1" applyBorder="1" applyAlignment="1">
      <alignment horizontal="right" vertical="center"/>
    </xf>
    <xf numFmtId="10" fontId="96" fillId="9" borderId="86" xfId="13" applyNumberFormat="1" applyFont="1" applyFill="1" applyBorder="1" applyAlignment="1"/>
    <xf numFmtId="0" fontId="96" fillId="0" borderId="85" xfId="11" applyFont="1" applyBorder="1" applyAlignment="1">
      <alignment horizontal="left"/>
    </xf>
    <xf numFmtId="197" fontId="96" fillId="0" borderId="22" xfId="11" applyNumberFormat="1" applyFont="1" applyBorder="1" applyAlignment="1">
      <alignment horizontal="right" vertical="center"/>
    </xf>
    <xf numFmtId="198" fontId="96" fillId="9" borderId="86" xfId="11" applyNumberFormat="1" applyFont="1" applyFill="1" applyBorder="1"/>
    <xf numFmtId="10" fontId="96" fillId="9" borderId="86" xfId="13" applyNumberFormat="1" applyFont="1" applyFill="1" applyBorder="1" applyAlignment="1">
      <alignment horizontal="right" vertical="center"/>
    </xf>
    <xf numFmtId="186" fontId="96" fillId="9" borderId="86" xfId="13" applyNumberFormat="1" applyFont="1" applyFill="1" applyBorder="1" applyAlignment="1">
      <alignment horizontal="right" vertical="center"/>
    </xf>
    <xf numFmtId="10" fontId="96" fillId="0" borderId="22" xfId="13" applyNumberFormat="1" applyFont="1" applyBorder="1" applyAlignment="1"/>
    <xf numFmtId="197" fontId="96" fillId="9" borderId="86" xfId="13" applyNumberFormat="1" applyFont="1" applyFill="1" applyBorder="1" applyAlignment="1">
      <alignment horizontal="right" vertical="center"/>
    </xf>
    <xf numFmtId="0" fontId="96" fillId="0" borderId="23" xfId="11" applyFont="1" applyBorder="1" applyAlignment="1">
      <alignment vertical="center"/>
    </xf>
    <xf numFmtId="183" fontId="96" fillId="0" borderId="23" xfId="11" applyNumberFormat="1" applyFont="1" applyBorder="1" applyAlignment="1">
      <alignment vertical="center"/>
    </xf>
    <xf numFmtId="0" fontId="96" fillId="0" borderId="88" xfId="11" applyFont="1" applyBorder="1" applyAlignment="1">
      <alignment vertical="center"/>
    </xf>
    <xf numFmtId="197" fontId="96" fillId="9" borderId="89" xfId="13" applyNumberFormat="1" applyFont="1" applyFill="1" applyBorder="1" applyAlignment="1">
      <alignment horizontal="right" vertical="center"/>
    </xf>
    <xf numFmtId="3" fontId="28" fillId="9" borderId="22" xfId="0" applyNumberFormat="1" applyFont="1" applyFill="1" applyBorder="1" applyAlignment="1">
      <alignment shrinkToFit="1"/>
    </xf>
    <xf numFmtId="4" fontId="28" fillId="9" borderId="22" xfId="0" applyNumberFormat="1" applyFont="1" applyFill="1" applyBorder="1" applyAlignment="1">
      <alignment horizontal="right" shrinkToFit="1"/>
    </xf>
    <xf numFmtId="186" fontId="28" fillId="9" borderId="22" xfId="0" applyNumberFormat="1" applyFont="1" applyFill="1" applyBorder="1" applyAlignment="1">
      <alignment shrinkToFit="1"/>
    </xf>
    <xf numFmtId="10" fontId="28" fillId="6" borderId="22" xfId="13" applyNumberFormat="1" applyFont="1" applyFill="1" applyBorder="1" applyAlignment="1">
      <alignment shrinkToFit="1"/>
    </xf>
    <xf numFmtId="10" fontId="28" fillId="6" borderId="22" xfId="0" applyNumberFormat="1" applyFont="1" applyFill="1" applyBorder="1" applyAlignment="1">
      <alignment shrinkToFit="1"/>
    </xf>
    <xf numFmtId="183" fontId="28" fillId="9" borderId="22" xfId="0" applyNumberFormat="1" applyFont="1" applyFill="1" applyBorder="1" applyAlignment="1">
      <alignment shrinkToFit="1"/>
    </xf>
    <xf numFmtId="183" fontId="28" fillId="6" borderId="22" xfId="0" applyNumberFormat="1" applyFont="1" applyFill="1" applyBorder="1" applyAlignment="1">
      <alignment shrinkToFit="1"/>
    </xf>
    <xf numFmtId="179" fontId="14" fillId="0" borderId="0" xfId="0" applyNumberFormat="1" applyFont="1" applyAlignment="1">
      <alignment horizontal="center"/>
    </xf>
    <xf numFmtId="10" fontId="28" fillId="3" borderId="93" xfId="11" applyNumberFormat="1" applyFont="1" applyFill="1" applyBorder="1" applyAlignment="1">
      <alignment horizontal="center" vertical="center" shrinkToFit="1"/>
    </xf>
    <xf numFmtId="0" fontId="91" fillId="5" borderId="22" xfId="22" applyFont="1" applyFill="1" applyBorder="1" applyAlignment="1">
      <alignment horizontal="center" vertical="center" wrapText="1"/>
    </xf>
    <xf numFmtId="0" fontId="31" fillId="9" borderId="22" xfId="11" applyFont="1" applyFill="1" applyBorder="1" applyAlignment="1">
      <alignment horizontal="left" vertical="center"/>
    </xf>
    <xf numFmtId="196" fontId="36" fillId="4" borderId="22" xfId="11" applyNumberFormat="1" applyFont="1" applyFill="1" applyBorder="1" applyAlignment="1">
      <alignment horizontal="center" vertical="center"/>
    </xf>
    <xf numFmtId="198" fontId="36" fillId="9" borderId="22" xfId="11" applyNumberFormat="1" applyFont="1" applyFill="1" applyBorder="1" applyAlignment="1">
      <alignment horizontal="center" vertical="center"/>
    </xf>
    <xf numFmtId="198" fontId="36" fillId="9" borderId="22" xfId="13" applyNumberFormat="1" applyFont="1" applyFill="1" applyBorder="1" applyAlignment="1">
      <alignment horizontal="center" vertical="center"/>
    </xf>
    <xf numFmtId="185" fontId="36" fillId="0" borderId="22" xfId="13" applyNumberFormat="1" applyFont="1" applyFill="1" applyBorder="1" applyAlignment="1">
      <alignment horizontal="center" vertical="center"/>
    </xf>
    <xf numFmtId="198" fontId="36" fillId="0" borderId="22" xfId="11" applyNumberFormat="1" applyFont="1" applyBorder="1" applyAlignment="1">
      <alignment horizontal="center" vertical="center"/>
    </xf>
    <xf numFmtId="0" fontId="36" fillId="0" borderId="22" xfId="11" applyFont="1" applyBorder="1" applyAlignment="1">
      <alignment horizontal="left" vertical="center"/>
    </xf>
    <xf numFmtId="9" fontId="31" fillId="0" borderId="79" xfId="13" applyFont="1" applyBorder="1" applyAlignment="1">
      <alignment horizontal="center" vertical="center"/>
    </xf>
    <xf numFmtId="0" fontId="85" fillId="0" borderId="0" xfId="11" applyFont="1" applyAlignment="1">
      <alignment horizontal="center" shrinkToFit="1"/>
    </xf>
    <xf numFmtId="0" fontId="105" fillId="0" borderId="0" xfId="15" applyFont="1">
      <alignment vertical="center"/>
    </xf>
    <xf numFmtId="193" fontId="105" fillId="0" borderId="0" xfId="15" applyNumberFormat="1" applyFont="1">
      <alignment vertical="center"/>
    </xf>
    <xf numFmtId="193" fontId="109" fillId="9" borderId="22" xfId="6" applyNumberFormat="1" applyFont="1" applyFill="1" applyBorder="1" applyAlignment="1">
      <alignment horizontal="center" vertical="center"/>
    </xf>
    <xf numFmtId="196" fontId="36" fillId="0" borderId="22" xfId="13" applyNumberFormat="1" applyFont="1" applyFill="1" applyBorder="1" applyAlignment="1">
      <alignment horizontal="center" vertical="center"/>
    </xf>
    <xf numFmtId="0" fontId="111" fillId="0" borderId="0" xfId="11" applyFont="1" applyAlignment="1">
      <alignment horizontal="center" vertical="center"/>
    </xf>
    <xf numFmtId="10" fontId="28" fillId="9" borderId="22" xfId="13" applyNumberFormat="1" applyFont="1" applyFill="1" applyBorder="1" applyAlignment="1">
      <alignment shrinkToFit="1"/>
    </xf>
    <xf numFmtId="0" fontId="57" fillId="0" borderId="0" xfId="0" applyFont="1" applyAlignment="1">
      <alignment vertical="center"/>
    </xf>
    <xf numFmtId="198" fontId="60" fillId="0" borderId="22" xfId="11" applyNumberFormat="1" applyFont="1" applyBorder="1" applyAlignment="1">
      <alignment horizontal="center" vertical="center"/>
    </xf>
    <xf numFmtId="185" fontId="60" fillId="0" borderId="22" xfId="13" applyNumberFormat="1" applyFont="1" applyFill="1" applyBorder="1" applyAlignment="1">
      <alignment horizontal="center" vertical="center"/>
    </xf>
    <xf numFmtId="196" fontId="60" fillId="0" borderId="22" xfId="13" applyNumberFormat="1" applyFont="1" applyFill="1" applyBorder="1" applyAlignment="1">
      <alignment horizontal="center" vertical="center"/>
    </xf>
    <xf numFmtId="0" fontId="115" fillId="0" borderId="0" xfId="15" applyFont="1">
      <alignment vertical="center"/>
    </xf>
    <xf numFmtId="0" fontId="37" fillId="0" borderId="0" xfId="15" applyFont="1">
      <alignment vertical="center"/>
    </xf>
    <xf numFmtId="193" fontId="105" fillId="0" borderId="23" xfId="15" applyNumberFormat="1" applyFont="1" applyBorder="1" applyAlignment="1">
      <alignment horizontal="center" vertical="center"/>
    </xf>
    <xf numFmtId="0" fontId="105" fillId="0" borderId="27" xfId="15" applyFont="1" applyBorder="1" applyAlignment="1">
      <alignment horizontal="center" vertical="center" wrapText="1"/>
    </xf>
    <xf numFmtId="0" fontId="105" fillId="0" borderId="25" xfId="15" applyFont="1" applyBorder="1" applyAlignment="1">
      <alignment horizontal="center" vertical="center" wrapText="1"/>
    </xf>
    <xf numFmtId="0" fontId="116" fillId="0" borderId="23" xfId="15" applyFont="1" applyBorder="1" applyAlignment="1">
      <alignment horizontal="center" vertical="center" wrapText="1"/>
    </xf>
    <xf numFmtId="0" fontId="116" fillId="0" borderId="25" xfId="15" applyFont="1" applyBorder="1" applyAlignment="1">
      <alignment horizontal="center" vertical="center" wrapText="1"/>
    </xf>
    <xf numFmtId="10" fontId="105" fillId="0" borderId="23" xfId="3" applyNumberFormat="1" applyFont="1" applyBorder="1" applyAlignment="1">
      <alignment horizontal="center" vertical="center"/>
    </xf>
    <xf numFmtId="193" fontId="116" fillId="0" borderId="23" xfId="15" applyNumberFormat="1" applyFont="1" applyBorder="1" applyAlignment="1">
      <alignment horizontal="center" vertical="center"/>
    </xf>
    <xf numFmtId="10" fontId="116" fillId="0" borderId="23" xfId="3" applyNumberFormat="1" applyFont="1" applyBorder="1" applyAlignment="1">
      <alignment horizontal="center" vertical="center"/>
    </xf>
    <xf numFmtId="0" fontId="105" fillId="0" borderId="0" xfId="15" applyFont="1" applyAlignment="1">
      <alignment horizontal="center" vertical="center"/>
    </xf>
    <xf numFmtId="10" fontId="105" fillId="0" borderId="0" xfId="3" applyNumberFormat="1" applyFont="1" applyFill="1" applyBorder="1" applyAlignment="1">
      <alignment horizontal="center" vertical="center"/>
    </xf>
    <xf numFmtId="0" fontId="106" fillId="0" borderId="23" xfId="15" applyFont="1" applyBorder="1" applyAlignment="1">
      <alignment horizontal="center" vertical="center" wrapText="1"/>
    </xf>
    <xf numFmtId="0" fontId="117" fillId="0" borderId="23" xfId="15" applyFont="1" applyBorder="1" applyAlignment="1">
      <alignment horizontal="center" vertical="center" wrapText="1"/>
    </xf>
    <xf numFmtId="193" fontId="108" fillId="0" borderId="0" xfId="15" applyNumberFormat="1" applyFont="1">
      <alignment vertical="center"/>
    </xf>
    <xf numFmtId="195" fontId="115" fillId="0" borderId="0" xfId="15" applyNumberFormat="1" applyFont="1">
      <alignment vertical="center"/>
    </xf>
    <xf numFmtId="195" fontId="37" fillId="0" borderId="0" xfId="15" applyNumberFormat="1" applyFont="1">
      <alignment vertical="center"/>
    </xf>
    <xf numFmtId="194" fontId="80" fillId="5" borderId="22" xfId="5" applyNumberFormat="1" applyFont="1" applyFill="1" applyBorder="1" applyAlignment="1">
      <alignment horizontal="center" vertical="center"/>
    </xf>
    <xf numFmtId="193" fontId="115" fillId="9" borderId="22" xfId="6" applyNumberFormat="1" applyFont="1" applyFill="1" applyBorder="1" applyAlignment="1">
      <alignment horizontal="center" vertical="center"/>
    </xf>
    <xf numFmtId="10" fontId="115" fillId="0" borderId="22" xfId="3" applyNumberFormat="1" applyFont="1" applyBorder="1" applyAlignment="1">
      <alignment horizontal="center" vertical="center"/>
    </xf>
    <xf numFmtId="193" fontId="118" fillId="9" borderId="22" xfId="6" applyNumberFormat="1" applyFont="1" applyFill="1" applyBorder="1" applyAlignment="1">
      <alignment horizontal="center" vertical="center"/>
    </xf>
    <xf numFmtId="10" fontId="118" fillId="0" borderId="22" xfId="3" applyNumberFormat="1" applyFont="1" applyBorder="1" applyAlignment="1">
      <alignment horizontal="center" vertical="center"/>
    </xf>
    <xf numFmtId="194" fontId="80" fillId="10" borderId="22" xfId="5" applyNumberFormat="1" applyFont="1" applyFill="1" applyBorder="1" applyAlignment="1">
      <alignment horizontal="center" vertical="center"/>
    </xf>
    <xf numFmtId="194" fontId="80" fillId="0" borderId="22" xfId="5" applyNumberFormat="1" applyFont="1" applyBorder="1" applyAlignment="1">
      <alignment horizontal="center" vertical="center"/>
    </xf>
    <xf numFmtId="193" fontId="115" fillId="9" borderId="22" xfId="17" applyNumberFormat="1" applyFont="1" applyFill="1" applyBorder="1" applyAlignment="1">
      <alignment horizontal="center" vertical="center"/>
    </xf>
    <xf numFmtId="0" fontId="11" fillId="2" borderId="38" xfId="11" applyFont="1" applyFill="1" applyBorder="1" applyAlignment="1">
      <alignment horizontal="center" vertical="center" shrinkToFit="1"/>
    </xf>
    <xf numFmtId="0" fontId="11" fillId="2" borderId="6" xfId="11" applyFont="1" applyFill="1" applyBorder="1" applyAlignment="1">
      <alignment horizontal="center" vertical="center" shrinkToFit="1"/>
    </xf>
    <xf numFmtId="0" fontId="7" fillId="2" borderId="6" xfId="11" applyFont="1" applyFill="1" applyBorder="1" applyAlignment="1">
      <alignment horizontal="center" vertical="center" shrinkToFit="1"/>
    </xf>
    <xf numFmtId="0" fontId="26" fillId="0" borderId="35" xfId="11" applyFont="1" applyBorder="1" applyAlignment="1">
      <alignment shrinkToFit="1"/>
    </xf>
    <xf numFmtId="0" fontId="26" fillId="0" borderId="26" xfId="11" applyFont="1" applyBorder="1" applyAlignment="1">
      <alignment wrapText="1" shrinkToFit="1"/>
    </xf>
    <xf numFmtId="0" fontId="26" fillId="0" borderId="26" xfId="11" applyFont="1" applyBorder="1" applyAlignment="1">
      <alignment vertical="center" shrinkToFit="1"/>
    </xf>
    <xf numFmtId="0" fontId="26" fillId="0" borderId="26" xfId="11" applyFont="1" applyBorder="1" applyAlignment="1">
      <alignment shrinkToFit="1"/>
    </xf>
    <xf numFmtId="0" fontId="26" fillId="0" borderId="36" xfId="11" applyFont="1" applyBorder="1" applyAlignment="1">
      <alignment shrinkToFit="1"/>
    </xf>
    <xf numFmtId="0" fontId="24" fillId="0" borderId="33" xfId="11" applyBorder="1" applyAlignment="1">
      <alignment shrinkToFit="1"/>
    </xf>
    <xf numFmtId="0" fontId="24" fillId="0" borderId="34" xfId="11" applyBorder="1" applyAlignment="1">
      <alignment shrinkToFit="1"/>
    </xf>
    <xf numFmtId="0" fontId="9" fillId="0" borderId="62" xfId="11" applyFont="1" applyBorder="1" applyAlignment="1">
      <alignment shrinkToFit="1"/>
    </xf>
    <xf numFmtId="0" fontId="9" fillId="0" borderId="95" xfId="11" applyFont="1" applyBorder="1" applyAlignment="1">
      <alignment shrinkToFit="1"/>
    </xf>
    <xf numFmtId="0" fontId="24" fillId="0" borderId="0" xfId="11" applyAlignment="1">
      <alignment vertical="center"/>
    </xf>
    <xf numFmtId="0" fontId="11" fillId="2" borderId="96" xfId="11" applyFont="1" applyFill="1" applyBorder="1" applyAlignment="1">
      <alignment horizontal="center" shrinkToFit="1"/>
    </xf>
    <xf numFmtId="0" fontId="11" fillId="2" borderId="44" xfId="11" applyFont="1" applyFill="1" applyBorder="1" applyAlignment="1">
      <alignment horizontal="center" shrinkToFit="1"/>
    </xf>
    <xf numFmtId="1" fontId="7" fillId="3" borderId="45" xfId="11" applyNumberFormat="1" applyFont="1" applyFill="1" applyBorder="1" applyAlignment="1">
      <alignment shrinkToFit="1"/>
    </xf>
    <xf numFmtId="0" fontId="14" fillId="9" borderId="0" xfId="0" applyFont="1" applyFill="1" applyAlignment="1">
      <alignment vertical="center" shrinkToFit="1"/>
    </xf>
    <xf numFmtId="183" fontId="14" fillId="0" borderId="0" xfId="0" applyNumberFormat="1" applyFont="1" applyAlignment="1">
      <alignment vertical="center" shrinkToFit="1"/>
    </xf>
    <xf numFmtId="0" fontId="56" fillId="0" borderId="27" xfId="0" applyFont="1" applyBorder="1" applyAlignment="1">
      <alignment shrinkToFit="1"/>
    </xf>
    <xf numFmtId="0" fontId="56" fillId="0" borderId="28" xfId="0" applyFont="1" applyBorder="1" applyAlignment="1">
      <alignment shrinkToFit="1"/>
    </xf>
    <xf numFmtId="0" fontId="56" fillId="0" borderId="25" xfId="0" applyFont="1" applyBorder="1" applyAlignment="1">
      <alignment shrinkToFit="1"/>
    </xf>
    <xf numFmtId="0" fontId="56" fillId="2" borderId="27" xfId="0" applyFont="1" applyFill="1" applyBorder="1" applyAlignment="1">
      <alignment horizontal="center" shrinkToFit="1"/>
    </xf>
    <xf numFmtId="0" fontId="56" fillId="2" borderId="25" xfId="0" applyFont="1" applyFill="1" applyBorder="1" applyAlignment="1">
      <alignment horizontal="center" shrinkToFit="1"/>
    </xf>
    <xf numFmtId="0" fontId="56" fillId="2" borderId="28" xfId="0" applyFont="1" applyFill="1" applyBorder="1" applyAlignment="1">
      <alignment horizontal="center" shrinkToFit="1"/>
    </xf>
    <xf numFmtId="0" fontId="15" fillId="0" borderId="23" xfId="0" applyFont="1" applyBorder="1" applyAlignment="1">
      <alignment horizontal="center" vertical="center" shrinkToFit="1"/>
    </xf>
    <xf numFmtId="0" fontId="15" fillId="0" borderId="29" xfId="0" applyFont="1" applyBorder="1" applyAlignment="1">
      <alignment horizontal="center" vertical="center" shrinkToFit="1"/>
    </xf>
    <xf numFmtId="0" fontId="15" fillId="0" borderId="30" xfId="0" applyFont="1" applyBorder="1" applyAlignment="1">
      <alignment horizontal="center" vertical="center" shrinkToFit="1"/>
    </xf>
    <xf numFmtId="0" fontId="56" fillId="2" borderId="23" xfId="0" applyFont="1" applyFill="1" applyBorder="1" applyAlignment="1">
      <alignment horizontal="center" vertical="center" shrinkToFit="1"/>
    </xf>
    <xf numFmtId="0" fontId="56" fillId="2" borderId="29" xfId="0" applyFont="1" applyFill="1" applyBorder="1" applyAlignment="1">
      <alignment horizontal="center" vertical="center" shrinkToFit="1"/>
    </xf>
    <xf numFmtId="0" fontId="56" fillId="2" borderId="30" xfId="0" applyFont="1" applyFill="1" applyBorder="1" applyAlignment="1">
      <alignment horizontal="center" vertical="center" shrinkToFit="1"/>
    </xf>
    <xf numFmtId="0" fontId="56" fillId="2" borderId="27" xfId="0" applyFont="1" applyFill="1" applyBorder="1" applyAlignment="1">
      <alignment horizontal="center" vertical="center" shrinkToFit="1"/>
    </xf>
    <xf numFmtId="0" fontId="56" fillId="2" borderId="25" xfId="0" applyFont="1" applyFill="1" applyBorder="1" applyAlignment="1">
      <alignment horizontal="center" vertical="center" shrinkToFit="1"/>
    </xf>
    <xf numFmtId="0" fontId="56" fillId="2" borderId="28" xfId="0" applyFont="1" applyFill="1" applyBorder="1" applyAlignment="1">
      <alignment horizontal="center" vertical="center" shrinkToFit="1"/>
    </xf>
    <xf numFmtId="193" fontId="115" fillId="9" borderId="22" xfId="15" applyNumberFormat="1" applyFont="1" applyFill="1" applyBorder="1" applyAlignment="1">
      <alignment horizontal="center" vertical="center"/>
    </xf>
    <xf numFmtId="186" fontId="115" fillId="0" borderId="22" xfId="15" applyNumberFormat="1" applyFont="1" applyBorder="1" applyAlignment="1">
      <alignment horizontal="center" vertical="center"/>
    </xf>
    <xf numFmtId="0" fontId="28" fillId="0" borderId="27" xfId="11" applyFont="1" applyBorder="1" applyAlignment="1">
      <alignment vertical="center"/>
    </xf>
    <xf numFmtId="0" fontId="69" fillId="0" borderId="0" xfId="0" applyFont="1" applyAlignment="1">
      <alignment vertical="center"/>
    </xf>
    <xf numFmtId="191" fontId="43" fillId="0" borderId="22" xfId="0" applyNumberFormat="1" applyFont="1" applyBorder="1" applyAlignment="1">
      <alignment horizontal="right" shrinkToFit="1"/>
    </xf>
    <xf numFmtId="10" fontId="43" fillId="0" borderId="22" xfId="0" applyNumberFormat="1" applyFont="1" applyBorder="1" applyAlignment="1">
      <alignment shrinkToFit="1"/>
    </xf>
    <xf numFmtId="0" fontId="96" fillId="0" borderId="85" xfId="11" applyFont="1" applyBorder="1" applyAlignment="1">
      <alignment horizontal="left" vertical="center"/>
    </xf>
    <xf numFmtId="0" fontId="96" fillId="0" borderId="90" xfId="11" applyFont="1" applyBorder="1" applyAlignment="1">
      <alignment horizontal="left" vertical="center"/>
    </xf>
    <xf numFmtId="0" fontId="96" fillId="0" borderId="87" xfId="11" applyFont="1" applyBorder="1" applyAlignment="1">
      <alignment horizontal="left" vertical="center"/>
    </xf>
    <xf numFmtId="0" fontId="95" fillId="0" borderId="82" xfId="11" applyFont="1" applyBorder="1" applyAlignment="1">
      <alignment horizontal="center" vertical="center"/>
    </xf>
    <xf numFmtId="0" fontId="95" fillId="0" borderId="83" xfId="11" applyFont="1" applyBorder="1" applyAlignment="1">
      <alignment horizontal="center" vertical="center"/>
    </xf>
    <xf numFmtId="0" fontId="96" fillId="0" borderId="91" xfId="11" applyFont="1" applyBorder="1" applyAlignment="1">
      <alignment horizontal="left" vertical="center"/>
    </xf>
    <xf numFmtId="0" fontId="96" fillId="0" borderId="92" xfId="11" applyFont="1" applyBorder="1" applyAlignment="1">
      <alignment horizontal="left" vertical="center"/>
    </xf>
    <xf numFmtId="0" fontId="68" fillId="0" borderId="0" xfId="0" applyFont="1" applyAlignment="1">
      <alignment horizontal="center" vertical="center" shrinkToFit="1"/>
    </xf>
    <xf numFmtId="0" fontId="41" fillId="0" borderId="0" xfId="0" applyFont="1" applyAlignment="1">
      <alignment horizontal="center" vertical="center" shrinkToFit="1"/>
    </xf>
    <xf numFmtId="0" fontId="48" fillId="9" borderId="22" xfId="0" applyFont="1" applyFill="1" applyBorder="1" applyAlignment="1">
      <alignment horizontal="center" vertical="center" shrinkToFit="1"/>
    </xf>
    <xf numFmtId="0" fontId="48" fillId="9" borderId="27" xfId="0" applyFont="1" applyFill="1" applyBorder="1" applyAlignment="1">
      <alignment horizontal="center" vertical="center" shrinkToFit="1"/>
    </xf>
    <xf numFmtId="0" fontId="48" fillId="9" borderId="25" xfId="0" applyFont="1" applyFill="1" applyBorder="1" applyAlignment="1">
      <alignment horizontal="center" vertical="center" shrinkToFit="1"/>
    </xf>
    <xf numFmtId="10" fontId="27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177" fontId="27" fillId="8" borderId="0" xfId="0" applyNumberFormat="1" applyFont="1" applyFill="1" applyAlignment="1">
      <alignment horizontal="center" vertical="center"/>
    </xf>
    <xf numFmtId="178" fontId="27" fillId="6" borderId="0" xfId="0" applyNumberFormat="1" applyFont="1" applyFill="1" applyAlignment="1">
      <alignment horizontal="center" vertical="center"/>
    </xf>
    <xf numFmtId="176" fontId="27" fillId="5" borderId="0" xfId="0" applyNumberFormat="1" applyFont="1" applyFill="1" applyAlignment="1">
      <alignment horizontal="center" vertical="center"/>
    </xf>
    <xf numFmtId="0" fontId="29" fillId="7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 shrinkToFit="1"/>
    </xf>
    <xf numFmtId="178" fontId="27" fillId="0" borderId="0" xfId="0" applyNumberFormat="1" applyFont="1" applyAlignment="1">
      <alignment horizontal="center" vertical="center"/>
    </xf>
    <xf numFmtId="179" fontId="26" fillId="0" borderId="0" xfId="0" applyNumberFormat="1" applyFont="1" applyAlignment="1">
      <alignment horizontal="center" vertical="center"/>
    </xf>
    <xf numFmtId="188" fontId="26" fillId="0" borderId="0" xfId="0" applyNumberFormat="1" applyFont="1" applyAlignment="1">
      <alignment horizontal="center"/>
    </xf>
    <xf numFmtId="190" fontId="26" fillId="0" borderId="0" xfId="0" applyNumberFormat="1" applyFont="1" applyAlignment="1">
      <alignment horizontal="center"/>
    </xf>
    <xf numFmtId="185" fontId="26" fillId="0" borderId="0" xfId="13" applyNumberFormat="1" applyFont="1" applyAlignment="1">
      <alignment horizontal="center"/>
    </xf>
    <xf numFmtId="185" fontId="26" fillId="0" borderId="0" xfId="0" applyNumberFormat="1" applyFont="1" applyAlignment="1">
      <alignment horizontal="center"/>
    </xf>
    <xf numFmtId="189" fontId="26" fillId="0" borderId="0" xfId="0" applyNumberFormat="1" applyFont="1" applyAlignment="1">
      <alignment horizontal="center"/>
    </xf>
    <xf numFmtId="0" fontId="102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181" fontId="15" fillId="0" borderId="0" xfId="0" applyNumberFormat="1" applyFont="1" applyAlignment="1">
      <alignment horizontal="center" vertical="center"/>
    </xf>
    <xf numFmtId="10" fontId="15" fillId="5" borderId="0" xfId="0" applyNumberFormat="1" applyFont="1" applyFill="1" applyAlignment="1">
      <alignment horizontal="center" vertical="center"/>
    </xf>
    <xf numFmtId="10" fontId="15" fillId="0" borderId="0" xfId="0" applyNumberFormat="1" applyFont="1" applyAlignment="1">
      <alignment horizontal="center" vertical="center"/>
    </xf>
    <xf numFmtId="10" fontId="26" fillId="0" borderId="0" xfId="0" applyNumberFormat="1" applyFont="1" applyAlignment="1">
      <alignment horizontal="center"/>
    </xf>
    <xf numFmtId="180" fontId="26" fillId="0" borderId="0" xfId="0" applyNumberFormat="1" applyFont="1" applyAlignment="1">
      <alignment horizontal="center"/>
    </xf>
    <xf numFmtId="186" fontId="26" fillId="0" borderId="0" xfId="0" applyNumberFormat="1" applyFont="1" applyAlignment="1">
      <alignment horizontal="center"/>
    </xf>
    <xf numFmtId="185" fontId="14" fillId="0" borderId="0" xfId="0" applyNumberFormat="1" applyFont="1" applyAlignment="1">
      <alignment horizontal="center"/>
    </xf>
    <xf numFmtId="180" fontId="14" fillId="0" borderId="0" xfId="0" applyNumberFormat="1" applyFont="1" applyAlignment="1">
      <alignment horizontal="center"/>
    </xf>
    <xf numFmtId="0" fontId="32" fillId="0" borderId="22" xfId="0" applyFont="1" applyBorder="1" applyAlignment="1">
      <alignment horizontal="center" vertical="center"/>
    </xf>
    <xf numFmtId="182" fontId="27" fillId="0" borderId="22" xfId="0" applyNumberFormat="1" applyFont="1" applyBorder="1" applyAlignment="1">
      <alignment horizontal="center" vertical="center"/>
    </xf>
    <xf numFmtId="0" fontId="29" fillId="7" borderId="34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28" fillId="0" borderId="22" xfId="0" applyFont="1" applyBorder="1" applyAlignment="1">
      <alignment horizontal="center" vertical="center" shrinkToFit="1"/>
    </xf>
    <xf numFmtId="0" fontId="28" fillId="0" borderId="23" xfId="0" applyFont="1" applyBorder="1" applyAlignment="1">
      <alignment horizontal="center" vertical="center" shrinkToFit="1"/>
    </xf>
    <xf numFmtId="182" fontId="28" fillId="0" borderId="22" xfId="0" applyNumberFormat="1" applyFont="1" applyBorder="1" applyAlignment="1">
      <alignment horizontal="center" vertical="center" shrinkToFit="1"/>
    </xf>
    <xf numFmtId="0" fontId="18" fillId="0" borderId="22" xfId="0" applyFont="1" applyBorder="1" applyAlignment="1">
      <alignment horizontal="center" vertical="center"/>
    </xf>
    <xf numFmtId="0" fontId="23" fillId="0" borderId="22" xfId="0" applyFont="1" applyBorder="1" applyAlignment="1">
      <alignment horizontal="center" vertical="center"/>
    </xf>
    <xf numFmtId="189" fontId="27" fillId="0" borderId="22" xfId="0" applyNumberFormat="1" applyFont="1" applyBorder="1" applyAlignment="1">
      <alignment horizontal="center" vertical="center"/>
    </xf>
    <xf numFmtId="189" fontId="27" fillId="0" borderId="23" xfId="0" applyNumberFormat="1" applyFont="1" applyBorder="1" applyAlignment="1">
      <alignment horizontal="center" vertical="center"/>
    </xf>
    <xf numFmtId="182" fontId="14" fillId="0" borderId="29" xfId="0" applyNumberFormat="1" applyFont="1" applyBorder="1" applyAlignment="1">
      <alignment horizontal="center" vertical="center" shrinkToFit="1"/>
    </xf>
    <xf numFmtId="182" fontId="14" fillId="0" borderId="30" xfId="0" applyNumberFormat="1" applyFont="1" applyBorder="1" applyAlignment="1">
      <alignment horizontal="center" vertical="center" shrinkToFit="1"/>
    </xf>
    <xf numFmtId="179" fontId="14" fillId="0" borderId="23" xfId="0" applyNumberFormat="1" applyFont="1" applyBorder="1" applyAlignment="1">
      <alignment horizontal="center" vertical="center"/>
    </xf>
    <xf numFmtId="179" fontId="14" fillId="0" borderId="29" xfId="0" applyNumberFormat="1" applyFont="1" applyBorder="1" applyAlignment="1">
      <alignment horizontal="center" vertical="center"/>
    </xf>
    <xf numFmtId="179" fontId="14" fillId="0" borderId="30" xfId="0" applyNumberFormat="1" applyFont="1" applyBorder="1" applyAlignment="1">
      <alignment horizontal="center" vertical="center"/>
    </xf>
    <xf numFmtId="182" fontId="14" fillId="0" borderId="22" xfId="0" applyNumberFormat="1" applyFont="1" applyBorder="1" applyAlignment="1">
      <alignment horizontal="center" shrinkToFit="1"/>
    </xf>
    <xf numFmtId="0" fontId="111" fillId="0" borderId="29" xfId="0" applyFont="1" applyBorder="1" applyAlignment="1">
      <alignment horizontal="center" vertical="center"/>
    </xf>
    <xf numFmtId="0" fontId="111" fillId="0" borderId="30" xfId="0" applyFont="1" applyBorder="1" applyAlignment="1">
      <alignment horizontal="center" vertical="center"/>
    </xf>
    <xf numFmtId="182" fontId="14" fillId="0" borderId="23" xfId="0" applyNumberFormat="1" applyFont="1" applyBorder="1" applyAlignment="1">
      <alignment horizontal="center" vertical="center" shrinkToFit="1"/>
    </xf>
    <xf numFmtId="0" fontId="111" fillId="0" borderId="23" xfId="0" applyFont="1" applyBorder="1" applyAlignment="1">
      <alignment horizontal="center" vertical="center"/>
    </xf>
    <xf numFmtId="177" fontId="32" fillId="0" borderId="22" xfId="0" applyNumberFormat="1" applyFont="1" applyBorder="1" applyAlignment="1">
      <alignment horizontal="center" vertical="center"/>
    </xf>
    <xf numFmtId="177" fontId="27" fillId="0" borderId="22" xfId="0" applyNumberFormat="1" applyFont="1" applyBorder="1" applyAlignment="1">
      <alignment horizontal="center" vertical="center"/>
    </xf>
    <xf numFmtId="177" fontId="27" fillId="0" borderId="23" xfId="0" applyNumberFormat="1" applyFont="1" applyBorder="1" applyAlignment="1">
      <alignment horizontal="center" vertical="center"/>
    </xf>
    <xf numFmtId="177" fontId="78" fillId="0" borderId="22" xfId="0" applyNumberFormat="1" applyFont="1" applyBorder="1" applyAlignment="1">
      <alignment horizontal="center" vertical="center"/>
    </xf>
    <xf numFmtId="177" fontId="28" fillId="0" borderId="22" xfId="0" applyNumberFormat="1" applyFont="1" applyBorder="1" applyAlignment="1">
      <alignment horizontal="center" vertical="center" shrinkToFit="1"/>
    </xf>
    <xf numFmtId="177" fontId="14" fillId="0" borderId="29" xfId="0" applyNumberFormat="1" applyFont="1" applyBorder="1" applyAlignment="1">
      <alignment horizontal="center" vertical="center"/>
    </xf>
    <xf numFmtId="177" fontId="14" fillId="0" borderId="30" xfId="0" applyNumberFormat="1" applyFont="1" applyBorder="1" applyAlignment="1">
      <alignment horizontal="center" vertical="center"/>
    </xf>
    <xf numFmtId="177" fontId="14" fillId="0" borderId="22" xfId="0" applyNumberFormat="1" applyFont="1" applyBorder="1" applyAlignment="1">
      <alignment horizontal="center"/>
    </xf>
    <xf numFmtId="177" fontId="14" fillId="0" borderId="23" xfId="0" applyNumberFormat="1" applyFont="1" applyBorder="1" applyAlignment="1">
      <alignment horizontal="center" vertical="center"/>
    </xf>
    <xf numFmtId="179" fontId="14" fillId="0" borderId="22" xfId="0" applyNumberFormat="1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183" fontId="14" fillId="0" borderId="22" xfId="0" applyNumberFormat="1" applyFont="1" applyBorder="1" applyAlignment="1">
      <alignment horizontal="center" vertical="center" shrinkToFit="1"/>
    </xf>
    <xf numFmtId="183" fontId="14" fillId="0" borderId="22" xfId="0" applyNumberFormat="1" applyFont="1" applyBorder="1" applyAlignment="1">
      <alignment horizontal="center" vertical="center"/>
    </xf>
    <xf numFmtId="183" fontId="14" fillId="9" borderId="22" xfId="0" applyNumberFormat="1" applyFont="1" applyFill="1" applyBorder="1" applyAlignment="1">
      <alignment horizontal="center" vertical="center" shrinkToFit="1"/>
    </xf>
    <xf numFmtId="185" fontId="14" fillId="0" borderId="22" xfId="13" applyNumberFormat="1" applyFont="1" applyBorder="1" applyAlignment="1">
      <alignment horizontal="center" vertical="center" shrinkToFit="1"/>
    </xf>
    <xf numFmtId="0" fontId="14" fillId="0" borderId="22" xfId="0" applyFont="1" applyBorder="1" applyAlignment="1">
      <alignment horizontal="center" vertical="center" shrinkToFit="1"/>
    </xf>
    <xf numFmtId="0" fontId="14" fillId="9" borderId="22" xfId="0" applyFont="1" applyFill="1" applyBorder="1" applyAlignment="1">
      <alignment horizontal="center" vertical="center" shrinkToFit="1"/>
    </xf>
    <xf numFmtId="0" fontId="112" fillId="0" borderId="37" xfId="0" applyFont="1" applyBorder="1" applyAlignment="1">
      <alignment horizontal="left" vertical="center"/>
    </xf>
    <xf numFmtId="0" fontId="114" fillId="0" borderId="37" xfId="0" applyFont="1" applyBorder="1" applyAlignment="1">
      <alignment horizontal="left" vertical="center"/>
    </xf>
    <xf numFmtId="0" fontId="114" fillId="0" borderId="32" xfId="0" applyFont="1" applyBorder="1" applyAlignment="1">
      <alignment horizontal="left" vertical="center"/>
    </xf>
    <xf numFmtId="0" fontId="114" fillId="0" borderId="26" xfId="0" applyFont="1" applyBorder="1" applyAlignment="1">
      <alignment horizontal="left" vertical="center"/>
    </xf>
    <xf numFmtId="0" fontId="114" fillId="0" borderId="36" xfId="0" applyFont="1" applyBorder="1" applyAlignment="1">
      <alignment horizontal="left" vertical="center"/>
    </xf>
    <xf numFmtId="0" fontId="14" fillId="0" borderId="23" xfId="0" applyFont="1" applyBorder="1" applyAlignment="1">
      <alignment horizontal="center" vertical="center" shrinkToFit="1"/>
    </xf>
    <xf numFmtId="0" fontId="14" fillId="0" borderId="30" xfId="0" applyFont="1" applyBorder="1" applyAlignment="1">
      <alignment horizontal="center" vertical="center" shrinkToFit="1"/>
    </xf>
    <xf numFmtId="179" fontId="14" fillId="5" borderId="22" xfId="0" applyNumberFormat="1" applyFont="1" applyFill="1" applyBorder="1" applyAlignment="1">
      <alignment horizontal="center" vertical="center" shrinkToFit="1"/>
    </xf>
    <xf numFmtId="0" fontId="14" fillId="5" borderId="22" xfId="0" applyFont="1" applyFill="1" applyBorder="1" applyAlignment="1">
      <alignment horizontal="center" vertical="center" shrinkToFit="1"/>
    </xf>
    <xf numFmtId="179" fontId="14" fillId="8" borderId="22" xfId="0" applyNumberFormat="1" applyFont="1" applyFill="1" applyBorder="1" applyAlignment="1">
      <alignment horizontal="center" vertical="center" shrinkToFit="1"/>
    </xf>
    <xf numFmtId="0" fontId="14" fillId="8" borderId="22" xfId="0" applyFont="1" applyFill="1" applyBorder="1" applyAlignment="1">
      <alignment horizontal="center" vertical="center" shrinkToFit="1"/>
    </xf>
    <xf numFmtId="187" fontId="14" fillId="5" borderId="22" xfId="0" applyNumberFormat="1" applyFont="1" applyFill="1" applyBorder="1" applyAlignment="1">
      <alignment horizontal="center" vertical="center" shrinkToFit="1"/>
    </xf>
    <xf numFmtId="187" fontId="14" fillId="8" borderId="22" xfId="0" applyNumberFormat="1" applyFont="1" applyFill="1" applyBorder="1" applyAlignment="1">
      <alignment horizontal="center" vertical="center" shrinkToFit="1"/>
    </xf>
    <xf numFmtId="187" fontId="14" fillId="5" borderId="27" xfId="0" applyNumberFormat="1" applyFont="1" applyFill="1" applyBorder="1" applyAlignment="1">
      <alignment horizontal="center" vertical="center" shrinkToFit="1"/>
    </xf>
    <xf numFmtId="187" fontId="14" fillId="5" borderId="28" xfId="0" applyNumberFormat="1" applyFont="1" applyFill="1" applyBorder="1" applyAlignment="1">
      <alignment horizontal="center" vertical="center" shrinkToFit="1"/>
    </xf>
    <xf numFmtId="187" fontId="14" fillId="5" borderId="25" xfId="0" applyNumberFormat="1" applyFont="1" applyFill="1" applyBorder="1" applyAlignment="1">
      <alignment horizontal="center" vertical="center" shrinkToFit="1"/>
    </xf>
    <xf numFmtId="179" fontId="14" fillId="5" borderId="27" xfId="0" applyNumberFormat="1" applyFont="1" applyFill="1" applyBorder="1" applyAlignment="1">
      <alignment horizontal="center" vertical="center" shrinkToFit="1"/>
    </xf>
    <xf numFmtId="179" fontId="14" fillId="5" borderId="28" xfId="0" applyNumberFormat="1" applyFont="1" applyFill="1" applyBorder="1" applyAlignment="1">
      <alignment horizontal="center" vertical="center" shrinkToFit="1"/>
    </xf>
    <xf numFmtId="179" fontId="14" fillId="5" borderId="25" xfId="0" applyNumberFormat="1" applyFont="1" applyFill="1" applyBorder="1" applyAlignment="1">
      <alignment horizontal="center" vertical="center" shrinkToFit="1"/>
    </xf>
    <xf numFmtId="0" fontId="81" fillId="0" borderId="37" xfId="0" applyFont="1" applyBorder="1" applyAlignment="1">
      <alignment horizontal="left" vertical="center"/>
    </xf>
    <xf numFmtId="0" fontId="50" fillId="0" borderId="37" xfId="0" applyFont="1" applyBorder="1" applyAlignment="1">
      <alignment horizontal="left" vertical="center"/>
    </xf>
    <xf numFmtId="0" fontId="50" fillId="0" borderId="32" xfId="0" applyFont="1" applyBorder="1" applyAlignment="1">
      <alignment horizontal="left" vertical="center"/>
    </xf>
    <xf numFmtId="0" fontId="50" fillId="0" borderId="26" xfId="0" applyFont="1" applyBorder="1" applyAlignment="1">
      <alignment horizontal="left" vertical="center"/>
    </xf>
    <xf numFmtId="0" fontId="50" fillId="0" borderId="36" xfId="0" applyFont="1" applyBorder="1" applyAlignment="1">
      <alignment horizontal="left" vertical="center"/>
    </xf>
    <xf numFmtId="0" fontId="14" fillId="0" borderId="23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85" fillId="0" borderId="22" xfId="0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center" shrinkToFit="1"/>
    </xf>
    <xf numFmtId="0" fontId="56" fillId="2" borderId="22" xfId="0" applyFont="1" applyFill="1" applyBorder="1" applyAlignment="1">
      <alignment horizontal="center" vertical="center" shrinkToFit="1"/>
    </xf>
    <xf numFmtId="0" fontId="56" fillId="0" borderId="22" xfId="0" applyFont="1" applyBorder="1" applyAlignment="1">
      <alignment shrinkToFit="1"/>
    </xf>
    <xf numFmtId="0" fontId="71" fillId="0" borderId="22" xfId="0" applyFont="1" applyBorder="1" applyAlignment="1">
      <alignment shrinkToFit="1"/>
    </xf>
    <xf numFmtId="0" fontId="50" fillId="0" borderId="0" xfId="0" applyFont="1" applyAlignment="1">
      <alignment horizontal="left" vertical="center" shrinkToFit="1"/>
    </xf>
    <xf numFmtId="0" fontId="71" fillId="0" borderId="22" xfId="0" applyFont="1" applyBorder="1" applyAlignment="1">
      <alignment horizontal="center" vertical="center" shrinkToFit="1"/>
    </xf>
    <xf numFmtId="0" fontId="56" fillId="2" borderId="22" xfId="0" applyFont="1" applyFill="1" applyBorder="1" applyAlignment="1">
      <alignment horizontal="center" shrinkToFit="1"/>
    </xf>
    <xf numFmtId="0" fontId="71" fillId="0" borderId="22" xfId="0" applyFont="1" applyBorder="1" applyAlignment="1">
      <alignment horizontal="center" shrinkToFit="1"/>
    </xf>
    <xf numFmtId="0" fontId="119" fillId="0" borderId="22" xfId="0" applyFont="1" applyBorder="1" applyAlignment="1">
      <alignment shrinkToFit="1"/>
    </xf>
    <xf numFmtId="0" fontId="120" fillId="0" borderId="22" xfId="0" applyFont="1" applyBorder="1" applyAlignment="1">
      <alignment shrinkToFit="1"/>
    </xf>
    <xf numFmtId="0" fontId="56" fillId="0" borderId="27" xfId="0" applyFont="1" applyBorder="1" applyAlignment="1">
      <alignment shrinkToFit="1"/>
    </xf>
    <xf numFmtId="0" fontId="56" fillId="0" borderId="28" xfId="0" applyFont="1" applyBorder="1" applyAlignment="1">
      <alignment shrinkToFit="1"/>
    </xf>
    <xf numFmtId="0" fontId="56" fillId="0" borderId="25" xfId="0" applyFont="1" applyBorder="1" applyAlignment="1">
      <alignment shrinkToFit="1"/>
    </xf>
    <xf numFmtId="0" fontId="56" fillId="2" borderId="27" xfId="0" applyFont="1" applyFill="1" applyBorder="1" applyAlignment="1">
      <alignment horizontal="center" shrinkToFit="1"/>
    </xf>
    <xf numFmtId="0" fontId="56" fillId="2" borderId="28" xfId="0" applyFont="1" applyFill="1" applyBorder="1" applyAlignment="1">
      <alignment horizontal="center" shrinkToFit="1"/>
    </xf>
    <xf numFmtId="0" fontId="56" fillId="2" borderId="25" xfId="0" applyFont="1" applyFill="1" applyBorder="1" applyAlignment="1">
      <alignment horizontal="center" shrinkToFit="1"/>
    </xf>
    <xf numFmtId="0" fontId="15" fillId="0" borderId="23" xfId="0" applyFont="1" applyBorder="1" applyAlignment="1">
      <alignment horizontal="center" vertical="center" shrinkToFit="1"/>
    </xf>
    <xf numFmtId="0" fontId="15" fillId="0" borderId="30" xfId="0" applyFont="1" applyBorder="1" applyAlignment="1">
      <alignment horizontal="center" vertical="center" shrinkToFit="1"/>
    </xf>
    <xf numFmtId="0" fontId="56" fillId="2" borderId="27" xfId="0" applyFont="1" applyFill="1" applyBorder="1" applyAlignment="1">
      <alignment horizontal="center" vertical="center" shrinkToFit="1"/>
    </xf>
    <xf numFmtId="0" fontId="56" fillId="2" borderId="25" xfId="0" applyFont="1" applyFill="1" applyBorder="1" applyAlignment="1">
      <alignment horizontal="center" vertical="center" shrinkToFit="1"/>
    </xf>
    <xf numFmtId="0" fontId="56" fillId="2" borderId="28" xfId="0" applyFont="1" applyFill="1" applyBorder="1" applyAlignment="1">
      <alignment horizontal="center" vertical="center" shrinkToFit="1"/>
    </xf>
    <xf numFmtId="0" fontId="15" fillId="0" borderId="29" xfId="0" applyFont="1" applyBorder="1" applyAlignment="1">
      <alignment horizontal="center" vertical="center" shrinkToFit="1"/>
    </xf>
    <xf numFmtId="0" fontId="56" fillId="2" borderId="23" xfId="0" applyFont="1" applyFill="1" applyBorder="1" applyAlignment="1">
      <alignment horizontal="center" vertical="center" shrinkToFit="1"/>
    </xf>
    <xf numFmtId="0" fontId="56" fillId="2" borderId="29" xfId="0" applyFont="1" applyFill="1" applyBorder="1" applyAlignment="1">
      <alignment horizontal="center" vertical="center" shrinkToFit="1"/>
    </xf>
    <xf numFmtId="0" fontId="56" fillId="2" borderId="30" xfId="0" applyFont="1" applyFill="1" applyBorder="1" applyAlignment="1">
      <alignment horizontal="center" vertical="center" shrinkToFit="1"/>
    </xf>
    <xf numFmtId="0" fontId="63" fillId="0" borderId="22" xfId="0" applyFont="1" applyBorder="1" applyAlignment="1">
      <alignment shrinkToFit="1"/>
    </xf>
    <xf numFmtId="0" fontId="76" fillId="0" borderId="22" xfId="0" applyFont="1" applyBorder="1" applyAlignment="1">
      <alignment shrinkToFit="1"/>
    </xf>
    <xf numFmtId="0" fontId="41" fillId="0" borderId="0" xfId="11" applyFont="1" applyAlignment="1">
      <alignment horizontal="center" vertical="center" shrinkToFit="1"/>
    </xf>
    <xf numFmtId="0" fontId="50" fillId="0" borderId="0" xfId="11" applyFont="1" applyAlignment="1">
      <alignment horizontal="left" vertical="center" shrinkToFit="1"/>
    </xf>
    <xf numFmtId="0" fontId="43" fillId="0" borderId="22" xfId="11" applyFont="1" applyBorder="1" applyAlignment="1">
      <alignment horizontal="center" vertical="center"/>
    </xf>
    <xf numFmtId="0" fontId="28" fillId="0" borderId="22" xfId="11" applyFont="1" applyBorder="1" applyAlignment="1">
      <alignment horizontal="center" vertical="center" shrinkToFit="1"/>
    </xf>
    <xf numFmtId="0" fontId="28" fillId="0" borderId="37" xfId="11" applyFont="1" applyBorder="1" applyAlignment="1">
      <alignment horizontal="center" vertical="center" shrinkToFit="1"/>
    </xf>
    <xf numFmtId="0" fontId="28" fillId="0" borderId="0" xfId="11" applyFont="1" applyAlignment="1">
      <alignment horizontal="center" vertical="center" shrinkToFit="1"/>
    </xf>
    <xf numFmtId="0" fontId="26" fillId="0" borderId="22" xfId="11" applyFont="1" applyBorder="1" applyAlignment="1">
      <alignment horizontal="center" vertical="center" shrinkToFit="1"/>
    </xf>
    <xf numFmtId="0" fontId="26" fillId="0" borderId="22" xfId="11" applyFont="1" applyBorder="1" applyAlignment="1">
      <alignment horizontal="center" shrinkToFit="1"/>
    </xf>
    <xf numFmtId="0" fontId="54" fillId="0" borderId="22" xfId="11" applyFont="1" applyBorder="1" applyAlignment="1">
      <alignment horizontal="center" vertical="center" shrinkToFit="1"/>
    </xf>
    <xf numFmtId="0" fontId="32" fillId="0" borderId="22" xfId="11" applyFont="1" applyBorder="1" applyAlignment="1">
      <alignment horizontal="center" vertical="center" shrinkToFit="1"/>
    </xf>
    <xf numFmtId="0" fontId="42" fillId="2" borderId="22" xfId="11" applyFont="1" applyFill="1" applyBorder="1" applyAlignment="1">
      <alignment horizontal="center" vertical="center" shrinkToFit="1"/>
    </xf>
    <xf numFmtId="0" fontId="37" fillId="0" borderId="22" xfId="11" applyFont="1" applyBorder="1" applyAlignment="1">
      <alignment horizontal="left" vertical="center" wrapText="1"/>
    </xf>
    <xf numFmtId="0" fontId="28" fillId="2" borderId="35" xfId="11" applyFont="1" applyFill="1" applyBorder="1" applyAlignment="1">
      <alignment horizontal="center" vertical="center" shrinkToFit="1"/>
    </xf>
    <xf numFmtId="0" fontId="28" fillId="2" borderId="26" xfId="11" applyFont="1" applyFill="1" applyBorder="1" applyAlignment="1">
      <alignment horizontal="center" vertical="center" shrinkToFit="1"/>
    </xf>
    <xf numFmtId="0" fontId="28" fillId="2" borderId="43" xfId="11" applyFont="1" applyFill="1" applyBorder="1" applyAlignment="1">
      <alignment horizontal="center" vertical="center" shrinkToFit="1"/>
    </xf>
    <xf numFmtId="0" fontId="28" fillId="2" borderId="57" xfId="11" applyFont="1" applyFill="1" applyBorder="1" applyAlignment="1">
      <alignment horizontal="center" vertical="center" shrinkToFit="1"/>
    </xf>
    <xf numFmtId="0" fontId="28" fillId="2" borderId="58" xfId="11" applyFont="1" applyFill="1" applyBorder="1" applyAlignment="1">
      <alignment horizontal="center" vertical="center" shrinkToFit="1"/>
    </xf>
    <xf numFmtId="0" fontId="28" fillId="2" borderId="59" xfId="11" applyFont="1" applyFill="1" applyBorder="1" applyAlignment="1">
      <alignment horizontal="center" vertical="center" shrinkToFit="1"/>
    </xf>
    <xf numFmtId="0" fontId="28" fillId="2" borderId="27" xfId="11" applyFont="1" applyFill="1" applyBorder="1" applyAlignment="1">
      <alignment horizontal="center" vertical="center" shrinkToFit="1"/>
    </xf>
    <xf numFmtId="0" fontId="28" fillId="2" borderId="28" xfId="11" applyFont="1" applyFill="1" applyBorder="1" applyAlignment="1">
      <alignment horizontal="center" vertical="center" shrinkToFit="1"/>
    </xf>
    <xf numFmtId="0" fontId="28" fillId="2" borderId="25" xfId="11" applyFont="1" applyFill="1" applyBorder="1" applyAlignment="1">
      <alignment horizontal="center" vertical="center" shrinkToFit="1"/>
    </xf>
    <xf numFmtId="0" fontId="26" fillId="0" borderId="22" xfId="11" applyFont="1" applyBorder="1" applyAlignment="1">
      <alignment horizontal="center" vertical="center" wrapText="1" shrinkToFit="1"/>
    </xf>
    <xf numFmtId="0" fontId="63" fillId="0" borderId="22" xfId="11" applyFont="1" applyBorder="1" applyAlignment="1">
      <alignment horizontal="left" vertical="center" wrapText="1"/>
    </xf>
    <xf numFmtId="0" fontId="63" fillId="2" borderId="22" xfId="11" applyFont="1" applyFill="1" applyBorder="1" applyAlignment="1">
      <alignment horizontal="center" vertical="center" shrinkToFit="1"/>
    </xf>
    <xf numFmtId="0" fontId="28" fillId="2" borderId="22" xfId="11" applyFont="1" applyFill="1" applyBorder="1" applyAlignment="1">
      <alignment horizontal="center" vertical="center" shrinkToFit="1"/>
    </xf>
    <xf numFmtId="0" fontId="37" fillId="4" borderId="22" xfId="11" applyFont="1" applyFill="1" applyBorder="1" applyAlignment="1">
      <alignment vertical="center" wrapText="1"/>
    </xf>
    <xf numFmtId="0" fontId="37" fillId="0" borderId="22" xfId="11" applyFont="1" applyBorder="1" applyAlignment="1">
      <alignment vertical="center" wrapText="1"/>
    </xf>
    <xf numFmtId="0" fontId="63" fillId="4" borderId="22" xfId="11" applyFont="1" applyFill="1" applyBorder="1" applyAlignment="1">
      <alignment vertical="center" wrapText="1"/>
    </xf>
    <xf numFmtId="0" fontId="63" fillId="0" borderId="22" xfId="11" applyFont="1" applyBorder="1" applyAlignment="1">
      <alignment vertical="center" wrapText="1"/>
    </xf>
    <xf numFmtId="0" fontId="51" fillId="0" borderId="0" xfId="11" applyFont="1" applyAlignment="1">
      <alignment horizontal="left" vertical="center" shrinkToFit="1"/>
    </xf>
    <xf numFmtId="0" fontId="26" fillId="9" borderId="22" xfId="11" applyFont="1" applyFill="1" applyBorder="1" applyAlignment="1">
      <alignment horizontal="center" vertical="center" shrinkToFit="1"/>
    </xf>
    <xf numFmtId="0" fontId="28" fillId="9" borderId="22" xfId="11" applyFont="1" applyFill="1" applyBorder="1" applyAlignment="1">
      <alignment horizontal="center" vertical="center" shrinkToFit="1"/>
    </xf>
    <xf numFmtId="0" fontId="63" fillId="0" borderId="22" xfId="11" applyFont="1" applyBorder="1" applyAlignment="1">
      <alignment horizontal="center" vertical="center" wrapText="1"/>
    </xf>
    <xf numFmtId="0" fontId="7" fillId="2" borderId="39" xfId="11" applyFont="1" applyFill="1" applyBorder="1" applyAlignment="1">
      <alignment horizontal="center" shrinkToFit="1"/>
    </xf>
    <xf numFmtId="0" fontId="7" fillId="2" borderId="2" xfId="11" applyFont="1" applyFill="1" applyBorder="1" applyAlignment="1">
      <alignment horizontal="center" shrinkToFit="1"/>
    </xf>
    <xf numFmtId="0" fontId="7" fillId="2" borderId="3" xfId="11" applyFont="1" applyFill="1" applyBorder="1" applyAlignment="1">
      <alignment horizontal="center" shrinkToFit="1"/>
    </xf>
    <xf numFmtId="0" fontId="35" fillId="0" borderId="27" xfId="11" applyFont="1" applyBorder="1" applyAlignment="1">
      <alignment horizontal="center" vertical="center" shrinkToFit="1"/>
    </xf>
    <xf numFmtId="0" fontId="35" fillId="0" borderId="25" xfId="11" applyFont="1" applyBorder="1" applyAlignment="1">
      <alignment horizontal="center" vertical="center" shrinkToFit="1"/>
    </xf>
    <xf numFmtId="0" fontId="7" fillId="2" borderId="68" xfId="11" applyFont="1" applyFill="1" applyBorder="1" applyAlignment="1">
      <alignment horizontal="center" vertical="center" shrinkToFit="1"/>
    </xf>
    <xf numFmtId="0" fontId="7" fillId="2" borderId="58" xfId="11" applyFont="1" applyFill="1" applyBorder="1" applyAlignment="1">
      <alignment horizontal="center" vertical="center" shrinkToFit="1"/>
    </xf>
    <xf numFmtId="0" fontId="7" fillId="2" borderId="61" xfId="11" applyFont="1" applyFill="1" applyBorder="1" applyAlignment="1">
      <alignment horizontal="center" vertical="center" shrinkToFit="1"/>
    </xf>
    <xf numFmtId="0" fontId="11" fillId="2" borderId="27" xfId="11" applyFont="1" applyFill="1" applyBorder="1" applyAlignment="1">
      <alignment horizontal="center" vertical="center" shrinkToFit="1"/>
    </xf>
    <xf numFmtId="0" fontId="11" fillId="2" borderId="28" xfId="11" applyFont="1" applyFill="1" applyBorder="1" applyAlignment="1">
      <alignment horizontal="center" vertical="center" shrinkToFit="1"/>
    </xf>
    <xf numFmtId="0" fontId="11" fillId="2" borderId="25" xfId="11" applyFont="1" applyFill="1" applyBorder="1" applyAlignment="1">
      <alignment horizontal="center" vertical="center" shrinkToFit="1"/>
    </xf>
    <xf numFmtId="0" fontId="12" fillId="2" borderId="4" xfId="11" applyFont="1" applyFill="1" applyBorder="1" applyAlignment="1">
      <alignment horizontal="center" vertical="center" shrinkToFit="1"/>
    </xf>
    <xf numFmtId="0" fontId="12" fillId="2" borderId="3" xfId="11" applyFont="1" applyFill="1" applyBorder="1" applyAlignment="1">
      <alignment horizontal="center" vertical="center" shrinkToFit="1"/>
    </xf>
    <xf numFmtId="0" fontId="24" fillId="0" borderId="23" xfId="11" applyBorder="1" applyAlignment="1">
      <alignment horizontal="center" vertical="center" shrinkToFit="1"/>
    </xf>
    <xf numFmtId="0" fontId="24" fillId="0" borderId="29" xfId="11" applyBorder="1" applyAlignment="1">
      <alignment horizontal="center" vertical="center" shrinkToFit="1"/>
    </xf>
    <xf numFmtId="0" fontId="24" fillId="0" borderId="30" xfId="11" applyBorder="1" applyAlignment="1">
      <alignment horizontal="center" vertical="center" shrinkToFit="1"/>
    </xf>
    <xf numFmtId="0" fontId="65" fillId="0" borderId="23" xfId="11" applyFont="1" applyBorder="1" applyAlignment="1">
      <alignment horizontal="center" vertical="center" wrapText="1" shrinkToFit="1"/>
    </xf>
    <xf numFmtId="0" fontId="65" fillId="0" borderId="29" xfId="11" applyFont="1" applyBorder="1" applyAlignment="1">
      <alignment horizontal="center" vertical="center" wrapText="1" shrinkToFit="1"/>
    </xf>
    <xf numFmtId="0" fontId="65" fillId="0" borderId="30" xfId="11" applyFont="1" applyBorder="1" applyAlignment="1">
      <alignment horizontal="center" vertical="center" wrapText="1" shrinkToFit="1"/>
    </xf>
    <xf numFmtId="0" fontId="76" fillId="0" borderId="4" xfId="11" applyFont="1" applyBorder="1" applyAlignment="1">
      <alignment horizontal="center" vertical="center" shrinkToFit="1"/>
    </xf>
    <xf numFmtId="0" fontId="76" fillId="0" borderId="3" xfId="11" applyFont="1" applyBorder="1" applyAlignment="1">
      <alignment horizontal="center" vertical="center" shrinkToFit="1"/>
    </xf>
    <xf numFmtId="0" fontId="76" fillId="0" borderId="4" xfId="11" applyFont="1" applyBorder="1" applyAlignment="1">
      <alignment horizontal="center" shrinkToFit="1"/>
    </xf>
    <xf numFmtId="0" fontId="76" fillId="0" borderId="3" xfId="11" applyFont="1" applyBorder="1" applyAlignment="1">
      <alignment horizontal="center" shrinkToFit="1"/>
    </xf>
    <xf numFmtId="0" fontId="7" fillId="2" borderId="27" xfId="11" applyFont="1" applyFill="1" applyBorder="1" applyAlignment="1">
      <alignment horizontal="center" vertical="center" shrinkToFit="1"/>
    </xf>
    <xf numFmtId="0" fontId="7" fillId="2" borderId="28" xfId="11" applyFont="1" applyFill="1" applyBorder="1" applyAlignment="1">
      <alignment horizontal="center" vertical="center" shrinkToFit="1"/>
    </xf>
    <xf numFmtId="0" fontId="7" fillId="2" borderId="25" xfId="11" applyFont="1" applyFill="1" applyBorder="1" applyAlignment="1">
      <alignment horizontal="center" vertical="center" shrinkToFit="1"/>
    </xf>
    <xf numFmtId="0" fontId="35" fillId="0" borderId="23" xfId="11" applyFont="1" applyBorder="1" applyAlignment="1">
      <alignment horizontal="center" vertical="center" wrapText="1" shrinkToFit="1"/>
    </xf>
    <xf numFmtId="0" fontId="35" fillId="0" borderId="29" xfId="11" applyFont="1" applyBorder="1" applyAlignment="1">
      <alignment horizontal="center" vertical="center" wrapText="1" shrinkToFit="1"/>
    </xf>
    <xf numFmtId="0" fontId="35" fillId="0" borderId="30" xfId="11" applyFont="1" applyBorder="1" applyAlignment="1">
      <alignment horizontal="center" vertical="center" wrapText="1" shrinkToFit="1"/>
    </xf>
    <xf numFmtId="0" fontId="76" fillId="0" borderId="4" xfId="11" applyFont="1" applyBorder="1" applyAlignment="1">
      <alignment vertical="center" wrapText="1" shrinkToFit="1"/>
    </xf>
    <xf numFmtId="0" fontId="76" fillId="0" borderId="3" xfId="11" applyFont="1" applyBorder="1" applyAlignment="1">
      <alignment vertical="center" wrapText="1" shrinkToFit="1"/>
    </xf>
    <xf numFmtId="0" fontId="76" fillId="0" borderId="4" xfId="11" applyFont="1" applyBorder="1" applyAlignment="1">
      <alignment vertical="center" wrapText="1"/>
    </xf>
    <xf numFmtId="0" fontId="76" fillId="0" borderId="3" xfId="11" applyFont="1" applyBorder="1" applyAlignment="1">
      <alignment vertical="center" wrapText="1"/>
    </xf>
    <xf numFmtId="0" fontId="7" fillId="2" borderId="4" xfId="11" applyFont="1" applyFill="1" applyBorder="1" applyAlignment="1">
      <alignment horizontal="center" vertical="center" shrinkToFit="1"/>
    </xf>
    <xf numFmtId="0" fontId="7" fillId="2" borderId="2" xfId="11" applyFont="1" applyFill="1" applyBorder="1" applyAlignment="1">
      <alignment horizontal="center" vertical="center" shrinkToFit="1"/>
    </xf>
    <xf numFmtId="0" fontId="7" fillId="2" borderId="3" xfId="11" applyFont="1" applyFill="1" applyBorder="1" applyAlignment="1">
      <alignment horizontal="center" vertical="center" shrinkToFit="1"/>
    </xf>
    <xf numFmtId="0" fontId="11" fillId="2" borderId="54" xfId="11" applyFont="1" applyFill="1" applyBorder="1" applyAlignment="1">
      <alignment horizontal="center" vertical="center" shrinkToFit="1"/>
    </xf>
    <xf numFmtId="0" fontId="11" fillId="2" borderId="47" xfId="11" applyFont="1" applyFill="1" applyBorder="1" applyAlignment="1">
      <alignment horizontal="center" vertical="center" shrinkToFit="1"/>
    </xf>
    <xf numFmtId="0" fontId="11" fillId="2" borderId="48" xfId="11" applyFont="1" applyFill="1" applyBorder="1" applyAlignment="1">
      <alignment horizontal="center" vertical="center" shrinkToFit="1"/>
    </xf>
    <xf numFmtId="0" fontId="83" fillId="4" borderId="4" xfId="11" applyFont="1" applyFill="1" applyBorder="1" applyAlignment="1">
      <alignment vertical="center" wrapText="1"/>
    </xf>
    <xf numFmtId="0" fontId="83" fillId="4" borderId="3" xfId="11" applyFont="1" applyFill="1" applyBorder="1" applyAlignment="1">
      <alignment vertical="center" wrapText="1"/>
    </xf>
    <xf numFmtId="0" fontId="76" fillId="0" borderId="4" xfId="11" applyFont="1" applyBorder="1" applyAlignment="1">
      <alignment horizontal="left" vertical="top" wrapText="1"/>
    </xf>
    <xf numFmtId="0" fontId="76" fillId="0" borderId="3" xfId="11" applyFont="1" applyBorder="1" applyAlignment="1">
      <alignment horizontal="left" vertical="top" wrapText="1"/>
    </xf>
    <xf numFmtId="0" fontId="76" fillId="0" borderId="4" xfId="11" applyFont="1" applyBorder="1" applyAlignment="1">
      <alignment horizontal="left" vertical="center" wrapText="1"/>
    </xf>
    <xf numFmtId="0" fontId="76" fillId="0" borderId="3" xfId="11" applyFont="1" applyBorder="1" applyAlignment="1">
      <alignment horizontal="left" vertical="center" wrapText="1"/>
    </xf>
    <xf numFmtId="0" fontId="76" fillId="4" borderId="4" xfId="11" applyFont="1" applyFill="1" applyBorder="1" applyAlignment="1">
      <alignment vertical="center" wrapText="1"/>
    </xf>
    <xf numFmtId="0" fontId="76" fillId="4" borderId="3" xfId="11" applyFont="1" applyFill="1" applyBorder="1" applyAlignment="1">
      <alignment vertical="center" wrapText="1"/>
    </xf>
    <xf numFmtId="0" fontId="24" fillId="0" borderId="23" xfId="11" applyBorder="1" applyAlignment="1">
      <alignment horizontal="center" vertical="center" wrapText="1" shrinkToFit="1"/>
    </xf>
    <xf numFmtId="0" fontId="24" fillId="0" borderId="29" xfId="11" applyBorder="1" applyAlignment="1">
      <alignment horizontal="center" vertical="center" wrapText="1" shrinkToFit="1"/>
    </xf>
    <xf numFmtId="0" fontId="24" fillId="0" borderId="30" xfId="11" applyBorder="1" applyAlignment="1">
      <alignment horizontal="center" vertical="center" wrapText="1" shrinkToFit="1"/>
    </xf>
    <xf numFmtId="0" fontId="37" fillId="0" borderId="68" xfId="11" applyFont="1" applyBorder="1" applyAlignment="1">
      <alignment horizontal="left" vertical="center" wrapText="1"/>
    </xf>
    <xf numFmtId="0" fontId="37" fillId="0" borderId="61" xfId="11" applyFont="1" applyBorder="1" applyAlignment="1">
      <alignment horizontal="left" vertical="center" wrapText="1"/>
    </xf>
    <xf numFmtId="0" fontId="76" fillId="4" borderId="4" xfId="11" applyFont="1" applyFill="1" applyBorder="1" applyAlignment="1">
      <alignment horizontal="left" vertical="center" wrapText="1"/>
    </xf>
    <xf numFmtId="0" fontId="76" fillId="4" borderId="3" xfId="11" applyFont="1" applyFill="1" applyBorder="1" applyAlignment="1">
      <alignment horizontal="left" vertical="center" wrapText="1"/>
    </xf>
    <xf numFmtId="0" fontId="76" fillId="0" borderId="4" xfId="11" applyFont="1" applyBorder="1" applyAlignment="1">
      <alignment horizontal="left" vertical="center" wrapText="1" shrinkToFit="1"/>
    </xf>
    <xf numFmtId="0" fontId="76" fillId="0" borderId="3" xfId="11" applyFont="1" applyBorder="1" applyAlignment="1">
      <alignment horizontal="left" vertical="center" wrapText="1" shrinkToFit="1"/>
    </xf>
    <xf numFmtId="0" fontId="7" fillId="2" borderId="35" xfId="11" applyFont="1" applyFill="1" applyBorder="1" applyAlignment="1">
      <alignment horizontal="center" vertical="center" shrinkToFit="1"/>
    </xf>
    <xf numFmtId="0" fontId="7" fillId="2" borderId="26" xfId="11" applyFont="1" applyFill="1" applyBorder="1" applyAlignment="1">
      <alignment horizontal="center" vertical="center" shrinkToFit="1"/>
    </xf>
    <xf numFmtId="0" fontId="7" fillId="2" borderId="36" xfId="11" applyFont="1" applyFill="1" applyBorder="1" applyAlignment="1">
      <alignment horizontal="center" vertical="center" shrinkToFit="1"/>
    </xf>
    <xf numFmtId="0" fontId="26" fillId="9" borderId="27" xfId="11" applyFont="1" applyFill="1" applyBorder="1" applyAlignment="1">
      <alignment horizontal="center" vertical="center" shrinkToFit="1"/>
    </xf>
    <xf numFmtId="0" fontId="26" fillId="9" borderId="25" xfId="11" applyFont="1" applyFill="1" applyBorder="1" applyAlignment="1">
      <alignment horizontal="center" vertical="center" shrinkToFit="1"/>
    </xf>
    <xf numFmtId="0" fontId="28" fillId="9" borderId="27" xfId="11" applyFont="1" applyFill="1" applyBorder="1" applyAlignment="1">
      <alignment horizontal="center" vertical="center" shrinkToFit="1"/>
    </xf>
    <xf numFmtId="0" fontId="28" fillId="9" borderId="25" xfId="11" applyFont="1" applyFill="1" applyBorder="1" applyAlignment="1">
      <alignment horizontal="center" vertical="center" shrinkToFit="1"/>
    </xf>
    <xf numFmtId="0" fontId="28" fillId="0" borderId="27" xfId="11" applyFont="1" applyBorder="1" applyAlignment="1">
      <alignment horizontal="center" vertical="center" shrinkToFit="1"/>
    </xf>
    <xf numFmtId="0" fontId="28" fillId="0" borderId="25" xfId="11" applyFont="1" applyBorder="1" applyAlignment="1">
      <alignment horizontal="center" vertical="center" shrinkToFit="1"/>
    </xf>
    <xf numFmtId="0" fontId="50" fillId="0" borderId="26" xfId="11" applyFont="1" applyBorder="1" applyAlignment="1">
      <alignment horizontal="left" vertical="center" shrinkToFit="1"/>
    </xf>
    <xf numFmtId="0" fontId="28" fillId="0" borderId="23" xfId="11" applyFont="1" applyBorder="1" applyAlignment="1">
      <alignment horizontal="center" vertical="center" shrinkToFit="1"/>
    </xf>
    <xf numFmtId="0" fontId="28" fillId="0" borderId="30" xfId="11" applyFont="1" applyBorder="1" applyAlignment="1">
      <alignment horizontal="center" vertical="center" shrinkToFit="1"/>
    </xf>
    <xf numFmtId="0" fontId="26" fillId="0" borderId="27" xfId="11" applyFont="1" applyBorder="1" applyAlignment="1">
      <alignment horizontal="center" vertical="center" shrinkToFit="1"/>
    </xf>
    <xf numFmtId="0" fontId="26" fillId="0" borderId="25" xfId="11" applyFont="1" applyBorder="1" applyAlignment="1">
      <alignment horizontal="center" vertical="center" shrinkToFit="1"/>
    </xf>
    <xf numFmtId="0" fontId="63" fillId="0" borderId="4" xfId="11" applyFont="1" applyBorder="1" applyAlignment="1">
      <alignment horizontal="left" vertical="center" wrapText="1"/>
    </xf>
    <xf numFmtId="0" fontId="63" fillId="0" borderId="62" xfId="11" applyFont="1" applyBorder="1" applyAlignment="1">
      <alignment horizontal="left" vertical="center" wrapText="1"/>
    </xf>
    <xf numFmtId="0" fontId="28" fillId="2" borderId="46" xfId="11" applyFont="1" applyFill="1" applyBorder="1" applyAlignment="1">
      <alignment horizontal="center" shrinkToFit="1"/>
    </xf>
    <xf numFmtId="0" fontId="28" fillId="2" borderId="47" xfId="11" applyFont="1" applyFill="1" applyBorder="1" applyAlignment="1">
      <alignment horizontal="center" shrinkToFit="1"/>
    </xf>
    <xf numFmtId="0" fontId="28" fillId="2" borderId="63" xfId="11" applyFont="1" applyFill="1" applyBorder="1" applyAlignment="1">
      <alignment horizontal="center" shrinkToFit="1"/>
    </xf>
    <xf numFmtId="0" fontId="63" fillId="2" borderId="57" xfId="11" applyFont="1" applyFill="1" applyBorder="1" applyAlignment="1">
      <alignment horizontal="center" vertical="center" shrinkToFit="1"/>
    </xf>
    <xf numFmtId="0" fontId="63" fillId="2" borderId="61" xfId="11" applyFont="1" applyFill="1" applyBorder="1" applyAlignment="1">
      <alignment horizontal="center" vertical="center" shrinkToFit="1"/>
    </xf>
    <xf numFmtId="0" fontId="63" fillId="2" borderId="57" xfId="11" applyFont="1" applyFill="1" applyBorder="1" applyAlignment="1">
      <alignment horizontal="left" vertical="center" shrinkToFit="1"/>
    </xf>
    <xf numFmtId="0" fontId="63" fillId="2" borderId="61" xfId="11" applyFont="1" applyFill="1" applyBorder="1" applyAlignment="1">
      <alignment horizontal="left" vertical="center" shrinkToFit="1"/>
    </xf>
    <xf numFmtId="0" fontId="63" fillId="0" borderId="4" xfId="11" applyFont="1" applyBorder="1" applyAlignment="1">
      <alignment horizontal="left" vertical="center" shrinkToFit="1"/>
    </xf>
    <xf numFmtId="0" fontId="63" fillId="0" borderId="62" xfId="11" applyFont="1" applyBorder="1" applyAlignment="1">
      <alignment horizontal="left" vertical="center" shrinkToFit="1"/>
    </xf>
    <xf numFmtId="0" fontId="63" fillId="2" borderId="52" xfId="11" applyFont="1" applyFill="1" applyBorder="1" applyAlignment="1">
      <alignment horizontal="center" vertical="center" shrinkToFit="1"/>
    </xf>
    <xf numFmtId="0" fontId="63" fillId="2" borderId="26" xfId="11" applyFont="1" applyFill="1" applyBorder="1" applyAlignment="1">
      <alignment horizontal="center" vertical="center" shrinkToFit="1"/>
    </xf>
    <xf numFmtId="0" fontId="63" fillId="2" borderId="36" xfId="11" applyFont="1" applyFill="1" applyBorder="1" applyAlignment="1">
      <alignment horizontal="center" vertical="center" shrinkToFit="1"/>
    </xf>
    <xf numFmtId="0" fontId="63" fillId="0" borderId="68" xfId="11" applyFont="1" applyBorder="1" applyAlignment="1">
      <alignment horizontal="left" vertical="center" wrapText="1"/>
    </xf>
    <xf numFmtId="0" fontId="63" fillId="0" borderId="61" xfId="11" applyFont="1" applyBorder="1" applyAlignment="1">
      <alignment horizontal="left" vertical="center" wrapText="1"/>
    </xf>
    <xf numFmtId="0" fontId="63" fillId="2" borderId="52" xfId="11" applyFont="1" applyFill="1" applyBorder="1" applyAlignment="1">
      <alignment horizontal="left" vertical="center" shrinkToFit="1"/>
    </xf>
    <xf numFmtId="0" fontId="63" fillId="2" borderId="26" xfId="11" applyFont="1" applyFill="1" applyBorder="1" applyAlignment="1">
      <alignment horizontal="left" vertical="center" shrinkToFit="1"/>
    </xf>
    <xf numFmtId="0" fontId="63" fillId="2" borderId="53" xfId="11" applyFont="1" applyFill="1" applyBorder="1" applyAlignment="1">
      <alignment horizontal="left" vertical="center" shrinkToFit="1"/>
    </xf>
    <xf numFmtId="0" fontId="56" fillId="0" borderId="22" xfId="11" applyFont="1" applyBorder="1" applyAlignment="1">
      <alignment horizontal="center" vertical="center" shrinkToFit="1"/>
    </xf>
    <xf numFmtId="0" fontId="76" fillId="4" borderId="4" xfId="11" applyFont="1" applyFill="1" applyBorder="1" applyAlignment="1">
      <alignment vertical="top" wrapText="1" shrinkToFit="1"/>
    </xf>
    <xf numFmtId="0" fontId="76" fillId="4" borderId="3" xfId="11" applyFont="1" applyFill="1" applyBorder="1" applyAlignment="1">
      <alignment vertical="top" wrapText="1" shrinkToFit="1"/>
    </xf>
    <xf numFmtId="0" fontId="76" fillId="0" borderId="4" xfId="11" applyFont="1" applyBorder="1" applyAlignment="1">
      <alignment vertical="top" wrapText="1" shrinkToFit="1"/>
    </xf>
    <xf numFmtId="0" fontId="76" fillId="0" borderId="3" xfId="11" applyFont="1" applyBorder="1" applyAlignment="1">
      <alignment vertical="top" wrapText="1" shrinkToFit="1"/>
    </xf>
    <xf numFmtId="0" fontId="83" fillId="0" borderId="4" xfId="11" applyFont="1" applyBorder="1" applyAlignment="1">
      <alignment vertical="center" wrapText="1"/>
    </xf>
    <xf numFmtId="0" fontId="83" fillId="0" borderId="3" xfId="11" applyFont="1" applyBorder="1" applyAlignment="1">
      <alignment vertical="center" wrapText="1"/>
    </xf>
    <xf numFmtId="0" fontId="7" fillId="2" borderId="9" xfId="11" applyFont="1" applyFill="1" applyBorder="1" applyAlignment="1">
      <alignment horizontal="center" vertical="center" shrinkToFit="1"/>
    </xf>
    <xf numFmtId="0" fontId="7" fillId="2" borderId="10" xfId="11" applyFont="1" applyFill="1" applyBorder="1" applyAlignment="1">
      <alignment horizontal="center" vertical="center" shrinkToFit="1"/>
    </xf>
    <xf numFmtId="0" fontId="7" fillId="2" borderId="8" xfId="11" applyFont="1" applyFill="1" applyBorder="1" applyAlignment="1">
      <alignment horizontal="center" vertical="center" shrinkToFit="1"/>
    </xf>
    <xf numFmtId="0" fontId="11" fillId="2" borderId="9" xfId="11" applyFont="1" applyFill="1" applyBorder="1" applyAlignment="1">
      <alignment horizontal="center" vertical="center" shrinkToFit="1"/>
    </xf>
    <xf numFmtId="0" fontId="11" fillId="2" borderId="10" xfId="11" applyFont="1" applyFill="1" applyBorder="1" applyAlignment="1">
      <alignment horizontal="center" vertical="center" shrinkToFit="1"/>
    </xf>
    <xf numFmtId="0" fontId="11" fillId="2" borderId="8" xfId="11" applyFont="1" applyFill="1" applyBorder="1" applyAlignment="1">
      <alignment horizontal="center" vertical="center" shrinkToFit="1"/>
    </xf>
    <xf numFmtId="0" fontId="88" fillId="0" borderId="26" xfId="11" applyFont="1" applyBorder="1" applyAlignment="1">
      <alignment horizontal="center" shrinkToFit="1"/>
    </xf>
    <xf numFmtId="0" fontId="26" fillId="0" borderId="26" xfId="11" applyFont="1" applyBorder="1" applyAlignment="1">
      <alignment horizontal="center" shrinkToFit="1"/>
    </xf>
    <xf numFmtId="0" fontId="28" fillId="0" borderId="22" xfId="11" applyFont="1" applyBorder="1" applyAlignment="1">
      <alignment horizontal="center" vertical="center"/>
    </xf>
    <xf numFmtId="0" fontId="26" fillId="0" borderId="27" xfId="11" applyFont="1" applyBorder="1" applyAlignment="1">
      <alignment horizontal="center" shrinkToFit="1"/>
    </xf>
    <xf numFmtId="0" fontId="26" fillId="0" borderId="25" xfId="11" applyFont="1" applyBorder="1" applyAlignment="1">
      <alignment horizontal="center" shrinkToFit="1"/>
    </xf>
    <xf numFmtId="0" fontId="54" fillId="0" borderId="27" xfId="11" applyFont="1" applyBorder="1" applyAlignment="1">
      <alignment horizontal="center" vertical="center" shrinkToFit="1"/>
    </xf>
    <xf numFmtId="0" fontId="54" fillId="0" borderId="25" xfId="11" applyFont="1" applyBorder="1" applyAlignment="1">
      <alignment horizontal="center" vertical="center" shrinkToFit="1"/>
    </xf>
    <xf numFmtId="0" fontId="32" fillId="0" borderId="27" xfId="11" applyFont="1" applyBorder="1" applyAlignment="1">
      <alignment horizontal="center" vertical="center" shrinkToFit="1"/>
    </xf>
    <xf numFmtId="0" fontId="32" fillId="0" borderId="25" xfId="11" applyFont="1" applyBorder="1" applyAlignment="1">
      <alignment horizontal="center" vertical="center" shrinkToFit="1"/>
    </xf>
    <xf numFmtId="0" fontId="28" fillId="2" borderId="61" xfId="11" applyFont="1" applyFill="1" applyBorder="1" applyAlignment="1">
      <alignment horizontal="center" vertical="center" shrinkToFit="1"/>
    </xf>
    <xf numFmtId="0" fontId="26" fillId="0" borderId="23" xfId="11" applyFont="1" applyBorder="1" applyAlignment="1">
      <alignment horizontal="center" vertical="center" shrinkToFit="1"/>
    </xf>
    <xf numFmtId="0" fontId="26" fillId="0" borderId="29" xfId="11" applyFont="1" applyBorder="1" applyAlignment="1">
      <alignment horizontal="center" vertical="center" shrinkToFit="1"/>
    </xf>
    <xf numFmtId="0" fontId="26" fillId="0" borderId="30" xfId="11" applyFont="1" applyBorder="1" applyAlignment="1">
      <alignment horizontal="center" vertical="center" shrinkToFit="1"/>
    </xf>
    <xf numFmtId="0" fontId="26" fillId="0" borderId="23" xfId="11" applyFont="1" applyBorder="1" applyAlignment="1">
      <alignment horizontal="center" vertical="center" wrapText="1" shrinkToFit="1"/>
    </xf>
    <xf numFmtId="0" fontId="26" fillId="0" borderId="29" xfId="11" applyFont="1" applyBorder="1" applyAlignment="1">
      <alignment horizontal="center" vertical="center" wrapText="1" shrinkToFit="1"/>
    </xf>
    <xf numFmtId="0" fontId="26" fillId="0" borderId="30" xfId="11" applyFont="1" applyBorder="1" applyAlignment="1">
      <alignment horizontal="center" vertical="center" wrapText="1" shrinkToFit="1"/>
    </xf>
    <xf numFmtId="0" fontId="37" fillId="0" borderId="4" xfId="11" applyFont="1" applyBorder="1" applyAlignment="1">
      <alignment horizontal="left" vertical="center" wrapText="1"/>
    </xf>
    <xf numFmtId="0" fontId="37" fillId="0" borderId="62" xfId="11" applyFont="1" applyBorder="1" applyAlignment="1">
      <alignment horizontal="left" vertical="center" wrapText="1"/>
    </xf>
    <xf numFmtId="0" fontId="28" fillId="2" borderId="70" xfId="11" applyFont="1" applyFill="1" applyBorder="1" applyAlignment="1">
      <alignment horizontal="center" vertical="center" shrinkToFit="1"/>
    </xf>
    <xf numFmtId="0" fontId="28" fillId="2" borderId="68" xfId="11" applyFont="1" applyFill="1" applyBorder="1" applyAlignment="1">
      <alignment horizontal="center" vertical="center" shrinkToFit="1"/>
    </xf>
    <xf numFmtId="0" fontId="28" fillId="2" borderId="31" xfId="11" applyFont="1" applyFill="1" applyBorder="1" applyAlignment="1">
      <alignment horizontal="center" vertical="center" shrinkToFit="1"/>
    </xf>
    <xf numFmtId="0" fontId="28" fillId="2" borderId="37" xfId="11" applyFont="1" applyFill="1" applyBorder="1" applyAlignment="1">
      <alignment horizontal="center" vertical="center" shrinkToFit="1"/>
    </xf>
    <xf numFmtId="0" fontId="28" fillId="2" borderId="32" xfId="11" applyFont="1" applyFill="1" applyBorder="1" applyAlignment="1">
      <alignment horizontal="center" vertical="center" shrinkToFit="1"/>
    </xf>
    <xf numFmtId="0" fontId="42" fillId="2" borderId="27" xfId="11" applyFont="1" applyFill="1" applyBorder="1" applyAlignment="1">
      <alignment horizontal="center" vertical="center" shrinkToFit="1"/>
    </xf>
    <xf numFmtId="0" fontId="42" fillId="2" borderId="25" xfId="11" applyFont="1" applyFill="1" applyBorder="1" applyAlignment="1">
      <alignment horizontal="center" vertical="center" shrinkToFit="1"/>
    </xf>
    <xf numFmtId="0" fontId="37" fillId="0" borderId="71" xfId="11" applyFont="1" applyBorder="1" applyAlignment="1">
      <alignment horizontal="left" vertical="center" wrapText="1"/>
    </xf>
    <xf numFmtId="0" fontId="63" fillId="0" borderId="71" xfId="11" applyFont="1" applyBorder="1" applyAlignment="1">
      <alignment horizontal="left" vertical="center" wrapText="1"/>
    </xf>
    <xf numFmtId="0" fontId="50" fillId="0" borderId="37" xfId="11" applyFont="1" applyBorder="1" applyAlignment="1">
      <alignment horizontal="left" vertical="center" shrinkToFit="1"/>
    </xf>
    <xf numFmtId="0" fontId="63" fillId="0" borderId="4" xfId="11" applyFont="1" applyBorder="1" applyAlignment="1">
      <alignment horizontal="left" vertical="center" wrapText="1" shrinkToFit="1"/>
    </xf>
    <xf numFmtId="0" fontId="63" fillId="0" borderId="3" xfId="11" applyFont="1" applyBorder="1" applyAlignment="1">
      <alignment horizontal="left" vertical="center" wrapText="1" shrinkToFit="1"/>
    </xf>
    <xf numFmtId="0" fontId="86" fillId="0" borderId="4" xfId="11" applyFont="1" applyBorder="1" applyAlignment="1">
      <alignment horizontal="left" vertical="center" wrapText="1"/>
    </xf>
    <xf numFmtId="0" fontId="86" fillId="0" borderId="3" xfId="11" applyFont="1" applyBorder="1" applyAlignment="1">
      <alignment horizontal="left" vertical="center" wrapText="1"/>
    </xf>
    <xf numFmtId="0" fontId="12" fillId="2" borderId="62" xfId="11" applyFont="1" applyFill="1" applyBorder="1" applyAlignment="1">
      <alignment horizontal="center" vertical="center" shrinkToFit="1"/>
    </xf>
    <xf numFmtId="0" fontId="76" fillId="0" borderId="62" xfId="11" applyFont="1" applyBorder="1" applyAlignment="1">
      <alignment horizontal="left" vertical="center" wrapText="1" shrinkToFit="1"/>
    </xf>
    <xf numFmtId="0" fontId="7" fillId="2" borderId="46" xfId="11" applyFont="1" applyFill="1" applyBorder="1" applyAlignment="1">
      <alignment horizontal="center" shrinkToFit="1"/>
    </xf>
    <xf numFmtId="0" fontId="7" fillId="2" borderId="47" xfId="11" applyFont="1" applyFill="1" applyBorder="1" applyAlignment="1">
      <alignment horizontal="center" shrinkToFit="1"/>
    </xf>
    <xf numFmtId="0" fontId="7" fillId="2" borderId="63" xfId="11" applyFont="1" applyFill="1" applyBorder="1" applyAlignment="1">
      <alignment horizontal="center" shrinkToFit="1"/>
    </xf>
    <xf numFmtId="0" fontId="83" fillId="0" borderId="62" xfId="11" applyFont="1" applyBorder="1" applyAlignment="1">
      <alignment vertical="center" wrapText="1"/>
    </xf>
    <xf numFmtId="0" fontId="76" fillId="0" borderId="62" xfId="11" applyFont="1" applyBorder="1" applyAlignment="1">
      <alignment vertical="center" wrapText="1"/>
    </xf>
    <xf numFmtId="0" fontId="76" fillId="0" borderId="62" xfId="11" applyFont="1" applyBorder="1" applyAlignment="1">
      <alignment horizontal="center" shrinkToFit="1"/>
    </xf>
    <xf numFmtId="0" fontId="7" fillId="2" borderId="62" xfId="11" applyFont="1" applyFill="1" applyBorder="1" applyAlignment="1">
      <alignment horizontal="center" shrinkToFit="1"/>
    </xf>
    <xf numFmtId="0" fontId="35" fillId="0" borderId="35" xfId="11" applyFont="1" applyBorder="1" applyAlignment="1">
      <alignment horizontal="center" vertical="center" shrinkToFit="1"/>
    </xf>
    <xf numFmtId="0" fontId="35" fillId="0" borderId="36" xfId="11" applyFont="1" applyBorder="1" applyAlignment="1">
      <alignment horizontal="center" vertical="center" shrinkToFit="1"/>
    </xf>
    <xf numFmtId="0" fontId="7" fillId="2" borderId="19" xfId="11" applyFont="1" applyFill="1" applyBorder="1" applyAlignment="1">
      <alignment horizontal="center" vertical="center" shrinkToFit="1"/>
    </xf>
    <xf numFmtId="0" fontId="7" fillId="2" borderId="20" xfId="11" applyFont="1" applyFill="1" applyBorder="1" applyAlignment="1">
      <alignment horizontal="center" vertical="center" shrinkToFit="1"/>
    </xf>
    <xf numFmtId="0" fontId="7" fillId="2" borderId="21" xfId="11" applyFont="1" applyFill="1" applyBorder="1" applyAlignment="1">
      <alignment horizontal="center" vertical="center" shrinkToFit="1"/>
    </xf>
    <xf numFmtId="0" fontId="11" fillId="2" borderId="78" xfId="11" applyFont="1" applyFill="1" applyBorder="1" applyAlignment="1">
      <alignment horizontal="center" vertical="center" shrinkToFit="1"/>
    </xf>
    <xf numFmtId="0" fontId="11" fillId="2" borderId="26" xfId="11" applyFont="1" applyFill="1" applyBorder="1" applyAlignment="1">
      <alignment horizontal="center" vertical="center" shrinkToFit="1"/>
    </xf>
    <xf numFmtId="0" fontId="11" fillId="2" borderId="53" xfId="11" applyFont="1" applyFill="1" applyBorder="1" applyAlignment="1">
      <alignment horizontal="center" vertical="center" shrinkToFit="1"/>
    </xf>
    <xf numFmtId="0" fontId="12" fillId="2" borderId="19" xfId="11" applyFont="1" applyFill="1" applyBorder="1" applyAlignment="1">
      <alignment horizontal="center" vertical="center" shrinkToFit="1"/>
    </xf>
    <xf numFmtId="0" fontId="12" fillId="2" borderId="94" xfId="11" applyFont="1" applyFill="1" applyBorder="1" applyAlignment="1">
      <alignment horizontal="center" vertical="center" shrinkToFit="1"/>
    </xf>
    <xf numFmtId="0" fontId="76" fillId="0" borderId="62" xfId="11" applyFont="1" applyBorder="1" applyAlignment="1">
      <alignment horizontal="left" vertical="center" wrapText="1"/>
    </xf>
    <xf numFmtId="0" fontId="76" fillId="4" borderId="62" xfId="11" applyFont="1" applyFill="1" applyBorder="1" applyAlignment="1">
      <alignment horizontal="left" vertical="center" wrapText="1"/>
    </xf>
    <xf numFmtId="0" fontId="41" fillId="0" borderId="31" xfId="11" applyFont="1" applyBorder="1" applyAlignment="1">
      <alignment horizontal="center" vertical="center" shrinkToFit="1"/>
    </xf>
    <xf numFmtId="0" fontId="41" fillId="0" borderId="37" xfId="11" applyFont="1" applyBorder="1" applyAlignment="1">
      <alignment horizontal="center" vertical="center" shrinkToFit="1"/>
    </xf>
    <xf numFmtId="0" fontId="41" fillId="0" borderId="32" xfId="11" applyFont="1" applyBorder="1" applyAlignment="1">
      <alignment horizontal="center" vertical="center" shrinkToFit="1"/>
    </xf>
    <xf numFmtId="0" fontId="41" fillId="0" borderId="33" xfId="11" applyFont="1" applyBorder="1" applyAlignment="1">
      <alignment horizontal="center" vertical="center" shrinkToFit="1"/>
    </xf>
    <xf numFmtId="0" fontId="41" fillId="0" borderId="34" xfId="11" applyFont="1" applyBorder="1" applyAlignment="1">
      <alignment horizontal="center" vertical="center" shrinkToFit="1"/>
    </xf>
    <xf numFmtId="0" fontId="28" fillId="2" borderId="22" xfId="0" applyFont="1" applyFill="1" applyBorder="1" applyAlignment="1">
      <alignment horizontal="center" vertical="center" shrinkToFit="1"/>
    </xf>
    <xf numFmtId="0" fontId="26" fillId="0" borderId="22" xfId="0" applyFont="1" applyBorder="1" applyAlignment="1">
      <alignment horizontal="center" vertical="center" shrinkToFit="1"/>
    </xf>
    <xf numFmtId="0" fontId="50" fillId="0" borderId="26" xfId="0" applyFont="1" applyBorder="1" applyAlignment="1">
      <alignment horizontal="left" vertical="center" shrinkToFit="1"/>
    </xf>
    <xf numFmtId="0" fontId="26" fillId="9" borderId="22" xfId="0" applyFont="1" applyFill="1" applyBorder="1" applyAlignment="1">
      <alignment horizontal="center" vertical="center" shrinkToFit="1"/>
    </xf>
    <xf numFmtId="0" fontId="28" fillId="0" borderId="22" xfId="0" applyFont="1" applyBorder="1" applyAlignment="1">
      <alignment shrinkToFit="1"/>
    </xf>
    <xf numFmtId="0" fontId="52" fillId="0" borderId="22" xfId="0" applyFont="1" applyBorder="1" applyAlignment="1">
      <alignment shrinkToFit="1"/>
    </xf>
    <xf numFmtId="0" fontId="28" fillId="9" borderId="22" xfId="0" applyFont="1" applyFill="1" applyBorder="1" applyAlignment="1">
      <alignment horizontal="center" vertical="center" shrinkToFit="1"/>
    </xf>
    <xf numFmtId="0" fontId="28" fillId="0" borderId="0" xfId="0" applyFont="1" applyAlignment="1">
      <alignment horizontal="center" shrinkToFit="1"/>
    </xf>
    <xf numFmtId="0" fontId="28" fillId="0" borderId="38" xfId="0" applyFont="1" applyBorder="1" applyAlignment="1">
      <alignment horizontal="center" shrinkToFit="1"/>
    </xf>
    <xf numFmtId="195" fontId="115" fillId="5" borderId="22" xfId="15" applyNumberFormat="1" applyFont="1" applyFill="1" applyBorder="1" applyAlignment="1">
      <alignment horizontal="center" vertical="center"/>
    </xf>
    <xf numFmtId="195" fontId="115" fillId="10" borderId="22" xfId="15" applyNumberFormat="1" applyFont="1" applyFill="1" applyBorder="1" applyAlignment="1">
      <alignment horizontal="center" vertical="center"/>
    </xf>
    <xf numFmtId="0" fontId="104" fillId="11" borderId="22" xfId="15" applyFont="1" applyFill="1" applyBorder="1" applyAlignment="1">
      <alignment horizontal="center" vertical="center"/>
    </xf>
    <xf numFmtId="0" fontId="105" fillId="0" borderId="23" xfId="15" applyFont="1" applyBorder="1" applyAlignment="1">
      <alignment horizontal="center" vertical="center"/>
    </xf>
    <xf numFmtId="0" fontId="105" fillId="0" borderId="30" xfId="15" applyFont="1" applyBorder="1" applyAlignment="1">
      <alignment horizontal="center" vertical="center"/>
    </xf>
    <xf numFmtId="193" fontId="105" fillId="0" borderId="23" xfId="15" applyNumberFormat="1" applyFont="1" applyBorder="1" applyAlignment="1">
      <alignment horizontal="center" vertical="center"/>
    </xf>
    <xf numFmtId="193" fontId="105" fillId="0" borderId="30" xfId="15" applyNumberFormat="1" applyFont="1" applyBorder="1" applyAlignment="1">
      <alignment horizontal="center" vertical="center"/>
    </xf>
    <xf numFmtId="186" fontId="105" fillId="0" borderId="23" xfId="15" applyNumberFormat="1" applyFont="1" applyBorder="1" applyAlignment="1">
      <alignment horizontal="center" vertical="center"/>
    </xf>
    <xf numFmtId="186" fontId="105" fillId="0" borderId="30" xfId="15" applyNumberFormat="1" applyFont="1" applyBorder="1" applyAlignment="1">
      <alignment horizontal="center" vertical="center"/>
    </xf>
    <xf numFmtId="0" fontId="107" fillId="0" borderId="23" xfId="11" applyFont="1" applyBorder="1" applyAlignment="1">
      <alignment horizontal="center" vertical="center"/>
    </xf>
    <xf numFmtId="0" fontId="107" fillId="0" borderId="29" xfId="11" applyFont="1" applyBorder="1" applyAlignment="1">
      <alignment horizontal="center" vertical="center"/>
    </xf>
    <xf numFmtId="0" fontId="107" fillId="0" borderId="30" xfId="11" applyFont="1" applyBorder="1" applyAlignment="1">
      <alignment horizontal="center" vertical="center"/>
    </xf>
    <xf numFmtId="0" fontId="36" fillId="5" borderId="23" xfId="22" applyFont="1" applyFill="1" applyBorder="1" applyAlignment="1">
      <alignment horizontal="center" vertical="center" wrapText="1"/>
    </xf>
    <xf numFmtId="0" fontId="36" fillId="5" borderId="30" xfId="22" applyFont="1" applyFill="1" applyBorder="1" applyAlignment="1">
      <alignment horizontal="center" vertical="center" wrapText="1"/>
    </xf>
    <xf numFmtId="0" fontId="48" fillId="5" borderId="31" xfId="5" applyFont="1" applyFill="1" applyBorder="1" applyAlignment="1">
      <alignment horizontal="center" vertical="center"/>
    </xf>
    <xf numFmtId="0" fontId="48" fillId="5" borderId="37" xfId="5" applyFont="1" applyFill="1" applyBorder="1" applyAlignment="1">
      <alignment horizontal="center" vertical="center"/>
    </xf>
    <xf numFmtId="0" fontId="48" fillId="5" borderId="32" xfId="5" applyFont="1" applyFill="1" applyBorder="1" applyAlignment="1">
      <alignment horizontal="center" vertical="center"/>
    </xf>
    <xf numFmtId="0" fontId="48" fillId="5" borderId="33" xfId="5" applyFont="1" applyFill="1" applyBorder="1" applyAlignment="1">
      <alignment horizontal="center" vertical="center"/>
    </xf>
    <xf numFmtId="0" fontId="48" fillId="5" borderId="0" xfId="5" applyFont="1" applyFill="1" applyAlignment="1">
      <alignment horizontal="center" vertical="center"/>
    </xf>
    <xf numFmtId="0" fontId="48" fillId="5" borderId="34" xfId="5" applyFont="1" applyFill="1" applyBorder="1" applyAlignment="1">
      <alignment horizontal="center" vertical="center"/>
    </xf>
    <xf numFmtId="0" fontId="48" fillId="5" borderId="35" xfId="5" applyFont="1" applyFill="1" applyBorder="1" applyAlignment="1">
      <alignment horizontal="center" vertical="center"/>
    </xf>
    <xf numFmtId="0" fontId="48" fillId="5" borderId="26" xfId="5" applyFont="1" applyFill="1" applyBorder="1" applyAlignment="1">
      <alignment horizontal="center" vertical="center"/>
    </xf>
    <xf numFmtId="0" fontId="48" fillId="5" borderId="36" xfId="5" applyFont="1" applyFill="1" applyBorder="1" applyAlignment="1">
      <alignment horizontal="center" vertical="center"/>
    </xf>
    <xf numFmtId="0" fontId="31" fillId="0" borderId="31" xfId="11" applyFont="1" applyBorder="1" applyAlignment="1">
      <alignment horizontal="center" vertical="center"/>
    </xf>
    <xf numFmtId="0" fontId="31" fillId="0" borderId="32" xfId="11" applyFont="1" applyBorder="1" applyAlignment="1">
      <alignment horizontal="center" vertical="center"/>
    </xf>
    <xf numFmtId="0" fontId="31" fillId="0" borderId="33" xfId="11" applyFont="1" applyBorder="1" applyAlignment="1">
      <alignment horizontal="center" vertical="center"/>
    </xf>
    <xf numFmtId="0" fontId="31" fillId="0" borderId="34" xfId="11" applyFont="1" applyBorder="1" applyAlignment="1">
      <alignment horizontal="center" vertical="center"/>
    </xf>
    <xf numFmtId="0" fontId="31" fillId="0" borderId="35" xfId="11" applyFont="1" applyBorder="1" applyAlignment="1">
      <alignment horizontal="center" vertical="center"/>
    </xf>
    <xf numFmtId="0" fontId="31" fillId="0" borderId="36" xfId="11" applyFont="1" applyBorder="1" applyAlignment="1">
      <alignment horizontal="center" vertical="center"/>
    </xf>
    <xf numFmtId="0" fontId="31" fillId="5" borderId="33" xfId="11" applyFont="1" applyFill="1" applyBorder="1" applyAlignment="1">
      <alignment horizontal="center" vertical="center"/>
    </xf>
    <xf numFmtId="0" fontId="31" fillId="5" borderId="34" xfId="11" applyFont="1" applyFill="1" applyBorder="1" applyAlignment="1">
      <alignment horizontal="center" vertical="center"/>
    </xf>
    <xf numFmtId="0" fontId="31" fillId="5" borderId="35" xfId="11" applyFont="1" applyFill="1" applyBorder="1" applyAlignment="1">
      <alignment horizontal="center" vertical="center"/>
    </xf>
    <xf numFmtId="0" fontId="31" fillId="5" borderId="36" xfId="11" applyFont="1" applyFill="1" applyBorder="1" applyAlignment="1">
      <alignment horizontal="center" vertical="center"/>
    </xf>
    <xf numFmtId="0" fontId="36" fillId="5" borderId="22" xfId="22" applyFont="1" applyFill="1" applyBorder="1" applyAlignment="1">
      <alignment horizontal="center" vertical="center"/>
    </xf>
    <xf numFmtId="0" fontId="91" fillId="5" borderId="22" xfId="22" applyFont="1" applyFill="1" applyBorder="1" applyAlignment="1">
      <alignment horizontal="center" vertical="center"/>
    </xf>
    <xf numFmtId="0" fontId="36" fillId="5" borderId="22" xfId="22" applyFont="1" applyFill="1" applyBorder="1" applyAlignment="1">
      <alignment horizontal="center" vertical="center" wrapText="1"/>
    </xf>
    <xf numFmtId="0" fontId="91" fillId="5" borderId="23" xfId="22" applyFont="1" applyFill="1" applyBorder="1" applyAlignment="1">
      <alignment horizontal="center" vertical="center" wrapText="1"/>
    </xf>
    <xf numFmtId="0" fontId="38" fillId="5" borderId="27" xfId="22" applyFont="1" applyFill="1" applyBorder="1" applyAlignment="1">
      <alignment horizontal="center" vertical="center"/>
    </xf>
    <xf numFmtId="0" fontId="38" fillId="5" borderId="25" xfId="22" applyFont="1" applyFill="1" applyBorder="1" applyAlignment="1">
      <alignment horizontal="center" vertical="center"/>
    </xf>
    <xf numFmtId="0" fontId="38" fillId="5" borderId="27" xfId="22" applyFont="1" applyFill="1" applyBorder="1" applyAlignment="1">
      <alignment horizontal="center" vertical="center" wrapText="1"/>
    </xf>
    <xf numFmtId="0" fontId="38" fillId="5" borderId="28" xfId="22" applyFont="1" applyFill="1" applyBorder="1" applyAlignment="1">
      <alignment horizontal="center" vertical="center" wrapText="1"/>
    </xf>
    <xf numFmtId="0" fontId="38" fillId="5" borderId="25" xfId="22" applyFont="1" applyFill="1" applyBorder="1" applyAlignment="1">
      <alignment horizontal="center" vertical="center" wrapText="1"/>
    </xf>
    <xf numFmtId="0" fontId="60" fillId="5" borderId="31" xfId="22" applyFont="1" applyFill="1" applyBorder="1" applyAlignment="1">
      <alignment horizontal="center" vertical="center" wrapText="1"/>
    </xf>
    <xf numFmtId="0" fontId="60" fillId="5" borderId="37" xfId="22" applyFont="1" applyFill="1" applyBorder="1" applyAlignment="1">
      <alignment horizontal="center" vertical="center" wrapText="1"/>
    </xf>
    <xf numFmtId="0" fontId="60" fillId="5" borderId="32" xfId="22" applyFont="1" applyFill="1" applyBorder="1" applyAlignment="1">
      <alignment horizontal="center" vertical="center" wrapText="1"/>
    </xf>
    <xf numFmtId="0" fontId="36" fillId="5" borderId="23" xfId="5" applyFont="1" applyFill="1" applyBorder="1" applyAlignment="1">
      <alignment horizontal="center" vertical="center"/>
    </xf>
    <xf numFmtId="0" fontId="36" fillId="5" borderId="30" xfId="5" applyFont="1" applyFill="1" applyBorder="1" applyAlignment="1">
      <alignment horizontal="center" vertical="center"/>
    </xf>
    <xf numFmtId="0" fontId="39" fillId="0" borderId="26" xfId="11" applyFont="1" applyBorder="1" applyAlignment="1">
      <alignment horizontal="center" vertical="center"/>
    </xf>
    <xf numFmtId="0" fontId="34" fillId="0" borderId="26" xfId="11" applyFont="1" applyBorder="1" applyAlignment="1">
      <alignment horizontal="center" vertical="center"/>
    </xf>
    <xf numFmtId="0" fontId="36" fillId="5" borderId="31" xfId="5" applyFont="1" applyFill="1" applyBorder="1" applyAlignment="1">
      <alignment horizontal="center" vertical="center"/>
    </xf>
    <xf numFmtId="0" fontId="36" fillId="5" borderId="37" xfId="5" applyFont="1" applyFill="1" applyBorder="1" applyAlignment="1">
      <alignment horizontal="center" vertical="center"/>
    </xf>
    <xf numFmtId="0" fontId="36" fillId="5" borderId="32" xfId="5" applyFont="1" applyFill="1" applyBorder="1" applyAlignment="1">
      <alignment horizontal="center" vertical="center"/>
    </xf>
    <xf numFmtId="0" fontId="36" fillId="5" borderId="33" xfId="5" applyFont="1" applyFill="1" applyBorder="1" applyAlignment="1">
      <alignment horizontal="center" vertical="center"/>
    </xf>
    <xf numFmtId="0" fontId="36" fillId="5" borderId="0" xfId="5" applyFont="1" applyFill="1" applyAlignment="1">
      <alignment horizontal="center" vertical="center"/>
    </xf>
    <xf numFmtId="0" fontId="36" fillId="5" borderId="34" xfId="5" applyFont="1" applyFill="1" applyBorder="1" applyAlignment="1">
      <alignment horizontal="center" vertical="center"/>
    </xf>
    <xf numFmtId="0" fontId="36" fillId="5" borderId="35" xfId="5" applyFont="1" applyFill="1" applyBorder="1" applyAlignment="1">
      <alignment horizontal="center" vertical="center"/>
    </xf>
    <xf numFmtId="0" fontId="36" fillId="5" borderId="26" xfId="5" applyFont="1" applyFill="1" applyBorder="1" applyAlignment="1">
      <alignment horizontal="center" vertical="center"/>
    </xf>
    <xf numFmtId="0" fontId="36" fillId="5" borderId="36" xfId="5" applyFont="1" applyFill="1" applyBorder="1" applyAlignment="1">
      <alignment horizontal="center" vertical="center"/>
    </xf>
    <xf numFmtId="0" fontId="91" fillId="5" borderId="22" xfId="22" applyFont="1" applyFill="1" applyBorder="1" applyAlignment="1">
      <alignment horizontal="center" vertical="center" wrapText="1"/>
    </xf>
    <xf numFmtId="0" fontId="38" fillId="5" borderId="28" xfId="22" applyFont="1" applyFill="1" applyBorder="1" applyAlignment="1">
      <alignment horizontal="center" vertical="center"/>
    </xf>
    <xf numFmtId="0" fontId="8" fillId="0" borderId="4" xfId="0" applyFont="1" applyBorder="1" applyAlignment="1">
      <alignment shrinkToFit="1"/>
    </xf>
    <xf numFmtId="0" fontId="9" fillId="0" borderId="2" xfId="0" applyFont="1" applyBorder="1" applyAlignment="1">
      <alignment shrinkToFit="1"/>
    </xf>
    <xf numFmtId="0" fontId="9" fillId="0" borderId="3" xfId="0" applyFont="1" applyBorder="1" applyAlignment="1">
      <alignment shrinkToFit="1"/>
    </xf>
    <xf numFmtId="0" fontId="8" fillId="2" borderId="4" xfId="0" applyFont="1" applyFill="1" applyBorder="1" applyAlignment="1">
      <alignment shrinkToFit="1"/>
    </xf>
    <xf numFmtId="0" fontId="11" fillId="0" borderId="4" xfId="0" applyFont="1" applyBorder="1" applyAlignment="1">
      <alignment shrinkToFit="1"/>
    </xf>
    <xf numFmtId="0" fontId="7" fillId="0" borderId="4" xfId="0" applyFont="1" applyBorder="1" applyAlignment="1">
      <alignment shrinkToFit="1"/>
    </xf>
    <xf numFmtId="0" fontId="7" fillId="0" borderId="9" xfId="0" applyFont="1" applyBorder="1" applyAlignment="1">
      <alignment shrinkToFit="1"/>
    </xf>
    <xf numFmtId="0" fontId="9" fillId="0" borderId="8" xfId="0" applyFont="1" applyBorder="1" applyAlignment="1">
      <alignment shrinkToFit="1"/>
    </xf>
    <xf numFmtId="0" fontId="11" fillId="0" borderId="12" xfId="0" applyFont="1" applyBorder="1" applyAlignment="1">
      <alignment shrinkToFit="1"/>
    </xf>
    <xf numFmtId="0" fontId="9" fillId="0" borderId="11" xfId="0" applyFont="1" applyBorder="1" applyAlignment="1">
      <alignment shrinkToFit="1"/>
    </xf>
    <xf numFmtId="0" fontId="9" fillId="0" borderId="10" xfId="0" applyFont="1" applyBorder="1" applyAlignment="1">
      <alignment shrinkToFit="1"/>
    </xf>
    <xf numFmtId="0" fontId="7" fillId="2" borderId="4" xfId="0" applyFont="1" applyFill="1" applyBorder="1" applyAlignment="1">
      <alignment shrinkToFit="1"/>
    </xf>
    <xf numFmtId="0" fontId="7" fillId="2" borderId="2" xfId="0" applyFont="1" applyFill="1" applyBorder="1" applyAlignment="1">
      <alignment shrinkToFit="1"/>
    </xf>
    <xf numFmtId="0" fontId="7" fillId="2" borderId="3" xfId="0" applyFont="1" applyFill="1" applyBorder="1" applyAlignment="1">
      <alignment shrinkToFit="1"/>
    </xf>
    <xf numFmtId="0" fontId="8" fillId="0" borderId="9" xfId="0" applyFont="1" applyBorder="1" applyAlignment="1">
      <alignment shrinkToFit="1"/>
    </xf>
    <xf numFmtId="0" fontId="9" fillId="0" borderId="13" xfId="0" applyFont="1" applyBorder="1" applyAlignment="1">
      <alignment shrinkToFit="1"/>
    </xf>
    <xf numFmtId="0" fontId="12" fillId="2" borderId="4" xfId="0" applyFont="1" applyFill="1" applyBorder="1" applyAlignment="1">
      <alignment shrinkToFit="1"/>
    </xf>
    <xf numFmtId="0" fontId="11" fillId="2" borderId="4" xfId="0" applyFont="1" applyFill="1" applyBorder="1" applyAlignment="1">
      <alignment shrinkToFit="1"/>
    </xf>
    <xf numFmtId="0" fontId="11" fillId="2" borderId="2" xfId="0" applyFont="1" applyFill="1" applyBorder="1" applyAlignment="1">
      <alignment shrinkToFit="1"/>
    </xf>
    <xf numFmtId="0" fontId="11" fillId="2" borderId="3" xfId="0" applyFont="1" applyFill="1" applyBorder="1" applyAlignment="1">
      <alignment shrinkToFit="1"/>
    </xf>
    <xf numFmtId="0" fontId="11" fillId="0" borderId="19" xfId="0" applyFont="1" applyBorder="1" applyAlignment="1">
      <alignment shrinkToFit="1"/>
    </xf>
    <xf numFmtId="0" fontId="9" fillId="0" borderId="20" xfId="0" applyFont="1" applyBorder="1" applyAlignment="1">
      <alignment shrinkToFit="1"/>
    </xf>
    <xf numFmtId="0" fontId="9" fillId="0" borderId="21" xfId="0" applyFont="1" applyBorder="1" applyAlignment="1">
      <alignment shrinkToFit="1"/>
    </xf>
    <xf numFmtId="0" fontId="7" fillId="0" borderId="0" xfId="0" applyFont="1" applyAlignment="1">
      <alignment shrinkToFit="1"/>
    </xf>
    <xf numFmtId="0" fontId="0" fillId="0" borderId="0" xfId="0" applyAlignment="1">
      <alignment shrinkToFit="1"/>
    </xf>
    <xf numFmtId="0" fontId="7" fillId="0" borderId="19" xfId="0" applyFont="1" applyBorder="1" applyAlignment="1">
      <alignment shrinkToFit="1"/>
    </xf>
    <xf numFmtId="0" fontId="12" fillId="2" borderId="3" xfId="0" applyFont="1" applyFill="1" applyBorder="1" applyAlignment="1">
      <alignment shrinkToFit="1"/>
    </xf>
    <xf numFmtId="0" fontId="37" fillId="5" borderId="22" xfId="5" applyFont="1" applyFill="1" applyBorder="1" applyAlignment="1">
      <alignment horizontal="center"/>
    </xf>
  </cellXfs>
  <cellStyles count="36">
    <cellStyle name="一般" xfId="0" builtinId="0"/>
    <cellStyle name="一般 2" xfId="1"/>
    <cellStyle name="一般 2 2" xfId="23"/>
    <cellStyle name="一般 2 2 2" xfId="9"/>
    <cellStyle name="一般 2 2 30 2 2 30 2" xfId="4"/>
    <cellStyle name="一般 2 2 30 2 2 30 2 2" xfId="12"/>
    <cellStyle name="一般 2 2 30 2 2 30 2 2 2" xfId="17"/>
    <cellStyle name="一般 2 2 30 2 2 30 2 2 2 2" xfId="20"/>
    <cellStyle name="一般 2 2 30 2 2 30 2 2 2 2 2" xfId="22"/>
    <cellStyle name="一般 2 2 30 2 2 30 2 2 2 2 2 2" xfId="35"/>
    <cellStyle name="一般 2 2 30 2 2 30 2 2 2 2 3" xfId="33"/>
    <cellStyle name="一般 2 2 30 2 2 30 2 2 2 3" xfId="31"/>
    <cellStyle name="一般 2 2 30 2 2 30 2 2 3" xfId="28"/>
    <cellStyle name="一般 2 2 30 2 2 30 2 3" xfId="15"/>
    <cellStyle name="一般 2 2 30 2 2 30 2 3 2" xfId="29"/>
    <cellStyle name="一般 2 2 30 2 2 30 2 4" xfId="25"/>
    <cellStyle name="一般 2 2 30 2 3 2" xfId="6"/>
    <cellStyle name="一般 2 2 30 2 3 2 2" xfId="16"/>
    <cellStyle name="一般 2 2 30 2 3 2 2 2" xfId="18"/>
    <cellStyle name="一般 2 2 30 2 3 2 2 2 2" xfId="32"/>
    <cellStyle name="一般 2 2 30 2 3 2 2 3" xfId="30"/>
    <cellStyle name="一般 2 2 30 2 3 2 3" xfId="26"/>
    <cellStyle name="一般 2 2 30 3 30" xfId="7"/>
    <cellStyle name="一般 2 2 30 3 30 2" xfId="27"/>
    <cellStyle name="一般 3" xfId="11"/>
    <cellStyle name="一般 4" xfId="5"/>
    <cellStyle name="千分位 2" xfId="2"/>
    <cellStyle name="千分位 2 2" xfId="24"/>
    <cellStyle name="千分位 3" xfId="21"/>
    <cellStyle name="千分位 3 2" xfId="34"/>
    <cellStyle name="百分比" xfId="14" builtinId="5"/>
    <cellStyle name="百分比 2" xfId="8"/>
    <cellStyle name="百分比 2 2" xfId="10"/>
    <cellStyle name="百分比 2 2 2" xfId="19"/>
    <cellStyle name="百分比 3" xfId="3"/>
    <cellStyle name="百分比 4" xfId="13"/>
  </cellStyles>
  <dxfs count="3"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theme="1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45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ustomXml" Target="../customXml/item4.xml"/><Relationship Id="rId20" Type="http://schemas.openxmlformats.org/officeDocument/2006/relationships/worksheet" Target="worksheets/sheet20.xml"/><Relationship Id="rId4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工作表1"/>
  <dimension ref="B1:P45"/>
  <sheetViews>
    <sheetView topLeftCell="A7" workbookViewId="0">
      <selection activeCell="M36" sqref="M36"/>
    </sheetView>
  </sheetViews>
  <sheetFormatPr defaultColWidth="8.7109375" defaultRowHeight="13.5"/>
  <cols>
    <col min="1" max="1" width="8.7109375" style="387"/>
    <col min="2" max="2" width="27.7109375" style="387" bestFit="1" customWidth="1"/>
    <col min="3" max="3" width="34.7109375" style="387" customWidth="1"/>
    <col min="4" max="15" width="12.7109375" style="387" customWidth="1"/>
    <col min="16" max="16" width="15.7109375" style="387" customWidth="1"/>
    <col min="17" max="16384" width="8.7109375" style="387"/>
  </cols>
  <sheetData>
    <row r="1" spans="2:16" ht="18.75">
      <c r="B1" s="521" t="s">
        <v>180</v>
      </c>
      <c r="C1" s="522"/>
      <c r="D1" s="395" t="s">
        <v>448</v>
      </c>
      <c r="E1" s="395" t="s">
        <v>450</v>
      </c>
      <c r="F1" s="395" t="s">
        <v>451</v>
      </c>
      <c r="G1" s="395" t="s">
        <v>452</v>
      </c>
      <c r="H1" s="395" t="s">
        <v>453</v>
      </c>
      <c r="I1" s="395" t="s">
        <v>454</v>
      </c>
      <c r="J1" s="395" t="s">
        <v>455</v>
      </c>
      <c r="K1" s="395" t="s">
        <v>456</v>
      </c>
      <c r="L1" s="395" t="s">
        <v>457</v>
      </c>
      <c r="M1" s="395" t="s">
        <v>458</v>
      </c>
      <c r="N1" s="395" t="s">
        <v>459</v>
      </c>
      <c r="O1" s="395" t="s">
        <v>460</v>
      </c>
      <c r="P1" s="396" t="s">
        <v>461</v>
      </c>
    </row>
    <row r="2" spans="2:16" ht="15.75">
      <c r="B2" s="518" t="s">
        <v>472</v>
      </c>
      <c r="C2" s="408" t="s">
        <v>462</v>
      </c>
      <c r="D2" s="397">
        <v>146299.93539000006</v>
      </c>
      <c r="E2" s="397">
        <v>116569.43023000001</v>
      </c>
      <c r="F2" s="397">
        <v>148837.99842999995</v>
      </c>
      <c r="G2" s="397">
        <v>160648.31477000003</v>
      </c>
      <c r="H2" s="397">
        <v>181836.62618999998</v>
      </c>
      <c r="I2" s="397">
        <v>194099.28702000002</v>
      </c>
      <c r="J2" s="397">
        <v>199388.61726000003</v>
      </c>
      <c r="K2" s="397"/>
      <c r="L2" s="397"/>
      <c r="M2" s="397"/>
      <c r="N2" s="397"/>
      <c r="O2" s="397"/>
      <c r="P2" s="409">
        <f>SUM(D2:O2)</f>
        <v>1147680.2092900001</v>
      </c>
    </row>
    <row r="3" spans="2:16" ht="15.75">
      <c r="B3" s="518"/>
      <c r="C3" s="408" t="s">
        <v>463</v>
      </c>
      <c r="D3" s="397">
        <v>4768701</v>
      </c>
      <c r="E3" s="397">
        <v>3787002</v>
      </c>
      <c r="F3" s="397">
        <v>5045753</v>
      </c>
      <c r="G3" s="397">
        <v>5396292</v>
      </c>
      <c r="H3" s="397">
        <v>6084520</v>
      </c>
      <c r="I3" s="397">
        <v>6275618</v>
      </c>
      <c r="J3" s="397">
        <v>6323244</v>
      </c>
      <c r="K3" s="397"/>
      <c r="L3" s="397"/>
      <c r="M3" s="397"/>
      <c r="N3" s="397"/>
      <c r="O3" s="397"/>
      <c r="P3" s="409">
        <f>SUM(D3:O3)</f>
        <v>37681130</v>
      </c>
    </row>
    <row r="4" spans="2:16" ht="15.75">
      <c r="B4" s="518"/>
      <c r="C4" s="408" t="s">
        <v>464</v>
      </c>
      <c r="D4" s="397">
        <v>93253</v>
      </c>
      <c r="E4" s="397">
        <v>74777</v>
      </c>
      <c r="F4" s="397">
        <v>93614</v>
      </c>
      <c r="G4" s="397">
        <v>104435</v>
      </c>
      <c r="H4" s="397">
        <v>116562</v>
      </c>
      <c r="I4" s="397">
        <v>126964</v>
      </c>
      <c r="J4" s="397">
        <v>134056.59496639523</v>
      </c>
      <c r="K4" s="397"/>
      <c r="L4" s="397"/>
      <c r="M4" s="397"/>
      <c r="N4" s="397"/>
      <c r="O4" s="397"/>
      <c r="P4" s="409">
        <f>SUM(D4:O4)</f>
        <v>743661.59496639529</v>
      </c>
    </row>
    <row r="5" spans="2:16" ht="15.75">
      <c r="B5" s="518"/>
      <c r="C5" s="410" t="s">
        <v>473</v>
      </c>
      <c r="D5" s="411">
        <v>0.65500000000000003</v>
      </c>
      <c r="E5" s="411">
        <v>0.65300000000000002</v>
      </c>
      <c r="F5" s="411">
        <v>0.64800000000000002</v>
      </c>
      <c r="G5" s="411">
        <v>0.66300000000000003</v>
      </c>
      <c r="H5" s="411">
        <v>0.67200000000000004</v>
      </c>
      <c r="I5" s="411">
        <v>0.67500000000000004</v>
      </c>
      <c r="J5" s="411">
        <v>0.67233825485427423</v>
      </c>
      <c r="K5" s="412" t="str">
        <f t="shared" ref="K5:O5" si="0">IFERROR(K4/K2, "")</f>
        <v/>
      </c>
      <c r="L5" s="412" t="str">
        <f t="shared" si="0"/>
        <v/>
      </c>
      <c r="M5" s="412" t="str">
        <f t="shared" si="0"/>
        <v/>
      </c>
      <c r="N5" s="412" t="str">
        <f t="shared" si="0"/>
        <v/>
      </c>
      <c r="O5" s="412" t="str">
        <f t="shared" si="0"/>
        <v/>
      </c>
      <c r="P5" s="413">
        <f>AVERAGEIF(D5:O5, "&gt;0")</f>
        <v>0.66261975069346779</v>
      </c>
    </row>
    <row r="6" spans="2:16" ht="15.75">
      <c r="B6" s="518"/>
      <c r="C6" s="408" t="s">
        <v>465</v>
      </c>
      <c r="D6" s="397">
        <v>22378</v>
      </c>
      <c r="E6" s="397">
        <v>22860</v>
      </c>
      <c r="F6" s="397">
        <v>22710</v>
      </c>
      <c r="G6" s="397">
        <v>23226</v>
      </c>
      <c r="H6" s="397">
        <v>24474</v>
      </c>
      <c r="I6" s="397">
        <v>26795</v>
      </c>
      <c r="J6" s="397">
        <v>27431.996822000001</v>
      </c>
      <c r="K6" s="397"/>
      <c r="L6" s="397"/>
      <c r="M6" s="397"/>
      <c r="N6" s="397"/>
      <c r="O6" s="397"/>
      <c r="P6" s="409">
        <f t="shared" ref="P6" si="1">SUM(D6:O6)</f>
        <v>169874.99682200002</v>
      </c>
    </row>
    <row r="7" spans="2:16" ht="15.75">
      <c r="B7" s="518"/>
      <c r="C7" s="410" t="s">
        <v>474</v>
      </c>
      <c r="D7" s="411">
        <v>0.157</v>
      </c>
      <c r="E7" s="411">
        <v>0.2</v>
      </c>
      <c r="F7" s="411">
        <v>0.157</v>
      </c>
      <c r="G7" s="411">
        <v>0.14699999999999999</v>
      </c>
      <c r="H7" s="411">
        <v>0.14099999999999999</v>
      </c>
      <c r="I7" s="411">
        <v>0.14199999999999999</v>
      </c>
      <c r="J7" s="411">
        <v>0.13758055599647925</v>
      </c>
      <c r="K7" s="412" t="str">
        <f t="shared" ref="K7:O7" si="2">IFERROR(K6/K2, "")</f>
        <v/>
      </c>
      <c r="L7" s="412" t="str">
        <f t="shared" si="2"/>
        <v/>
      </c>
      <c r="M7" s="412" t="str">
        <f t="shared" si="2"/>
        <v/>
      </c>
      <c r="N7" s="412" t="str">
        <f t="shared" si="2"/>
        <v/>
      </c>
      <c r="O7" s="412" t="str">
        <f t="shared" si="2"/>
        <v/>
      </c>
      <c r="P7" s="413">
        <f>AVERAGEIF(D7:O7, "&gt;0")</f>
        <v>0.15451150799949703</v>
      </c>
    </row>
    <row r="8" spans="2:16" ht="15.75">
      <c r="B8" s="414"/>
      <c r="C8" s="408"/>
      <c r="D8" s="397"/>
      <c r="E8" s="397"/>
      <c r="F8" s="397"/>
      <c r="G8" s="397"/>
      <c r="H8" s="397"/>
      <c r="I8" s="397"/>
      <c r="J8" s="397"/>
      <c r="K8" s="397"/>
      <c r="L8" s="397"/>
      <c r="M8" s="397"/>
      <c r="N8" s="397"/>
      <c r="O8" s="397"/>
      <c r="P8" s="409"/>
    </row>
    <row r="9" spans="2:16" ht="15.75">
      <c r="B9" s="518" t="s">
        <v>130</v>
      </c>
      <c r="C9" s="408" t="s">
        <v>475</v>
      </c>
      <c r="D9" s="415">
        <v>497.6</v>
      </c>
      <c r="E9" s="415">
        <v>497.6</v>
      </c>
      <c r="F9" s="415">
        <v>497.6</v>
      </c>
      <c r="G9" s="415">
        <v>497.6</v>
      </c>
      <c r="H9" s="398">
        <v>497.6</v>
      </c>
      <c r="I9" s="398">
        <v>497.6</v>
      </c>
      <c r="J9" s="398">
        <v>497.6</v>
      </c>
      <c r="K9" s="398"/>
      <c r="L9" s="398"/>
      <c r="M9" s="398"/>
      <c r="N9" s="398"/>
      <c r="O9" s="398"/>
      <c r="P9" s="416">
        <f>AVERAGEIF(D9:O9, "&gt;0")</f>
        <v>497.59999999999997</v>
      </c>
    </row>
    <row r="10" spans="2:16" ht="15.75">
      <c r="B10" s="518"/>
      <c r="C10" s="408" t="s">
        <v>466</v>
      </c>
      <c r="D10" s="415">
        <v>458.3841382804668</v>
      </c>
      <c r="E10" s="415">
        <v>476.04171528829499</v>
      </c>
      <c r="F10" s="415">
        <v>409.81563372836604</v>
      </c>
      <c r="G10" s="398">
        <v>402.86432092718081</v>
      </c>
      <c r="H10" s="398">
        <v>419.38045550218868</v>
      </c>
      <c r="I10" s="398">
        <v>425.95259125022073</v>
      </c>
      <c r="J10" s="398">
        <v>434.66889417885551</v>
      </c>
      <c r="K10" s="398"/>
      <c r="L10" s="398"/>
      <c r="M10" s="398"/>
      <c r="N10" s="398"/>
      <c r="O10" s="398"/>
      <c r="P10" s="416">
        <f>AVERAGEIF(D10:O10, "&gt;0")</f>
        <v>432.44396416508198</v>
      </c>
    </row>
    <row r="11" spans="2:16" ht="15.75">
      <c r="B11" s="518"/>
      <c r="C11" s="410" t="s">
        <v>467</v>
      </c>
      <c r="D11" s="412">
        <f t="shared" ref="D11:O11" si="3">IFERROR(D10/D9, "")</f>
        <v>0.92118998850576117</v>
      </c>
      <c r="E11" s="412">
        <f t="shared" si="3"/>
        <v>0.95667547284625198</v>
      </c>
      <c r="F11" s="412">
        <f t="shared" si="3"/>
        <v>0.82358447292678061</v>
      </c>
      <c r="G11" s="412">
        <f t="shared" si="3"/>
        <v>0.80961479286008997</v>
      </c>
      <c r="H11" s="412">
        <v>0.94796667156914272</v>
      </c>
      <c r="I11" s="412">
        <v>0.96282231295257903</v>
      </c>
      <c r="J11" s="412">
        <v>0.98252462517824501</v>
      </c>
      <c r="K11" s="412" t="str">
        <f t="shared" si="3"/>
        <v/>
      </c>
      <c r="L11" s="412" t="str">
        <f t="shared" si="3"/>
        <v/>
      </c>
      <c r="M11" s="412" t="str">
        <f t="shared" si="3"/>
        <v/>
      </c>
      <c r="N11" s="412" t="str">
        <f t="shared" si="3"/>
        <v/>
      </c>
      <c r="O11" s="412" t="str">
        <f t="shared" si="3"/>
        <v/>
      </c>
      <c r="P11" s="417">
        <f>AVERAGEIF(D11:O11, "&gt;0")</f>
        <v>0.91491119097697848</v>
      </c>
    </row>
    <row r="12" spans="2:16" ht="15.75">
      <c r="B12" s="518"/>
      <c r="C12" s="408" t="s">
        <v>468</v>
      </c>
      <c r="D12" s="400">
        <v>2.4135432458014692E-3</v>
      </c>
      <c r="E12" s="399">
        <v>2.3657636051419204E-3</v>
      </c>
      <c r="F12" s="399">
        <v>2.0222247634522129E-3</v>
      </c>
      <c r="G12" s="399">
        <v>2.0113648122943311E-3</v>
      </c>
      <c r="H12" s="399">
        <v>2.0088240498114199E-3</v>
      </c>
      <c r="I12" s="399">
        <v>2.0072505835617024E-3</v>
      </c>
      <c r="J12" s="399">
        <v>2.0067058203413666E-3</v>
      </c>
      <c r="K12" s="399"/>
      <c r="L12" s="399"/>
      <c r="M12" s="399"/>
      <c r="N12" s="399"/>
      <c r="O12" s="399"/>
      <c r="P12" s="418">
        <f>AVERAGEIF(D12:O12, "&gt;0")</f>
        <v>2.1193824114863458E-3</v>
      </c>
    </row>
    <row r="13" spans="2:16" ht="15.75">
      <c r="B13" s="518"/>
      <c r="C13" s="408" t="s">
        <v>469</v>
      </c>
      <c r="D13" s="400">
        <v>5.599443330875099E-3</v>
      </c>
      <c r="E13" s="400">
        <v>5.2393000579921759E-3</v>
      </c>
      <c r="F13" s="400">
        <v>4.8799137535570384E-3</v>
      </c>
      <c r="G13" s="400">
        <v>4.3085188206646403E-3</v>
      </c>
      <c r="H13" s="400">
        <v>6.1874817008048359E-3</v>
      </c>
      <c r="I13" s="400">
        <v>6.077521140456379E-3</v>
      </c>
      <c r="J13" s="400">
        <v>6.0144112131268234E-3</v>
      </c>
      <c r="K13" s="400"/>
      <c r="L13" s="400"/>
      <c r="M13" s="400"/>
      <c r="N13" s="400"/>
      <c r="O13" s="400"/>
      <c r="P13" s="417">
        <f>AVERAGEIF(D13:O13, "&gt;0")</f>
        <v>5.4723700024967136E-3</v>
      </c>
    </row>
    <row r="14" spans="2:16" ht="15.75">
      <c r="B14" s="518"/>
      <c r="C14" s="408" t="s">
        <v>476</v>
      </c>
      <c r="D14" s="400">
        <v>0.89999999999999947</v>
      </c>
      <c r="E14" s="400">
        <v>0.89999999999999958</v>
      </c>
      <c r="F14" s="400">
        <v>0.89999999999999947</v>
      </c>
      <c r="G14" s="400">
        <v>0.89999999999999958</v>
      </c>
      <c r="H14" s="400">
        <v>0.89999999999999947</v>
      </c>
      <c r="I14" s="400">
        <v>0.89999999999999958</v>
      </c>
      <c r="J14" s="400">
        <v>0.89999999999999947</v>
      </c>
      <c r="K14" s="400"/>
      <c r="L14" s="400"/>
      <c r="M14" s="400"/>
      <c r="N14" s="400"/>
      <c r="O14" s="400"/>
      <c r="P14" s="417">
        <f t="shared" ref="P14" si="4">AVERAGEIF(D14:O14, "&gt;0")</f>
        <v>0.89999999999999947</v>
      </c>
    </row>
    <row r="15" spans="2:16" ht="15.75">
      <c r="B15" s="518"/>
      <c r="C15" s="408" t="s">
        <v>477</v>
      </c>
      <c r="D15" s="400">
        <v>5.7692307692307702E-2</v>
      </c>
      <c r="E15" s="400">
        <v>0.13873626373626369</v>
      </c>
      <c r="F15" s="400">
        <v>0.21960297766749381</v>
      </c>
      <c r="G15" s="400">
        <v>0.30384615384615377</v>
      </c>
      <c r="H15" s="400">
        <v>0.38709677419354849</v>
      </c>
      <c r="I15" s="400">
        <v>0.47115384615384609</v>
      </c>
      <c r="J15" s="400">
        <v>0.55521091811414403</v>
      </c>
      <c r="K15" s="400"/>
      <c r="L15" s="400"/>
      <c r="M15" s="400"/>
      <c r="N15" s="400"/>
      <c r="O15" s="400"/>
      <c r="P15" s="417">
        <f>MAX(D15:O15)</f>
        <v>0.55521091811414403</v>
      </c>
    </row>
    <row r="16" spans="2:16" ht="15.75">
      <c r="B16" s="414"/>
      <c r="C16" s="408"/>
      <c r="D16" s="400"/>
      <c r="E16" s="400"/>
      <c r="F16" s="400"/>
      <c r="G16" s="400"/>
      <c r="H16" s="400"/>
      <c r="I16" s="400"/>
      <c r="J16" s="400"/>
      <c r="K16" s="400"/>
      <c r="L16" s="400"/>
      <c r="M16" s="400"/>
      <c r="N16" s="400"/>
      <c r="O16" s="400"/>
      <c r="P16" s="417"/>
    </row>
    <row r="17" spans="2:16" ht="15.75">
      <c r="B17" s="519" t="s">
        <v>478</v>
      </c>
      <c r="C17" s="408" t="s">
        <v>479</v>
      </c>
      <c r="D17" s="419">
        <v>0.36139567422949059</v>
      </c>
      <c r="E17" s="419">
        <v>0.34737656751091073</v>
      </c>
      <c r="F17" s="419">
        <v>0.36414345188530645</v>
      </c>
      <c r="G17" s="419">
        <v>0.38079955956950995</v>
      </c>
      <c r="H17" s="419">
        <v>0.36318310058720077</v>
      </c>
      <c r="I17" s="419">
        <v>0.29977346874027683</v>
      </c>
      <c r="J17" s="419">
        <v>0.28835229016623554</v>
      </c>
      <c r="K17" s="419"/>
      <c r="L17" s="419"/>
      <c r="M17" s="419"/>
      <c r="N17" s="419"/>
      <c r="O17" s="419"/>
      <c r="P17" s="417">
        <f>AVERAGEIF(D17:O17, "&gt;0")</f>
        <v>0.34357487324127589</v>
      </c>
    </row>
    <row r="18" spans="2:16" ht="15.75">
      <c r="B18" s="523"/>
      <c r="C18" s="408" t="s">
        <v>205</v>
      </c>
      <c r="D18" s="419">
        <v>6.9633574224369291E-2</v>
      </c>
      <c r="E18" s="419">
        <v>7.7793665132509071E-2</v>
      </c>
      <c r="F18" s="419">
        <v>8.4480826486750038E-2</v>
      </c>
      <c r="G18" s="419">
        <v>6.0267903798814304E-2</v>
      </c>
      <c r="H18" s="419">
        <v>4.1707027010475142E-2</v>
      </c>
      <c r="I18" s="419">
        <v>3.5290065487433755E-2</v>
      </c>
      <c r="J18" s="419">
        <v>4.0105546996058235E-2</v>
      </c>
      <c r="K18" s="419"/>
      <c r="L18" s="419"/>
      <c r="M18" s="419"/>
      <c r="N18" s="419"/>
      <c r="O18" s="419"/>
      <c r="P18" s="417">
        <f t="shared" ref="P18:P45" si="5">AVERAGEIF(D18:O18, "&gt;0")</f>
        <v>5.8468372733772825E-2</v>
      </c>
    </row>
    <row r="19" spans="2:16" ht="15.75">
      <c r="B19" s="523"/>
      <c r="C19" s="408" t="s">
        <v>218</v>
      </c>
      <c r="D19" s="419">
        <v>2.2453221877666876E-2</v>
      </c>
      <c r="E19" s="419">
        <v>2.1676449691951108E-2</v>
      </c>
      <c r="F19" s="419">
        <v>2.4365160296787799E-2</v>
      </c>
      <c r="G19" s="419">
        <v>1.8891117808144807E-2</v>
      </c>
      <c r="H19" s="419">
        <v>1.3969000103124941E-2</v>
      </c>
      <c r="I19" s="419">
        <v>1.0903808522397734E-2</v>
      </c>
      <c r="J19" s="419">
        <v>2.3749545962421303E-2</v>
      </c>
      <c r="K19" s="419"/>
      <c r="L19" s="419"/>
      <c r="M19" s="419"/>
      <c r="N19" s="419"/>
      <c r="O19" s="419"/>
      <c r="P19" s="417">
        <f t="shared" si="5"/>
        <v>1.9429757751784939E-2</v>
      </c>
    </row>
    <row r="20" spans="2:16" ht="15.75">
      <c r="B20" s="523"/>
      <c r="C20" s="408" t="s">
        <v>203</v>
      </c>
      <c r="D20" s="419">
        <v>8.5850389930237133E-3</v>
      </c>
      <c r="E20" s="419">
        <v>9.9523222144173289E-3</v>
      </c>
      <c r="F20" s="419">
        <v>1.4684918119400437E-2</v>
      </c>
      <c r="G20" s="419">
        <v>2.8316295795027466E-2</v>
      </c>
      <c r="H20" s="419">
        <v>3.4128077824737396E-2</v>
      </c>
      <c r="I20" s="419">
        <v>4.9548361396139648E-2</v>
      </c>
      <c r="J20" s="419">
        <v>3.7024873543174894E-2</v>
      </c>
      <c r="K20" s="419"/>
      <c r="L20" s="419"/>
      <c r="M20" s="419"/>
      <c r="N20" s="419"/>
      <c r="O20" s="419"/>
      <c r="P20" s="417">
        <f t="shared" si="5"/>
        <v>2.6034269697988697E-2</v>
      </c>
    </row>
    <row r="21" spans="2:16" ht="15.75">
      <c r="B21" s="523"/>
      <c r="C21" s="408" t="s">
        <v>207</v>
      </c>
      <c r="D21" s="419">
        <v>0.16215294044225204</v>
      </c>
      <c r="E21" s="419">
        <v>0.18214707911075978</v>
      </c>
      <c r="F21" s="419">
        <v>0.20289323995580696</v>
      </c>
      <c r="G21" s="419">
        <v>0.15628267987712793</v>
      </c>
      <c r="H21" s="419">
        <v>0.13415543936957161</v>
      </c>
      <c r="I21" s="419">
        <v>0.13432459995236101</v>
      </c>
      <c r="J21" s="419">
        <v>0.15806064650573423</v>
      </c>
      <c r="K21" s="419"/>
      <c r="L21" s="419"/>
      <c r="M21" s="419"/>
      <c r="N21" s="419"/>
      <c r="O21" s="419"/>
      <c r="P21" s="417">
        <f t="shared" si="5"/>
        <v>0.16143094645908768</v>
      </c>
    </row>
    <row r="22" spans="2:16" ht="15.75">
      <c r="B22" s="523"/>
      <c r="C22" s="408" t="s">
        <v>209</v>
      </c>
      <c r="D22" s="419">
        <v>0.27057088032525339</v>
      </c>
      <c r="E22" s="419">
        <v>0.27529225824200032</v>
      </c>
      <c r="F22" s="419">
        <v>0.29293399487971084</v>
      </c>
      <c r="G22" s="419">
        <v>0.27842233710348685</v>
      </c>
      <c r="H22" s="419">
        <v>0.26474822074458115</v>
      </c>
      <c r="I22" s="419">
        <v>0.22905816354399502</v>
      </c>
      <c r="J22" s="419">
        <v>0.22396345871524598</v>
      </c>
      <c r="K22" s="419"/>
      <c r="L22" s="419"/>
      <c r="M22" s="419"/>
      <c r="N22" s="419"/>
      <c r="O22" s="419"/>
      <c r="P22" s="417">
        <f t="shared" si="5"/>
        <v>0.2621413305077534</v>
      </c>
    </row>
    <row r="23" spans="2:16" ht="15.75">
      <c r="B23" s="523"/>
      <c r="C23" s="408" t="s">
        <v>219</v>
      </c>
      <c r="D23" s="419">
        <v>2.9234371078829206E-2</v>
      </c>
      <c r="E23" s="419">
        <v>8.9796818765835347E-3</v>
      </c>
      <c r="F23" s="419">
        <v>0</v>
      </c>
      <c r="G23" s="419">
        <v>0</v>
      </c>
      <c r="H23" s="419">
        <v>0</v>
      </c>
      <c r="I23" s="419">
        <v>0</v>
      </c>
      <c r="J23" s="419">
        <v>0</v>
      </c>
      <c r="K23" s="419"/>
      <c r="L23" s="419"/>
      <c r="M23" s="419"/>
      <c r="N23" s="419"/>
      <c r="O23" s="419"/>
      <c r="P23" s="417">
        <f t="shared" si="5"/>
        <v>1.910702647770637E-2</v>
      </c>
    </row>
    <row r="24" spans="2:16" ht="15.75">
      <c r="B24" s="523"/>
      <c r="C24" s="408" t="s">
        <v>220</v>
      </c>
      <c r="D24" s="419">
        <v>4.0564165966170615E-2</v>
      </c>
      <c r="E24" s="419">
        <v>4.0109498783470192E-2</v>
      </c>
      <c r="F24" s="419">
        <v>1.6541184549440737E-3</v>
      </c>
      <c r="G24" s="419">
        <v>6.4343547299571813E-2</v>
      </c>
      <c r="H24" s="419">
        <v>0.13502459319909141</v>
      </c>
      <c r="I24" s="419">
        <v>0.17184921115430482</v>
      </c>
      <c r="J24" s="419">
        <v>0.16810091634415497</v>
      </c>
      <c r="K24" s="419"/>
      <c r="L24" s="419"/>
      <c r="M24" s="419"/>
      <c r="N24" s="419"/>
      <c r="O24" s="419"/>
      <c r="P24" s="417">
        <f t="shared" si="5"/>
        <v>8.8806578743101133E-2</v>
      </c>
    </row>
    <row r="25" spans="2:16" ht="15.75">
      <c r="B25" s="524"/>
      <c r="C25" s="408" t="s">
        <v>215</v>
      </c>
      <c r="D25" s="419">
        <v>3.5410132862943831E-2</v>
      </c>
      <c r="E25" s="419">
        <v>3.6672477437397863E-2</v>
      </c>
      <c r="F25" s="419">
        <v>1.4844289921293864E-2</v>
      </c>
      <c r="G25" s="419">
        <v>1.2676558748316833E-2</v>
      </c>
      <c r="H25" s="419">
        <v>1.308454116121764E-2</v>
      </c>
      <c r="I25" s="419">
        <v>6.925232120309105E-2</v>
      </c>
      <c r="J25" s="419">
        <v>6.0642721766974744E-2</v>
      </c>
      <c r="K25" s="419"/>
      <c r="L25" s="419"/>
      <c r="M25" s="419"/>
      <c r="N25" s="419"/>
      <c r="O25" s="419"/>
      <c r="P25" s="417">
        <f t="shared" si="5"/>
        <v>3.4654720443033686E-2</v>
      </c>
    </row>
    <row r="26" spans="2:16" ht="15.75">
      <c r="B26" s="414"/>
      <c r="C26" s="408"/>
      <c r="D26" s="400"/>
      <c r="E26" s="400"/>
      <c r="F26" s="400"/>
      <c r="G26" s="400"/>
      <c r="H26" s="400"/>
      <c r="I26" s="400"/>
      <c r="J26" s="400"/>
      <c r="K26" s="400"/>
      <c r="L26" s="400"/>
      <c r="M26" s="400"/>
      <c r="N26" s="400"/>
      <c r="O26" s="400"/>
      <c r="P26" s="417"/>
    </row>
    <row r="27" spans="2:16" ht="15.75">
      <c r="B27" s="519" t="s">
        <v>480</v>
      </c>
      <c r="C27" s="408" t="s">
        <v>479</v>
      </c>
      <c r="D27" s="419">
        <v>0.58577126139802016</v>
      </c>
      <c r="E27" s="419">
        <v>0.57025346170928881</v>
      </c>
      <c r="F27" s="419">
        <v>0.57640851623137324</v>
      </c>
      <c r="G27" s="419">
        <v>0.58366911946203059</v>
      </c>
      <c r="H27" s="419">
        <v>0.56064800510147061</v>
      </c>
      <c r="I27" s="419">
        <v>0.49244058513440431</v>
      </c>
      <c r="J27" s="419">
        <v>0.47778244837618161</v>
      </c>
      <c r="K27" s="419"/>
      <c r="L27" s="419"/>
      <c r="M27" s="419"/>
      <c r="N27" s="419"/>
      <c r="O27" s="419"/>
      <c r="P27" s="417">
        <f>AVERAGEIF(D27:O27, "&gt;0")</f>
        <v>0.54956762820182414</v>
      </c>
    </row>
    <row r="28" spans="2:16" ht="15.75">
      <c r="B28" s="523"/>
      <c r="C28" s="408" t="s">
        <v>205</v>
      </c>
      <c r="D28" s="419">
        <v>8.1693945583923164E-2</v>
      </c>
      <c r="E28" s="419">
        <v>9.1615478418020382E-2</v>
      </c>
      <c r="F28" s="419">
        <v>0.10179987010858439</v>
      </c>
      <c r="G28" s="419">
        <v>6.8907686982098079E-2</v>
      </c>
      <c r="H28" s="419">
        <v>4.4634580870799995E-2</v>
      </c>
      <c r="I28" s="419">
        <v>3.785093356542734E-2</v>
      </c>
      <c r="J28" s="419">
        <v>4.3692920912114096E-2</v>
      </c>
      <c r="K28" s="419"/>
      <c r="L28" s="419"/>
      <c r="M28" s="419"/>
      <c r="N28" s="419"/>
      <c r="O28" s="419"/>
      <c r="P28" s="417">
        <f t="shared" si="5"/>
        <v>6.7170773777281062E-2</v>
      </c>
    </row>
    <row r="29" spans="2:16" ht="15.75">
      <c r="B29" s="523"/>
      <c r="C29" s="408" t="s">
        <v>218</v>
      </c>
      <c r="D29" s="419">
        <v>2.4966128092325353E-2</v>
      </c>
      <c r="E29" s="419">
        <v>2.3825971045169769E-2</v>
      </c>
      <c r="F29" s="419">
        <v>2.6809080825002728E-2</v>
      </c>
      <c r="G29" s="419">
        <v>2.031339297428679E-2</v>
      </c>
      <c r="H29" s="419">
        <v>1.4309263508049936E-2</v>
      </c>
      <c r="I29" s="419">
        <v>1.1252756302247842E-2</v>
      </c>
      <c r="J29" s="419">
        <v>2.5356763079204283E-2</v>
      </c>
      <c r="K29" s="419"/>
      <c r="L29" s="419"/>
      <c r="M29" s="419"/>
      <c r="N29" s="419"/>
      <c r="O29" s="419"/>
      <c r="P29" s="417">
        <f t="shared" si="5"/>
        <v>2.0976193689469531E-2</v>
      </c>
    </row>
    <row r="30" spans="2:16" ht="15.75">
      <c r="B30" s="523"/>
      <c r="C30" s="408" t="s">
        <v>203</v>
      </c>
      <c r="D30" s="419">
        <v>9.7963785106258503E-3</v>
      </c>
      <c r="E30" s="419">
        <v>1.1706621755150907E-2</v>
      </c>
      <c r="F30" s="419">
        <v>1.640151628508173E-2</v>
      </c>
      <c r="G30" s="419">
        <v>3.1347821800599376E-2</v>
      </c>
      <c r="H30" s="419">
        <v>4.8132802587550046E-2</v>
      </c>
      <c r="I30" s="419">
        <v>6.2276894482742574E-2</v>
      </c>
      <c r="J30" s="419">
        <v>4.8683239172804336E-2</v>
      </c>
      <c r="K30" s="419"/>
      <c r="L30" s="419"/>
      <c r="M30" s="419"/>
      <c r="N30" s="419"/>
      <c r="O30" s="419"/>
      <c r="P30" s="417">
        <f t="shared" si="5"/>
        <v>3.2620753513507829E-2</v>
      </c>
    </row>
    <row r="31" spans="2:16" ht="15.75">
      <c r="B31" s="523"/>
      <c r="C31" s="408" t="s">
        <v>207</v>
      </c>
      <c r="D31" s="419">
        <v>8.9953008167213674E-2</v>
      </c>
      <c r="E31" s="419">
        <v>0.10114834901064219</v>
      </c>
      <c r="F31" s="419">
        <v>0.11343936177613133</v>
      </c>
      <c r="G31" s="419">
        <v>8.956298139537297E-2</v>
      </c>
      <c r="H31" s="419">
        <v>7.5610894532354242E-2</v>
      </c>
      <c r="I31" s="419">
        <v>7.6646793989054149E-2</v>
      </c>
      <c r="J31" s="419">
        <v>9.2940901853542271E-2</v>
      </c>
      <c r="K31" s="419"/>
      <c r="L31" s="419"/>
      <c r="M31" s="419"/>
      <c r="N31" s="419"/>
      <c r="O31" s="419"/>
      <c r="P31" s="417">
        <f t="shared" si="5"/>
        <v>9.1328898674901557E-2</v>
      </c>
    </row>
    <row r="32" spans="2:16" ht="15.75">
      <c r="B32" s="523"/>
      <c r="C32" s="408" t="s">
        <v>209</v>
      </c>
      <c r="D32" s="419">
        <v>0.13708177551916129</v>
      </c>
      <c r="E32" s="419">
        <v>0.14060779476747043</v>
      </c>
      <c r="F32" s="419">
        <v>0.14223546019791297</v>
      </c>
      <c r="G32" s="419">
        <v>0.13317793032697267</v>
      </c>
      <c r="H32" s="419">
        <v>0.12743437444531369</v>
      </c>
      <c r="I32" s="419">
        <v>0.11321896903221325</v>
      </c>
      <c r="J32" s="419">
        <v>0.11314919999924089</v>
      </c>
      <c r="K32" s="419"/>
      <c r="L32" s="419"/>
      <c r="M32" s="419"/>
      <c r="N32" s="419"/>
      <c r="O32" s="419"/>
      <c r="P32" s="417">
        <f t="shared" si="5"/>
        <v>0.12955792918404074</v>
      </c>
    </row>
    <row r="33" spans="2:16" ht="15.75">
      <c r="B33" s="523"/>
      <c r="C33" s="408" t="s">
        <v>219</v>
      </c>
      <c r="D33" s="419">
        <v>1.5652480623129864E-2</v>
      </c>
      <c r="E33" s="419">
        <v>4.823868590510383E-3</v>
      </c>
      <c r="F33" s="419">
        <v>0</v>
      </c>
      <c r="G33" s="419">
        <v>0</v>
      </c>
      <c r="H33" s="419">
        <v>0</v>
      </c>
      <c r="I33" s="419">
        <v>0</v>
      </c>
      <c r="J33" s="419">
        <v>0</v>
      </c>
      <c r="K33" s="419"/>
      <c r="L33" s="419"/>
      <c r="M33" s="419"/>
      <c r="N33" s="419"/>
      <c r="O33" s="419"/>
      <c r="P33" s="417">
        <f t="shared" si="5"/>
        <v>1.0238174606820123E-2</v>
      </c>
    </row>
    <row r="34" spans="2:16" ht="15.75">
      <c r="B34" s="523"/>
      <c r="C34" s="408" t="s">
        <v>220</v>
      </c>
      <c r="D34" s="419">
        <v>2.2004734622699137E-2</v>
      </c>
      <c r="E34" s="419">
        <v>2.0902022232890293E-2</v>
      </c>
      <c r="F34" s="419">
        <v>6.7918504928798538E-4</v>
      </c>
      <c r="G34" s="419">
        <v>5.3864579603920618E-2</v>
      </c>
      <c r="H34" s="419">
        <v>0.11022479998422226</v>
      </c>
      <c r="I34" s="419">
        <v>0.14207987165566802</v>
      </c>
      <c r="J34" s="419">
        <v>0.13977856935459076</v>
      </c>
      <c r="K34" s="419"/>
      <c r="L34" s="419"/>
      <c r="M34" s="419"/>
      <c r="N34" s="419"/>
      <c r="O34" s="419"/>
      <c r="P34" s="417">
        <f t="shared" si="5"/>
        <v>6.9933394643325583E-2</v>
      </c>
    </row>
    <row r="35" spans="2:16" ht="15.75">
      <c r="B35" s="524"/>
      <c r="C35" s="408" t="s">
        <v>215</v>
      </c>
      <c r="D35" s="419">
        <v>3.3080287482901531E-2</v>
      </c>
      <c r="E35" s="419">
        <v>3.5116432470856891E-2</v>
      </c>
      <c r="F35" s="419">
        <v>2.2227009526625659E-2</v>
      </c>
      <c r="G35" s="419">
        <v>1.9156487454718908E-2</v>
      </c>
      <c r="H35" s="419">
        <v>1.900527897023923E-2</v>
      </c>
      <c r="I35" s="419">
        <v>6.4233195838242538E-2</v>
      </c>
      <c r="J35" s="419">
        <v>5.861595725232175E-2</v>
      </c>
      <c r="K35" s="419"/>
      <c r="L35" s="419"/>
      <c r="M35" s="419"/>
      <c r="N35" s="419"/>
      <c r="O35" s="419"/>
      <c r="P35" s="417">
        <f t="shared" si="5"/>
        <v>3.591923557084379E-2</v>
      </c>
    </row>
    <row r="36" spans="2:16" ht="15.75">
      <c r="B36" s="414"/>
      <c r="C36" s="408"/>
      <c r="D36" s="400"/>
      <c r="E36" s="400"/>
      <c r="F36" s="400"/>
      <c r="G36" s="400"/>
      <c r="H36" s="400"/>
      <c r="I36" s="400"/>
      <c r="J36" s="400"/>
      <c r="K36" s="400"/>
      <c r="L36" s="400"/>
      <c r="M36" s="400"/>
      <c r="N36" s="400"/>
      <c r="O36" s="400"/>
      <c r="P36" s="417"/>
    </row>
    <row r="37" spans="2:16" ht="15.75">
      <c r="B37" s="518" t="s">
        <v>481</v>
      </c>
      <c r="C37" s="408" t="s">
        <v>479</v>
      </c>
      <c r="D37" s="401">
        <v>768.96508698264131</v>
      </c>
      <c r="E37" s="401">
        <v>774.12086448722914</v>
      </c>
      <c r="F37" s="401">
        <v>757.5904244152307</v>
      </c>
      <c r="G37" s="401">
        <v>740.76981301731939</v>
      </c>
      <c r="H37" s="401">
        <v>765.35781664687147</v>
      </c>
      <c r="I37" s="401">
        <v>783.42710865003369</v>
      </c>
      <c r="J37" s="401">
        <v>771.87393132465104</v>
      </c>
      <c r="K37" s="401"/>
      <c r="L37" s="401"/>
      <c r="M37" s="401"/>
      <c r="N37" s="401"/>
      <c r="O37" s="401"/>
      <c r="P37" s="420">
        <f>AVERAGEIF(D37:O37, "&gt;0")</f>
        <v>766.01500650342518</v>
      </c>
    </row>
    <row r="38" spans="2:16" ht="15.75">
      <c r="B38" s="519"/>
      <c r="C38" s="421" t="s">
        <v>205</v>
      </c>
      <c r="D38" s="422">
        <v>280.52357557404559</v>
      </c>
      <c r="E38" s="422">
        <v>304.46478382945497</v>
      </c>
      <c r="F38" s="422">
        <v>311.70581961708376</v>
      </c>
      <c r="G38" s="422">
        <v>320.67204374311393</v>
      </c>
      <c r="H38" s="422">
        <v>308.1159721716769</v>
      </c>
      <c r="I38" s="422">
        <v>298.23676867480344</v>
      </c>
      <c r="J38" s="422">
        <v>296.14735806418179</v>
      </c>
      <c r="K38" s="422"/>
      <c r="L38" s="422"/>
      <c r="M38" s="422"/>
      <c r="N38" s="422"/>
      <c r="O38" s="422"/>
      <c r="P38" s="420">
        <f t="shared" si="5"/>
        <v>302.83804595348005</v>
      </c>
    </row>
    <row r="39" spans="2:16" ht="15.75">
      <c r="B39" s="519"/>
      <c r="C39" s="421" t="s">
        <v>218</v>
      </c>
      <c r="D39" s="422">
        <v>258.56166578115295</v>
      </c>
      <c r="E39" s="422">
        <v>203.2437413385673</v>
      </c>
      <c r="F39" s="422">
        <v>331.13667122055222</v>
      </c>
      <c r="G39" s="422">
        <v>331.07659362533582</v>
      </c>
      <c r="H39" s="422">
        <v>209.58696420097431</v>
      </c>
      <c r="I39" s="422">
        <v>118.56652276295132</v>
      </c>
      <c r="J39" s="422">
        <v>117.05022912035081</v>
      </c>
      <c r="K39" s="422"/>
      <c r="L39" s="422"/>
      <c r="M39" s="422"/>
      <c r="N39" s="422"/>
      <c r="O39" s="422"/>
      <c r="P39" s="420">
        <f t="shared" si="5"/>
        <v>224.17462686426924</v>
      </c>
    </row>
    <row r="40" spans="2:16" ht="15.75">
      <c r="B40" s="519"/>
      <c r="C40" s="421" t="s">
        <v>203</v>
      </c>
      <c r="D40" s="422">
        <v>486.07170829520021</v>
      </c>
      <c r="E40" s="422">
        <v>490.19814173593841</v>
      </c>
      <c r="F40" s="422">
        <v>493.97618103140815</v>
      </c>
      <c r="G40" s="422">
        <v>416.80190173613738</v>
      </c>
      <c r="H40" s="422">
        <v>367.707567900654</v>
      </c>
      <c r="I40" s="422">
        <v>397.08854160526414</v>
      </c>
      <c r="J40" s="422">
        <v>437.64998264612387</v>
      </c>
      <c r="K40" s="422"/>
      <c r="L40" s="422"/>
      <c r="M40" s="422"/>
      <c r="N40" s="422"/>
      <c r="O40" s="422"/>
      <c r="P40" s="420">
        <f t="shared" si="5"/>
        <v>441.35628927867521</v>
      </c>
    </row>
    <row r="41" spans="2:16" ht="15.75">
      <c r="B41" s="519"/>
      <c r="C41" s="421" t="s">
        <v>207</v>
      </c>
      <c r="D41" s="422">
        <v>82.669482447974161</v>
      </c>
      <c r="E41" s="422">
        <v>81.452411562244222</v>
      </c>
      <c r="F41" s="422">
        <v>79.94999927589204</v>
      </c>
      <c r="G41" s="422">
        <v>82.282454157599574</v>
      </c>
      <c r="H41" s="422">
        <v>81.90398870846974</v>
      </c>
      <c r="I41" s="422">
        <v>84.227709910361142</v>
      </c>
      <c r="J41" s="422">
        <v>84.954232333344365</v>
      </c>
      <c r="K41" s="422"/>
      <c r="L41" s="422"/>
      <c r="M41" s="422"/>
      <c r="N41" s="422"/>
      <c r="O41" s="422"/>
      <c r="P41" s="420">
        <f t="shared" si="5"/>
        <v>82.491468342269329</v>
      </c>
    </row>
    <row r="42" spans="2:16" ht="15.75">
      <c r="B42" s="519"/>
      <c r="C42" s="421" t="s">
        <v>209</v>
      </c>
      <c r="D42" s="422">
        <v>78.306366965294018</v>
      </c>
      <c r="E42" s="422">
        <v>77.971322564328403</v>
      </c>
      <c r="F42" s="422">
        <v>77.906796798443906</v>
      </c>
      <c r="G42" s="422">
        <v>78.189351465199536</v>
      </c>
      <c r="H42" s="422">
        <v>79.190461701431943</v>
      </c>
      <c r="I42" s="422">
        <v>79.718377211575145</v>
      </c>
      <c r="J42" s="422">
        <v>79.472250627696354</v>
      </c>
      <c r="K42" s="422"/>
      <c r="L42" s="422"/>
      <c r="M42" s="422"/>
      <c r="N42" s="422"/>
      <c r="O42" s="422"/>
      <c r="P42" s="420">
        <f t="shared" si="5"/>
        <v>78.679275333424201</v>
      </c>
    </row>
    <row r="43" spans="2:16" ht="15.75">
      <c r="B43" s="519"/>
      <c r="C43" s="421" t="s">
        <v>219</v>
      </c>
      <c r="D43" s="422">
        <v>76.250132772766719</v>
      </c>
      <c r="E43" s="422">
        <v>72.949975663847383</v>
      </c>
      <c r="F43" s="422">
        <v>0</v>
      </c>
      <c r="G43" s="422">
        <v>0</v>
      </c>
      <c r="H43" s="422">
        <v>0</v>
      </c>
      <c r="I43" s="422">
        <v>0</v>
      </c>
      <c r="J43" s="422">
        <v>0</v>
      </c>
      <c r="K43" s="422"/>
      <c r="L43" s="422"/>
      <c r="M43" s="422"/>
      <c r="N43" s="422"/>
      <c r="O43" s="422"/>
      <c r="P43" s="420">
        <f t="shared" si="5"/>
        <v>74.600054218307051</v>
      </c>
    </row>
    <row r="44" spans="2:16" ht="15.75">
      <c r="B44" s="519"/>
      <c r="C44" s="421" t="s">
        <v>220</v>
      </c>
      <c r="D44" s="422">
        <v>110.80830487807768</v>
      </c>
      <c r="E44" s="422">
        <v>97.15750138812345</v>
      </c>
      <c r="F44" s="422">
        <v>84.60142398436416</v>
      </c>
      <c r="G44" s="422">
        <v>159.74228643292116</v>
      </c>
      <c r="H44" s="422">
        <v>161.80618458291255</v>
      </c>
      <c r="I44" s="422">
        <v>157.36335172582426</v>
      </c>
      <c r="J44" s="422">
        <v>155.73662529229455</v>
      </c>
      <c r="K44" s="422"/>
      <c r="L44" s="422"/>
      <c r="M44" s="422"/>
      <c r="N44" s="422"/>
      <c r="O44" s="422"/>
      <c r="P44" s="420">
        <f t="shared" si="5"/>
        <v>132.45938261207397</v>
      </c>
    </row>
    <row r="45" spans="2:16" ht="16.5" thickBot="1">
      <c r="B45" s="520"/>
      <c r="C45" s="423" t="s">
        <v>215</v>
      </c>
      <c r="D45" s="402">
        <v>76.123665150077642</v>
      </c>
      <c r="E45" s="402">
        <v>77.592138128204311</v>
      </c>
      <c r="F45" s="402">
        <v>83.044478559400275</v>
      </c>
      <c r="G45" s="402">
        <v>83.064526679068933</v>
      </c>
      <c r="H45" s="402">
        <v>89.419712752776604</v>
      </c>
      <c r="I45" s="402">
        <v>118.28436587813741</v>
      </c>
      <c r="J45" s="402">
        <v>117.58780675275712</v>
      </c>
      <c r="K45" s="402"/>
      <c r="L45" s="402"/>
      <c r="M45" s="402"/>
      <c r="N45" s="402"/>
      <c r="O45" s="402"/>
      <c r="P45" s="424">
        <f t="shared" si="5"/>
        <v>92.159527700060337</v>
      </c>
    </row>
  </sheetData>
  <mergeCells count="6">
    <mergeCell ref="B37:B45"/>
    <mergeCell ref="B1:C1"/>
    <mergeCell ref="B2:B7"/>
    <mergeCell ref="B9:B15"/>
    <mergeCell ref="B17:B25"/>
    <mergeCell ref="B27:B35"/>
  </mergeCells>
  <phoneticPr fontId="13" type="noConversion"/>
  <pageMargins left="0.7" right="0.7" top="0.75" bottom="0.75" header="0.3" footer="0.3"/>
  <pageSetup paperSize="9"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">
    <tabColor rgb="FFFF0000"/>
    <outlinePr summaryBelow="0" summaryRight="0"/>
  </sheetPr>
  <dimension ref="A1:P37"/>
  <sheetViews>
    <sheetView view="pageBreakPreview" zoomScale="115" zoomScaleNormal="100" zoomScaleSheetLayoutView="115" workbookViewId="0">
      <selection activeCell="B6" sqref="B6"/>
    </sheetView>
  </sheetViews>
  <sheetFormatPr defaultColWidth="12.5703125" defaultRowHeight="15.75" customHeight="1"/>
  <cols>
    <col min="1" max="1" width="27.42578125" style="98" bestFit="1" customWidth="1"/>
    <col min="2" max="2" width="12.5703125" style="98" customWidth="1"/>
    <col min="3" max="4" width="12.5703125" style="98"/>
    <col min="5" max="5" width="16.42578125" style="98" customWidth="1"/>
    <col min="6" max="6" width="2.42578125" style="98" customWidth="1"/>
    <col min="7" max="7" width="24.85546875" style="98" bestFit="1" customWidth="1"/>
    <col min="8" max="10" width="12.5703125" style="98"/>
    <col min="11" max="11" width="16.42578125" style="98" customWidth="1"/>
    <col min="12" max="12" width="12.5703125" style="99"/>
    <col min="13" max="16384" width="12.5703125" style="98"/>
  </cols>
  <sheetData>
    <row r="1" spans="1:12" ht="15.75" customHeight="1">
      <c r="A1" s="525" t="s">
        <v>313</v>
      </c>
      <c r="B1" s="526"/>
      <c r="C1" s="526"/>
      <c r="D1" s="526"/>
      <c r="E1" s="526"/>
      <c r="F1" s="526"/>
      <c r="G1" s="526"/>
      <c r="H1" s="526"/>
      <c r="I1" s="526"/>
      <c r="J1" s="526"/>
      <c r="K1" s="526"/>
      <c r="L1" s="98"/>
    </row>
    <row r="2" spans="1:12" s="99" customFormat="1" ht="15.75" customHeight="1">
      <c r="A2" s="526"/>
      <c r="B2" s="526"/>
      <c r="C2" s="526"/>
      <c r="D2" s="526"/>
      <c r="E2" s="526"/>
      <c r="F2" s="526"/>
      <c r="G2" s="526"/>
      <c r="H2" s="526"/>
      <c r="I2" s="526"/>
      <c r="J2" s="526"/>
      <c r="K2" s="526"/>
    </row>
    <row r="3" spans="1:12" ht="21.6" customHeight="1">
      <c r="A3" s="113" t="s">
        <v>73</v>
      </c>
      <c r="B3" s="114">
        <v>7</v>
      </c>
      <c r="C3" s="113" t="s">
        <v>20</v>
      </c>
      <c r="D3" s="527" t="s">
        <v>337</v>
      </c>
      <c r="E3" s="527"/>
      <c r="F3" s="99"/>
      <c r="G3" s="108"/>
      <c r="H3" s="99"/>
      <c r="I3" s="99"/>
      <c r="J3" s="99"/>
      <c r="K3" s="99"/>
    </row>
    <row r="4" spans="1:12" ht="15.75" customHeight="1">
      <c r="A4" s="109" t="s">
        <v>449</v>
      </c>
      <c r="E4" s="101" t="s">
        <v>23</v>
      </c>
      <c r="G4" s="110" t="s">
        <v>71</v>
      </c>
      <c r="L4" s="98"/>
    </row>
    <row r="5" spans="1:12" s="103" customFormat="1" ht="15.75" customHeight="1">
      <c r="A5" s="120" t="s">
        <v>180</v>
      </c>
      <c r="B5" s="115" t="s">
        <v>22</v>
      </c>
      <c r="C5" s="115" t="s">
        <v>1</v>
      </c>
      <c r="D5" s="115" t="s">
        <v>2</v>
      </c>
      <c r="E5" s="115" t="s">
        <v>3</v>
      </c>
      <c r="G5" s="120" t="s">
        <v>180</v>
      </c>
      <c r="H5" s="115" t="s">
        <v>69</v>
      </c>
      <c r="I5" s="115" t="s">
        <v>22</v>
      </c>
      <c r="J5" s="115" t="s">
        <v>67</v>
      </c>
      <c r="K5" s="115" t="s">
        <v>3</v>
      </c>
      <c r="L5" s="104" t="s">
        <v>60</v>
      </c>
    </row>
    <row r="6" spans="1:12" ht="18" customHeight="1">
      <c r="A6" s="106" t="s">
        <v>24</v>
      </c>
      <c r="B6" s="425" t="e">
        <f>'（１）收支狀況'!#REF!/1000</f>
        <v>#REF!</v>
      </c>
      <c r="C6" s="394">
        <v>194099.28702000002</v>
      </c>
      <c r="D6" s="116" t="e">
        <f t="shared" ref="D6:D11" si="0">B6-C6</f>
        <v>#REF!</v>
      </c>
      <c r="E6" s="394">
        <f>'數值累積總表(月)'!P2</f>
        <v>1147680.2092900001</v>
      </c>
      <c r="G6" s="106" t="s">
        <v>181</v>
      </c>
      <c r="H6" s="118">
        <v>497.6</v>
      </c>
      <c r="I6" s="426" t="e">
        <f>'（２）ＫＰＩ達成進度'!#REF!</f>
        <v>#REF!</v>
      </c>
      <c r="J6" s="404">
        <v>425.95259125022073</v>
      </c>
      <c r="K6" s="404">
        <f>'數值累積總表(月)'!P10</f>
        <v>432.44396416508198</v>
      </c>
      <c r="L6" s="100" t="s">
        <v>178</v>
      </c>
    </row>
    <row r="7" spans="1:12" ht="18" customHeight="1">
      <c r="A7" s="106" t="s">
        <v>25</v>
      </c>
      <c r="B7" s="425" t="e">
        <f>'（１）收支狀況'!#REF!</f>
        <v>#REF!</v>
      </c>
      <c r="C7" s="394">
        <v>6275618</v>
      </c>
      <c r="D7" s="116" t="e">
        <f t="shared" si="0"/>
        <v>#REF!</v>
      </c>
      <c r="E7" s="394">
        <f>'數值累積總表(月)'!P3</f>
        <v>37681130</v>
      </c>
      <c r="G7" s="106" t="s">
        <v>182</v>
      </c>
      <c r="H7" s="117">
        <v>0.8</v>
      </c>
      <c r="I7" s="403" t="e">
        <f>'（２）ＫＰＩ達成進度'!#REF!</f>
        <v>#REF!</v>
      </c>
      <c r="J7" s="406">
        <v>0.96282231295257903</v>
      </c>
      <c r="K7" s="406">
        <f>'數值累積總表(月)'!P11</f>
        <v>0.91491119097697848</v>
      </c>
      <c r="L7" s="100" t="s">
        <v>4</v>
      </c>
    </row>
    <row r="8" spans="1:12" ht="18" customHeight="1">
      <c r="A8" s="106" t="s">
        <v>5</v>
      </c>
      <c r="B8" s="425" t="e">
        <f>'（１）收支狀況'!#REF!/1000</f>
        <v>#REF!</v>
      </c>
      <c r="C8" s="394">
        <v>131016.30050794722</v>
      </c>
      <c r="D8" s="116" t="e">
        <f>B8-C8</f>
        <v>#REF!</v>
      </c>
      <c r="E8" s="394">
        <f>'數值累積總表(月)'!P4</f>
        <v>743661.59496639529</v>
      </c>
      <c r="G8" s="106" t="s">
        <v>183</v>
      </c>
      <c r="H8" s="117">
        <v>2.5000000000000001E-3</v>
      </c>
      <c r="I8" s="427" t="e">
        <f>'（２）ＫＰＩ達成進度'!#REF!</f>
        <v>#REF!</v>
      </c>
      <c r="J8" s="405">
        <v>2.0072505835617024E-3</v>
      </c>
      <c r="K8" s="405">
        <f>'數值累積總表(月)'!P12</f>
        <v>2.1193824114863458E-3</v>
      </c>
      <c r="L8" s="100" t="s">
        <v>55</v>
      </c>
    </row>
    <row r="9" spans="1:12" ht="18" customHeight="1">
      <c r="A9" s="106" t="s">
        <v>6</v>
      </c>
      <c r="B9" s="449" t="e">
        <f>'（１）收支狀況'!#REF!</f>
        <v>#REF!</v>
      </c>
      <c r="C9" s="428">
        <v>0.67499629967444075</v>
      </c>
      <c r="D9" s="117" t="e">
        <f t="shared" si="0"/>
        <v>#REF!</v>
      </c>
      <c r="E9" s="428">
        <f>'數值累積總表(月)'!P5</f>
        <v>0.66261975069346779</v>
      </c>
      <c r="G9" s="106" t="s">
        <v>184</v>
      </c>
      <c r="H9" s="117">
        <v>4.0000000000000001E-3</v>
      </c>
      <c r="I9" s="403" t="e">
        <f>'（２）ＫＰＩ達成進度'!#REF!</f>
        <v>#REF!</v>
      </c>
      <c r="J9" s="406">
        <v>6.077521140456379E-3</v>
      </c>
      <c r="K9" s="406">
        <f>'數值累積總表(月)'!P13</f>
        <v>5.4723700024967136E-3</v>
      </c>
      <c r="L9" s="100" t="s">
        <v>98</v>
      </c>
    </row>
    <row r="10" spans="1:12" ht="18" customHeight="1">
      <c r="A10" s="106" t="s">
        <v>64</v>
      </c>
      <c r="B10" s="425" t="e">
        <f>'（１）收支狀況'!#REF!/1000</f>
        <v>#REF!</v>
      </c>
      <c r="C10" s="394">
        <v>27275.089879999996</v>
      </c>
      <c r="D10" s="116" t="e">
        <f>B10-C10</f>
        <v>#REF!</v>
      </c>
      <c r="E10" s="394">
        <f>'數值累積總表(月)'!P6</f>
        <v>169874.99682200002</v>
      </c>
      <c r="G10" s="106" t="s">
        <v>185</v>
      </c>
      <c r="H10" s="117">
        <v>0.8</v>
      </c>
      <c r="I10" s="403" t="e">
        <f>'（２）ＫＰＩ達成進度'!#REF!</f>
        <v>#REF!</v>
      </c>
      <c r="J10" s="406">
        <v>0.89999999999999958</v>
      </c>
      <c r="K10" s="406">
        <f>'數值累積總表(月)'!P14</f>
        <v>0.89999999999999947</v>
      </c>
      <c r="L10" s="100" t="s">
        <v>7</v>
      </c>
    </row>
    <row r="11" spans="1:12" ht="18" customHeight="1">
      <c r="A11" s="106" t="s">
        <v>65</v>
      </c>
      <c r="B11" s="449" t="e">
        <f>'（１）收支狀況'!#REF!</f>
        <v>#REF!</v>
      </c>
      <c r="C11" s="428">
        <v>0.14052132956670554</v>
      </c>
      <c r="D11" s="117" t="e">
        <f t="shared" si="0"/>
        <v>#REF!</v>
      </c>
      <c r="E11" s="428">
        <f>'數值累積總表(月)'!P7</f>
        <v>0.15451150799949703</v>
      </c>
      <c r="G11" s="106" t="s">
        <v>186</v>
      </c>
      <c r="H11" s="117">
        <v>1</v>
      </c>
      <c r="I11" s="403" t="e">
        <f>'（２）ＫＰＩ達成進度'!#REF!</f>
        <v>#REF!</v>
      </c>
      <c r="J11" s="406">
        <v>0.47115384615384609</v>
      </c>
      <c r="K11" s="406">
        <f>'數值累積總表(月)'!P15</f>
        <v>0.55521091811414403</v>
      </c>
      <c r="L11" s="100" t="s">
        <v>62</v>
      </c>
    </row>
    <row r="12" spans="1:12" ht="9.6" customHeight="1">
      <c r="L12" s="98"/>
    </row>
    <row r="13" spans="1:12" ht="15.75" customHeight="1">
      <c r="A13" s="109" t="s">
        <v>32</v>
      </c>
      <c r="E13" s="309" t="s">
        <v>23</v>
      </c>
      <c r="G13" s="109" t="s">
        <v>33</v>
      </c>
      <c r="K13" s="309" t="s">
        <v>401</v>
      </c>
      <c r="L13" s="98"/>
    </row>
    <row r="14" spans="1:12" s="105" customFormat="1" ht="12">
      <c r="A14" s="119"/>
      <c r="B14" s="119" t="s">
        <v>22</v>
      </c>
      <c r="C14" s="119" t="s">
        <v>41</v>
      </c>
      <c r="D14" s="119" t="s">
        <v>67</v>
      </c>
      <c r="E14" s="119" t="s">
        <v>68</v>
      </c>
      <c r="G14" s="119"/>
      <c r="H14" s="119" t="s">
        <v>22</v>
      </c>
      <c r="I14" s="119" t="s">
        <v>41</v>
      </c>
      <c r="J14" s="119" t="s">
        <v>67</v>
      </c>
      <c r="K14" s="119" t="s">
        <v>68</v>
      </c>
    </row>
    <row r="15" spans="1:12" ht="18" customHeight="1">
      <c r="A15" s="106" t="s">
        <v>358</v>
      </c>
      <c r="B15" s="425">
        <f>SUM('（３）業績構成比'!M7:M10)/1000</f>
        <v>7055.12309</v>
      </c>
      <c r="C15" s="117" t="str">
        <f>IFERROR(B15/$B$6,"")</f>
        <v/>
      </c>
      <c r="D15" s="429">
        <v>0.29977346874027683</v>
      </c>
      <c r="E15" s="117" t="str">
        <f>IFERROR(C15-D15,"")</f>
        <v/>
      </c>
      <c r="G15" s="106" t="s">
        <v>359</v>
      </c>
      <c r="H15" s="425">
        <f>SUM('（４）訂單數量構成比'!M7:M10)</f>
        <v>368418</v>
      </c>
      <c r="I15" s="117" t="str">
        <f t="shared" ref="I15:I23" si="1">IFERROR(H15/$B$7,"")</f>
        <v/>
      </c>
      <c r="J15" s="429">
        <v>0.49244058513440431</v>
      </c>
      <c r="K15" s="117" t="str">
        <f>IFERROR(I15-J15,"")</f>
        <v/>
      </c>
      <c r="L15" s="98"/>
    </row>
    <row r="16" spans="1:12" ht="18" customHeight="1">
      <c r="A16" s="106" t="s">
        <v>206</v>
      </c>
      <c r="B16" s="425">
        <f>SUM('（３）業績構成比'!S7:S10)/1000</f>
        <v>1238.1175700000001</v>
      </c>
      <c r="C16" s="117" t="str">
        <f t="shared" ref="C16:C23" si="2">IFERROR(B16/$B$6,"")</f>
        <v/>
      </c>
      <c r="D16" s="429">
        <v>3.5290065487433755E-2</v>
      </c>
      <c r="E16" s="117" t="str">
        <f t="shared" ref="E16:E23" si="3">IFERROR(C16-D16,"")</f>
        <v/>
      </c>
      <c r="G16" s="106" t="s">
        <v>206</v>
      </c>
      <c r="H16" s="425">
        <f>SUM('（４）訂單數量構成比'!S7:S10)</f>
        <v>42521</v>
      </c>
      <c r="I16" s="117" t="str">
        <f t="shared" si="1"/>
        <v/>
      </c>
      <c r="J16" s="429">
        <v>3.785093356542734E-2</v>
      </c>
      <c r="K16" s="117" t="str">
        <f t="shared" ref="K16:K23" si="4">IFERROR(I16-J16,"")</f>
        <v/>
      </c>
      <c r="L16" s="98"/>
    </row>
    <row r="17" spans="1:16" ht="18" customHeight="1">
      <c r="A17" s="106" t="s">
        <v>202</v>
      </c>
      <c r="B17" s="425">
        <f>SUM('（３）業績構成比'!U7:U10)/1000</f>
        <v>251.41832999999997</v>
      </c>
      <c r="C17" s="117" t="str">
        <f t="shared" si="2"/>
        <v/>
      </c>
      <c r="D17" s="429">
        <v>1.0903808522397734E-2</v>
      </c>
      <c r="E17" s="117" t="str">
        <f t="shared" si="3"/>
        <v/>
      </c>
      <c r="G17" s="106" t="s">
        <v>218</v>
      </c>
      <c r="H17" s="425">
        <f>SUM('（４）訂單數量構成比'!U7:U10)</f>
        <v>8389</v>
      </c>
      <c r="I17" s="117" t="str">
        <f t="shared" si="1"/>
        <v/>
      </c>
      <c r="J17" s="429">
        <v>1.1252756302247842E-2</v>
      </c>
      <c r="K17" s="117" t="str">
        <f t="shared" si="4"/>
        <v/>
      </c>
      <c r="L17" s="98"/>
    </row>
    <row r="18" spans="1:16" ht="18" customHeight="1">
      <c r="A18" s="106" t="s">
        <v>204</v>
      </c>
      <c r="B18" s="425">
        <f>SUM('（３）業績構成比'!W7:W10)/1000</f>
        <v>1229.5235600000001</v>
      </c>
      <c r="C18" s="117" t="str">
        <f t="shared" si="2"/>
        <v/>
      </c>
      <c r="D18" s="429">
        <v>4.9548361396139648E-2</v>
      </c>
      <c r="E18" s="117" t="str">
        <f t="shared" si="3"/>
        <v/>
      </c>
      <c r="G18" s="106" t="s">
        <v>203</v>
      </c>
      <c r="H18" s="425">
        <f>SUM('（４）訂單數量構成比'!W7:W10)</f>
        <v>52066</v>
      </c>
      <c r="I18" s="117" t="str">
        <f t="shared" si="1"/>
        <v/>
      </c>
      <c r="J18" s="429">
        <v>6.2276894482742574E-2</v>
      </c>
      <c r="K18" s="117" t="str">
        <f t="shared" si="4"/>
        <v/>
      </c>
      <c r="L18" s="98"/>
    </row>
    <row r="19" spans="1:16" ht="18" customHeight="1">
      <c r="A19" s="106" t="s">
        <v>208</v>
      </c>
      <c r="B19" s="425">
        <f>SUM('（３）業績構成比'!AC7:AC10)/1000</f>
        <v>3338.47795</v>
      </c>
      <c r="C19" s="117" t="str">
        <f t="shared" si="2"/>
        <v/>
      </c>
      <c r="D19" s="429">
        <v>0.13432459995236101</v>
      </c>
      <c r="E19" s="117" t="str">
        <f t="shared" si="3"/>
        <v/>
      </c>
      <c r="G19" s="106" t="s">
        <v>207</v>
      </c>
      <c r="H19" s="425">
        <f>SUM('（４）訂單數量構成比'!AC7:AC10)</f>
        <v>62188</v>
      </c>
      <c r="I19" s="117" t="str">
        <f t="shared" si="1"/>
        <v/>
      </c>
      <c r="J19" s="429">
        <v>7.6646793989054149E-2</v>
      </c>
      <c r="K19" s="117" t="str">
        <f t="shared" si="4"/>
        <v/>
      </c>
      <c r="L19" s="98"/>
    </row>
    <row r="20" spans="1:16" ht="18" customHeight="1">
      <c r="A20" s="106" t="s">
        <v>210</v>
      </c>
      <c r="B20" s="425">
        <f>SUM('（３）業績構成比'!AE7:AE10)/1000</f>
        <v>5218.2439599999998</v>
      </c>
      <c r="C20" s="117" t="str">
        <f t="shared" si="2"/>
        <v/>
      </c>
      <c r="D20" s="429">
        <v>0.22905816354399502</v>
      </c>
      <c r="E20" s="117" t="str">
        <f t="shared" si="3"/>
        <v/>
      </c>
      <c r="G20" s="106" t="s">
        <v>209</v>
      </c>
      <c r="H20" s="425">
        <f>SUM('（４）訂單數量構成比'!AE7:AE10)</f>
        <v>83919</v>
      </c>
      <c r="I20" s="117" t="str">
        <f t="shared" si="1"/>
        <v/>
      </c>
      <c r="J20" s="429">
        <v>0.11321896903221325</v>
      </c>
      <c r="K20" s="117" t="str">
        <f t="shared" si="4"/>
        <v/>
      </c>
      <c r="L20" s="98"/>
    </row>
    <row r="21" spans="1:16" ht="18" customHeight="1">
      <c r="A21" s="106" t="s">
        <v>213</v>
      </c>
      <c r="B21" s="425">
        <f>SUM('（３）業績構成比'!AG7:AG10)/1000</f>
        <v>0</v>
      </c>
      <c r="C21" s="117" t="str">
        <f t="shared" si="2"/>
        <v/>
      </c>
      <c r="D21" s="429">
        <v>0</v>
      </c>
      <c r="E21" s="117" t="str">
        <f t="shared" si="3"/>
        <v/>
      </c>
      <c r="G21" s="106" t="s">
        <v>219</v>
      </c>
      <c r="H21" s="425">
        <f>SUM('（４）訂單數量構成比'!AG7:AG10)</f>
        <v>0</v>
      </c>
      <c r="I21" s="117" t="str">
        <f t="shared" si="1"/>
        <v/>
      </c>
      <c r="J21" s="429">
        <v>0</v>
      </c>
      <c r="K21" s="117" t="str">
        <f t="shared" si="4"/>
        <v/>
      </c>
      <c r="L21" s="98"/>
    </row>
    <row r="22" spans="1:16" ht="18" customHeight="1">
      <c r="A22" s="106" t="s">
        <v>214</v>
      </c>
      <c r="B22" s="425">
        <f>SUM('（３）業績構成比'!AI7:AI10)/1000</f>
        <v>3908.9865</v>
      </c>
      <c r="C22" s="117" t="str">
        <f t="shared" si="2"/>
        <v/>
      </c>
      <c r="D22" s="429">
        <v>0.17184921115430482</v>
      </c>
      <c r="E22" s="117" t="str">
        <f t="shared" si="3"/>
        <v/>
      </c>
      <c r="G22" s="106" t="s">
        <v>220</v>
      </c>
      <c r="H22" s="425">
        <f>SUM('（４）訂單數量構成比'!AI7:AI10)</f>
        <v>100879</v>
      </c>
      <c r="I22" s="117" t="str">
        <f t="shared" si="1"/>
        <v/>
      </c>
      <c r="J22" s="429">
        <v>0.14207987165566802</v>
      </c>
      <c r="K22" s="117" t="str">
        <f t="shared" si="4"/>
        <v/>
      </c>
      <c r="L22" s="98"/>
    </row>
    <row r="23" spans="1:16" ht="18" customHeight="1">
      <c r="A23" s="106" t="s">
        <v>216</v>
      </c>
      <c r="B23" s="425">
        <f>SUM('（３）業績構成比'!AK7:AK10)/1000</f>
        <v>1363.8713500000001</v>
      </c>
      <c r="C23" s="117" t="str">
        <f t="shared" si="2"/>
        <v/>
      </c>
      <c r="D23" s="429">
        <v>6.925232120309105E-2</v>
      </c>
      <c r="E23" s="117" t="str">
        <f t="shared" si="3"/>
        <v/>
      </c>
      <c r="G23" s="106" t="s">
        <v>215</v>
      </c>
      <c r="H23" s="425">
        <f>SUM('（４）訂單數量構成比'!AK7:AK10)</f>
        <v>43094</v>
      </c>
      <c r="I23" s="117" t="str">
        <f t="shared" si="1"/>
        <v/>
      </c>
      <c r="J23" s="429">
        <v>6.4233195838242538E-2</v>
      </c>
      <c r="K23" s="117" t="str">
        <f t="shared" si="4"/>
        <v/>
      </c>
      <c r="L23" s="98"/>
    </row>
    <row r="24" spans="1:16" ht="15.75" customHeight="1">
      <c r="C24" s="111">
        <f>SUM(C15:C23)</f>
        <v>0</v>
      </c>
      <c r="D24" s="111">
        <f t="shared" ref="D24" si="5">SUM(D15:D23)</f>
        <v>1</v>
      </c>
      <c r="I24" s="111">
        <f t="shared" ref="I24:J24" si="6">SUM(I15:I23)</f>
        <v>0</v>
      </c>
      <c r="J24" s="111">
        <f t="shared" si="6"/>
        <v>1</v>
      </c>
      <c r="L24" s="98"/>
    </row>
    <row r="25" spans="1:16" ht="9.6" customHeight="1">
      <c r="A25" s="112"/>
      <c r="L25" s="98"/>
    </row>
    <row r="26" spans="1:16" ht="15.75" customHeight="1">
      <c r="A26" s="109" t="s">
        <v>179</v>
      </c>
      <c r="L26" s="98"/>
    </row>
    <row r="27" spans="1:16" ht="15.75" customHeight="1">
      <c r="A27" s="106" t="s">
        <v>171</v>
      </c>
      <c r="B27" s="106" t="s">
        <v>22</v>
      </c>
      <c r="C27" s="106" t="s">
        <v>1</v>
      </c>
      <c r="D27" s="106" t="s">
        <v>2</v>
      </c>
      <c r="E27" s="106" t="s">
        <v>3</v>
      </c>
      <c r="L27" s="98"/>
    </row>
    <row r="28" spans="1:16" ht="18" customHeight="1">
      <c r="A28" s="106" t="s">
        <v>217</v>
      </c>
      <c r="B28" s="430">
        <f>'（５-1）品群別人時生產性(18℃-飯糰)'!C1</f>
        <v>782.87679667683892</v>
      </c>
      <c r="C28" s="431">
        <v>783.42710865003369</v>
      </c>
      <c r="D28" s="221">
        <f t="shared" ref="D28:D36" si="7">B28-C28</f>
        <v>-0.55031197319476632</v>
      </c>
      <c r="E28" s="407">
        <f>'數值累積總表(月)'!P37</f>
        <v>766.01500650342518</v>
      </c>
      <c r="G28" s="121"/>
      <c r="H28" s="121"/>
      <c r="I28" s="121"/>
      <c r="J28" s="121"/>
      <c r="K28" s="121"/>
      <c r="L28" s="121"/>
      <c r="M28" s="121"/>
      <c r="N28" s="121"/>
      <c r="O28" s="122"/>
      <c r="P28" s="122"/>
    </row>
    <row r="29" spans="1:16" ht="18" customHeight="1">
      <c r="A29" s="106" t="s">
        <v>205</v>
      </c>
      <c r="B29" s="430">
        <f>'（５-2）品群別人時生產性(18℃-壽司手卷)'!C1</f>
        <v>295.70293769695468</v>
      </c>
      <c r="C29" s="431">
        <v>298.23676867480344</v>
      </c>
      <c r="D29" s="221">
        <f t="shared" si="7"/>
        <v>-2.5338309778487655</v>
      </c>
      <c r="E29" s="407">
        <f>'數值累積總表(月)'!P38</f>
        <v>302.83804595348005</v>
      </c>
      <c r="G29" s="123"/>
      <c r="H29" s="123"/>
      <c r="I29" s="124"/>
      <c r="J29" s="1"/>
      <c r="K29" s="125"/>
      <c r="L29" s="67"/>
      <c r="M29" s="67"/>
      <c r="N29" s="67"/>
      <c r="O29" s="67"/>
      <c r="P29" s="67"/>
    </row>
    <row r="30" spans="1:16" ht="18" customHeight="1">
      <c r="A30" s="106" t="s">
        <v>218</v>
      </c>
      <c r="B30" s="430">
        <f>'（５-3）品群別人時生產性(4℃-飯糰)'!C1</f>
        <v>119.39248251748248</v>
      </c>
      <c r="C30" s="431">
        <v>118.56652276295132</v>
      </c>
      <c r="D30" s="221">
        <f t="shared" si="7"/>
        <v>0.825959754531155</v>
      </c>
      <c r="E30" s="407">
        <f>'數值累積總表(月)'!P39</f>
        <v>224.17462686426924</v>
      </c>
      <c r="L30" s="98"/>
    </row>
    <row r="31" spans="1:16" ht="18" customHeight="1">
      <c r="A31" s="106" t="s">
        <v>203</v>
      </c>
      <c r="B31" s="430">
        <f>'（５-4）品群別人時生產性(4℃-壽司手卷)'!C1</f>
        <v>440.185586122046</v>
      </c>
      <c r="C31" s="431">
        <v>397.08854160526414</v>
      </c>
      <c r="D31" s="221">
        <f t="shared" si="7"/>
        <v>43.097044516781864</v>
      </c>
      <c r="E31" s="407">
        <f>'數值累積總表(月)'!P40</f>
        <v>441.35628927867521</v>
      </c>
      <c r="L31" s="98"/>
    </row>
    <row r="32" spans="1:16" ht="18" customHeight="1">
      <c r="A32" s="106" t="s">
        <v>207</v>
      </c>
      <c r="B32" s="430">
        <f>'（５-5）品群別人時生產性(微波主食) '!C1</f>
        <v>84.842849448356418</v>
      </c>
      <c r="C32" s="431">
        <v>84.227709910361142</v>
      </c>
      <c r="D32" s="221">
        <f t="shared" si="7"/>
        <v>0.61513953799527599</v>
      </c>
      <c r="E32" s="407">
        <f>'數值累積總表(月)'!P41</f>
        <v>82.491468342269329</v>
      </c>
      <c r="L32" s="98"/>
    </row>
    <row r="33" spans="1:12" ht="18" customHeight="1">
      <c r="A33" s="106" t="s">
        <v>209</v>
      </c>
      <c r="B33" s="430">
        <f>'（５-6）品群別人時生產性(便當)'!C1</f>
        <v>80.046922101245883</v>
      </c>
      <c r="C33" s="431">
        <v>79.718377211575145</v>
      </c>
      <c r="D33" s="221">
        <f t="shared" si="7"/>
        <v>0.32854488967073792</v>
      </c>
      <c r="E33" s="407">
        <f>'數值累積總表(月)'!P42</f>
        <v>78.679275333424201</v>
      </c>
      <c r="L33" s="98"/>
    </row>
    <row r="34" spans="1:12" ht="18" customHeight="1">
      <c r="A34" s="106" t="s">
        <v>219</v>
      </c>
      <c r="B34" s="430">
        <f>'（５-7）品群別人時生產性(熱食義麵) '!C1</f>
        <v>0</v>
      </c>
      <c r="C34" s="431">
        <v>0</v>
      </c>
      <c r="D34" s="221">
        <f t="shared" si="7"/>
        <v>0</v>
      </c>
      <c r="E34" s="407">
        <f>'數值累積總表(月)'!P43</f>
        <v>74.600054218307051</v>
      </c>
      <c r="L34" s="98"/>
    </row>
    <row r="35" spans="1:12" ht="18" customHeight="1">
      <c r="A35" s="106" t="s">
        <v>220</v>
      </c>
      <c r="B35" s="430">
        <f>'（５-8）品群別人時生產性(季節調理麵) '!C1</f>
        <v>154.70037204119501</v>
      </c>
      <c r="C35" s="431">
        <v>157.36335172582426</v>
      </c>
      <c r="D35" s="221">
        <f t="shared" si="7"/>
        <v>-2.6629796846292493</v>
      </c>
      <c r="E35" s="407">
        <f>'數值累積總表(月)'!P44</f>
        <v>132.45938261207397</v>
      </c>
      <c r="L35" s="98"/>
    </row>
    <row r="36" spans="1:12" ht="18" customHeight="1">
      <c r="A36" s="102" t="s">
        <v>215</v>
      </c>
      <c r="B36" s="430">
        <f>'（５-9）品群別人時生產性(微波小吃)'!C1</f>
        <v>116.01672254507379</v>
      </c>
      <c r="C36" s="431">
        <v>118.28436587813741</v>
      </c>
      <c r="D36" s="221">
        <f t="shared" si="7"/>
        <v>-2.2676433330636172</v>
      </c>
      <c r="E36" s="407">
        <f>'數值累積總表(月)'!P45</f>
        <v>92.159527700060337</v>
      </c>
      <c r="L36" s="98"/>
    </row>
    <row r="37" spans="1:12" ht="15.75" customHeight="1">
      <c r="L37" s="98"/>
    </row>
  </sheetData>
  <mergeCells count="2">
    <mergeCell ref="A1:K2"/>
    <mergeCell ref="D3:E3"/>
  </mergeCells>
  <phoneticPr fontId="13" type="noConversion"/>
  <printOptions horizontalCentered="1" gridLines="1"/>
  <pageMargins left="0.39370078740157483" right="0.39370078740157483" top="0.39370078740157483" bottom="0.19685039370078741" header="0" footer="0"/>
  <pageSetup paperSize="9" scale="85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">
    <tabColor rgb="FF92D050"/>
    <outlinePr summaryBelow="0" summaryRight="0"/>
  </sheetPr>
  <dimension ref="A1:Q38"/>
  <sheetViews>
    <sheetView view="pageBreakPreview" zoomScaleNormal="60" zoomScaleSheetLayoutView="100" workbookViewId="0">
      <selection activeCell="I9" sqref="I9"/>
    </sheetView>
  </sheetViews>
  <sheetFormatPr defaultColWidth="12.5703125" defaultRowHeight="15.75" customHeight="1"/>
  <cols>
    <col min="1" max="1" width="27.42578125" style="98" bestFit="1" customWidth="1"/>
    <col min="2" max="2" width="12.5703125" style="98" customWidth="1"/>
    <col min="3" max="4" width="12.5703125" style="98"/>
    <col min="5" max="5" width="16.42578125" style="98" customWidth="1"/>
    <col min="6" max="6" width="2.42578125" style="98" customWidth="1"/>
    <col min="7" max="7" width="24.85546875" style="98" bestFit="1" customWidth="1"/>
    <col min="8" max="10" width="12.5703125" style="98"/>
    <col min="11" max="11" width="16.42578125" style="98" customWidth="1"/>
    <col min="12" max="12" width="12.5703125" style="99"/>
    <col min="13" max="16384" width="12.5703125" style="98"/>
  </cols>
  <sheetData>
    <row r="1" spans="1:16" ht="15.75" customHeight="1">
      <c r="A1" s="525" t="s">
        <v>338</v>
      </c>
      <c r="B1" s="526"/>
      <c r="C1" s="526"/>
      <c r="D1" s="526"/>
      <c r="E1" s="526"/>
      <c r="F1" s="526"/>
      <c r="G1" s="526"/>
      <c r="H1" s="526"/>
      <c r="I1" s="526"/>
      <c r="J1" s="526"/>
      <c r="K1" s="526"/>
      <c r="L1" s="98"/>
    </row>
    <row r="2" spans="1:16" s="99" customFormat="1" ht="15.75" customHeight="1">
      <c r="A2" s="526"/>
      <c r="B2" s="526"/>
      <c r="C2" s="526"/>
      <c r="D2" s="526"/>
      <c r="E2" s="526"/>
      <c r="F2" s="526"/>
      <c r="G2" s="526"/>
      <c r="H2" s="526"/>
      <c r="I2" s="526"/>
      <c r="J2" s="526"/>
      <c r="K2" s="526"/>
    </row>
    <row r="3" spans="1:16" ht="21.6" customHeight="1">
      <c r="A3" s="113" t="s">
        <v>304</v>
      </c>
      <c r="B3" s="114">
        <v>8</v>
      </c>
      <c r="C3" s="156" t="s">
        <v>305</v>
      </c>
      <c r="D3" s="114" t="s">
        <v>710</v>
      </c>
      <c r="E3" s="113" t="s">
        <v>20</v>
      </c>
      <c r="F3" s="528" t="s">
        <v>337</v>
      </c>
      <c r="G3" s="529"/>
      <c r="H3" s="99"/>
      <c r="I3" s="108"/>
      <c r="J3" s="99"/>
      <c r="K3" s="99"/>
      <c r="M3" s="99"/>
      <c r="N3" s="99"/>
    </row>
    <row r="4" spans="1:16" ht="15.75" customHeight="1">
      <c r="A4" s="109" t="s">
        <v>380</v>
      </c>
      <c r="E4" s="101" t="s">
        <v>386</v>
      </c>
      <c r="G4" s="110" t="s">
        <v>71</v>
      </c>
      <c r="L4" s="98"/>
    </row>
    <row r="5" spans="1:16" s="103" customFormat="1" ht="15.75" customHeight="1">
      <c r="A5" s="120" t="s">
        <v>180</v>
      </c>
      <c r="B5" s="120" t="s">
        <v>307</v>
      </c>
      <c r="C5" s="120" t="s">
        <v>309</v>
      </c>
      <c r="D5" s="115" t="s">
        <v>2</v>
      </c>
      <c r="E5" s="115" t="s">
        <v>3</v>
      </c>
      <c r="G5" s="120" t="s">
        <v>180</v>
      </c>
      <c r="H5" s="115" t="s">
        <v>69</v>
      </c>
      <c r="I5" s="115" t="s">
        <v>306</v>
      </c>
      <c r="J5" s="115" t="s">
        <v>308</v>
      </c>
      <c r="K5" s="115" t="s">
        <v>3</v>
      </c>
      <c r="L5" s="104" t="s">
        <v>60</v>
      </c>
    </row>
    <row r="6" spans="1:16" ht="18" customHeight="1">
      <c r="A6" s="106" t="s">
        <v>24</v>
      </c>
      <c r="B6" s="116">
        <f>'（１）收支狀況'!G19/1000</f>
        <v>38288.004869999997</v>
      </c>
      <c r="C6" s="116">
        <v>41863.93067999999</v>
      </c>
      <c r="D6" s="116">
        <f>B6-C6</f>
        <v>-3575.9258099999934</v>
      </c>
      <c r="E6" s="215">
        <f>'（１）收支狀況'!H9:H9/1000</f>
        <v>99035.039400000009</v>
      </c>
      <c r="G6" s="216" t="s">
        <v>382</v>
      </c>
      <c r="H6" s="516">
        <v>500.4</v>
      </c>
      <c r="I6" s="217">
        <f>'（２）ＫＰＩ達成進度'!G19</f>
        <v>447.03097810828018</v>
      </c>
      <c r="J6" s="217">
        <v>444.98752613705216</v>
      </c>
      <c r="K6" s="217">
        <f>'（２）ＫＰＩ達成進度'!H9</f>
        <v>445.67048752703971</v>
      </c>
      <c r="L6" s="100" t="s">
        <v>178</v>
      </c>
    </row>
    <row r="7" spans="1:16" ht="18" customHeight="1">
      <c r="A7" s="106" t="s">
        <v>25</v>
      </c>
      <c r="B7" s="116">
        <f>'（１）收支狀況'!J19</f>
        <v>1244793</v>
      </c>
      <c r="C7" s="116">
        <v>1345846</v>
      </c>
      <c r="D7" s="116">
        <f t="shared" ref="D7:D11" si="0">B7-C7</f>
        <v>-101053</v>
      </c>
      <c r="E7" s="215">
        <f>'（１）收支狀況'!K9:K9</f>
        <v>3191112</v>
      </c>
      <c r="G7" s="216" t="s">
        <v>383</v>
      </c>
      <c r="H7" s="218">
        <v>0.8</v>
      </c>
      <c r="I7" s="117">
        <f>'（２）ＫＰＩ達成進度'!J19</f>
        <v>0.8933472783938452</v>
      </c>
      <c r="J7" s="117">
        <v>0.88926364136101566</v>
      </c>
      <c r="K7" s="218">
        <f>'（２）ＫＰＩ達成進度'!K9</f>
        <v>0.89062847227625852</v>
      </c>
      <c r="L7" s="100" t="s">
        <v>4</v>
      </c>
    </row>
    <row r="8" spans="1:16" ht="18" customHeight="1">
      <c r="A8" s="106" t="s">
        <v>381</v>
      </c>
      <c r="B8" s="116">
        <f>'（１）收支狀況'!M19/1000</f>
        <v>26120.853639865774</v>
      </c>
      <c r="C8" s="116">
        <v>28482.742541629075</v>
      </c>
      <c r="D8" s="116">
        <f>B8-C8</f>
        <v>-2361.888901763301</v>
      </c>
      <c r="E8" s="215">
        <f>'（１）收支狀況'!N9:N9/1000</f>
        <v>67369.414739502085</v>
      </c>
      <c r="G8" s="216" t="s">
        <v>183</v>
      </c>
      <c r="H8" s="117">
        <v>2.5000000000000001E-3</v>
      </c>
      <c r="I8" s="219">
        <f>'（２）ＫＰＩ達成進度'!M19</f>
        <v>2.0059773483459046E-3</v>
      </c>
      <c r="J8" s="219">
        <v>2.0032276116361881E-3</v>
      </c>
      <c r="K8" s="219">
        <f>'（２）ＫＰＩ達成進度'!N9</f>
        <v>2.0046499895104591E-3</v>
      </c>
      <c r="L8" s="100" t="s">
        <v>55</v>
      </c>
    </row>
    <row r="9" spans="1:16" ht="18" customHeight="1">
      <c r="A9" s="106" t="s">
        <v>6</v>
      </c>
      <c r="B9" s="218">
        <f>'（１）收支狀況'!P19</f>
        <v>0.68222028618504449</v>
      </c>
      <c r="C9" s="218">
        <v>0.68036474547375403</v>
      </c>
      <c r="D9" s="218">
        <f t="shared" si="0"/>
        <v>1.8555407112904598E-3</v>
      </c>
      <c r="E9" s="218">
        <f>'（１）收支狀況'!Q9</f>
        <v>0.68025837266948253</v>
      </c>
      <c r="G9" s="216" t="s">
        <v>184</v>
      </c>
      <c r="H9" s="517">
        <v>2.5000000000000001E-3</v>
      </c>
      <c r="I9" s="117">
        <f>'（２）ＫＰＩ達成進度'!P19</f>
        <v>6.0108530573013946E-3</v>
      </c>
      <c r="J9" s="117">
        <v>6.0088059078215522E-3</v>
      </c>
      <c r="K9" s="117">
        <f>'（２）ＫＰＩ達成進度'!Q9</f>
        <v>6.011377692572881E-3</v>
      </c>
      <c r="L9" s="100" t="s">
        <v>98</v>
      </c>
    </row>
    <row r="10" spans="1:16" ht="18" customHeight="1">
      <c r="A10" s="106" t="s">
        <v>64</v>
      </c>
      <c r="B10" s="116">
        <f>'（１）收支狀況'!S19/1000</f>
        <v>5469.2404580000002</v>
      </c>
      <c r="C10" s="116">
        <v>5978.0771260000001</v>
      </c>
      <c r="D10" s="116">
        <f t="shared" si="0"/>
        <v>-508.83666799999992</v>
      </c>
      <c r="E10" s="215">
        <f>'（１）收支狀況'!T9/1000</f>
        <v>14031.439514000002</v>
      </c>
      <c r="G10" s="216" t="s">
        <v>384</v>
      </c>
      <c r="H10" s="218">
        <v>0.8</v>
      </c>
      <c r="I10" s="218">
        <f>'（２）ＫＰＩ達成進度'!S19</f>
        <v>0.90000000000000013</v>
      </c>
      <c r="J10" s="218">
        <v>0.90000000000000013</v>
      </c>
      <c r="K10" s="218">
        <f>'（２）ＫＰＩ達成進度'!T9</f>
        <v>0.90000000000000024</v>
      </c>
      <c r="L10" s="100" t="s">
        <v>7</v>
      </c>
      <c r="M10" s="310"/>
      <c r="N10" s="310"/>
      <c r="O10" s="310"/>
      <c r="P10" s="310"/>
    </row>
    <row r="11" spans="1:16" ht="18" customHeight="1">
      <c r="A11" s="106" t="s">
        <v>65</v>
      </c>
      <c r="B11" s="218">
        <f>'（１）收支狀況'!V19</f>
        <v>0.14284474932997471</v>
      </c>
      <c r="C11" s="218">
        <v>0.14279779822146413</v>
      </c>
      <c r="D11" s="218">
        <f t="shared" si="0"/>
        <v>4.6951108510578932E-5</v>
      </c>
      <c r="E11" s="218">
        <f>'（１）收支狀況'!W9</f>
        <v>0.14168156643354657</v>
      </c>
      <c r="G11" s="216" t="s">
        <v>385</v>
      </c>
      <c r="H11" s="218">
        <v>1</v>
      </c>
      <c r="I11" s="307">
        <f>33/52*100%</f>
        <v>0.63461538461538458</v>
      </c>
      <c r="J11" s="307">
        <v>0.61538461538461542</v>
      </c>
      <c r="K11" s="307">
        <f>'（２）ＫＰＩ達成進度'!W9</f>
        <v>0.61990950226244357</v>
      </c>
      <c r="L11" s="100" t="s">
        <v>62</v>
      </c>
      <c r="M11" s="311"/>
      <c r="N11" s="311"/>
      <c r="O11" s="311"/>
      <c r="P11" s="311"/>
    </row>
    <row r="12" spans="1:16" ht="9.6" customHeight="1">
      <c r="L12" s="98"/>
    </row>
    <row r="13" spans="1:16" ht="15.75" customHeight="1">
      <c r="A13" s="109" t="s">
        <v>32</v>
      </c>
      <c r="E13" s="309" t="s">
        <v>23</v>
      </c>
      <c r="G13" s="109" t="s">
        <v>33</v>
      </c>
      <c r="K13" s="309" t="s">
        <v>401</v>
      </c>
      <c r="L13" s="98"/>
    </row>
    <row r="14" spans="1:16" s="105" customFormat="1" ht="14.25">
      <c r="A14" s="119"/>
      <c r="B14" s="157" t="s">
        <v>307</v>
      </c>
      <c r="C14" s="119" t="s">
        <v>66</v>
      </c>
      <c r="D14" s="157" t="s">
        <v>310</v>
      </c>
      <c r="E14" s="119" t="s">
        <v>68</v>
      </c>
      <c r="G14" s="119"/>
      <c r="H14" s="157" t="s">
        <v>307</v>
      </c>
      <c r="I14" s="119" t="s">
        <v>66</v>
      </c>
      <c r="J14" s="157" t="s">
        <v>310</v>
      </c>
      <c r="K14" s="119" t="s">
        <v>68</v>
      </c>
    </row>
    <row r="15" spans="1:16" ht="18" customHeight="1">
      <c r="A15" s="106" t="s">
        <v>358</v>
      </c>
      <c r="B15" s="116">
        <f>SUM('（３）業績構成比'!M21:M27)/1000</f>
        <v>11759.99901</v>
      </c>
      <c r="C15" s="218">
        <f>IFERROR(B15/$B$6,"")</f>
        <v>0.30714577711554708</v>
      </c>
      <c r="D15" s="218">
        <v>0.29368198590758804</v>
      </c>
      <c r="E15" s="218">
        <f>IFERROR(C15-D15,"")</f>
        <v>1.3463791207959042E-2</v>
      </c>
      <c r="G15" s="106" t="s">
        <v>359</v>
      </c>
      <c r="H15" s="116">
        <f>SUM('（４）訂單數量構成比'!M21:M27)</f>
        <v>628684</v>
      </c>
      <c r="I15" s="218">
        <f>IFERROR(H15/$B$7,"")</f>
        <v>0.5050510406147849</v>
      </c>
      <c r="J15" s="218">
        <v>0.4835568111061741</v>
      </c>
      <c r="K15" s="218">
        <f t="shared" ref="K15:K23" si="1">IFERROR(I15-J15,"")</f>
        <v>2.1494229508610796E-2</v>
      </c>
      <c r="L15" s="98"/>
    </row>
    <row r="16" spans="1:16" ht="18" customHeight="1">
      <c r="A16" s="106" t="s">
        <v>206</v>
      </c>
      <c r="B16" s="116">
        <f>SUM('（３）業績構成比'!S21:S27)/1000</f>
        <v>1819.4031699999998</v>
      </c>
      <c r="C16" s="218">
        <f t="shared" ref="C16:C23" si="2">IFERROR(B16/$B$6,"")</f>
        <v>4.7518881596924537E-2</v>
      </c>
      <c r="D16" s="218">
        <v>4.7101102977461756E-2</v>
      </c>
      <c r="E16" s="218">
        <f t="shared" ref="E16:E23" si="3">IFERROR(C16-D16,"")</f>
        <v>4.1777861946278028E-4</v>
      </c>
      <c r="G16" s="106" t="s">
        <v>233</v>
      </c>
      <c r="H16" s="116">
        <f>SUM('（４）訂單數量構成比'!S21:S27)</f>
        <v>62841</v>
      </c>
      <c r="I16" s="218">
        <f>IFERROR(H16/$B$7,"")</f>
        <v>5.0483092369574697E-2</v>
      </c>
      <c r="J16" s="218">
        <v>5.0479772574276702E-2</v>
      </c>
      <c r="K16" s="218">
        <f t="shared" si="1"/>
        <v>3.3197952979957535E-6</v>
      </c>
      <c r="L16" s="98"/>
    </row>
    <row r="17" spans="1:17" ht="18" customHeight="1">
      <c r="A17" s="106" t="s">
        <v>202</v>
      </c>
      <c r="B17" s="116">
        <f>SUM('（３）業績構成比'!U21:U27)/1000</f>
        <v>468.25128000000001</v>
      </c>
      <c r="C17" s="218">
        <f t="shared" si="2"/>
        <v>1.2229712192888155E-2</v>
      </c>
      <c r="D17" s="218">
        <v>1.0676794384563988E-2</v>
      </c>
      <c r="E17" s="218">
        <f t="shared" si="3"/>
        <v>1.5529178083241672E-3</v>
      </c>
      <c r="G17" s="106" t="s">
        <v>218</v>
      </c>
      <c r="H17" s="116">
        <f>SUM('（４）訂單數量構成比'!U21:U27)</f>
        <v>15624</v>
      </c>
      <c r="I17" s="218">
        <f t="shared" ref="I17:I23" si="4">IFERROR(H17/$B$7,"")</f>
        <v>1.2551484463681914E-2</v>
      </c>
      <c r="J17" s="218">
        <v>1.1081505610597349E-2</v>
      </c>
      <c r="K17" s="218">
        <f t="shared" si="1"/>
        <v>1.4699788530845651E-3</v>
      </c>
      <c r="L17" s="98"/>
    </row>
    <row r="18" spans="1:17" ht="18" customHeight="1">
      <c r="A18" s="106" t="s">
        <v>204</v>
      </c>
      <c r="B18" s="116">
        <f>SUM('（３）業績構成比'!W21:W27)/1000</f>
        <v>1532.5495700000001</v>
      </c>
      <c r="C18" s="218">
        <f t="shared" si="2"/>
        <v>4.0026885057173792E-2</v>
      </c>
      <c r="D18" s="218">
        <v>4.0012427471370939E-2</v>
      </c>
      <c r="E18" s="218">
        <f t="shared" si="3"/>
        <v>1.4457585802853112E-5</v>
      </c>
      <c r="G18" s="106" t="s">
        <v>203</v>
      </c>
      <c r="H18" s="116">
        <f>SUM('（４）訂單數量構成比'!W21:W27)</f>
        <v>65967</v>
      </c>
      <c r="I18" s="218">
        <f t="shared" si="4"/>
        <v>5.2994353278014897E-2</v>
      </c>
      <c r="J18" s="218">
        <v>5.3095970861450716E-2</v>
      </c>
      <c r="K18" s="218">
        <f t="shared" si="1"/>
        <v>-1.0161758343581878E-4</v>
      </c>
      <c r="L18" s="98"/>
    </row>
    <row r="19" spans="1:17" ht="18" customHeight="1">
      <c r="A19" s="106" t="s">
        <v>208</v>
      </c>
      <c r="B19" s="116">
        <f>SUM('（３）業績構成比'!AC21:AC27)/1000</f>
        <v>5883.7279600000011</v>
      </c>
      <c r="C19" s="218">
        <f t="shared" si="2"/>
        <v>0.15367026775036036</v>
      </c>
      <c r="D19" s="218">
        <v>0.14227031153683345</v>
      </c>
      <c r="E19" s="218">
        <f t="shared" si="3"/>
        <v>1.1399956213526907E-2</v>
      </c>
      <c r="G19" s="106" t="s">
        <v>207</v>
      </c>
      <c r="H19" s="116">
        <f>SUM('（４）訂單數量構成比'!AC21:AC27)</f>
        <v>109807</v>
      </c>
      <c r="I19" s="218">
        <f t="shared" si="4"/>
        <v>8.8213060324086018E-2</v>
      </c>
      <c r="J19" s="218">
        <v>8.2473031832765414E-2</v>
      </c>
      <c r="K19" s="218">
        <f t="shared" si="1"/>
        <v>5.7400284913206034E-3</v>
      </c>
      <c r="L19" s="98"/>
    </row>
    <row r="20" spans="1:17" ht="18" customHeight="1">
      <c r="A20" s="106" t="s">
        <v>210</v>
      </c>
      <c r="B20" s="116">
        <f>SUM('（３）業績構成比'!AE21:AE27)/1000</f>
        <v>9315.5882300000012</v>
      </c>
      <c r="C20" s="218">
        <f t="shared" si="2"/>
        <v>0.24330304651886139</v>
      </c>
      <c r="D20" s="218">
        <v>0.22465747810186279</v>
      </c>
      <c r="E20" s="218">
        <f t="shared" si="3"/>
        <v>1.8645568416998604E-2</v>
      </c>
      <c r="G20" s="106" t="s">
        <v>209</v>
      </c>
      <c r="H20" s="116">
        <f>SUM('（４）訂單數量構成比'!AE21:AE27)</f>
        <v>151900</v>
      </c>
      <c r="I20" s="218">
        <f t="shared" si="4"/>
        <v>0.12202832117468528</v>
      </c>
      <c r="J20" s="218">
        <v>0.11324698368163966</v>
      </c>
      <c r="K20" s="218">
        <f t="shared" si="1"/>
        <v>8.7813374930456184E-3</v>
      </c>
      <c r="L20" s="98"/>
    </row>
    <row r="21" spans="1:17" ht="18" customHeight="1">
      <c r="A21" s="106" t="s">
        <v>213</v>
      </c>
      <c r="B21" s="116">
        <f>SUM('（３）業績構成比'!AG21:AG27)/1000</f>
        <v>0</v>
      </c>
      <c r="C21" s="218">
        <f t="shared" si="2"/>
        <v>0</v>
      </c>
      <c r="D21" s="218">
        <v>0</v>
      </c>
      <c r="E21" s="218">
        <f t="shared" si="3"/>
        <v>0</v>
      </c>
      <c r="G21" s="106" t="s">
        <v>219</v>
      </c>
      <c r="H21" s="116">
        <f>SUM('（４）訂單數量構成比'!AG21:AG27)</f>
        <v>0</v>
      </c>
      <c r="I21" s="218">
        <f t="shared" si="4"/>
        <v>0</v>
      </c>
      <c r="J21" s="218">
        <v>0</v>
      </c>
      <c r="K21" s="218">
        <f t="shared" si="1"/>
        <v>0</v>
      </c>
      <c r="L21" s="98"/>
    </row>
    <row r="22" spans="1:17" ht="18" customHeight="1">
      <c r="A22" s="106" t="s">
        <v>214</v>
      </c>
      <c r="B22" s="116">
        <f>SUM('（３）業績構成比'!AI21:AI27)/1000</f>
        <v>6280.8646499999995</v>
      </c>
      <c r="C22" s="218">
        <f t="shared" si="2"/>
        <v>0.16404262043231399</v>
      </c>
      <c r="D22" s="218">
        <v>0.19051614218849078</v>
      </c>
      <c r="E22" s="218">
        <f t="shared" si="3"/>
        <v>-2.6473521756176788E-2</v>
      </c>
      <c r="G22" s="106" t="s">
        <v>220</v>
      </c>
      <c r="H22" s="116">
        <f>SUM('（４）訂單數量構成比'!AI21:AI27)</f>
        <v>167511</v>
      </c>
      <c r="I22" s="218">
        <f t="shared" si="4"/>
        <v>0.13456936213490917</v>
      </c>
      <c r="J22" s="218">
        <v>0.15488399118472693</v>
      </c>
      <c r="K22" s="218">
        <f t="shared" si="1"/>
        <v>-2.0314629049817762E-2</v>
      </c>
      <c r="L22" s="98"/>
    </row>
    <row r="23" spans="1:17" ht="18" customHeight="1">
      <c r="A23" s="106" t="s">
        <v>216</v>
      </c>
      <c r="B23" s="116">
        <f>SUM('（３）業績構成比'!AK21:AK27)/1000</f>
        <v>1227.6210000000001</v>
      </c>
      <c r="C23" s="218">
        <f t="shared" si="2"/>
        <v>3.2062809335930809E-2</v>
      </c>
      <c r="D23" s="218">
        <v>5.1083757431828435E-2</v>
      </c>
      <c r="E23" s="218">
        <f t="shared" si="3"/>
        <v>-1.9020948095897626E-2</v>
      </c>
      <c r="G23" s="106" t="s">
        <v>215</v>
      </c>
      <c r="H23" s="116">
        <f>SUM('（４）訂單數量構成比'!AK21:AK27)</f>
        <v>42459</v>
      </c>
      <c r="I23" s="218">
        <f t="shared" si="4"/>
        <v>3.4109285640263082E-2</v>
      </c>
      <c r="J23" s="218">
        <v>5.1181933148369128E-2</v>
      </c>
      <c r="K23" s="218">
        <f t="shared" si="1"/>
        <v>-1.7072647508106047E-2</v>
      </c>
      <c r="L23" s="98"/>
    </row>
    <row r="24" spans="1:17" ht="15.75" customHeight="1">
      <c r="B24" s="101"/>
      <c r="C24" s="111">
        <f>SUM(C15:C23)</f>
        <v>1</v>
      </c>
      <c r="D24" s="111">
        <f>SUM(D15:D23)</f>
        <v>1.0000000000000002</v>
      </c>
      <c r="I24" s="111">
        <f>SUM(I15:I23)</f>
        <v>1.0000000000000002</v>
      </c>
      <c r="J24" s="111">
        <f>SUM(J15:J23)</f>
        <v>1</v>
      </c>
      <c r="L24" s="98"/>
    </row>
    <row r="25" spans="1:17" ht="9.6" customHeight="1">
      <c r="A25" s="112"/>
      <c r="L25" s="98"/>
    </row>
    <row r="26" spans="1:17" ht="15.75" customHeight="1">
      <c r="A26" s="110" t="s">
        <v>596</v>
      </c>
      <c r="L26" s="98"/>
    </row>
    <row r="27" spans="1:17" ht="15.75" customHeight="1">
      <c r="A27" s="106" t="s">
        <v>171</v>
      </c>
      <c r="B27" s="158" t="s">
        <v>307</v>
      </c>
      <c r="C27" s="158" t="s">
        <v>309</v>
      </c>
      <c r="D27" s="106" t="s">
        <v>2</v>
      </c>
      <c r="E27" s="106" t="s">
        <v>3</v>
      </c>
      <c r="L27" s="98"/>
    </row>
    <row r="28" spans="1:17" ht="18" customHeight="1">
      <c r="A28" s="106" t="s">
        <v>359</v>
      </c>
      <c r="B28" s="209">
        <f>'（５-1）品群別人時生產性(18℃-飯糰)'!L91</f>
        <v>785.80801145408623</v>
      </c>
      <c r="C28" s="209">
        <v>779.9455818995915</v>
      </c>
      <c r="D28" s="220">
        <f>B28-C28</f>
        <v>5.8624295544947245</v>
      </c>
      <c r="E28" s="221">
        <f>'（５-1）品群別人時生產性(18℃-飯糰)'!C1</f>
        <v>782.87679667683892</v>
      </c>
      <c r="G28" s="121"/>
      <c r="H28" s="121"/>
      <c r="I28" s="121"/>
      <c r="J28" s="121"/>
      <c r="K28" s="121"/>
      <c r="L28" s="121"/>
      <c r="M28" s="121"/>
      <c r="N28" s="121"/>
      <c r="O28" s="121"/>
      <c r="P28" s="121"/>
      <c r="Q28" s="122"/>
    </row>
    <row r="29" spans="1:17" ht="18" customHeight="1">
      <c r="A29" s="106" t="s">
        <v>205</v>
      </c>
      <c r="B29" s="209">
        <f>'（５-2）品群別人時生產性(18℃-壽司手卷)'!L47</f>
        <v>295.68444055268674</v>
      </c>
      <c r="C29" s="209">
        <v>295.72143484122262</v>
      </c>
      <c r="D29" s="220">
        <f>B29-C29</f>
        <v>-3.6994288535879605E-2</v>
      </c>
      <c r="E29" s="221">
        <f>'（５-2）品群別人時生產性(18℃-壽司手卷)'!C1</f>
        <v>295.70293769695468</v>
      </c>
      <c r="G29" s="123"/>
      <c r="H29" s="123"/>
      <c r="I29" s="124"/>
      <c r="J29" s="1"/>
      <c r="K29" s="125"/>
      <c r="L29" s="67"/>
      <c r="M29" s="66"/>
      <c r="N29" s="67"/>
      <c r="O29" s="67"/>
      <c r="P29" s="67"/>
      <c r="Q29" s="67"/>
    </row>
    <row r="30" spans="1:17" ht="18" customHeight="1">
      <c r="A30" s="106" t="s">
        <v>218</v>
      </c>
      <c r="B30" s="209">
        <f>'（５-3）品群別人時生產性(4℃-飯糰)'!L47</f>
        <v>119.39248251748248</v>
      </c>
      <c r="C30" s="209">
        <v>119.39248251748248</v>
      </c>
      <c r="D30" s="220">
        <f>B30-C30</f>
        <v>0</v>
      </c>
      <c r="E30" s="221">
        <f>'（５-3）品群別人時生產性(4℃-飯糰)'!C1</f>
        <v>119.39248251748248</v>
      </c>
      <c r="L30" s="98"/>
    </row>
    <row r="31" spans="1:17" ht="18" customHeight="1">
      <c r="A31" s="106" t="s">
        <v>203</v>
      </c>
      <c r="B31" s="209">
        <f>'（５-4）品群別人時生產性(4℃-壽司手卷)'!L47</f>
        <v>440.32807701576502</v>
      </c>
      <c r="C31" s="209">
        <v>440.04309522832699</v>
      </c>
      <c r="D31" s="220">
        <f>B31-C31</f>
        <v>0.28498178743802782</v>
      </c>
      <c r="E31" s="221">
        <f>'（５-4）品群別人時生產性(4℃-壽司手卷)'!C1</f>
        <v>440.185586122046</v>
      </c>
      <c r="L31" s="98"/>
    </row>
    <row r="32" spans="1:17" ht="18" customHeight="1">
      <c r="A32" s="106" t="s">
        <v>208</v>
      </c>
      <c r="B32" s="209">
        <f>'（５-5）品群別人時生產性(微波主食) '!L47</f>
        <v>84.864534602343696</v>
      </c>
      <c r="C32" s="209">
        <v>84.821164294369154</v>
      </c>
      <c r="D32" s="220">
        <f t="shared" ref="D32:D36" si="5">B32-C32</f>
        <v>4.3370307974541333E-2</v>
      </c>
      <c r="E32" s="221">
        <f>'（５-5）品群別人時生產性(微波主食) '!C1</f>
        <v>84.842849448356418</v>
      </c>
      <c r="L32" s="98"/>
    </row>
    <row r="33" spans="1:12" ht="18" customHeight="1">
      <c r="A33" s="106" t="s">
        <v>209</v>
      </c>
      <c r="B33" s="209">
        <f>'（５-6）品群別人時生產性(便當)'!L47</f>
        <v>80.159881732420288</v>
      </c>
      <c r="C33" s="209">
        <v>79.933962470071478</v>
      </c>
      <c r="D33" s="220">
        <f t="shared" si="5"/>
        <v>0.22591926234881043</v>
      </c>
      <c r="E33" s="221">
        <f>'（５-6）品群別人時生產性(便當)'!C1</f>
        <v>80.046922101245883</v>
      </c>
      <c r="L33" s="98"/>
    </row>
    <row r="34" spans="1:12" ht="18" customHeight="1">
      <c r="A34" s="106" t="s">
        <v>219</v>
      </c>
      <c r="B34" s="209">
        <f>'（５-7）品群別人時生產性(熱食義麵) '!L47</f>
        <v>0</v>
      </c>
      <c r="C34" s="209">
        <v>0</v>
      </c>
      <c r="D34" s="220">
        <f t="shared" si="5"/>
        <v>0</v>
      </c>
      <c r="E34" s="221">
        <f>'（５-7）品群別人時生產性(熱食義麵) '!C1</f>
        <v>0</v>
      </c>
      <c r="L34" s="98"/>
    </row>
    <row r="35" spans="1:12" ht="18" customHeight="1">
      <c r="A35" s="106" t="s">
        <v>220</v>
      </c>
      <c r="B35" s="209">
        <f>'（５-8）品群別人時生產性(季節調理麵) '!L47</f>
        <v>155.30589627338261</v>
      </c>
      <c r="C35" s="209">
        <v>154.09484780900738</v>
      </c>
      <c r="D35" s="220">
        <f t="shared" si="5"/>
        <v>1.2110484643752386</v>
      </c>
      <c r="E35" s="221">
        <f>'（５-8）品群別人時生產性(季節調理麵) '!C1</f>
        <v>154.70037204119501</v>
      </c>
      <c r="L35" s="98"/>
    </row>
    <row r="36" spans="1:12" ht="18" customHeight="1">
      <c r="A36" s="102" t="s">
        <v>215</v>
      </c>
      <c r="B36" s="209">
        <f>'（５-9）品群別人時生產性(微波小吃)'!L47</f>
        <v>114.22959028982503</v>
      </c>
      <c r="C36" s="209">
        <v>117.80385480032255</v>
      </c>
      <c r="D36" s="220">
        <f t="shared" si="5"/>
        <v>-3.5742645104975281</v>
      </c>
      <c r="E36" s="222">
        <f>'（５-9）品群別人時生產性(微波小吃)'!C1</f>
        <v>116.01672254507379</v>
      </c>
      <c r="L36" s="98"/>
    </row>
    <row r="37" spans="1:12" ht="15.75" customHeight="1">
      <c r="L37" s="98"/>
    </row>
    <row r="38" spans="1:12" ht="15.75" customHeight="1">
      <c r="L38" s="98"/>
    </row>
  </sheetData>
  <mergeCells count="2">
    <mergeCell ref="A1:K2"/>
    <mergeCell ref="F3:G3"/>
  </mergeCells>
  <phoneticPr fontId="13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">
    <tabColor rgb="FFFFFFCC"/>
    <pageSetUpPr fitToPage="1"/>
  </sheetPr>
  <dimension ref="B2:W39"/>
  <sheetViews>
    <sheetView zoomScale="80" zoomScaleNormal="80" workbookViewId="0">
      <selection activeCell="R19" sqref="R19:R25"/>
    </sheetView>
  </sheetViews>
  <sheetFormatPr defaultColWidth="8.85546875" defaultRowHeight="12"/>
  <cols>
    <col min="1" max="1" width="8.85546875" style="75"/>
    <col min="2" max="2" width="12.5703125" style="78" customWidth="1"/>
    <col min="3" max="3" width="8.85546875" style="75"/>
    <col min="4" max="4" width="17.42578125" style="77" customWidth="1"/>
    <col min="5" max="5" width="4.42578125" style="77" customWidth="1"/>
    <col min="6" max="8" width="19.5703125" style="81" customWidth="1"/>
    <col min="9" max="13" width="19.5703125" style="82" customWidth="1"/>
    <col min="14" max="14" width="19.5703125" style="83" customWidth="1"/>
    <col min="15" max="17" width="19.5703125" style="84" customWidth="1"/>
    <col min="18" max="20" width="19.5703125" style="83" customWidth="1"/>
    <col min="21" max="21" width="19.5703125" style="84" customWidth="1"/>
    <col min="22" max="23" width="19.5703125" style="75" customWidth="1"/>
    <col min="24" max="16384" width="8.85546875" style="75"/>
  </cols>
  <sheetData>
    <row r="2" spans="2:23" ht="38.1" customHeight="1">
      <c r="B2" s="531" t="s">
        <v>126</v>
      </c>
      <c r="C2" s="531"/>
      <c r="D2" s="531"/>
      <c r="E2" s="531"/>
      <c r="F2" s="531"/>
      <c r="G2" s="531"/>
      <c r="H2" s="531"/>
      <c r="I2" s="531"/>
      <c r="J2" s="531"/>
      <c r="K2" s="531"/>
      <c r="L2" s="531"/>
      <c r="M2" s="531"/>
      <c r="N2" s="531"/>
      <c r="O2" s="531"/>
      <c r="P2" s="531"/>
      <c r="Q2" s="531"/>
      <c r="R2" s="531"/>
      <c r="S2" s="531"/>
      <c r="T2" s="531"/>
      <c r="U2" s="531"/>
      <c r="V2" s="531"/>
      <c r="W2" s="531"/>
    </row>
    <row r="3" spans="2:23" s="77" customFormat="1" ht="23.45" customHeight="1">
      <c r="B3" s="535" t="s">
        <v>122</v>
      </c>
      <c r="C3" s="536" t="s">
        <v>119</v>
      </c>
      <c r="D3" s="537" t="s">
        <v>105</v>
      </c>
      <c r="E3" s="537"/>
      <c r="F3" s="534" t="s">
        <v>123</v>
      </c>
      <c r="G3" s="534"/>
      <c r="H3" s="534"/>
      <c r="I3" s="532" t="s">
        <v>124</v>
      </c>
      <c r="J3" s="532"/>
      <c r="K3" s="532"/>
      <c r="L3" s="533" t="s">
        <v>125</v>
      </c>
      <c r="M3" s="533"/>
      <c r="N3" s="533"/>
      <c r="O3" s="530" t="s">
        <v>127</v>
      </c>
      <c r="P3" s="530"/>
      <c r="Q3" s="530"/>
      <c r="R3" s="538" t="s">
        <v>128</v>
      </c>
      <c r="S3" s="538"/>
      <c r="T3" s="538"/>
      <c r="U3" s="530" t="s">
        <v>129</v>
      </c>
      <c r="V3" s="530"/>
      <c r="W3" s="530"/>
    </row>
    <row r="4" spans="2:23" s="77" customFormat="1" ht="23.45" customHeight="1">
      <c r="B4" s="535"/>
      <c r="C4" s="536"/>
      <c r="D4" s="537"/>
      <c r="E4" s="537"/>
      <c r="F4" s="76" t="s">
        <v>116</v>
      </c>
      <c r="G4" s="76" t="s">
        <v>120</v>
      </c>
      <c r="H4" s="76" t="s">
        <v>121</v>
      </c>
      <c r="I4" s="86" t="s">
        <v>116</v>
      </c>
      <c r="J4" s="86" t="s">
        <v>120</v>
      </c>
      <c r="K4" s="86" t="s">
        <v>121</v>
      </c>
      <c r="L4" s="85" t="s">
        <v>116</v>
      </c>
      <c r="M4" s="85" t="s">
        <v>120</v>
      </c>
      <c r="N4" s="85" t="s">
        <v>121</v>
      </c>
      <c r="O4" s="79" t="s">
        <v>116</v>
      </c>
      <c r="P4" s="79" t="s">
        <v>120</v>
      </c>
      <c r="Q4" s="79" t="s">
        <v>121</v>
      </c>
      <c r="R4" s="79" t="s">
        <v>116</v>
      </c>
      <c r="S4" s="79" t="s">
        <v>120</v>
      </c>
      <c r="T4" s="79" t="s">
        <v>121</v>
      </c>
      <c r="U4" s="79" t="s">
        <v>116</v>
      </c>
      <c r="V4" s="79" t="s">
        <v>120</v>
      </c>
      <c r="W4" s="79" t="s">
        <v>121</v>
      </c>
    </row>
    <row r="5" spans="2:23">
      <c r="B5" s="539">
        <f>D6+7</f>
        <v>46239</v>
      </c>
      <c r="C5" s="545"/>
      <c r="D5" s="80">
        <v>46231</v>
      </c>
      <c r="E5" s="80" t="s">
        <v>118</v>
      </c>
      <c r="F5" s="163">
        <v>6626056.8699999992</v>
      </c>
      <c r="G5" s="540">
        <f>SUM(F5:F11)</f>
        <v>42486866.159999996</v>
      </c>
      <c r="H5" s="540"/>
      <c r="I5" s="213">
        <v>213264</v>
      </c>
      <c r="J5" s="541">
        <f t="shared" ref="J5" si="0">SUM(I5:I11)</f>
        <v>1361947</v>
      </c>
      <c r="K5" s="541"/>
      <c r="L5" s="163">
        <v>4366639.7871946385</v>
      </c>
      <c r="M5" s="540">
        <f t="shared" ref="M5" si="1">SUM(L5:L11)</f>
        <v>28602573.767007634</v>
      </c>
      <c r="N5" s="540"/>
      <c r="O5" s="153">
        <f t="shared" ref="O5:O11" si="2">L5/F5</f>
        <v>0.65901030927835047</v>
      </c>
      <c r="P5" s="543">
        <f>M5/G5</f>
        <v>0.67320977874183685</v>
      </c>
      <c r="Q5" s="542"/>
      <c r="R5" s="164">
        <v>925337.42799999996</v>
      </c>
      <c r="S5" s="544">
        <f t="shared" ref="S5" si="3">SUM(R5:R11)</f>
        <v>6007602.3720000004</v>
      </c>
      <c r="T5" s="540"/>
      <c r="U5" s="153">
        <f t="shared" ref="U5:U11" si="4">R5/F5</f>
        <v>0.13965129580905636</v>
      </c>
      <c r="V5" s="543">
        <f>S5/G5</f>
        <v>0.14139904669306871</v>
      </c>
      <c r="W5" s="542"/>
    </row>
    <row r="6" spans="2:23">
      <c r="B6" s="539"/>
      <c r="C6" s="545"/>
      <c r="D6" s="80">
        <f t="shared" ref="D6:D39" si="5">D5+1</f>
        <v>46232</v>
      </c>
      <c r="E6" s="80" t="s">
        <v>112</v>
      </c>
      <c r="F6" s="163">
        <v>6255627.21</v>
      </c>
      <c r="G6" s="540"/>
      <c r="H6" s="540"/>
      <c r="I6" s="213">
        <v>201459</v>
      </c>
      <c r="J6" s="541"/>
      <c r="K6" s="541"/>
      <c r="L6" s="163">
        <v>4227643.1559210317</v>
      </c>
      <c r="M6" s="540"/>
      <c r="N6" s="540"/>
      <c r="O6" s="153">
        <f t="shared" si="2"/>
        <v>0.67581443298969091</v>
      </c>
      <c r="P6" s="543"/>
      <c r="Q6" s="542"/>
      <c r="R6" s="164">
        <v>889269.56400000001</v>
      </c>
      <c r="S6" s="544"/>
      <c r="T6" s="540"/>
      <c r="U6" s="153">
        <f t="shared" si="4"/>
        <v>0.14215514034762952</v>
      </c>
      <c r="V6" s="543"/>
      <c r="W6" s="542"/>
    </row>
    <row r="7" spans="2:23">
      <c r="B7" s="539"/>
      <c r="C7" s="545"/>
      <c r="D7" s="80">
        <f t="shared" si="5"/>
        <v>46233</v>
      </c>
      <c r="E7" s="80" t="s">
        <v>113</v>
      </c>
      <c r="F7" s="163">
        <v>5785963.21</v>
      </c>
      <c r="G7" s="540"/>
      <c r="H7" s="540"/>
      <c r="I7" s="213">
        <v>187092</v>
      </c>
      <c r="J7" s="541"/>
      <c r="K7" s="541"/>
      <c r="L7" s="163">
        <v>3888763.7681725775</v>
      </c>
      <c r="M7" s="540"/>
      <c r="N7" s="540"/>
      <c r="O7" s="153">
        <f t="shared" si="2"/>
        <v>0.67210309278350522</v>
      </c>
      <c r="P7" s="543"/>
      <c r="Q7" s="542"/>
      <c r="R7" s="164">
        <v>833792.64</v>
      </c>
      <c r="S7" s="544"/>
      <c r="T7" s="540"/>
      <c r="U7" s="153">
        <f t="shared" si="4"/>
        <v>0.14410610813406816</v>
      </c>
      <c r="V7" s="543"/>
      <c r="W7" s="542"/>
    </row>
    <row r="8" spans="2:23">
      <c r="B8" s="539"/>
      <c r="C8" s="545"/>
      <c r="D8" s="80">
        <f t="shared" si="5"/>
        <v>46234</v>
      </c>
      <c r="E8" s="80" t="s">
        <v>114</v>
      </c>
      <c r="F8" s="163">
        <v>4936115.0199999996</v>
      </c>
      <c r="G8" s="540"/>
      <c r="H8" s="540"/>
      <c r="I8" s="213">
        <v>159659</v>
      </c>
      <c r="J8" s="541"/>
      <c r="K8" s="541"/>
      <c r="L8" s="163">
        <v>3353708.4977121642</v>
      </c>
      <c r="M8" s="540"/>
      <c r="N8" s="540"/>
      <c r="O8" s="153">
        <f t="shared" si="2"/>
        <v>0.67942268041237108</v>
      </c>
      <c r="P8" s="543"/>
      <c r="Q8" s="542"/>
      <c r="R8" s="164">
        <v>775080.81</v>
      </c>
      <c r="S8" s="544"/>
      <c r="T8" s="540"/>
      <c r="U8" s="153">
        <f t="shared" si="4"/>
        <v>0.15702243705009938</v>
      </c>
      <c r="V8" s="543"/>
      <c r="W8" s="542"/>
    </row>
    <row r="9" spans="2:23">
      <c r="B9" s="539"/>
      <c r="C9" s="545" t="s">
        <v>563</v>
      </c>
      <c r="D9" s="80">
        <f t="shared" si="5"/>
        <v>46235</v>
      </c>
      <c r="E9" s="80" t="s">
        <v>115</v>
      </c>
      <c r="F9" s="163">
        <v>5278918.5600000005</v>
      </c>
      <c r="G9" s="540"/>
      <c r="H9" s="540">
        <f>SUM(F9:F39)</f>
        <v>99035039.400000006</v>
      </c>
      <c r="I9" s="213">
        <v>170810</v>
      </c>
      <c r="J9" s="541"/>
      <c r="K9" s="541">
        <f>SUM(I9:I39)</f>
        <v>3191112</v>
      </c>
      <c r="L9" s="163">
        <v>3538725.7777880416</v>
      </c>
      <c r="M9" s="540"/>
      <c r="N9" s="540">
        <f>SUM(L9:L39)</f>
        <v>67369414.739502087</v>
      </c>
      <c r="O9" s="153">
        <f t="shared" si="2"/>
        <v>0.67035051546391755</v>
      </c>
      <c r="P9" s="543"/>
      <c r="Q9" s="542">
        <f>N9/H9</f>
        <v>0.68025837266948253</v>
      </c>
      <c r="R9" s="164">
        <v>791868.99199999997</v>
      </c>
      <c r="S9" s="544"/>
      <c r="T9" s="540">
        <f>SUM(R9:R39)</f>
        <v>14031439.514000002</v>
      </c>
      <c r="U9" s="153">
        <f t="shared" si="4"/>
        <v>0.15000591181690817</v>
      </c>
      <c r="V9" s="543"/>
      <c r="W9" s="542">
        <f>T9/H9</f>
        <v>0.14168156643354657</v>
      </c>
    </row>
    <row r="10" spans="2:23">
      <c r="B10" s="539"/>
      <c r="C10" s="545"/>
      <c r="D10" s="80">
        <f t="shared" si="5"/>
        <v>46236</v>
      </c>
      <c r="E10" s="80" t="s">
        <v>116</v>
      </c>
      <c r="F10" s="163">
        <v>6878371.4600000009</v>
      </c>
      <c r="G10" s="540"/>
      <c r="H10" s="540"/>
      <c r="I10" s="213">
        <v>216220</v>
      </c>
      <c r="J10" s="541"/>
      <c r="K10" s="541"/>
      <c r="L10" s="163">
        <v>4644248.0453736102</v>
      </c>
      <c r="M10" s="540"/>
      <c r="N10" s="540"/>
      <c r="O10" s="153">
        <f t="shared" si="2"/>
        <v>0.67519587628865996</v>
      </c>
      <c r="P10" s="543"/>
      <c r="Q10" s="542"/>
      <c r="R10" s="164">
        <v>910527.826</v>
      </c>
      <c r="S10" s="544"/>
      <c r="T10" s="540"/>
      <c r="U10" s="153">
        <f t="shared" si="4"/>
        <v>0.13237549488203998</v>
      </c>
      <c r="V10" s="543"/>
      <c r="W10" s="542"/>
    </row>
    <row r="11" spans="2:23">
      <c r="B11" s="539"/>
      <c r="C11" s="545"/>
      <c r="D11" s="80">
        <f t="shared" si="5"/>
        <v>46237</v>
      </c>
      <c r="E11" s="80" t="s">
        <v>117</v>
      </c>
      <c r="F11" s="163">
        <v>6725813.8300000001</v>
      </c>
      <c r="G11" s="540"/>
      <c r="H11" s="540"/>
      <c r="I11" s="213">
        <v>213443</v>
      </c>
      <c r="J11" s="541"/>
      <c r="K11" s="541"/>
      <c r="L11" s="163">
        <v>4582844.7348455666</v>
      </c>
      <c r="M11" s="540"/>
      <c r="N11" s="540"/>
      <c r="O11" s="153">
        <f t="shared" si="2"/>
        <v>0.68138144329896899</v>
      </c>
      <c r="P11" s="543"/>
      <c r="Q11" s="542"/>
      <c r="R11" s="164">
        <v>881725.11199999996</v>
      </c>
      <c r="S11" s="544"/>
      <c r="T11" s="540"/>
      <c r="U11" s="153">
        <f t="shared" si="4"/>
        <v>0.13109567619417736</v>
      </c>
      <c r="V11" s="543"/>
      <c r="W11" s="542"/>
    </row>
    <row r="12" spans="2:23">
      <c r="B12" s="539">
        <f>B5+7</f>
        <v>46246</v>
      </c>
      <c r="C12" s="545"/>
      <c r="D12" s="80">
        <f t="shared" si="5"/>
        <v>46238</v>
      </c>
      <c r="E12" s="80" t="s">
        <v>118</v>
      </c>
      <c r="F12" s="163">
        <v>6631265.1100000003</v>
      </c>
      <c r="G12" s="540">
        <f>SUM(F12:F18)</f>
        <v>41863930.679999992</v>
      </c>
      <c r="H12" s="540"/>
      <c r="I12" s="213">
        <v>211425</v>
      </c>
      <c r="J12" s="541">
        <f t="shared" ref="J12" si="6">SUM(I12:I18)</f>
        <v>1345846</v>
      </c>
      <c r="K12" s="541"/>
      <c r="L12" s="163">
        <v>4510217.3646096913</v>
      </c>
      <c r="M12" s="540">
        <f t="shared" ref="M12" si="7">SUM(L12:L18)</f>
        <v>28482742.541629076</v>
      </c>
      <c r="N12" s="540"/>
      <c r="O12" s="153">
        <f t="shared" ref="O12:O18" si="8">L12/F12</f>
        <v>0.68014432989690732</v>
      </c>
      <c r="P12" s="543">
        <f>M12/G12</f>
        <v>0.68036474547375403</v>
      </c>
      <c r="Q12" s="542"/>
      <c r="R12" s="164">
        <v>904901.96</v>
      </c>
      <c r="S12" s="544">
        <f t="shared" ref="S12" si="9">SUM(R12:R18)</f>
        <v>5978077.1260000002</v>
      </c>
      <c r="T12" s="540"/>
      <c r="U12" s="153">
        <f t="shared" ref="U12:U18" si="10">R12/F12</f>
        <v>0.136459928081506</v>
      </c>
      <c r="V12" s="543">
        <f>S12/G12</f>
        <v>0.14279779822146413</v>
      </c>
      <c r="W12" s="542"/>
    </row>
    <row r="13" spans="2:23">
      <c r="B13" s="539"/>
      <c r="C13" s="545"/>
      <c r="D13" s="80">
        <f t="shared" si="5"/>
        <v>46239</v>
      </c>
      <c r="E13" s="80" t="s">
        <v>112</v>
      </c>
      <c r="F13" s="163">
        <v>6359055.9800000004</v>
      </c>
      <c r="G13" s="540"/>
      <c r="H13" s="540"/>
      <c r="I13" s="213">
        <v>203649</v>
      </c>
      <c r="J13" s="541"/>
      <c r="K13" s="541"/>
      <c r="L13" s="163">
        <v>4293608.3747847434</v>
      </c>
      <c r="M13" s="540"/>
      <c r="N13" s="540"/>
      <c r="O13" s="153">
        <f t="shared" si="8"/>
        <v>0.67519587628865996</v>
      </c>
      <c r="P13" s="543"/>
      <c r="Q13" s="542"/>
      <c r="R13" s="164">
        <v>873214.77</v>
      </c>
      <c r="S13" s="544"/>
      <c r="T13" s="540"/>
      <c r="U13" s="153">
        <f t="shared" si="10"/>
        <v>0.13731830207917117</v>
      </c>
      <c r="V13" s="543"/>
      <c r="W13" s="542"/>
    </row>
    <row r="14" spans="2:23">
      <c r="B14" s="539"/>
      <c r="C14" s="545"/>
      <c r="D14" s="80">
        <f t="shared" si="5"/>
        <v>46240</v>
      </c>
      <c r="E14" s="80" t="s">
        <v>113</v>
      </c>
      <c r="F14" s="163">
        <v>5817645.9100000001</v>
      </c>
      <c r="G14" s="540"/>
      <c r="H14" s="540"/>
      <c r="I14" s="213">
        <v>188918</v>
      </c>
      <c r="J14" s="541"/>
      <c r="K14" s="541"/>
      <c r="L14" s="163">
        <v>3989225.7737911344</v>
      </c>
      <c r="M14" s="540"/>
      <c r="N14" s="540"/>
      <c r="O14" s="153">
        <f t="shared" si="8"/>
        <v>0.68571134020618563</v>
      </c>
      <c r="P14" s="543"/>
      <c r="Q14" s="542"/>
      <c r="R14" s="164">
        <v>838149.93599999999</v>
      </c>
      <c r="S14" s="544"/>
      <c r="T14" s="540"/>
      <c r="U14" s="153">
        <f t="shared" si="10"/>
        <v>0.14407029045189859</v>
      </c>
      <c r="V14" s="543"/>
      <c r="W14" s="542"/>
    </row>
    <row r="15" spans="2:23">
      <c r="B15" s="539"/>
      <c r="C15" s="545"/>
      <c r="D15" s="80">
        <f t="shared" si="5"/>
        <v>46241</v>
      </c>
      <c r="E15" s="80" t="s">
        <v>114</v>
      </c>
      <c r="F15" s="163">
        <v>4858510.08</v>
      </c>
      <c r="G15" s="540"/>
      <c r="H15" s="540"/>
      <c r="I15" s="213">
        <v>157640</v>
      </c>
      <c r="J15" s="541"/>
      <c r="K15" s="541"/>
      <c r="L15" s="163">
        <v>3320015.2798218564</v>
      </c>
      <c r="M15" s="540"/>
      <c r="N15" s="540"/>
      <c r="O15" s="153">
        <f t="shared" si="8"/>
        <v>0.68334020618556712</v>
      </c>
      <c r="P15" s="543"/>
      <c r="Q15" s="542"/>
      <c r="R15" s="164">
        <v>766305.87199999997</v>
      </c>
      <c r="S15" s="544"/>
      <c r="T15" s="540"/>
      <c r="U15" s="153">
        <f t="shared" si="10"/>
        <v>0.15772445860604245</v>
      </c>
      <c r="V15" s="543"/>
      <c r="W15" s="542"/>
    </row>
    <row r="16" spans="2:23">
      <c r="B16" s="539"/>
      <c r="C16" s="545"/>
      <c r="D16" s="80">
        <f t="shared" si="5"/>
        <v>46242</v>
      </c>
      <c r="E16" s="80" t="s">
        <v>115</v>
      </c>
      <c r="F16" s="163">
        <v>5207709.95</v>
      </c>
      <c r="G16" s="540"/>
      <c r="H16" s="540"/>
      <c r="I16" s="213">
        <v>168530</v>
      </c>
      <c r="J16" s="541"/>
      <c r="K16" s="541"/>
      <c r="L16" s="163">
        <v>3540920.6396113406</v>
      </c>
      <c r="M16" s="540"/>
      <c r="N16" s="540"/>
      <c r="O16" s="153">
        <f t="shared" si="8"/>
        <v>0.67993814432989697</v>
      </c>
      <c r="P16" s="543"/>
      <c r="Q16" s="542"/>
      <c r="R16" s="164">
        <v>804139.21799999999</v>
      </c>
      <c r="S16" s="544"/>
      <c r="T16" s="540"/>
      <c r="U16" s="153">
        <f t="shared" si="10"/>
        <v>0.15441321151152052</v>
      </c>
      <c r="V16" s="543"/>
      <c r="W16" s="542"/>
    </row>
    <row r="17" spans="2:23">
      <c r="B17" s="539"/>
      <c r="C17" s="545"/>
      <c r="D17" s="80">
        <f t="shared" si="5"/>
        <v>46243</v>
      </c>
      <c r="E17" s="80" t="s">
        <v>116</v>
      </c>
      <c r="F17" s="163">
        <v>6655646.0600000005</v>
      </c>
      <c r="G17" s="540"/>
      <c r="H17" s="540"/>
      <c r="I17" s="213">
        <v>211756</v>
      </c>
      <c r="J17" s="541"/>
      <c r="K17" s="541"/>
      <c r="L17" s="163">
        <v>4561793.532505569</v>
      </c>
      <c r="M17" s="540"/>
      <c r="N17" s="540"/>
      <c r="O17" s="153">
        <f t="shared" si="8"/>
        <v>0.68540206185567032</v>
      </c>
      <c r="P17" s="543"/>
      <c r="Q17" s="542"/>
      <c r="R17" s="164">
        <v>912097.29599999997</v>
      </c>
      <c r="S17" s="544"/>
      <c r="T17" s="540"/>
      <c r="U17" s="153">
        <f t="shared" si="10"/>
        <v>0.13704113586833369</v>
      </c>
      <c r="V17" s="543"/>
      <c r="W17" s="542"/>
    </row>
    <row r="18" spans="2:23">
      <c r="B18" s="539"/>
      <c r="C18" s="545"/>
      <c r="D18" s="80">
        <f t="shared" si="5"/>
        <v>46244</v>
      </c>
      <c r="E18" s="80" t="s">
        <v>117</v>
      </c>
      <c r="F18" s="163">
        <v>6334097.5899999999</v>
      </c>
      <c r="G18" s="540"/>
      <c r="H18" s="540"/>
      <c r="I18" s="213">
        <v>203928</v>
      </c>
      <c r="J18" s="541"/>
      <c r="K18" s="541"/>
      <c r="L18" s="163">
        <v>4266961.5765047427</v>
      </c>
      <c r="M18" s="540"/>
      <c r="N18" s="540"/>
      <c r="O18" s="153">
        <f t="shared" si="8"/>
        <v>0.67364948453608253</v>
      </c>
      <c r="P18" s="543"/>
      <c r="Q18" s="542"/>
      <c r="R18" s="164">
        <v>879268.07400000002</v>
      </c>
      <c r="S18" s="544"/>
      <c r="T18" s="540"/>
      <c r="U18" s="153">
        <f t="shared" si="10"/>
        <v>0.13881505005356257</v>
      </c>
      <c r="V18" s="543"/>
      <c r="W18" s="542"/>
    </row>
    <row r="19" spans="2:23">
      <c r="B19" s="539">
        <f>B12+7</f>
        <v>46253</v>
      </c>
      <c r="C19" s="545"/>
      <c r="D19" s="80">
        <f t="shared" si="5"/>
        <v>46245</v>
      </c>
      <c r="E19" s="80" t="s">
        <v>118</v>
      </c>
      <c r="F19" s="163">
        <v>5779689.7399999984</v>
      </c>
      <c r="G19" s="540">
        <f>SUM(F19:F25)</f>
        <v>38288004.869999997</v>
      </c>
      <c r="H19" s="540"/>
      <c r="I19" s="213">
        <v>187621</v>
      </c>
      <c r="J19" s="541">
        <f t="shared" ref="J19" si="11">SUM(I19:I25)</f>
        <v>1244793</v>
      </c>
      <c r="K19" s="541"/>
      <c r="L19" s="163">
        <v>3925660.6064964943</v>
      </c>
      <c r="M19" s="540">
        <f t="shared" ref="M19" si="12">SUM(L19:L25)</f>
        <v>26120853.639865775</v>
      </c>
      <c r="N19" s="540"/>
      <c r="O19" s="153">
        <f t="shared" ref="O19:O32" si="13">L19/F19</f>
        <v>0.67921649484536095</v>
      </c>
      <c r="P19" s="543">
        <f>M19/G19</f>
        <v>0.68222028618504449</v>
      </c>
      <c r="Q19" s="542"/>
      <c r="R19" s="164">
        <v>808693.20799999998</v>
      </c>
      <c r="S19" s="544">
        <f t="shared" ref="S19" si="14">SUM(R19:R25)</f>
        <v>5469240.4580000006</v>
      </c>
      <c r="T19" s="540"/>
      <c r="U19" s="153">
        <f t="shared" ref="U19:U32" si="15">R19/F19</f>
        <v>0.13991983036791872</v>
      </c>
      <c r="V19" s="543">
        <f>S19/G19</f>
        <v>0.14284474932997471</v>
      </c>
      <c r="W19" s="542"/>
    </row>
    <row r="20" spans="2:23">
      <c r="B20" s="539"/>
      <c r="C20" s="545"/>
      <c r="D20" s="80">
        <f t="shared" si="5"/>
        <v>46246</v>
      </c>
      <c r="E20" s="80" t="s">
        <v>112</v>
      </c>
      <c r="F20" s="163">
        <v>5663016.0199999996</v>
      </c>
      <c r="G20" s="540"/>
      <c r="H20" s="540"/>
      <c r="I20" s="213">
        <v>184147</v>
      </c>
      <c r="J20" s="541"/>
      <c r="K20" s="541"/>
      <c r="L20" s="163">
        <v>3904795.4998111343</v>
      </c>
      <c r="M20" s="540"/>
      <c r="N20" s="540"/>
      <c r="O20" s="153">
        <f t="shared" si="13"/>
        <v>0.68952577319587638</v>
      </c>
      <c r="P20" s="543"/>
      <c r="Q20" s="542"/>
      <c r="R20" s="164">
        <v>808683.83799999999</v>
      </c>
      <c r="S20" s="544"/>
      <c r="T20" s="540"/>
      <c r="U20" s="153">
        <f t="shared" si="15"/>
        <v>0.14280090947014487</v>
      </c>
      <c r="V20" s="543"/>
      <c r="W20" s="542"/>
    </row>
    <row r="21" spans="2:23">
      <c r="B21" s="539"/>
      <c r="C21" s="545"/>
      <c r="D21" s="80">
        <f t="shared" si="5"/>
        <v>46247</v>
      </c>
      <c r="E21" s="80" t="s">
        <v>113</v>
      </c>
      <c r="F21" s="163">
        <v>5284211.26</v>
      </c>
      <c r="G21" s="540"/>
      <c r="H21" s="540"/>
      <c r="I21" s="213">
        <v>172846</v>
      </c>
      <c r="J21" s="541"/>
      <c r="K21" s="541"/>
      <c r="L21" s="163">
        <v>3602197.7871777322</v>
      </c>
      <c r="M21" s="540"/>
      <c r="N21" s="540"/>
      <c r="O21" s="153">
        <f t="shared" si="13"/>
        <v>0.68169072164948463</v>
      </c>
      <c r="P21" s="543"/>
      <c r="Q21" s="542"/>
      <c r="R21" s="164">
        <v>759116.79599999997</v>
      </c>
      <c r="S21" s="544"/>
      <c r="T21" s="540"/>
      <c r="U21" s="153">
        <f t="shared" si="15"/>
        <v>0.14365754104993902</v>
      </c>
      <c r="V21" s="543"/>
      <c r="W21" s="542"/>
    </row>
    <row r="22" spans="2:23">
      <c r="B22" s="539"/>
      <c r="C22" s="545"/>
      <c r="D22" s="80">
        <f t="shared" si="5"/>
        <v>46248</v>
      </c>
      <c r="E22" s="80" t="s">
        <v>114</v>
      </c>
      <c r="F22" s="163">
        <v>4470999.01</v>
      </c>
      <c r="G22" s="540"/>
      <c r="H22" s="540"/>
      <c r="I22" s="213">
        <v>146977</v>
      </c>
      <c r="J22" s="541"/>
      <c r="K22" s="541"/>
      <c r="L22" s="163">
        <v>3078259.771998351</v>
      </c>
      <c r="M22" s="540"/>
      <c r="N22" s="540"/>
      <c r="O22" s="153">
        <f t="shared" si="13"/>
        <v>0.68849484536082484</v>
      </c>
      <c r="P22" s="543"/>
      <c r="Q22" s="542"/>
      <c r="R22" s="164">
        <v>708139.37</v>
      </c>
      <c r="S22" s="544"/>
      <c r="T22" s="540"/>
      <c r="U22" s="153">
        <f t="shared" si="15"/>
        <v>0.15838504289894711</v>
      </c>
      <c r="V22" s="543"/>
      <c r="W22" s="542"/>
    </row>
    <row r="23" spans="2:23">
      <c r="B23" s="539"/>
      <c r="C23" s="545"/>
      <c r="D23" s="80">
        <f t="shared" si="5"/>
        <v>46249</v>
      </c>
      <c r="E23" s="80" t="s">
        <v>115</v>
      </c>
      <c r="F23" s="163">
        <v>4735598.2299999995</v>
      </c>
      <c r="G23" s="540"/>
      <c r="H23" s="540"/>
      <c r="I23" s="213">
        <v>155408</v>
      </c>
      <c r="J23" s="541"/>
      <c r="K23" s="541"/>
      <c r="L23" s="163">
        <v>3231630.8168723709</v>
      </c>
      <c r="M23" s="540"/>
      <c r="N23" s="540"/>
      <c r="O23" s="153">
        <f t="shared" si="13"/>
        <v>0.68241237113402065</v>
      </c>
      <c r="P23" s="543"/>
      <c r="Q23" s="542"/>
      <c r="R23" s="164">
        <v>734523.98</v>
      </c>
      <c r="S23" s="544"/>
      <c r="T23" s="540"/>
      <c r="U23" s="153">
        <f t="shared" si="15"/>
        <v>0.15510690399088187</v>
      </c>
      <c r="V23" s="543"/>
      <c r="W23" s="542"/>
    </row>
    <row r="24" spans="2:23">
      <c r="B24" s="539"/>
      <c r="C24" s="545"/>
      <c r="D24" s="80">
        <f t="shared" si="5"/>
        <v>46250</v>
      </c>
      <c r="E24" s="80" t="s">
        <v>116</v>
      </c>
      <c r="F24" s="163">
        <v>6269913.0899999999</v>
      </c>
      <c r="G24" s="540"/>
      <c r="H24" s="540"/>
      <c r="I24" s="213">
        <v>200927</v>
      </c>
      <c r="J24" s="541"/>
      <c r="K24" s="541"/>
      <c r="L24" s="163">
        <v>4219845.424407836</v>
      </c>
      <c r="M24" s="540"/>
      <c r="N24" s="540"/>
      <c r="O24" s="153">
        <f t="shared" si="13"/>
        <v>0.6730309278350517</v>
      </c>
      <c r="P24" s="543"/>
      <c r="Q24" s="542"/>
      <c r="R24" s="164">
        <v>884957.24199999997</v>
      </c>
      <c r="S24" s="544"/>
      <c r="T24" s="540"/>
      <c r="U24" s="153">
        <f t="shared" si="15"/>
        <v>0.14114346232508942</v>
      </c>
      <c r="V24" s="543"/>
      <c r="W24" s="542"/>
    </row>
    <row r="25" spans="2:23">
      <c r="B25" s="539"/>
      <c r="C25" s="545"/>
      <c r="D25" s="80">
        <f t="shared" si="5"/>
        <v>46251</v>
      </c>
      <c r="E25" s="80" t="s">
        <v>117</v>
      </c>
      <c r="F25" s="163">
        <v>6084577.5200000005</v>
      </c>
      <c r="G25" s="540"/>
      <c r="H25" s="540"/>
      <c r="I25" s="213">
        <v>196867</v>
      </c>
      <c r="J25" s="541"/>
      <c r="K25" s="541"/>
      <c r="L25" s="163">
        <v>4158463.7331018569</v>
      </c>
      <c r="M25" s="540"/>
      <c r="N25" s="540"/>
      <c r="O25" s="153">
        <f t="shared" si="13"/>
        <v>0.6834432989690723</v>
      </c>
      <c r="P25" s="543"/>
      <c r="Q25" s="542"/>
      <c r="R25" s="164">
        <v>765126.02399999998</v>
      </c>
      <c r="S25" s="544"/>
      <c r="T25" s="540"/>
      <c r="U25" s="153">
        <f t="shared" si="15"/>
        <v>0.12574842238183859</v>
      </c>
      <c r="V25" s="543"/>
      <c r="W25" s="542"/>
    </row>
    <row r="26" spans="2:23">
      <c r="B26" s="539">
        <f>B19+7</f>
        <v>46260</v>
      </c>
      <c r="C26" s="545"/>
      <c r="D26" s="80">
        <f t="shared" si="5"/>
        <v>46252</v>
      </c>
      <c r="E26" s="80" t="s">
        <v>118</v>
      </c>
      <c r="F26" s="163"/>
      <c r="G26" s="540">
        <f>SUM(F26:F32)</f>
        <v>0</v>
      </c>
      <c r="H26" s="540"/>
      <c r="I26" s="213"/>
      <c r="J26" s="541">
        <f t="shared" ref="J26" si="16">SUM(I26:I32)</f>
        <v>0</v>
      </c>
      <c r="K26" s="541"/>
      <c r="L26" s="163"/>
      <c r="M26" s="540">
        <f t="shared" ref="M26" si="17">SUM(L26:L32)</f>
        <v>0</v>
      </c>
      <c r="N26" s="540"/>
      <c r="O26" s="153" t="e">
        <f t="shared" si="13"/>
        <v>#DIV/0!</v>
      </c>
      <c r="P26" s="543" t="e">
        <f>M26/G26</f>
        <v>#DIV/0!</v>
      </c>
      <c r="Q26" s="542"/>
      <c r="R26" s="164"/>
      <c r="S26" s="544">
        <f t="shared" ref="S26" si="18">SUM(R26:R32)</f>
        <v>0</v>
      </c>
      <c r="T26" s="540"/>
      <c r="U26" s="153" t="e">
        <f t="shared" si="15"/>
        <v>#DIV/0!</v>
      </c>
      <c r="V26" s="543" t="e">
        <f>S26/G26</f>
        <v>#DIV/0!</v>
      </c>
      <c r="W26" s="542"/>
    </row>
    <row r="27" spans="2:23">
      <c r="B27" s="539"/>
      <c r="C27" s="545"/>
      <c r="D27" s="80">
        <f t="shared" si="5"/>
        <v>46253</v>
      </c>
      <c r="E27" s="80" t="s">
        <v>112</v>
      </c>
      <c r="F27" s="163"/>
      <c r="G27" s="540"/>
      <c r="H27" s="540"/>
      <c r="I27" s="213"/>
      <c r="J27" s="541"/>
      <c r="K27" s="541"/>
      <c r="L27" s="163"/>
      <c r="M27" s="540"/>
      <c r="N27" s="540"/>
      <c r="O27" s="153" t="e">
        <f t="shared" si="13"/>
        <v>#DIV/0!</v>
      </c>
      <c r="P27" s="543"/>
      <c r="Q27" s="542"/>
      <c r="R27" s="164"/>
      <c r="S27" s="544"/>
      <c r="T27" s="540"/>
      <c r="U27" s="153" t="e">
        <f t="shared" si="15"/>
        <v>#DIV/0!</v>
      </c>
      <c r="V27" s="543"/>
      <c r="W27" s="542"/>
    </row>
    <row r="28" spans="2:23">
      <c r="B28" s="539"/>
      <c r="C28" s="545"/>
      <c r="D28" s="80">
        <f t="shared" si="5"/>
        <v>46254</v>
      </c>
      <c r="E28" s="80" t="s">
        <v>113</v>
      </c>
      <c r="F28" s="163"/>
      <c r="G28" s="540"/>
      <c r="H28" s="540"/>
      <c r="I28" s="213"/>
      <c r="J28" s="541"/>
      <c r="K28" s="541"/>
      <c r="L28" s="163"/>
      <c r="M28" s="540"/>
      <c r="N28" s="540"/>
      <c r="O28" s="153" t="e">
        <f t="shared" si="13"/>
        <v>#DIV/0!</v>
      </c>
      <c r="P28" s="543"/>
      <c r="Q28" s="542"/>
      <c r="R28" s="164"/>
      <c r="S28" s="544"/>
      <c r="T28" s="540"/>
      <c r="U28" s="153" t="e">
        <f t="shared" si="15"/>
        <v>#DIV/0!</v>
      </c>
      <c r="V28" s="543"/>
      <c r="W28" s="542"/>
    </row>
    <row r="29" spans="2:23">
      <c r="B29" s="539"/>
      <c r="C29" s="545"/>
      <c r="D29" s="80">
        <f t="shared" si="5"/>
        <v>46255</v>
      </c>
      <c r="E29" s="80" t="s">
        <v>114</v>
      </c>
      <c r="F29" s="163"/>
      <c r="G29" s="540"/>
      <c r="H29" s="540"/>
      <c r="I29" s="213"/>
      <c r="J29" s="541"/>
      <c r="K29" s="541"/>
      <c r="L29" s="163"/>
      <c r="M29" s="540"/>
      <c r="N29" s="540"/>
      <c r="O29" s="153" t="e">
        <f t="shared" si="13"/>
        <v>#DIV/0!</v>
      </c>
      <c r="P29" s="543"/>
      <c r="Q29" s="542"/>
      <c r="R29" s="164"/>
      <c r="S29" s="544"/>
      <c r="T29" s="540"/>
      <c r="U29" s="153" t="e">
        <f t="shared" si="15"/>
        <v>#DIV/0!</v>
      </c>
      <c r="V29" s="543"/>
      <c r="W29" s="542"/>
    </row>
    <row r="30" spans="2:23">
      <c r="B30" s="539"/>
      <c r="C30" s="545"/>
      <c r="D30" s="80">
        <f t="shared" si="5"/>
        <v>46256</v>
      </c>
      <c r="E30" s="80" t="s">
        <v>115</v>
      </c>
      <c r="F30" s="163"/>
      <c r="G30" s="540"/>
      <c r="H30" s="540"/>
      <c r="I30" s="213"/>
      <c r="J30" s="541"/>
      <c r="K30" s="541"/>
      <c r="L30" s="163"/>
      <c r="M30" s="540"/>
      <c r="N30" s="540"/>
      <c r="O30" s="153" t="e">
        <f t="shared" si="13"/>
        <v>#DIV/0!</v>
      </c>
      <c r="P30" s="543"/>
      <c r="Q30" s="542"/>
      <c r="R30" s="164"/>
      <c r="S30" s="544"/>
      <c r="T30" s="540"/>
      <c r="U30" s="153" t="e">
        <f t="shared" si="15"/>
        <v>#DIV/0!</v>
      </c>
      <c r="V30" s="543"/>
      <c r="W30" s="542"/>
    </row>
    <row r="31" spans="2:23">
      <c r="B31" s="539"/>
      <c r="C31" s="545"/>
      <c r="D31" s="80">
        <f t="shared" si="5"/>
        <v>46257</v>
      </c>
      <c r="E31" s="80" t="s">
        <v>116</v>
      </c>
      <c r="F31" s="163"/>
      <c r="G31" s="540"/>
      <c r="H31" s="540"/>
      <c r="I31" s="213"/>
      <c r="J31" s="541"/>
      <c r="K31" s="541"/>
      <c r="L31" s="163"/>
      <c r="M31" s="540"/>
      <c r="N31" s="540"/>
      <c r="O31" s="153" t="e">
        <f t="shared" si="13"/>
        <v>#DIV/0!</v>
      </c>
      <c r="P31" s="543"/>
      <c r="Q31" s="542"/>
      <c r="R31" s="164"/>
      <c r="S31" s="544"/>
      <c r="T31" s="540"/>
      <c r="U31" s="153" t="e">
        <f t="shared" si="15"/>
        <v>#DIV/0!</v>
      </c>
      <c r="V31" s="543"/>
      <c r="W31" s="542"/>
    </row>
    <row r="32" spans="2:23">
      <c r="B32" s="539"/>
      <c r="C32" s="545"/>
      <c r="D32" s="80">
        <f t="shared" si="5"/>
        <v>46258</v>
      </c>
      <c r="E32" s="80" t="s">
        <v>117</v>
      </c>
      <c r="F32" s="163"/>
      <c r="G32" s="540"/>
      <c r="H32" s="540"/>
      <c r="I32" s="213"/>
      <c r="J32" s="541"/>
      <c r="K32" s="541"/>
      <c r="L32" s="163"/>
      <c r="M32" s="540"/>
      <c r="N32" s="540"/>
      <c r="O32" s="153" t="e">
        <f t="shared" si="13"/>
        <v>#DIV/0!</v>
      </c>
      <c r="P32" s="543"/>
      <c r="Q32" s="542"/>
      <c r="R32" s="164"/>
      <c r="S32" s="544"/>
      <c r="T32" s="540"/>
      <c r="U32" s="153" t="e">
        <f t="shared" si="15"/>
        <v>#DIV/0!</v>
      </c>
      <c r="V32" s="543"/>
      <c r="W32" s="542"/>
    </row>
    <row r="33" spans="2:23">
      <c r="B33" s="539">
        <f>B26+7</f>
        <v>46267</v>
      </c>
      <c r="C33" s="545"/>
      <c r="D33" s="80">
        <f t="shared" si="5"/>
        <v>46259</v>
      </c>
      <c r="E33" s="80" t="s">
        <v>118</v>
      </c>
      <c r="F33" s="163"/>
      <c r="G33" s="540">
        <f>SUM(F33:F39)</f>
        <v>0</v>
      </c>
      <c r="H33" s="540"/>
      <c r="I33" s="213"/>
      <c r="J33" s="541">
        <f t="shared" ref="J33" si="19">SUM(I33:I39)</f>
        <v>0</v>
      </c>
      <c r="K33" s="541"/>
      <c r="L33" s="163"/>
      <c r="M33" s="540">
        <f t="shared" ref="M33" si="20">SUM(L33:L39)</f>
        <v>0</v>
      </c>
      <c r="N33" s="540"/>
      <c r="O33" s="153" t="e">
        <f t="shared" ref="O33:O39" si="21">L33/F33</f>
        <v>#DIV/0!</v>
      </c>
      <c r="P33" s="543" t="e">
        <f>M33/G33</f>
        <v>#DIV/0!</v>
      </c>
      <c r="Q33" s="542"/>
      <c r="R33" s="164"/>
      <c r="S33" s="544">
        <f t="shared" ref="S33" si="22">SUM(R33:R39)</f>
        <v>0</v>
      </c>
      <c r="T33" s="540"/>
      <c r="U33" s="153" t="e">
        <f t="shared" ref="U33:U39" si="23">R33/F33</f>
        <v>#DIV/0!</v>
      </c>
      <c r="V33" s="543" t="e">
        <f>S33/G33</f>
        <v>#DIV/0!</v>
      </c>
      <c r="W33" s="542"/>
    </row>
    <row r="34" spans="2:23">
      <c r="B34" s="539"/>
      <c r="C34" s="545"/>
      <c r="D34" s="80">
        <f t="shared" si="5"/>
        <v>46260</v>
      </c>
      <c r="E34" s="80" t="s">
        <v>112</v>
      </c>
      <c r="F34" s="163"/>
      <c r="G34" s="540"/>
      <c r="H34" s="540"/>
      <c r="I34" s="213"/>
      <c r="J34" s="541"/>
      <c r="K34" s="541"/>
      <c r="L34" s="163"/>
      <c r="M34" s="540"/>
      <c r="N34" s="540"/>
      <c r="O34" s="153" t="e">
        <f t="shared" si="21"/>
        <v>#DIV/0!</v>
      </c>
      <c r="P34" s="543"/>
      <c r="Q34" s="542"/>
      <c r="R34" s="164"/>
      <c r="S34" s="544"/>
      <c r="T34" s="540"/>
      <c r="U34" s="153" t="e">
        <f t="shared" si="23"/>
        <v>#DIV/0!</v>
      </c>
      <c r="V34" s="543"/>
      <c r="W34" s="542"/>
    </row>
    <row r="35" spans="2:23">
      <c r="B35" s="539"/>
      <c r="C35" s="545"/>
      <c r="D35" s="80">
        <f t="shared" si="5"/>
        <v>46261</v>
      </c>
      <c r="E35" s="80" t="s">
        <v>113</v>
      </c>
      <c r="F35" s="163"/>
      <c r="G35" s="540"/>
      <c r="H35" s="540"/>
      <c r="I35" s="213"/>
      <c r="J35" s="541"/>
      <c r="K35" s="541"/>
      <c r="L35" s="163"/>
      <c r="M35" s="540"/>
      <c r="N35" s="540"/>
      <c r="O35" s="153" t="e">
        <f t="shared" si="21"/>
        <v>#DIV/0!</v>
      </c>
      <c r="P35" s="543"/>
      <c r="Q35" s="542"/>
      <c r="R35" s="164"/>
      <c r="S35" s="544"/>
      <c r="T35" s="540"/>
      <c r="U35" s="153" t="e">
        <f t="shared" si="23"/>
        <v>#DIV/0!</v>
      </c>
      <c r="V35" s="543"/>
      <c r="W35" s="542"/>
    </row>
    <row r="36" spans="2:23">
      <c r="B36" s="539"/>
      <c r="C36" s="545"/>
      <c r="D36" s="80">
        <f t="shared" si="5"/>
        <v>46262</v>
      </c>
      <c r="E36" s="80" t="s">
        <v>114</v>
      </c>
      <c r="F36" s="163"/>
      <c r="G36" s="540"/>
      <c r="H36" s="540"/>
      <c r="I36" s="213"/>
      <c r="J36" s="541"/>
      <c r="K36" s="541"/>
      <c r="L36" s="163"/>
      <c r="M36" s="540"/>
      <c r="N36" s="540"/>
      <c r="O36" s="153" t="e">
        <f t="shared" si="21"/>
        <v>#DIV/0!</v>
      </c>
      <c r="P36" s="543"/>
      <c r="Q36" s="542"/>
      <c r="R36" s="164"/>
      <c r="S36" s="544"/>
      <c r="T36" s="540"/>
      <c r="U36" s="153" t="e">
        <f t="shared" si="23"/>
        <v>#DIV/0!</v>
      </c>
      <c r="V36" s="543"/>
      <c r="W36" s="542"/>
    </row>
    <row r="37" spans="2:23">
      <c r="B37" s="539"/>
      <c r="C37" s="545"/>
      <c r="D37" s="80">
        <f t="shared" si="5"/>
        <v>46263</v>
      </c>
      <c r="E37" s="80" t="s">
        <v>115</v>
      </c>
      <c r="F37" s="163"/>
      <c r="G37" s="540"/>
      <c r="H37" s="540"/>
      <c r="I37" s="213"/>
      <c r="J37" s="541"/>
      <c r="K37" s="541"/>
      <c r="L37" s="163"/>
      <c r="M37" s="540"/>
      <c r="N37" s="540"/>
      <c r="O37" s="153" t="e">
        <f t="shared" si="21"/>
        <v>#DIV/0!</v>
      </c>
      <c r="P37" s="543"/>
      <c r="Q37" s="542"/>
      <c r="R37" s="164"/>
      <c r="S37" s="544"/>
      <c r="T37" s="540"/>
      <c r="U37" s="153" t="e">
        <f t="shared" si="23"/>
        <v>#DIV/0!</v>
      </c>
      <c r="V37" s="543"/>
      <c r="W37" s="542"/>
    </row>
    <row r="38" spans="2:23">
      <c r="B38" s="539"/>
      <c r="C38" s="545"/>
      <c r="D38" s="80">
        <f t="shared" si="5"/>
        <v>46264</v>
      </c>
      <c r="E38" s="80" t="s">
        <v>116</v>
      </c>
      <c r="F38" s="163"/>
      <c r="G38" s="540"/>
      <c r="H38" s="540"/>
      <c r="I38" s="213"/>
      <c r="J38" s="541"/>
      <c r="K38" s="541"/>
      <c r="L38" s="163"/>
      <c r="M38" s="540"/>
      <c r="N38" s="540"/>
      <c r="O38" s="153" t="e">
        <f t="shared" si="21"/>
        <v>#DIV/0!</v>
      </c>
      <c r="P38" s="543"/>
      <c r="Q38" s="542"/>
      <c r="R38" s="164"/>
      <c r="S38" s="544"/>
      <c r="T38" s="540"/>
      <c r="U38" s="153" t="e">
        <f t="shared" si="23"/>
        <v>#DIV/0!</v>
      </c>
      <c r="V38" s="543"/>
      <c r="W38" s="542"/>
    </row>
    <row r="39" spans="2:23">
      <c r="B39" s="539"/>
      <c r="C39" s="545"/>
      <c r="D39" s="80">
        <f t="shared" si="5"/>
        <v>46265</v>
      </c>
      <c r="E39" s="80" t="s">
        <v>117</v>
      </c>
      <c r="F39" s="163"/>
      <c r="G39" s="540"/>
      <c r="H39" s="540"/>
      <c r="I39" s="213"/>
      <c r="J39" s="541"/>
      <c r="K39" s="541"/>
      <c r="L39" s="163"/>
      <c r="M39" s="540"/>
      <c r="N39" s="540"/>
      <c r="O39" s="153" t="e">
        <f t="shared" si="21"/>
        <v>#DIV/0!</v>
      </c>
      <c r="P39" s="543"/>
      <c r="Q39" s="542"/>
      <c r="R39" s="164"/>
      <c r="S39" s="544"/>
      <c r="T39" s="540"/>
      <c r="U39" s="153" t="e">
        <f t="shared" si="23"/>
        <v>#DIV/0!</v>
      </c>
      <c r="V39" s="543"/>
      <c r="W39" s="542"/>
    </row>
  </sheetData>
  <mergeCells count="59">
    <mergeCell ref="S33:S39"/>
    <mergeCell ref="V33:V39"/>
    <mergeCell ref="C9:C39"/>
    <mergeCell ref="H9:H39"/>
    <mergeCell ref="K9:K39"/>
    <mergeCell ref="N9:N39"/>
    <mergeCell ref="Q9:Q39"/>
    <mergeCell ref="T9:T39"/>
    <mergeCell ref="S12:S18"/>
    <mergeCell ref="V12:V18"/>
    <mergeCell ref="P5:P11"/>
    <mergeCell ref="S19:S25"/>
    <mergeCell ref="V19:V25"/>
    <mergeCell ref="B33:B39"/>
    <mergeCell ref="G33:G39"/>
    <mergeCell ref="J33:J39"/>
    <mergeCell ref="M33:M39"/>
    <mergeCell ref="P33:P39"/>
    <mergeCell ref="B26:B32"/>
    <mergeCell ref="G26:G32"/>
    <mergeCell ref="J26:J32"/>
    <mergeCell ref="M26:M32"/>
    <mergeCell ref="P26:P32"/>
    <mergeCell ref="B19:B25"/>
    <mergeCell ref="G19:G25"/>
    <mergeCell ref="J19:J25"/>
    <mergeCell ref="M19:M25"/>
    <mergeCell ref="P19:P25"/>
    <mergeCell ref="B12:B18"/>
    <mergeCell ref="G12:G18"/>
    <mergeCell ref="J12:J18"/>
    <mergeCell ref="M12:M18"/>
    <mergeCell ref="P12:P18"/>
    <mergeCell ref="B5:B11"/>
    <mergeCell ref="G5:G11"/>
    <mergeCell ref="J5:J11"/>
    <mergeCell ref="M5:M11"/>
    <mergeCell ref="W5:W8"/>
    <mergeCell ref="H5:H8"/>
    <mergeCell ref="K5:K8"/>
    <mergeCell ref="T5:T8"/>
    <mergeCell ref="V5:V11"/>
    <mergeCell ref="N5:N8"/>
    <mergeCell ref="S5:S11"/>
    <mergeCell ref="C5:C8"/>
    <mergeCell ref="Q5:Q8"/>
    <mergeCell ref="W9:W39"/>
    <mergeCell ref="S26:S32"/>
    <mergeCell ref="V26:V32"/>
    <mergeCell ref="O3:Q3"/>
    <mergeCell ref="B2:W2"/>
    <mergeCell ref="I3:K3"/>
    <mergeCell ref="L3:N3"/>
    <mergeCell ref="F3:H3"/>
    <mergeCell ref="B3:B4"/>
    <mergeCell ref="C3:C4"/>
    <mergeCell ref="D3:E4"/>
    <mergeCell ref="R3:T3"/>
    <mergeCell ref="U3:W3"/>
  </mergeCells>
  <phoneticPr fontId="13" type="noConversion"/>
  <pageMargins left="0.70866141732283472" right="0.70866141732283472" top="0.74803149606299213" bottom="0.74803149606299213" header="0.31496062992125984" footer="0.31496062992125984"/>
  <pageSetup paperSize="8" scale="4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">
    <tabColor rgb="FFFFFFCC"/>
  </sheetPr>
  <dimension ref="B1:W39"/>
  <sheetViews>
    <sheetView topLeftCell="C1" zoomScale="80" zoomScaleNormal="80" workbookViewId="0">
      <selection activeCell="H9" sqref="H9:H39"/>
    </sheetView>
  </sheetViews>
  <sheetFormatPr defaultColWidth="8.85546875" defaultRowHeight="12"/>
  <cols>
    <col min="1" max="1" width="4.42578125" style="73" customWidth="1"/>
    <col min="2" max="2" width="18.5703125" style="78" bestFit="1" customWidth="1"/>
    <col min="3" max="3" width="8.85546875" style="75"/>
    <col min="4" max="4" width="17.42578125" style="77" customWidth="1"/>
    <col min="5" max="5" width="4.42578125" style="77" customWidth="1"/>
    <col min="6" max="8" width="25.5703125" style="87" customWidth="1"/>
    <col min="9" max="11" width="15" style="72" customWidth="1"/>
    <col min="12" max="12" width="14.5703125" style="167" customWidth="1"/>
    <col min="13" max="17" width="14.5703125" style="72" customWidth="1"/>
    <col min="18" max="21" width="14.140625" style="72" customWidth="1"/>
    <col min="22" max="23" width="14.140625" style="73" customWidth="1"/>
    <col min="24" max="16384" width="8.85546875" style="73"/>
  </cols>
  <sheetData>
    <row r="1" spans="2:23" ht="14.25">
      <c r="B1" s="162" t="s">
        <v>334</v>
      </c>
      <c r="C1" s="165">
        <v>500.4</v>
      </c>
    </row>
    <row r="2" spans="2:23" ht="38.1" customHeight="1">
      <c r="B2" s="531" t="s">
        <v>130</v>
      </c>
      <c r="C2" s="546"/>
      <c r="D2" s="546"/>
      <c r="E2" s="546"/>
      <c r="F2" s="546"/>
      <c r="G2" s="546"/>
      <c r="H2" s="546"/>
      <c r="I2" s="546"/>
      <c r="J2" s="546"/>
      <c r="K2" s="546"/>
      <c r="L2" s="546"/>
      <c r="M2" s="546"/>
      <c r="N2" s="546"/>
      <c r="O2" s="546"/>
      <c r="P2" s="546"/>
      <c r="Q2" s="546"/>
      <c r="R2" s="546"/>
      <c r="S2" s="546"/>
      <c r="T2" s="546"/>
      <c r="U2" s="546"/>
    </row>
    <row r="3" spans="2:23" s="71" customFormat="1" ht="23.45" customHeight="1">
      <c r="B3" s="535" t="s">
        <v>122</v>
      </c>
      <c r="C3" s="536" t="s">
        <v>119</v>
      </c>
      <c r="D3" s="537" t="s">
        <v>105</v>
      </c>
      <c r="E3" s="537"/>
      <c r="F3" s="547" t="s">
        <v>107</v>
      </c>
      <c r="G3" s="547"/>
      <c r="H3" s="547"/>
      <c r="I3" s="549" t="s">
        <v>108</v>
      </c>
      <c r="J3" s="549"/>
      <c r="K3" s="549"/>
      <c r="L3" s="548" t="s">
        <v>303</v>
      </c>
      <c r="M3" s="548"/>
      <c r="N3" s="548"/>
      <c r="O3" s="548" t="s">
        <v>106</v>
      </c>
      <c r="P3" s="548"/>
      <c r="Q3" s="548"/>
      <c r="R3" s="548" t="s">
        <v>333</v>
      </c>
      <c r="S3" s="548"/>
      <c r="T3" s="548"/>
      <c r="U3" s="548" t="s">
        <v>402</v>
      </c>
      <c r="V3" s="548"/>
      <c r="W3" s="548"/>
    </row>
    <row r="4" spans="2:23" ht="15.75">
      <c r="B4" s="535"/>
      <c r="C4" s="536"/>
      <c r="D4" s="537"/>
      <c r="E4" s="537"/>
      <c r="F4" s="79" t="s">
        <v>116</v>
      </c>
      <c r="G4" s="89" t="s">
        <v>131</v>
      </c>
      <c r="H4" s="89" t="s">
        <v>132</v>
      </c>
      <c r="I4" s="79" t="s">
        <v>116</v>
      </c>
      <c r="J4" s="88" t="s">
        <v>131</v>
      </c>
      <c r="K4" s="88" t="s">
        <v>132</v>
      </c>
      <c r="L4" s="168" t="s">
        <v>116</v>
      </c>
      <c r="M4" s="88" t="s">
        <v>131</v>
      </c>
      <c r="N4" s="88" t="s">
        <v>132</v>
      </c>
      <c r="O4" s="166" t="s">
        <v>116</v>
      </c>
      <c r="P4" s="88" t="s">
        <v>131</v>
      </c>
      <c r="Q4" s="88" t="s">
        <v>132</v>
      </c>
      <c r="R4" s="79" t="s">
        <v>116</v>
      </c>
      <c r="S4" s="88" t="s">
        <v>131</v>
      </c>
      <c r="T4" s="88" t="s">
        <v>132</v>
      </c>
      <c r="U4" s="79" t="s">
        <v>116</v>
      </c>
      <c r="V4" s="88" t="s">
        <v>131</v>
      </c>
      <c r="W4" s="88" t="s">
        <v>132</v>
      </c>
    </row>
    <row r="5" spans="2:23">
      <c r="B5" s="539">
        <v>46239</v>
      </c>
      <c r="C5" s="545"/>
      <c r="D5" s="80">
        <v>46231</v>
      </c>
      <c r="E5" s="432" t="s">
        <v>118</v>
      </c>
      <c r="F5" s="87">
        <v>435.56217864447569</v>
      </c>
      <c r="G5" s="554">
        <f t="shared" ref="G5" si="0">AVERAGE(F5:F11)</f>
        <v>441.50044683537647</v>
      </c>
      <c r="H5" s="551"/>
      <c r="I5" s="153">
        <f t="shared" ref="I5:I11" si="1">F5/$C$1</f>
        <v>0.87042801487704979</v>
      </c>
      <c r="J5" s="553">
        <f t="shared" ref="J5" si="2">AVERAGE(I5:I11)</f>
        <v>0.88229505762465343</v>
      </c>
      <c r="K5" s="550"/>
      <c r="L5" s="161">
        <v>2.003779723067786E-3</v>
      </c>
      <c r="M5" s="552">
        <f t="shared" ref="M5" si="3">AVERAGE(L5:L11)</f>
        <v>2.0021910448978601E-3</v>
      </c>
      <c r="N5" s="552"/>
      <c r="O5" s="84">
        <v>6.0038060765995179E-3</v>
      </c>
      <c r="P5" s="550">
        <f t="shared" ref="P5" si="4">AVERAGE(O5:O11)</f>
        <v>6.0080319327112108E-3</v>
      </c>
      <c r="Q5" s="552"/>
      <c r="R5" s="153">
        <v>0.9</v>
      </c>
      <c r="S5" s="553">
        <f t="shared" ref="S5" si="5">AVERAGE(R5:R11)</f>
        <v>0.90000000000000013</v>
      </c>
      <c r="T5" s="550"/>
      <c r="U5" s="153">
        <f>31/52*100%</f>
        <v>0.59615384615384615</v>
      </c>
      <c r="V5" s="543">
        <f t="shared" ref="V5" si="6">AVERAGE(U5:U11)</f>
        <v>0.59615384615384615</v>
      </c>
      <c r="W5" s="550"/>
    </row>
    <row r="6" spans="2:23">
      <c r="B6" s="539"/>
      <c r="C6" s="545"/>
      <c r="D6" s="80">
        <f t="shared" ref="D6:D39" si="7">D5+1</f>
        <v>46232</v>
      </c>
      <c r="E6" s="432" t="s">
        <v>112</v>
      </c>
      <c r="F6" s="87">
        <v>438.34046289481421</v>
      </c>
      <c r="G6" s="554"/>
      <c r="H6" s="551"/>
      <c r="I6" s="153">
        <f t="shared" si="1"/>
        <v>0.87598014167628746</v>
      </c>
      <c r="J6" s="553"/>
      <c r="K6" s="550"/>
      <c r="L6" s="161">
        <v>2.001947891009318E-3</v>
      </c>
      <c r="M6" s="552"/>
      <c r="N6" s="552"/>
      <c r="O6" s="84">
        <v>6.001752540493858E-3</v>
      </c>
      <c r="P6" s="550"/>
      <c r="Q6" s="552"/>
      <c r="R6" s="153">
        <v>0.9</v>
      </c>
      <c r="S6" s="553"/>
      <c r="T6" s="550"/>
      <c r="U6" s="153">
        <f t="shared" ref="U6:U11" si="8">31/52*100%</f>
        <v>0.59615384615384615</v>
      </c>
      <c r="V6" s="543"/>
      <c r="W6" s="550"/>
    </row>
    <row r="7" spans="2:23">
      <c r="B7" s="539"/>
      <c r="C7" s="545"/>
      <c r="D7" s="80">
        <f t="shared" si="7"/>
        <v>46233</v>
      </c>
      <c r="E7" s="432" t="s">
        <v>113</v>
      </c>
      <c r="F7" s="87">
        <v>441.47627351718859</v>
      </c>
      <c r="G7" s="554"/>
      <c r="H7" s="551"/>
      <c r="I7" s="153">
        <f t="shared" si="1"/>
        <v>0.88224674963466942</v>
      </c>
      <c r="J7" s="553"/>
      <c r="K7" s="550"/>
      <c r="L7" s="161">
        <v>1.998529005510217E-3</v>
      </c>
      <c r="M7" s="552"/>
      <c r="N7" s="552"/>
      <c r="O7" s="84">
        <v>5.9985558394174427E-3</v>
      </c>
      <c r="P7" s="550"/>
      <c r="Q7" s="552"/>
      <c r="R7" s="153">
        <v>0.9</v>
      </c>
      <c r="S7" s="553"/>
      <c r="T7" s="550"/>
      <c r="U7" s="153">
        <f t="shared" si="8"/>
        <v>0.59615384615384615</v>
      </c>
      <c r="V7" s="543"/>
      <c r="W7" s="550"/>
    </row>
    <row r="8" spans="2:23">
      <c r="B8" s="539"/>
      <c r="C8" s="545"/>
      <c r="D8" s="80">
        <f t="shared" si="7"/>
        <v>46234</v>
      </c>
      <c r="E8" s="432" t="s">
        <v>114</v>
      </c>
      <c r="F8" s="87">
        <v>442.8554545488073</v>
      </c>
      <c r="G8" s="554"/>
      <c r="H8" s="551"/>
      <c r="I8" s="153">
        <f t="shared" si="1"/>
        <v>0.88500290677219684</v>
      </c>
      <c r="J8" s="553"/>
      <c r="K8" s="550"/>
      <c r="L8" s="161">
        <v>1.9964655928945505E-3</v>
      </c>
      <c r="M8" s="552"/>
      <c r="N8" s="552"/>
      <c r="O8" s="84">
        <v>5.9963010545892826E-3</v>
      </c>
      <c r="P8" s="550"/>
      <c r="Q8" s="552"/>
      <c r="R8" s="153">
        <v>0.9</v>
      </c>
      <c r="S8" s="553"/>
      <c r="T8" s="550"/>
      <c r="U8" s="153">
        <f t="shared" si="8"/>
        <v>0.59615384615384615</v>
      </c>
      <c r="V8" s="543"/>
      <c r="W8" s="550"/>
    </row>
    <row r="9" spans="2:23">
      <c r="B9" s="539"/>
      <c r="C9" s="545" t="s">
        <v>563</v>
      </c>
      <c r="D9" s="80">
        <f t="shared" si="7"/>
        <v>46235</v>
      </c>
      <c r="E9" s="432" t="s">
        <v>115</v>
      </c>
      <c r="F9" s="87">
        <v>443.7999820460866</v>
      </c>
      <c r="G9" s="554"/>
      <c r="H9" s="551">
        <f>AVERAGEIF(F9:F39,"&lt;&gt;0")</f>
        <v>445.67048752703971</v>
      </c>
      <c r="I9" s="153">
        <f t="shared" si="1"/>
        <v>0.88689045173078862</v>
      </c>
      <c r="J9" s="553"/>
      <c r="K9" s="550">
        <f>AVERAGEIF(I9:I39,"&lt;&gt;0")</f>
        <v>0.89062847227625852</v>
      </c>
      <c r="L9" s="161">
        <v>2.0022606865145497E-3</v>
      </c>
      <c r="M9" s="552"/>
      <c r="N9" s="552">
        <f>AVERAGEIF(L9:L39,"&lt;&gt;0")</f>
        <v>2.0046499895104591E-3</v>
      </c>
      <c r="O9" s="84">
        <v>6.002430543274E-3</v>
      </c>
      <c r="P9" s="550"/>
      <c r="Q9" s="552">
        <f>AVERAGEIF(O9:O39,"&lt;&gt;0")</f>
        <v>6.011377692572881E-3</v>
      </c>
      <c r="R9" s="153">
        <v>0.9</v>
      </c>
      <c r="S9" s="553"/>
      <c r="T9" s="550">
        <f>AVERAGEIF(R9:R39,"&lt;&gt;0")</f>
        <v>0.90000000000000024</v>
      </c>
      <c r="U9" s="153">
        <f t="shared" si="8"/>
        <v>0.59615384615384615</v>
      </c>
      <c r="V9" s="543"/>
      <c r="W9" s="550">
        <f>AVERAGEIF(U9:U39,"&lt;&gt;0")</f>
        <v>0.61990950226244357</v>
      </c>
    </row>
    <row r="10" spans="2:23">
      <c r="B10" s="539"/>
      <c r="C10" s="545"/>
      <c r="D10" s="80">
        <f t="shared" si="7"/>
        <v>46236</v>
      </c>
      <c r="E10" s="432" t="s">
        <v>116</v>
      </c>
      <c r="F10" s="87">
        <v>443.89283392882203</v>
      </c>
      <c r="G10" s="554"/>
      <c r="H10" s="551"/>
      <c r="I10" s="153">
        <f t="shared" si="1"/>
        <v>0.88707600705200251</v>
      </c>
      <c r="J10" s="553"/>
      <c r="K10" s="550"/>
      <c r="L10" s="161">
        <v>2.0060667092847008E-3</v>
      </c>
      <c r="M10" s="552"/>
      <c r="N10" s="552"/>
      <c r="O10" s="84">
        <v>6.039855122915971E-3</v>
      </c>
      <c r="P10" s="550"/>
      <c r="Q10" s="552"/>
      <c r="R10" s="153">
        <v>0.9</v>
      </c>
      <c r="S10" s="553"/>
      <c r="T10" s="550"/>
      <c r="U10" s="153">
        <f t="shared" si="8"/>
        <v>0.59615384615384615</v>
      </c>
      <c r="V10" s="543"/>
      <c r="W10" s="550"/>
    </row>
    <row r="11" spans="2:23">
      <c r="B11" s="539"/>
      <c r="C11" s="545"/>
      <c r="D11" s="80">
        <f t="shared" si="7"/>
        <v>46237</v>
      </c>
      <c r="E11" s="432" t="s">
        <v>117</v>
      </c>
      <c r="F11" s="87">
        <v>444.57594226744095</v>
      </c>
      <c r="G11" s="554"/>
      <c r="H11" s="551"/>
      <c r="I11" s="153">
        <f t="shared" si="1"/>
        <v>0.88844113162957827</v>
      </c>
      <c r="J11" s="553"/>
      <c r="K11" s="550"/>
      <c r="L11" s="161">
        <v>2.0062877060038997E-3</v>
      </c>
      <c r="M11" s="552"/>
      <c r="N11" s="552"/>
      <c r="O11" s="84">
        <v>6.0135223516884009E-3</v>
      </c>
      <c r="P11" s="550"/>
      <c r="Q11" s="552"/>
      <c r="R11" s="153">
        <v>0.9</v>
      </c>
      <c r="S11" s="553"/>
      <c r="T11" s="550"/>
      <c r="U11" s="153">
        <f t="shared" si="8"/>
        <v>0.59615384615384615</v>
      </c>
      <c r="V11" s="543"/>
      <c r="W11" s="550"/>
    </row>
    <row r="12" spans="2:23">
      <c r="B12" s="539">
        <f t="shared" ref="B12" si="9">B5+7</f>
        <v>46246</v>
      </c>
      <c r="C12" s="545"/>
      <c r="D12" s="80">
        <f t="shared" si="7"/>
        <v>46238</v>
      </c>
      <c r="E12" s="432" t="s">
        <v>118</v>
      </c>
      <c r="F12" s="87">
        <v>444.8745339433334</v>
      </c>
      <c r="G12" s="554">
        <f t="shared" ref="G12" si="10">AVERAGE(F12:F18)</f>
        <v>444.98752613705216</v>
      </c>
      <c r="H12" s="551"/>
      <c r="I12" s="153">
        <f t="shared" ref="I12:I18" si="11">F12/$C$1</f>
        <v>0.88903783761657362</v>
      </c>
      <c r="J12" s="553">
        <f t="shared" ref="J12" si="12">AVERAGE(I12:I18)</f>
        <v>0.88926364136101566</v>
      </c>
      <c r="K12" s="550"/>
      <c r="L12" s="161">
        <v>2.0035649879182704E-3</v>
      </c>
      <c r="M12" s="552">
        <f t="shared" ref="M12" si="13">AVERAGE(L12:L18)</f>
        <v>2.0032276116361881E-3</v>
      </c>
      <c r="N12" s="552"/>
      <c r="O12" s="84">
        <v>6.0082803415470757E-3</v>
      </c>
      <c r="P12" s="550">
        <f t="shared" ref="P12" si="14">AVERAGE(O12:O18)</f>
        <v>6.0088059078215522E-3</v>
      </c>
      <c r="Q12" s="552"/>
      <c r="R12" s="153">
        <v>0.9</v>
      </c>
      <c r="S12" s="553">
        <f t="shared" ref="S12" si="15">AVERAGE(R12:R18)</f>
        <v>0.90000000000000013</v>
      </c>
      <c r="T12" s="550"/>
      <c r="U12" s="153">
        <f>32/52*100%</f>
        <v>0.61538461538461542</v>
      </c>
      <c r="V12" s="543">
        <f t="shared" ref="V12" si="16">AVERAGE(U12:U18)</f>
        <v>0.61538461538461553</v>
      </c>
      <c r="W12" s="550"/>
    </row>
    <row r="13" spans="2:23">
      <c r="B13" s="539"/>
      <c r="C13" s="545"/>
      <c r="D13" s="80">
        <f t="shared" si="7"/>
        <v>46239</v>
      </c>
      <c r="E13" s="432" t="s">
        <v>112</v>
      </c>
      <c r="F13" s="87">
        <v>444.99873215552265</v>
      </c>
      <c r="G13" s="554"/>
      <c r="H13" s="551"/>
      <c r="I13" s="153">
        <f t="shared" si="11"/>
        <v>0.88928603548265917</v>
      </c>
      <c r="J13" s="553"/>
      <c r="K13" s="550"/>
      <c r="L13" s="161">
        <v>2.0020241589381316E-3</v>
      </c>
      <c r="M13" s="552"/>
      <c r="N13" s="552"/>
      <c r="O13" s="84">
        <v>6.0023976860791818E-3</v>
      </c>
      <c r="P13" s="550"/>
      <c r="Q13" s="552"/>
      <c r="R13" s="153">
        <v>0.9</v>
      </c>
      <c r="S13" s="553"/>
      <c r="T13" s="550"/>
      <c r="U13" s="153">
        <f t="shared" ref="U13:U18" si="17">32/52*100%</f>
        <v>0.61538461538461542</v>
      </c>
      <c r="V13" s="543"/>
      <c r="W13" s="550"/>
    </row>
    <row r="14" spans="2:23">
      <c r="B14" s="539"/>
      <c r="C14" s="545"/>
      <c r="D14" s="80">
        <f t="shared" si="7"/>
        <v>46240</v>
      </c>
      <c r="E14" s="432" t="s">
        <v>113</v>
      </c>
      <c r="F14" s="87">
        <v>444.39754394761871</v>
      </c>
      <c r="G14" s="554"/>
      <c r="H14" s="551"/>
      <c r="I14" s="153">
        <f t="shared" si="11"/>
        <v>0.88808462019907819</v>
      </c>
      <c r="J14" s="553"/>
      <c r="K14" s="550"/>
      <c r="L14" s="161">
        <v>1.9980106523877464E-3</v>
      </c>
      <c r="M14" s="552"/>
      <c r="N14" s="552"/>
      <c r="O14" s="84">
        <v>6.0038798408066033E-3</v>
      </c>
      <c r="P14" s="550"/>
      <c r="Q14" s="552"/>
      <c r="R14" s="153">
        <v>0.9</v>
      </c>
      <c r="S14" s="553"/>
      <c r="T14" s="550"/>
      <c r="U14" s="153">
        <f t="shared" si="17"/>
        <v>0.61538461538461542</v>
      </c>
      <c r="V14" s="543"/>
      <c r="W14" s="550"/>
    </row>
    <row r="15" spans="2:23">
      <c r="B15" s="539"/>
      <c r="C15" s="545"/>
      <c r="D15" s="80">
        <f t="shared" si="7"/>
        <v>46241</v>
      </c>
      <c r="E15" s="432" t="s">
        <v>114</v>
      </c>
      <c r="F15" s="87">
        <v>444.01185470423195</v>
      </c>
      <c r="G15" s="554"/>
      <c r="H15" s="551"/>
      <c r="I15" s="153">
        <f t="shared" si="11"/>
        <v>0.88731385832180654</v>
      </c>
      <c r="J15" s="553"/>
      <c r="K15" s="550"/>
      <c r="L15" s="161">
        <v>1.9963328551949821E-3</v>
      </c>
      <c r="M15" s="552"/>
      <c r="N15" s="552"/>
      <c r="O15" s="84">
        <v>5.9962863553429096E-3</v>
      </c>
      <c r="P15" s="550"/>
      <c r="Q15" s="552"/>
      <c r="R15" s="153">
        <v>0.9</v>
      </c>
      <c r="S15" s="553"/>
      <c r="T15" s="550"/>
      <c r="U15" s="153">
        <f t="shared" si="17"/>
        <v>0.61538461538461542</v>
      </c>
      <c r="V15" s="543"/>
      <c r="W15" s="550"/>
    </row>
    <row r="16" spans="2:23">
      <c r="B16" s="539"/>
      <c r="C16" s="545"/>
      <c r="D16" s="80">
        <f t="shared" si="7"/>
        <v>46242</v>
      </c>
      <c r="E16" s="432" t="s">
        <v>115</v>
      </c>
      <c r="F16" s="87">
        <v>444.63999207797815</v>
      </c>
      <c r="G16" s="554"/>
      <c r="H16" s="551"/>
      <c r="I16" s="153">
        <f t="shared" si="11"/>
        <v>0.88856912885287409</v>
      </c>
      <c r="J16" s="553"/>
      <c r="K16" s="550"/>
      <c r="L16" s="161">
        <v>2.0022747042584433E-3</v>
      </c>
      <c r="M16" s="552"/>
      <c r="N16" s="552"/>
      <c r="O16" s="84">
        <v>6.0082593885629112E-3</v>
      </c>
      <c r="P16" s="550"/>
      <c r="Q16" s="552"/>
      <c r="R16" s="153">
        <v>0.9</v>
      </c>
      <c r="S16" s="553"/>
      <c r="T16" s="550"/>
      <c r="U16" s="153">
        <f t="shared" si="17"/>
        <v>0.61538461538461542</v>
      </c>
      <c r="V16" s="543"/>
      <c r="W16" s="550"/>
    </row>
    <row r="17" spans="2:23">
      <c r="B17" s="539"/>
      <c r="C17" s="545"/>
      <c r="D17" s="80">
        <f t="shared" si="7"/>
        <v>46243</v>
      </c>
      <c r="E17" s="432" t="s">
        <v>116</v>
      </c>
      <c r="F17" s="87">
        <v>445.08292708957987</v>
      </c>
      <c r="G17" s="554"/>
      <c r="H17" s="551"/>
      <c r="I17" s="153">
        <f t="shared" si="11"/>
        <v>0.88945429074656257</v>
      </c>
      <c r="J17" s="553"/>
      <c r="K17" s="550"/>
      <c r="L17" s="161">
        <v>2.0120046467735392E-3</v>
      </c>
      <c r="M17" s="552"/>
      <c r="N17" s="552"/>
      <c r="O17" s="84">
        <v>6.0243766928916326E-3</v>
      </c>
      <c r="P17" s="550"/>
      <c r="Q17" s="552"/>
      <c r="R17" s="153">
        <v>0.9</v>
      </c>
      <c r="S17" s="553"/>
      <c r="T17" s="550"/>
      <c r="U17" s="153">
        <f t="shared" si="17"/>
        <v>0.61538461538461542</v>
      </c>
      <c r="V17" s="543"/>
      <c r="W17" s="550"/>
    </row>
    <row r="18" spans="2:23">
      <c r="B18" s="539"/>
      <c r="C18" s="545"/>
      <c r="D18" s="80">
        <f t="shared" si="7"/>
        <v>46244</v>
      </c>
      <c r="E18" s="432" t="s">
        <v>117</v>
      </c>
      <c r="F18" s="87">
        <v>446.90709904110037</v>
      </c>
      <c r="G18" s="554"/>
      <c r="H18" s="551"/>
      <c r="I18" s="153">
        <f t="shared" si="11"/>
        <v>0.89309971830755475</v>
      </c>
      <c r="J18" s="553"/>
      <c r="K18" s="550"/>
      <c r="L18" s="161">
        <v>2.0083812759822042E-3</v>
      </c>
      <c r="M18" s="552"/>
      <c r="N18" s="552"/>
      <c r="O18" s="84">
        <v>6.0181610495205502E-3</v>
      </c>
      <c r="P18" s="550"/>
      <c r="Q18" s="552"/>
      <c r="R18" s="153">
        <v>0.9</v>
      </c>
      <c r="S18" s="553"/>
      <c r="T18" s="550"/>
      <c r="U18" s="153">
        <f t="shared" si="17"/>
        <v>0.61538461538461542</v>
      </c>
      <c r="V18" s="543"/>
      <c r="W18" s="550"/>
    </row>
    <row r="19" spans="2:23">
      <c r="B19" s="539">
        <f t="shared" ref="B19" si="18">B12+7</f>
        <v>46253</v>
      </c>
      <c r="C19" s="545"/>
      <c r="D19" s="80">
        <f t="shared" si="7"/>
        <v>46245</v>
      </c>
      <c r="E19" s="432" t="s">
        <v>118</v>
      </c>
      <c r="F19" s="87">
        <v>447.04911568533424</v>
      </c>
      <c r="G19" s="554">
        <f t="shared" ref="G19" si="19">AVERAGE(F19:F25)</f>
        <v>447.03097810828018</v>
      </c>
      <c r="H19" s="551"/>
      <c r="I19" s="153">
        <f t="shared" ref="I19:I25" si="20">F19/$C$1</f>
        <v>0.89338352455102765</v>
      </c>
      <c r="J19" s="553">
        <f t="shared" ref="J19" si="21">AVERAGE(I19:I25)</f>
        <v>0.8933472783938452</v>
      </c>
      <c r="K19" s="550"/>
      <c r="L19" s="161">
        <v>2.0055281375709272E-3</v>
      </c>
      <c r="M19" s="552">
        <f t="shared" ref="M19" si="22">AVERAGE(L19:L25)</f>
        <v>2.0059773483459046E-3</v>
      </c>
      <c r="N19" s="552"/>
      <c r="O19" s="84">
        <v>6.0164484538576595E-3</v>
      </c>
      <c r="P19" s="550">
        <f t="shared" ref="P19" si="23">AVERAGE(O19:O25)</f>
        <v>6.0108530573013946E-3</v>
      </c>
      <c r="Q19" s="552"/>
      <c r="R19" s="153">
        <v>0.9</v>
      </c>
      <c r="S19" s="553">
        <f t="shared" ref="S19" si="24">AVERAGE(R19:R25)</f>
        <v>0.90000000000000013</v>
      </c>
      <c r="T19" s="550"/>
      <c r="U19" s="153">
        <f>33/52*100%</f>
        <v>0.63461538461538458</v>
      </c>
      <c r="V19" s="543">
        <f t="shared" ref="V19" si="25">AVERAGE(U19:U25)</f>
        <v>0.63461538461538447</v>
      </c>
      <c r="W19" s="550"/>
    </row>
    <row r="20" spans="2:23">
      <c r="B20" s="539"/>
      <c r="C20" s="545"/>
      <c r="D20" s="80">
        <f t="shared" si="7"/>
        <v>46246</v>
      </c>
      <c r="E20" s="432" t="s">
        <v>112</v>
      </c>
      <c r="F20" s="87">
        <v>447.17079051995063</v>
      </c>
      <c r="G20" s="554"/>
      <c r="H20" s="551"/>
      <c r="I20" s="153">
        <f t="shared" si="20"/>
        <v>0.8936266796961444</v>
      </c>
      <c r="J20" s="553"/>
      <c r="K20" s="550"/>
      <c r="L20" s="161">
        <v>2.0042621387463427E-3</v>
      </c>
      <c r="M20" s="552"/>
      <c r="N20" s="552"/>
      <c r="O20" s="84">
        <v>6.0102545498361467E-3</v>
      </c>
      <c r="P20" s="550"/>
      <c r="Q20" s="552"/>
      <c r="R20" s="153">
        <v>0.9</v>
      </c>
      <c r="S20" s="553"/>
      <c r="T20" s="550"/>
      <c r="U20" s="153">
        <f t="shared" ref="U20:U25" si="26">33/52*100%</f>
        <v>0.63461538461538458</v>
      </c>
      <c r="V20" s="543"/>
      <c r="W20" s="550"/>
    </row>
    <row r="21" spans="2:23">
      <c r="B21" s="539"/>
      <c r="C21" s="545"/>
      <c r="D21" s="80">
        <f t="shared" si="7"/>
        <v>46247</v>
      </c>
      <c r="E21" s="432" t="s">
        <v>113</v>
      </c>
      <c r="F21" s="87">
        <v>446.55731391334319</v>
      </c>
      <c r="G21" s="554"/>
      <c r="H21" s="551"/>
      <c r="I21" s="153">
        <f t="shared" si="20"/>
        <v>0.89240070726087772</v>
      </c>
      <c r="J21" s="553"/>
      <c r="K21" s="550"/>
      <c r="L21" s="161">
        <v>2.0036080086623942E-3</v>
      </c>
      <c r="M21" s="552"/>
      <c r="N21" s="552"/>
      <c r="O21" s="84">
        <v>6.005796804573629E-3</v>
      </c>
      <c r="P21" s="550"/>
      <c r="Q21" s="552"/>
      <c r="R21" s="153">
        <v>0.9</v>
      </c>
      <c r="S21" s="553"/>
      <c r="T21" s="550"/>
      <c r="U21" s="153">
        <f t="shared" si="26"/>
        <v>0.63461538461538458</v>
      </c>
      <c r="V21" s="543"/>
      <c r="W21" s="550"/>
    </row>
    <row r="22" spans="2:23">
      <c r="B22" s="539"/>
      <c r="C22" s="545"/>
      <c r="D22" s="80">
        <f t="shared" si="7"/>
        <v>46248</v>
      </c>
      <c r="E22" s="432" t="s">
        <v>114</v>
      </c>
      <c r="F22" s="87">
        <v>448.30134768549226</v>
      </c>
      <c r="G22" s="554"/>
      <c r="H22" s="551"/>
      <c r="I22" s="153">
        <f t="shared" si="20"/>
        <v>0.89588598658171914</v>
      </c>
      <c r="J22" s="553"/>
      <c r="K22" s="550"/>
      <c r="L22" s="161">
        <v>2.0019534291956824E-3</v>
      </c>
      <c r="M22" s="552"/>
      <c r="N22" s="552"/>
      <c r="O22" s="84">
        <v>6.0037292426061151E-3</v>
      </c>
      <c r="P22" s="550"/>
      <c r="Q22" s="552"/>
      <c r="R22" s="153">
        <v>0.9</v>
      </c>
      <c r="S22" s="553"/>
      <c r="T22" s="550"/>
      <c r="U22" s="153">
        <f t="shared" si="26"/>
        <v>0.63461538461538458</v>
      </c>
      <c r="V22" s="543"/>
      <c r="W22" s="550"/>
    </row>
    <row r="23" spans="2:23">
      <c r="B23" s="539"/>
      <c r="C23" s="545"/>
      <c r="D23" s="80">
        <f t="shared" si="7"/>
        <v>46249</v>
      </c>
      <c r="E23" s="432" t="s">
        <v>115</v>
      </c>
      <c r="F23" s="87">
        <v>446.41708896835672</v>
      </c>
      <c r="G23" s="554"/>
      <c r="H23" s="551"/>
      <c r="I23" s="153">
        <f t="shared" si="20"/>
        <v>0.89212048155147228</v>
      </c>
      <c r="J23" s="553"/>
      <c r="K23" s="550"/>
      <c r="L23" s="161">
        <v>2.0038676296236383E-3</v>
      </c>
      <c r="M23" s="552"/>
      <c r="N23" s="552"/>
      <c r="O23" s="84">
        <v>6.0078387604262564E-3</v>
      </c>
      <c r="P23" s="550"/>
      <c r="Q23" s="552"/>
      <c r="R23" s="153">
        <v>0.9</v>
      </c>
      <c r="S23" s="553"/>
      <c r="T23" s="550"/>
      <c r="U23" s="153">
        <f t="shared" si="26"/>
        <v>0.63461538461538458</v>
      </c>
      <c r="V23" s="543"/>
      <c r="W23" s="550"/>
    </row>
    <row r="24" spans="2:23">
      <c r="B24" s="539"/>
      <c r="C24" s="545"/>
      <c r="D24" s="80">
        <f t="shared" si="7"/>
        <v>46250</v>
      </c>
      <c r="E24" s="432" t="s">
        <v>116</v>
      </c>
      <c r="F24" s="87">
        <v>446.80394608953105</v>
      </c>
      <c r="G24" s="554"/>
      <c r="H24" s="551"/>
      <c r="I24" s="153">
        <f t="shared" si="20"/>
        <v>0.89289357731720842</v>
      </c>
      <c r="J24" s="553"/>
      <c r="K24" s="550"/>
      <c r="L24" s="161">
        <v>2.014407874352211E-3</v>
      </c>
      <c r="M24" s="552"/>
      <c r="N24" s="552"/>
      <c r="O24" s="84">
        <v>6.0199032200620164E-3</v>
      </c>
      <c r="P24" s="550"/>
      <c r="Q24" s="552"/>
      <c r="R24" s="153">
        <v>0.9</v>
      </c>
      <c r="S24" s="553"/>
      <c r="T24" s="550"/>
      <c r="U24" s="153">
        <f t="shared" si="26"/>
        <v>0.63461538461538458</v>
      </c>
      <c r="V24" s="543"/>
      <c r="W24" s="550"/>
    </row>
    <row r="25" spans="2:23">
      <c r="B25" s="539"/>
      <c r="C25" s="545"/>
      <c r="D25" s="80">
        <f t="shared" si="7"/>
        <v>46251</v>
      </c>
      <c r="E25" s="432" t="s">
        <v>117</v>
      </c>
      <c r="F25" s="87">
        <v>446.91724389595288</v>
      </c>
      <c r="G25" s="554"/>
      <c r="H25" s="551"/>
      <c r="I25" s="153">
        <f t="shared" si="20"/>
        <v>0.89311999179846702</v>
      </c>
      <c r="J25" s="553"/>
      <c r="K25" s="550"/>
      <c r="L25" s="161">
        <v>2.0082142202701371E-3</v>
      </c>
      <c r="M25" s="552"/>
      <c r="N25" s="552"/>
      <c r="O25" s="84">
        <v>6.012000369747938E-3</v>
      </c>
      <c r="P25" s="550"/>
      <c r="Q25" s="552"/>
      <c r="R25" s="153">
        <v>0.9</v>
      </c>
      <c r="S25" s="553"/>
      <c r="T25" s="550"/>
      <c r="U25" s="153">
        <f t="shared" si="26"/>
        <v>0.63461538461538458</v>
      </c>
      <c r="V25" s="543"/>
      <c r="W25" s="550"/>
    </row>
    <row r="26" spans="2:23">
      <c r="B26" s="539">
        <f t="shared" ref="B26" si="27">B19+7</f>
        <v>46260</v>
      </c>
      <c r="C26" s="545"/>
      <c r="D26" s="80">
        <f t="shared" si="7"/>
        <v>46252</v>
      </c>
      <c r="E26" s="432" t="s">
        <v>118</v>
      </c>
      <c r="G26" s="554" t="e">
        <f t="shared" ref="G26" si="28">AVERAGE(F26:F32)</f>
        <v>#DIV/0!</v>
      </c>
      <c r="H26" s="551"/>
      <c r="I26" s="153">
        <f t="shared" ref="I26:I32" si="29">F26/$C$1</f>
        <v>0</v>
      </c>
      <c r="J26" s="553">
        <f t="shared" ref="J26" si="30">AVERAGE(I26:I32)</f>
        <v>0</v>
      </c>
      <c r="K26" s="550"/>
      <c r="L26" s="161"/>
      <c r="M26" s="552" t="e">
        <f t="shared" ref="M26" si="31">AVERAGE(L26:L32)</f>
        <v>#DIV/0!</v>
      </c>
      <c r="N26" s="552"/>
      <c r="O26" s="84"/>
      <c r="P26" s="550" t="e">
        <f t="shared" ref="P26" si="32">AVERAGE(O26:O32)</f>
        <v>#DIV/0!</v>
      </c>
      <c r="Q26" s="552"/>
      <c r="R26" s="153"/>
      <c r="S26" s="553" t="e">
        <f t="shared" ref="S26" si="33">AVERAGE(R26:R32)</f>
        <v>#DIV/0!</v>
      </c>
      <c r="T26" s="550"/>
      <c r="U26" s="153"/>
      <c r="V26" s="543" t="e">
        <f t="shared" ref="V26" si="34">AVERAGE(U26:U32)</f>
        <v>#DIV/0!</v>
      </c>
      <c r="W26" s="550"/>
    </row>
    <row r="27" spans="2:23">
      <c r="B27" s="539"/>
      <c r="C27" s="545"/>
      <c r="D27" s="80">
        <f t="shared" si="7"/>
        <v>46253</v>
      </c>
      <c r="E27" s="432" t="s">
        <v>112</v>
      </c>
      <c r="G27" s="554"/>
      <c r="H27" s="551"/>
      <c r="I27" s="153">
        <f t="shared" si="29"/>
        <v>0</v>
      </c>
      <c r="J27" s="553"/>
      <c r="K27" s="550"/>
      <c r="L27" s="161"/>
      <c r="M27" s="552"/>
      <c r="N27" s="552"/>
      <c r="O27" s="84"/>
      <c r="P27" s="550"/>
      <c r="Q27" s="552"/>
      <c r="R27" s="153"/>
      <c r="S27" s="553"/>
      <c r="T27" s="550"/>
      <c r="U27" s="153"/>
      <c r="V27" s="543"/>
      <c r="W27" s="550"/>
    </row>
    <row r="28" spans="2:23">
      <c r="B28" s="539"/>
      <c r="C28" s="545"/>
      <c r="D28" s="80">
        <f t="shared" si="7"/>
        <v>46254</v>
      </c>
      <c r="E28" s="432" t="s">
        <v>113</v>
      </c>
      <c r="G28" s="554"/>
      <c r="H28" s="551"/>
      <c r="I28" s="153">
        <f t="shared" si="29"/>
        <v>0</v>
      </c>
      <c r="J28" s="553"/>
      <c r="K28" s="550"/>
      <c r="L28" s="161"/>
      <c r="M28" s="552"/>
      <c r="N28" s="552"/>
      <c r="O28" s="84"/>
      <c r="P28" s="550"/>
      <c r="Q28" s="552"/>
      <c r="R28" s="153"/>
      <c r="S28" s="553"/>
      <c r="T28" s="550"/>
      <c r="U28" s="153"/>
      <c r="V28" s="543"/>
      <c r="W28" s="550"/>
    </row>
    <row r="29" spans="2:23">
      <c r="B29" s="539"/>
      <c r="C29" s="545"/>
      <c r="D29" s="80">
        <f t="shared" si="7"/>
        <v>46255</v>
      </c>
      <c r="E29" s="432" t="s">
        <v>114</v>
      </c>
      <c r="G29" s="554"/>
      <c r="H29" s="551"/>
      <c r="I29" s="153">
        <f t="shared" si="29"/>
        <v>0</v>
      </c>
      <c r="J29" s="553"/>
      <c r="K29" s="550"/>
      <c r="L29" s="161"/>
      <c r="M29" s="552"/>
      <c r="N29" s="552"/>
      <c r="O29" s="84"/>
      <c r="P29" s="550"/>
      <c r="Q29" s="552"/>
      <c r="R29" s="153"/>
      <c r="S29" s="553"/>
      <c r="T29" s="550"/>
      <c r="U29" s="153"/>
      <c r="V29" s="543"/>
      <c r="W29" s="550"/>
    </row>
    <row r="30" spans="2:23">
      <c r="B30" s="539"/>
      <c r="C30" s="545"/>
      <c r="D30" s="80">
        <f t="shared" si="7"/>
        <v>46256</v>
      </c>
      <c r="E30" s="432" t="s">
        <v>115</v>
      </c>
      <c r="G30" s="554"/>
      <c r="H30" s="551"/>
      <c r="I30" s="153">
        <f t="shared" si="29"/>
        <v>0</v>
      </c>
      <c r="J30" s="553"/>
      <c r="K30" s="550"/>
      <c r="L30" s="161"/>
      <c r="M30" s="552"/>
      <c r="N30" s="552"/>
      <c r="O30" s="84"/>
      <c r="P30" s="550"/>
      <c r="Q30" s="552"/>
      <c r="R30" s="153"/>
      <c r="S30" s="553"/>
      <c r="T30" s="550"/>
      <c r="U30" s="153"/>
      <c r="V30" s="543"/>
      <c r="W30" s="550"/>
    </row>
    <row r="31" spans="2:23">
      <c r="B31" s="539"/>
      <c r="C31" s="545"/>
      <c r="D31" s="80">
        <f t="shared" si="7"/>
        <v>46257</v>
      </c>
      <c r="E31" s="432" t="s">
        <v>116</v>
      </c>
      <c r="G31" s="554"/>
      <c r="H31" s="551"/>
      <c r="I31" s="153">
        <f t="shared" si="29"/>
        <v>0</v>
      </c>
      <c r="J31" s="553"/>
      <c r="K31" s="550"/>
      <c r="L31" s="161"/>
      <c r="M31" s="552"/>
      <c r="N31" s="552"/>
      <c r="O31" s="84"/>
      <c r="P31" s="550"/>
      <c r="Q31" s="552"/>
      <c r="R31" s="153"/>
      <c r="S31" s="553"/>
      <c r="T31" s="550"/>
      <c r="U31" s="153"/>
      <c r="V31" s="543"/>
      <c r="W31" s="550"/>
    </row>
    <row r="32" spans="2:23">
      <c r="B32" s="539"/>
      <c r="C32" s="545"/>
      <c r="D32" s="80">
        <f t="shared" si="7"/>
        <v>46258</v>
      </c>
      <c r="E32" s="432" t="s">
        <v>117</v>
      </c>
      <c r="G32" s="554"/>
      <c r="H32" s="551"/>
      <c r="I32" s="153">
        <f t="shared" si="29"/>
        <v>0</v>
      </c>
      <c r="J32" s="553"/>
      <c r="K32" s="550"/>
      <c r="L32" s="161"/>
      <c r="M32" s="552"/>
      <c r="N32" s="552"/>
      <c r="O32" s="84"/>
      <c r="P32" s="550"/>
      <c r="Q32" s="552"/>
      <c r="R32" s="153"/>
      <c r="S32" s="553"/>
      <c r="T32" s="550"/>
      <c r="U32" s="153"/>
      <c r="V32" s="543"/>
      <c r="W32" s="550"/>
    </row>
    <row r="33" spans="2:23">
      <c r="B33" s="539">
        <f t="shared" ref="B33" si="35">B26+7</f>
        <v>46267</v>
      </c>
      <c r="C33" s="545"/>
      <c r="D33" s="80">
        <f t="shared" si="7"/>
        <v>46259</v>
      </c>
      <c r="E33" s="432" t="s">
        <v>118</v>
      </c>
      <c r="G33" s="554" t="e">
        <f t="shared" ref="G33" si="36">AVERAGE(F33:F39)</f>
        <v>#DIV/0!</v>
      </c>
      <c r="H33" s="551"/>
      <c r="I33" s="153">
        <f t="shared" ref="I33:I39" si="37">F33/$C$1</f>
        <v>0</v>
      </c>
      <c r="J33" s="553">
        <f t="shared" ref="J33" si="38">AVERAGE(I33:I39)</f>
        <v>0</v>
      </c>
      <c r="K33" s="550"/>
      <c r="L33" s="161"/>
      <c r="M33" s="552" t="e">
        <f t="shared" ref="M33" si="39">AVERAGE(L33:L39)</f>
        <v>#DIV/0!</v>
      </c>
      <c r="N33" s="552"/>
      <c r="O33" s="84"/>
      <c r="P33" s="550" t="e">
        <f t="shared" ref="P33" si="40">AVERAGE(O33:O39)</f>
        <v>#DIV/0!</v>
      </c>
      <c r="Q33" s="552"/>
      <c r="R33" s="153"/>
      <c r="S33" s="553" t="e">
        <f t="shared" ref="S33" si="41">AVERAGE(R33:R39)</f>
        <v>#DIV/0!</v>
      </c>
      <c r="T33" s="550"/>
      <c r="U33" s="153"/>
      <c r="V33" s="543" t="e">
        <f t="shared" ref="V33" si="42">AVERAGE(U33:U39)</f>
        <v>#DIV/0!</v>
      </c>
      <c r="W33" s="550"/>
    </row>
    <row r="34" spans="2:23">
      <c r="B34" s="539"/>
      <c r="C34" s="545"/>
      <c r="D34" s="80">
        <f t="shared" si="7"/>
        <v>46260</v>
      </c>
      <c r="E34" s="432" t="s">
        <v>112</v>
      </c>
      <c r="G34" s="554"/>
      <c r="H34" s="551"/>
      <c r="I34" s="153">
        <f t="shared" si="37"/>
        <v>0</v>
      </c>
      <c r="J34" s="553"/>
      <c r="K34" s="550"/>
      <c r="L34" s="161"/>
      <c r="M34" s="552"/>
      <c r="N34" s="552"/>
      <c r="O34" s="84"/>
      <c r="P34" s="550"/>
      <c r="Q34" s="552"/>
      <c r="R34" s="153"/>
      <c r="S34" s="553"/>
      <c r="T34" s="550"/>
      <c r="U34" s="153"/>
      <c r="V34" s="543"/>
      <c r="W34" s="550"/>
    </row>
    <row r="35" spans="2:23">
      <c r="B35" s="539"/>
      <c r="C35" s="545"/>
      <c r="D35" s="80">
        <f t="shared" si="7"/>
        <v>46261</v>
      </c>
      <c r="E35" s="432" t="s">
        <v>113</v>
      </c>
      <c r="G35" s="554"/>
      <c r="H35" s="551"/>
      <c r="I35" s="153">
        <f t="shared" si="37"/>
        <v>0</v>
      </c>
      <c r="J35" s="553"/>
      <c r="K35" s="550"/>
      <c r="L35" s="161"/>
      <c r="M35" s="552"/>
      <c r="N35" s="552"/>
      <c r="O35" s="84"/>
      <c r="P35" s="550"/>
      <c r="Q35" s="552"/>
      <c r="R35" s="153"/>
      <c r="S35" s="553"/>
      <c r="T35" s="550"/>
      <c r="U35" s="153"/>
      <c r="V35" s="543"/>
      <c r="W35" s="550"/>
    </row>
    <row r="36" spans="2:23">
      <c r="B36" s="539"/>
      <c r="C36" s="545"/>
      <c r="D36" s="80">
        <f t="shared" si="7"/>
        <v>46262</v>
      </c>
      <c r="E36" s="432" t="s">
        <v>114</v>
      </c>
      <c r="G36" s="554"/>
      <c r="H36" s="551"/>
      <c r="I36" s="153">
        <f t="shared" si="37"/>
        <v>0</v>
      </c>
      <c r="J36" s="553"/>
      <c r="K36" s="550"/>
      <c r="L36" s="161"/>
      <c r="M36" s="552"/>
      <c r="N36" s="552"/>
      <c r="O36" s="84"/>
      <c r="P36" s="550"/>
      <c r="Q36" s="552"/>
      <c r="R36" s="153"/>
      <c r="S36" s="553"/>
      <c r="T36" s="550"/>
      <c r="U36" s="153"/>
      <c r="V36" s="543"/>
      <c r="W36" s="550"/>
    </row>
    <row r="37" spans="2:23">
      <c r="B37" s="539"/>
      <c r="C37" s="545"/>
      <c r="D37" s="80">
        <f t="shared" si="7"/>
        <v>46263</v>
      </c>
      <c r="E37" s="432" t="s">
        <v>115</v>
      </c>
      <c r="G37" s="554"/>
      <c r="H37" s="551"/>
      <c r="I37" s="153">
        <f t="shared" si="37"/>
        <v>0</v>
      </c>
      <c r="J37" s="553"/>
      <c r="K37" s="550"/>
      <c r="L37" s="161"/>
      <c r="M37" s="552"/>
      <c r="N37" s="552"/>
      <c r="O37" s="84"/>
      <c r="P37" s="550"/>
      <c r="Q37" s="552"/>
      <c r="R37" s="153"/>
      <c r="S37" s="553"/>
      <c r="T37" s="550"/>
      <c r="U37" s="153"/>
      <c r="V37" s="543"/>
      <c r="W37" s="550"/>
    </row>
    <row r="38" spans="2:23">
      <c r="B38" s="539"/>
      <c r="C38" s="545"/>
      <c r="D38" s="80">
        <f t="shared" si="7"/>
        <v>46264</v>
      </c>
      <c r="E38" s="432" t="s">
        <v>116</v>
      </c>
      <c r="G38" s="554"/>
      <c r="H38" s="551"/>
      <c r="I38" s="153">
        <f t="shared" si="37"/>
        <v>0</v>
      </c>
      <c r="J38" s="553"/>
      <c r="K38" s="550"/>
      <c r="L38" s="161"/>
      <c r="M38" s="552"/>
      <c r="N38" s="552"/>
      <c r="O38" s="84"/>
      <c r="P38" s="550"/>
      <c r="Q38" s="552"/>
      <c r="R38" s="153"/>
      <c r="S38" s="553"/>
      <c r="T38" s="550"/>
      <c r="U38" s="153"/>
      <c r="V38" s="543"/>
      <c r="W38" s="550"/>
    </row>
    <row r="39" spans="2:23">
      <c r="B39" s="539"/>
      <c r="C39" s="545"/>
      <c r="D39" s="80">
        <f t="shared" si="7"/>
        <v>46265</v>
      </c>
      <c r="E39" s="432" t="s">
        <v>117</v>
      </c>
      <c r="G39" s="554"/>
      <c r="H39" s="551"/>
      <c r="I39" s="153">
        <f t="shared" si="37"/>
        <v>0</v>
      </c>
      <c r="J39" s="553"/>
      <c r="K39" s="550"/>
      <c r="L39" s="161"/>
      <c r="M39" s="552"/>
      <c r="N39" s="552"/>
      <c r="O39" s="84"/>
      <c r="P39" s="550"/>
      <c r="Q39" s="552"/>
      <c r="R39" s="153"/>
      <c r="S39" s="553"/>
      <c r="T39" s="550"/>
      <c r="U39" s="153"/>
      <c r="V39" s="543"/>
      <c r="W39" s="550"/>
    </row>
  </sheetData>
  <mergeCells count="59">
    <mergeCell ref="B33:B39"/>
    <mergeCell ref="G33:G39"/>
    <mergeCell ref="J33:J39"/>
    <mergeCell ref="M33:M39"/>
    <mergeCell ref="P33:P39"/>
    <mergeCell ref="C9:C39"/>
    <mergeCell ref="H9:H39"/>
    <mergeCell ref="K9:K39"/>
    <mergeCell ref="N9:N39"/>
    <mergeCell ref="B26:B32"/>
    <mergeCell ref="G26:G32"/>
    <mergeCell ref="J26:J32"/>
    <mergeCell ref="M26:M32"/>
    <mergeCell ref="P26:P32"/>
    <mergeCell ref="B5:B11"/>
    <mergeCell ref="G5:G11"/>
    <mergeCell ref="B12:B18"/>
    <mergeCell ref="G12:G18"/>
    <mergeCell ref="J12:J18"/>
    <mergeCell ref="M12:M18"/>
    <mergeCell ref="P12:P18"/>
    <mergeCell ref="B19:B25"/>
    <mergeCell ref="G19:G25"/>
    <mergeCell ref="J19:J25"/>
    <mergeCell ref="M19:M25"/>
    <mergeCell ref="P19:P25"/>
    <mergeCell ref="J5:J11"/>
    <mergeCell ref="M5:M11"/>
    <mergeCell ref="P5:P11"/>
    <mergeCell ref="S12:S18"/>
    <mergeCell ref="V12:V18"/>
    <mergeCell ref="Q9:Q39"/>
    <mergeCell ref="T9:T39"/>
    <mergeCell ref="T5:T8"/>
    <mergeCell ref="S5:S11"/>
    <mergeCell ref="V5:V11"/>
    <mergeCell ref="W9:W39"/>
    <mergeCell ref="S26:S32"/>
    <mergeCell ref="V26:V32"/>
    <mergeCell ref="S33:S39"/>
    <mergeCell ref="V33:V39"/>
    <mergeCell ref="S19:S25"/>
    <mergeCell ref="V19:V25"/>
    <mergeCell ref="C5:C8"/>
    <mergeCell ref="B2:U2"/>
    <mergeCell ref="F3:H3"/>
    <mergeCell ref="L3:N3"/>
    <mergeCell ref="R3:T3"/>
    <mergeCell ref="B3:B4"/>
    <mergeCell ref="C3:C4"/>
    <mergeCell ref="D3:E4"/>
    <mergeCell ref="I3:K3"/>
    <mergeCell ref="O3:Q3"/>
    <mergeCell ref="U3:W3"/>
    <mergeCell ref="W5:W8"/>
    <mergeCell ref="H5:H8"/>
    <mergeCell ref="K5:K8"/>
    <mergeCell ref="N5:N8"/>
    <mergeCell ref="Q5:Q8"/>
  </mergeCells>
  <phoneticPr fontId="13" type="noConversion"/>
  <pageMargins left="0.7" right="0.7" top="0.75" bottom="0.75" header="0.3" footer="0.3"/>
  <pageSetup paperSize="257" orientation="portrait" horizontalDpi="203" verticalDpi="20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">
    <tabColor rgb="FFFFFFCC"/>
  </sheetPr>
  <dimension ref="A2:AN41"/>
  <sheetViews>
    <sheetView topLeftCell="A4" zoomScale="85" zoomScaleNormal="85" workbookViewId="0">
      <selection activeCell="I53" sqref="I53"/>
    </sheetView>
  </sheetViews>
  <sheetFormatPr defaultColWidth="8.85546875" defaultRowHeight="14.25"/>
  <cols>
    <col min="1" max="1" width="8.85546875" style="75"/>
    <col min="2" max="2" width="13.140625" style="75" customWidth="1"/>
    <col min="3" max="3" width="8.85546875" style="94"/>
    <col min="4" max="4" width="17" style="94" customWidth="1"/>
    <col min="5" max="5" width="8.5703125" style="77" customWidth="1"/>
    <col min="6" max="6" width="20.28515625" style="319" bestFit="1" customWidth="1"/>
    <col min="7" max="8" width="20.28515625" style="93" bestFit="1" customWidth="1"/>
    <col min="9" max="9" width="18.28515625" style="90" bestFit="1" customWidth="1"/>
    <col min="10" max="10" width="10.5703125" style="84" customWidth="1"/>
    <col min="11" max="11" width="18.28515625" style="90" bestFit="1" customWidth="1"/>
    <col min="12" max="12" width="10.5703125" style="84" customWidth="1"/>
    <col min="13" max="13" width="20.28515625" style="84" bestFit="1" customWidth="1"/>
    <col min="14" max="14" width="10.5703125" style="84" customWidth="1"/>
    <col min="15" max="15" width="18.28515625" style="90" bestFit="1" customWidth="1"/>
    <col min="16" max="16" width="10.5703125" style="84" customWidth="1"/>
    <col min="17" max="17" width="18.28515625" style="90" bestFit="1" customWidth="1"/>
    <col min="18" max="18" width="10.5703125" style="84" customWidth="1"/>
    <col min="19" max="19" width="18.28515625" style="90" bestFit="1" customWidth="1"/>
    <col min="20" max="20" width="10.5703125" style="84" customWidth="1"/>
    <col min="21" max="21" width="18.28515625" style="90" bestFit="1" customWidth="1"/>
    <col min="22" max="22" width="10.5703125" style="84" customWidth="1"/>
    <col min="23" max="23" width="17" style="90" bestFit="1" customWidth="1"/>
    <col min="24" max="24" width="10.5703125" style="84" customWidth="1"/>
    <col min="25" max="25" width="18.28515625" style="90" bestFit="1" customWidth="1"/>
    <col min="26" max="26" width="10.5703125" style="84" customWidth="1"/>
    <col min="27" max="27" width="18.28515625" style="90" bestFit="1" customWidth="1"/>
    <col min="28" max="28" width="10.5703125" style="84" customWidth="1"/>
    <col min="29" max="29" width="18.28515625" style="90" bestFit="1" customWidth="1"/>
    <col min="30" max="30" width="10.5703125" style="84" customWidth="1"/>
    <col min="31" max="31" width="20.28515625" style="90" bestFit="1" customWidth="1"/>
    <col min="32" max="32" width="10.5703125" style="84" customWidth="1"/>
    <col min="33" max="33" width="18.28515625" style="90" bestFit="1" customWidth="1"/>
    <col min="34" max="34" width="10.42578125" style="84" customWidth="1"/>
    <col min="35" max="35" width="20.28515625" style="90" bestFit="1" customWidth="1"/>
    <col min="36" max="36" width="10.42578125" style="84" customWidth="1"/>
    <col min="37" max="37" width="18.28515625" style="90" bestFit="1" customWidth="1"/>
    <col min="38" max="38" width="10.42578125" style="84" customWidth="1"/>
    <col min="39" max="16384" width="8.85546875" style="75"/>
  </cols>
  <sheetData>
    <row r="2" spans="1:40" ht="38.1" customHeight="1">
      <c r="A2" s="74"/>
      <c r="B2" s="531" t="s">
        <v>301</v>
      </c>
      <c r="C2" s="531"/>
      <c r="D2" s="531"/>
      <c r="E2" s="531"/>
      <c r="F2" s="531"/>
      <c r="G2" s="531"/>
      <c r="H2" s="531"/>
      <c r="I2" s="531"/>
      <c r="J2" s="531"/>
      <c r="K2" s="531"/>
      <c r="L2" s="531"/>
      <c r="M2" s="531"/>
      <c r="N2" s="531"/>
      <c r="O2" s="531"/>
      <c r="P2" s="531"/>
      <c r="Q2" s="531"/>
      <c r="R2" s="531"/>
      <c r="S2" s="531"/>
      <c r="T2" s="531"/>
      <c r="U2" s="531"/>
      <c r="V2" s="531"/>
      <c r="W2" s="531"/>
      <c r="X2" s="531"/>
      <c r="Y2" s="531"/>
      <c r="Z2" s="531"/>
      <c r="AA2" s="531"/>
      <c r="AB2" s="531"/>
      <c r="AC2" s="531"/>
      <c r="AD2" s="531"/>
      <c r="AE2" s="531"/>
      <c r="AF2" s="531"/>
      <c r="AG2" s="531"/>
      <c r="AH2" s="531"/>
      <c r="AI2" s="531"/>
      <c r="AJ2" s="531"/>
      <c r="AK2" s="531"/>
      <c r="AL2" s="531"/>
    </row>
    <row r="3" spans="1:40" ht="25.35" customHeight="1">
      <c r="B3" s="557" t="s">
        <v>151</v>
      </c>
      <c r="C3" s="558" t="s">
        <v>144</v>
      </c>
      <c r="D3" s="559" t="s">
        <v>105</v>
      </c>
      <c r="E3" s="559"/>
      <c r="F3" s="561" t="s">
        <v>135</v>
      </c>
      <c r="G3" s="561"/>
      <c r="H3" s="561"/>
      <c r="I3" s="562" t="s">
        <v>109</v>
      </c>
      <c r="J3" s="562"/>
      <c r="K3" s="562"/>
      <c r="L3" s="562"/>
      <c r="M3" s="562"/>
      <c r="N3" s="562"/>
      <c r="O3" s="562"/>
      <c r="P3" s="562"/>
      <c r="Q3" s="562"/>
      <c r="R3" s="562"/>
      <c r="S3" s="562"/>
      <c r="T3" s="562"/>
      <c r="U3" s="562"/>
      <c r="V3" s="562"/>
      <c r="W3" s="562"/>
      <c r="X3" s="562"/>
      <c r="Y3" s="562"/>
      <c r="Z3" s="562"/>
      <c r="AA3" s="562"/>
      <c r="AB3" s="562"/>
      <c r="AC3" s="562"/>
      <c r="AD3" s="562"/>
      <c r="AE3" s="562"/>
      <c r="AF3" s="562"/>
      <c r="AG3" s="562"/>
      <c r="AH3" s="562"/>
      <c r="AI3" s="562"/>
      <c r="AJ3" s="562"/>
      <c r="AK3" s="562"/>
      <c r="AL3" s="562"/>
    </row>
    <row r="4" spans="1:40" ht="25.35" customHeight="1">
      <c r="B4" s="557"/>
      <c r="C4" s="558"/>
      <c r="D4" s="559"/>
      <c r="E4" s="559"/>
      <c r="F4" s="561"/>
      <c r="G4" s="561"/>
      <c r="H4" s="561"/>
      <c r="I4" s="555" t="s">
        <v>145</v>
      </c>
      <c r="J4" s="555"/>
      <c r="K4" s="555"/>
      <c r="L4" s="555"/>
      <c r="M4" s="555"/>
      <c r="N4" s="555"/>
      <c r="O4" s="555" t="s">
        <v>146</v>
      </c>
      <c r="P4" s="555"/>
      <c r="Q4" s="555"/>
      <c r="R4" s="555"/>
      <c r="S4" s="555"/>
      <c r="T4" s="555"/>
      <c r="U4" s="555" t="s">
        <v>147</v>
      </c>
      <c r="V4" s="555"/>
      <c r="W4" s="555" t="s">
        <v>148</v>
      </c>
      <c r="X4" s="555"/>
      <c r="Y4" s="555" t="s">
        <v>139</v>
      </c>
      <c r="Z4" s="555"/>
      <c r="AA4" s="555"/>
      <c r="AB4" s="555"/>
      <c r="AC4" s="555"/>
      <c r="AD4" s="555"/>
      <c r="AE4" s="555" t="s">
        <v>137</v>
      </c>
      <c r="AF4" s="555"/>
      <c r="AG4" s="555" t="s">
        <v>149</v>
      </c>
      <c r="AH4" s="555"/>
      <c r="AI4" s="555" t="s">
        <v>150</v>
      </c>
      <c r="AJ4" s="555"/>
      <c r="AK4" s="555" t="s">
        <v>143</v>
      </c>
      <c r="AL4" s="555"/>
    </row>
    <row r="5" spans="1:40" ht="25.35" customHeight="1">
      <c r="B5" s="557"/>
      <c r="C5" s="558"/>
      <c r="D5" s="559"/>
      <c r="E5" s="559"/>
      <c r="F5" s="564" t="s">
        <v>116</v>
      </c>
      <c r="G5" s="556" t="s">
        <v>120</v>
      </c>
      <c r="H5" s="556" t="s">
        <v>121</v>
      </c>
      <c r="I5" s="555" t="s">
        <v>133</v>
      </c>
      <c r="J5" s="555"/>
      <c r="K5" s="555" t="s">
        <v>134</v>
      </c>
      <c r="L5" s="555"/>
      <c r="M5" s="563" t="s">
        <v>152</v>
      </c>
      <c r="N5" s="555"/>
      <c r="O5" s="555" t="s">
        <v>133</v>
      </c>
      <c r="P5" s="555"/>
      <c r="Q5" s="555" t="s">
        <v>134</v>
      </c>
      <c r="R5" s="555"/>
      <c r="S5" s="563" t="s">
        <v>152</v>
      </c>
      <c r="T5" s="555"/>
      <c r="U5" s="555" t="s">
        <v>133</v>
      </c>
      <c r="V5" s="555"/>
      <c r="W5" s="555" t="s">
        <v>133</v>
      </c>
      <c r="X5" s="555"/>
      <c r="Y5" s="555" t="s">
        <v>133</v>
      </c>
      <c r="Z5" s="555"/>
      <c r="AA5" s="555" t="s">
        <v>134</v>
      </c>
      <c r="AB5" s="555"/>
      <c r="AC5" s="563" t="s">
        <v>152</v>
      </c>
      <c r="AD5" s="555"/>
      <c r="AE5" s="555" t="s">
        <v>133</v>
      </c>
      <c r="AF5" s="555"/>
      <c r="AG5" s="555" t="s">
        <v>133</v>
      </c>
      <c r="AH5" s="555"/>
      <c r="AI5" s="555" t="s">
        <v>133</v>
      </c>
      <c r="AJ5" s="555"/>
      <c r="AK5" s="555" t="s">
        <v>133</v>
      </c>
      <c r="AL5" s="555"/>
    </row>
    <row r="6" spans="1:40" s="77" customFormat="1" ht="23.45" customHeight="1">
      <c r="B6" s="557"/>
      <c r="C6" s="558"/>
      <c r="D6" s="560"/>
      <c r="E6" s="560"/>
      <c r="F6" s="565"/>
      <c r="G6" s="556"/>
      <c r="H6" s="556"/>
      <c r="I6" s="91" t="s">
        <v>110</v>
      </c>
      <c r="J6" s="92" t="s">
        <v>111</v>
      </c>
      <c r="K6" s="91" t="s">
        <v>110</v>
      </c>
      <c r="L6" s="92" t="s">
        <v>111</v>
      </c>
      <c r="M6" s="91" t="s">
        <v>110</v>
      </c>
      <c r="N6" s="92" t="s">
        <v>111</v>
      </c>
      <c r="O6" s="91" t="s">
        <v>110</v>
      </c>
      <c r="P6" s="92" t="s">
        <v>111</v>
      </c>
      <c r="Q6" s="91" t="s">
        <v>110</v>
      </c>
      <c r="R6" s="92" t="s">
        <v>111</v>
      </c>
      <c r="S6" s="91" t="s">
        <v>110</v>
      </c>
      <c r="T6" s="92" t="s">
        <v>111</v>
      </c>
      <c r="U6" s="91" t="s">
        <v>110</v>
      </c>
      <c r="V6" s="92" t="s">
        <v>111</v>
      </c>
      <c r="W6" s="91" t="s">
        <v>110</v>
      </c>
      <c r="X6" s="92" t="s">
        <v>111</v>
      </c>
      <c r="Y6" s="91" t="s">
        <v>110</v>
      </c>
      <c r="Z6" s="92" t="s">
        <v>111</v>
      </c>
      <c r="AA6" s="91" t="s">
        <v>110</v>
      </c>
      <c r="AB6" s="92" t="s">
        <v>111</v>
      </c>
      <c r="AC6" s="91" t="s">
        <v>110</v>
      </c>
      <c r="AD6" s="92" t="s">
        <v>111</v>
      </c>
      <c r="AE6" s="91" t="s">
        <v>110</v>
      </c>
      <c r="AF6" s="92" t="s">
        <v>111</v>
      </c>
      <c r="AG6" s="91" t="s">
        <v>110</v>
      </c>
      <c r="AH6" s="92" t="s">
        <v>111</v>
      </c>
      <c r="AI6" s="91" t="s">
        <v>110</v>
      </c>
      <c r="AJ6" s="92" t="s">
        <v>111</v>
      </c>
      <c r="AK6" s="91" t="s">
        <v>110</v>
      </c>
      <c r="AL6" s="92" t="s">
        <v>111</v>
      </c>
    </row>
    <row r="7" spans="1:40" s="73" customFormat="1" ht="14.25" customHeight="1">
      <c r="B7" s="568">
        <v>46239</v>
      </c>
      <c r="C7" s="572"/>
      <c r="D7" s="170">
        <v>46231</v>
      </c>
      <c r="E7" s="170" t="s">
        <v>118</v>
      </c>
      <c r="F7" s="320">
        <f t="shared" ref="F7:F27" si="0">SUM(M7,S7,U7,W7,AC7,AE7,AG7,AI7,AK7)</f>
        <v>6626056.8699999992</v>
      </c>
      <c r="G7" s="571">
        <f t="shared" ref="G7" si="1">SUM(F7:F13)</f>
        <v>42486866.159999996</v>
      </c>
      <c r="H7" s="566"/>
      <c r="I7" s="171">
        <v>916210.92</v>
      </c>
      <c r="J7" s="172">
        <f t="shared" ref="J7:J27" si="2">I7/$F7</f>
        <v>0.13827392942372982</v>
      </c>
      <c r="K7" s="171">
        <v>1056654.74</v>
      </c>
      <c r="L7" s="172">
        <f t="shared" ref="L7:L27" si="3">K7/$F7</f>
        <v>0.15946961529776307</v>
      </c>
      <c r="M7" s="171">
        <f t="shared" ref="M7:M27" si="4">I7+K7</f>
        <v>1972865.6600000001</v>
      </c>
      <c r="N7" s="172">
        <f t="shared" ref="N7" si="5">M7/$F7</f>
        <v>0.29774354472149289</v>
      </c>
      <c r="O7" s="171">
        <v>332859.43</v>
      </c>
      <c r="P7" s="172">
        <f t="shared" ref="P7:P27" si="6">O7/$F7</f>
        <v>5.0234918976782048E-2</v>
      </c>
      <c r="Q7" s="171">
        <v>0</v>
      </c>
      <c r="R7" s="172">
        <f t="shared" ref="R7:R27" si="7">Q7/$F7</f>
        <v>0</v>
      </c>
      <c r="S7" s="171">
        <f t="shared" ref="S7:S27" si="8">O7+Q7</f>
        <v>332859.43</v>
      </c>
      <c r="T7" s="172">
        <f t="shared" ref="T7" si="9">S7/$F7</f>
        <v>5.0234918976782048E-2</v>
      </c>
      <c r="U7" s="171">
        <v>72647.28</v>
      </c>
      <c r="V7" s="172">
        <f t="shared" ref="V7" si="10">U7/$F7</f>
        <v>1.0963878129225897E-2</v>
      </c>
      <c r="W7" s="171">
        <v>405052.75</v>
      </c>
      <c r="X7" s="172">
        <f t="shared" ref="X7:X27" si="11">W7/$F7</f>
        <v>6.1130285771302181E-2</v>
      </c>
      <c r="Y7" s="171">
        <v>391742.31</v>
      </c>
      <c r="Z7" s="172">
        <f t="shared" ref="Z7:Z27" si="12">Y7/$F7</f>
        <v>5.9121483211779326E-2</v>
      </c>
      <c r="AA7" s="171">
        <v>564780.37</v>
      </c>
      <c r="AB7" s="172">
        <f t="shared" ref="AB7:AB27" si="13">AA7/$F7</f>
        <v>8.5236269636786266E-2</v>
      </c>
      <c r="AC7" s="171">
        <f t="shared" ref="AC7:AC27" si="14">Y7+AA7</f>
        <v>956522.67999999993</v>
      </c>
      <c r="AD7" s="172">
        <f t="shared" ref="AD7:AD27" si="15">AC7/$F7</f>
        <v>0.14435775284856558</v>
      </c>
      <c r="AE7" s="171">
        <v>1542665.3900000001</v>
      </c>
      <c r="AF7" s="172">
        <f t="shared" ref="AF7:AF27" si="16">AE7/F7</f>
        <v>0.23281801232110469</v>
      </c>
      <c r="AG7" s="171">
        <v>0</v>
      </c>
      <c r="AH7" s="172">
        <f t="shared" ref="AH7:AH27" si="17">AG7/$F7</f>
        <v>0</v>
      </c>
      <c r="AI7" s="171">
        <v>974769.30999999994</v>
      </c>
      <c r="AJ7" s="172">
        <f t="shared" ref="AJ7:AJ27" si="18">AI7/$F7</f>
        <v>0.14711152184843834</v>
      </c>
      <c r="AK7" s="171">
        <v>368674.37</v>
      </c>
      <c r="AL7" s="172">
        <f t="shared" ref="AL7:AL27" si="19">AK7/$F7</f>
        <v>5.5640085383088483E-2</v>
      </c>
      <c r="AN7" s="72"/>
    </row>
    <row r="8" spans="1:40" s="73" customFormat="1" ht="14.25" customHeight="1">
      <c r="B8" s="569"/>
      <c r="C8" s="572"/>
      <c r="D8" s="170">
        <v>46232</v>
      </c>
      <c r="E8" s="170" t="s">
        <v>112</v>
      </c>
      <c r="F8" s="320">
        <f t="shared" si="0"/>
        <v>6255627.21</v>
      </c>
      <c r="G8" s="571"/>
      <c r="H8" s="566"/>
      <c r="I8" s="171">
        <v>892990.06000000017</v>
      </c>
      <c r="J8" s="172">
        <f t="shared" si="2"/>
        <v>0.14274988422783591</v>
      </c>
      <c r="K8" s="171">
        <v>1002618.0599999998</v>
      </c>
      <c r="L8" s="172">
        <f t="shared" si="3"/>
        <v>0.1602745857996867</v>
      </c>
      <c r="M8" s="171">
        <f t="shared" si="4"/>
        <v>1895608.12</v>
      </c>
      <c r="N8" s="172">
        <f t="shared" ref="N8" si="20">M8/F8</f>
        <v>0.30302447002752264</v>
      </c>
      <c r="O8" s="171">
        <v>335009.01</v>
      </c>
      <c r="P8" s="172">
        <f t="shared" si="6"/>
        <v>5.3553224761294559E-2</v>
      </c>
      <c r="Q8" s="171">
        <v>0</v>
      </c>
      <c r="R8" s="172">
        <f t="shared" si="7"/>
        <v>0</v>
      </c>
      <c r="S8" s="171">
        <f t="shared" si="8"/>
        <v>335009.01</v>
      </c>
      <c r="T8" s="172">
        <f t="shared" ref="T8" si="21">S8/F8</f>
        <v>5.3553224761294559E-2</v>
      </c>
      <c r="U8" s="171">
        <v>65034.899999999994</v>
      </c>
      <c r="V8" s="172">
        <f t="shared" ref="V8" si="22">U8/F8</f>
        <v>1.0396223722545001E-2</v>
      </c>
      <c r="W8" s="171">
        <v>310798.37</v>
      </c>
      <c r="X8" s="172">
        <f t="shared" si="11"/>
        <v>4.9683006925855477E-2</v>
      </c>
      <c r="Y8" s="171">
        <v>360085.06</v>
      </c>
      <c r="Z8" s="172">
        <f t="shared" si="12"/>
        <v>5.7561783640876517E-2</v>
      </c>
      <c r="AA8" s="171">
        <v>557071.84000000008</v>
      </c>
      <c r="AB8" s="172">
        <f t="shared" si="13"/>
        <v>8.9051316726400653E-2</v>
      </c>
      <c r="AC8" s="171">
        <f t="shared" si="14"/>
        <v>917156.90000000014</v>
      </c>
      <c r="AD8" s="172">
        <f t="shared" si="15"/>
        <v>0.14661310036727718</v>
      </c>
      <c r="AE8" s="171">
        <v>1411466.67</v>
      </c>
      <c r="AF8" s="172">
        <f t="shared" si="16"/>
        <v>0.22563151904955026</v>
      </c>
      <c r="AG8" s="171">
        <v>0</v>
      </c>
      <c r="AH8" s="172">
        <f t="shared" si="17"/>
        <v>0</v>
      </c>
      <c r="AI8" s="171">
        <v>957447.54999999993</v>
      </c>
      <c r="AJ8" s="172">
        <f t="shared" si="18"/>
        <v>0.15305380545526465</v>
      </c>
      <c r="AK8" s="171">
        <v>363105.69</v>
      </c>
      <c r="AL8" s="172">
        <f t="shared" si="19"/>
        <v>5.8044649690690252E-2</v>
      </c>
      <c r="AN8" s="72"/>
    </row>
    <row r="9" spans="1:40" s="73" customFormat="1" ht="14.25" customHeight="1">
      <c r="B9" s="569"/>
      <c r="C9" s="572"/>
      <c r="D9" s="170">
        <v>46233</v>
      </c>
      <c r="E9" s="170" t="s">
        <v>113</v>
      </c>
      <c r="F9" s="320">
        <f t="shared" si="0"/>
        <v>5785963.21</v>
      </c>
      <c r="G9" s="571"/>
      <c r="H9" s="566"/>
      <c r="I9" s="171">
        <v>838667.45</v>
      </c>
      <c r="J9" s="172">
        <f t="shared" si="2"/>
        <v>0.14494863163846491</v>
      </c>
      <c r="K9" s="171">
        <v>888975.99999999988</v>
      </c>
      <c r="L9" s="172">
        <f t="shared" si="3"/>
        <v>0.15364356248646108</v>
      </c>
      <c r="M9" s="171">
        <f t="shared" si="4"/>
        <v>1727643.4499999997</v>
      </c>
      <c r="N9" s="172">
        <f t="shared" ref="N9" si="23">M9/$F9</f>
        <v>0.29859219412492594</v>
      </c>
      <c r="O9" s="171">
        <v>317196.07</v>
      </c>
      <c r="P9" s="172">
        <f t="shared" si="6"/>
        <v>5.4821653454654444E-2</v>
      </c>
      <c r="Q9" s="171">
        <v>0</v>
      </c>
      <c r="R9" s="172">
        <f t="shared" si="7"/>
        <v>0</v>
      </c>
      <c r="S9" s="171">
        <f t="shared" si="8"/>
        <v>317196.07</v>
      </c>
      <c r="T9" s="172">
        <f t="shared" ref="T9" si="24">S9/$F9</f>
        <v>5.4821653454654444E-2</v>
      </c>
      <c r="U9" s="171">
        <v>65454.479999999996</v>
      </c>
      <c r="V9" s="172">
        <f t="shared" ref="V9" si="25">U9/$F9</f>
        <v>1.1312633285824159E-2</v>
      </c>
      <c r="W9" s="171">
        <v>297300.07</v>
      </c>
      <c r="X9" s="172">
        <f t="shared" si="11"/>
        <v>5.1382986584873225E-2</v>
      </c>
      <c r="Y9" s="171">
        <v>336180.01</v>
      </c>
      <c r="Z9" s="172">
        <f t="shared" si="12"/>
        <v>5.8102687106439448E-2</v>
      </c>
      <c r="AA9" s="171">
        <v>426289.69999999995</v>
      </c>
      <c r="AB9" s="172">
        <f t="shared" si="13"/>
        <v>7.3676531379120183E-2</v>
      </c>
      <c r="AC9" s="171">
        <f t="shared" si="14"/>
        <v>762469.71</v>
      </c>
      <c r="AD9" s="172">
        <f t="shared" si="15"/>
        <v>0.13177921848555962</v>
      </c>
      <c r="AE9" s="171">
        <v>1297947.98</v>
      </c>
      <c r="AF9" s="172">
        <f t="shared" si="16"/>
        <v>0.22432703646589552</v>
      </c>
      <c r="AG9" s="171">
        <v>0</v>
      </c>
      <c r="AH9" s="172">
        <f t="shared" si="17"/>
        <v>0</v>
      </c>
      <c r="AI9" s="171">
        <v>974797.78999999992</v>
      </c>
      <c r="AJ9" s="172">
        <f t="shared" si="18"/>
        <v>0.16847632012509806</v>
      </c>
      <c r="AK9" s="171">
        <v>343153.66000000003</v>
      </c>
      <c r="AL9" s="172">
        <f t="shared" si="19"/>
        <v>5.9307957473168936E-2</v>
      </c>
      <c r="AN9" s="72"/>
    </row>
    <row r="10" spans="1:40" s="73" customFormat="1" ht="14.25" customHeight="1">
      <c r="B10" s="569"/>
      <c r="C10" s="573"/>
      <c r="D10" s="170">
        <v>46234</v>
      </c>
      <c r="E10" s="170" t="s">
        <v>114</v>
      </c>
      <c r="F10" s="320">
        <f t="shared" si="0"/>
        <v>4936115.0199999996</v>
      </c>
      <c r="G10" s="571"/>
      <c r="H10" s="567"/>
      <c r="I10" s="171">
        <v>642135.92999999993</v>
      </c>
      <c r="J10" s="172">
        <f t="shared" si="2"/>
        <v>0.13008933693769559</v>
      </c>
      <c r="K10" s="171">
        <v>816869.93</v>
      </c>
      <c r="L10" s="172">
        <f t="shared" si="3"/>
        <v>0.16548843102120422</v>
      </c>
      <c r="M10" s="171">
        <f t="shared" si="4"/>
        <v>1459005.8599999999</v>
      </c>
      <c r="N10" s="172">
        <f t="shared" ref="N10" si="26">M10/F10</f>
        <v>0.29557776795889978</v>
      </c>
      <c r="O10" s="171">
        <v>253053.06</v>
      </c>
      <c r="P10" s="172">
        <f t="shared" si="6"/>
        <v>5.1265632785031823E-2</v>
      </c>
      <c r="Q10" s="171">
        <v>0</v>
      </c>
      <c r="R10" s="172">
        <f t="shared" si="7"/>
        <v>0</v>
      </c>
      <c r="S10" s="171">
        <f t="shared" si="8"/>
        <v>253053.06</v>
      </c>
      <c r="T10" s="172">
        <f t="shared" ref="T10" si="27">S10/F10</f>
        <v>5.1265632785031823E-2</v>
      </c>
      <c r="U10" s="171">
        <v>48281.67</v>
      </c>
      <c r="V10" s="172">
        <f t="shared" ref="V10" si="28">U10/F10</f>
        <v>9.7813097556223479E-3</v>
      </c>
      <c r="W10" s="171">
        <v>216372.37</v>
      </c>
      <c r="X10" s="172">
        <f t="shared" si="11"/>
        <v>4.3834547842444727E-2</v>
      </c>
      <c r="Y10" s="171">
        <v>296368.40000000002</v>
      </c>
      <c r="Z10" s="172">
        <f t="shared" si="12"/>
        <v>6.004082133402152E-2</v>
      </c>
      <c r="AA10" s="171">
        <v>405960.25999999995</v>
      </c>
      <c r="AB10" s="172">
        <f t="shared" si="13"/>
        <v>8.224286880575972E-2</v>
      </c>
      <c r="AC10" s="171">
        <f t="shared" si="14"/>
        <v>702328.65999999992</v>
      </c>
      <c r="AD10" s="172">
        <f t="shared" si="15"/>
        <v>0.14228369013978123</v>
      </c>
      <c r="AE10" s="171">
        <v>966163.91999999993</v>
      </c>
      <c r="AF10" s="172">
        <f t="shared" si="16"/>
        <v>0.19573367234866421</v>
      </c>
      <c r="AG10" s="171">
        <v>0</v>
      </c>
      <c r="AH10" s="172">
        <f t="shared" si="17"/>
        <v>0</v>
      </c>
      <c r="AI10" s="171">
        <v>1001971.85</v>
      </c>
      <c r="AJ10" s="172">
        <f t="shared" si="18"/>
        <v>0.20298794617634336</v>
      </c>
      <c r="AK10" s="171">
        <v>288937.63</v>
      </c>
      <c r="AL10" s="172">
        <f t="shared" si="19"/>
        <v>5.8535432993212552E-2</v>
      </c>
      <c r="AN10" s="72"/>
    </row>
    <row r="11" spans="1:40" s="73" customFormat="1" ht="14.25" customHeight="1">
      <c r="B11" s="569"/>
      <c r="C11" s="575" t="s">
        <v>563</v>
      </c>
      <c r="D11" s="170">
        <v>46235</v>
      </c>
      <c r="E11" s="170" t="s">
        <v>115</v>
      </c>
      <c r="F11" s="320">
        <f t="shared" si="0"/>
        <v>5278918.5600000005</v>
      </c>
      <c r="G11" s="571"/>
      <c r="H11" s="574">
        <f>SUM(F11:F41)</f>
        <v>99035039.400000006</v>
      </c>
      <c r="I11" s="171">
        <v>603913.17000000004</v>
      </c>
      <c r="J11" s="172">
        <f t="shared" si="2"/>
        <v>0.1144009257077836</v>
      </c>
      <c r="K11" s="171">
        <v>950774.94000000006</v>
      </c>
      <c r="L11" s="172">
        <f t="shared" si="3"/>
        <v>0.18010790073639626</v>
      </c>
      <c r="M11" s="171">
        <f t="shared" si="4"/>
        <v>1554688.11</v>
      </c>
      <c r="N11" s="172">
        <f t="shared" ref="N11" si="29">M11/$F11</f>
        <v>0.29450882644417986</v>
      </c>
      <c r="O11" s="171">
        <v>244351.8</v>
      </c>
      <c r="P11" s="172">
        <f t="shared" si="6"/>
        <v>4.6288230671245656E-2</v>
      </c>
      <c r="Q11" s="171">
        <v>0</v>
      </c>
      <c r="R11" s="172">
        <f t="shared" si="7"/>
        <v>0</v>
      </c>
      <c r="S11" s="171">
        <f t="shared" si="8"/>
        <v>244351.8</v>
      </c>
      <c r="T11" s="172">
        <f t="shared" ref="T11" si="30">S11/$F11</f>
        <v>4.6288230671245656E-2</v>
      </c>
      <c r="U11" s="171">
        <v>49630.32</v>
      </c>
      <c r="V11" s="172">
        <f t="shared" ref="V11" si="31">U11/$F11</f>
        <v>9.4016074383235036E-3</v>
      </c>
      <c r="W11" s="171">
        <v>239798.25</v>
      </c>
      <c r="X11" s="172">
        <f t="shared" si="11"/>
        <v>4.5425639224106536E-2</v>
      </c>
      <c r="Y11" s="171">
        <v>320707.3</v>
      </c>
      <c r="Z11" s="172">
        <f t="shared" si="12"/>
        <v>6.0752462148232107E-2</v>
      </c>
      <c r="AA11" s="171">
        <v>528342.76</v>
      </c>
      <c r="AB11" s="172">
        <f t="shared" si="13"/>
        <v>0.10008541597959411</v>
      </c>
      <c r="AC11" s="171">
        <f t="shared" si="14"/>
        <v>849050.06</v>
      </c>
      <c r="AD11" s="172">
        <f t="shared" si="15"/>
        <v>0.16083787812782624</v>
      </c>
      <c r="AE11" s="171">
        <v>1036536.8799999999</v>
      </c>
      <c r="AF11" s="172">
        <f t="shared" si="16"/>
        <v>0.19635401990365234</v>
      </c>
      <c r="AG11" s="171">
        <v>0</v>
      </c>
      <c r="AH11" s="172">
        <f t="shared" si="17"/>
        <v>0</v>
      </c>
      <c r="AI11" s="171">
        <v>1014723.1600000001</v>
      </c>
      <c r="AJ11" s="172">
        <f t="shared" si="18"/>
        <v>0.19222178718362345</v>
      </c>
      <c r="AK11" s="171">
        <v>290139.98</v>
      </c>
      <c r="AL11" s="172">
        <f t="shared" si="19"/>
        <v>5.4962011007042309E-2</v>
      </c>
      <c r="AN11" s="72"/>
    </row>
    <row r="12" spans="1:40" s="73" customFormat="1" ht="14.25" customHeight="1">
      <c r="B12" s="569"/>
      <c r="C12" s="572"/>
      <c r="D12" s="170">
        <v>46236</v>
      </c>
      <c r="E12" s="170" t="s">
        <v>116</v>
      </c>
      <c r="F12" s="320">
        <f t="shared" si="0"/>
        <v>6878371.4600000009</v>
      </c>
      <c r="G12" s="571"/>
      <c r="H12" s="566"/>
      <c r="I12" s="171">
        <v>877498.45000000007</v>
      </c>
      <c r="J12" s="172">
        <f t="shared" si="2"/>
        <v>0.12757357684198115</v>
      </c>
      <c r="K12" s="171">
        <v>1090163.8799999999</v>
      </c>
      <c r="L12" s="172">
        <f t="shared" si="3"/>
        <v>0.15849156829340527</v>
      </c>
      <c r="M12" s="171">
        <f t="shared" si="4"/>
        <v>1967662.33</v>
      </c>
      <c r="N12" s="172">
        <f t="shared" ref="N12" si="32">M12/F12</f>
        <v>0.28606514513538644</v>
      </c>
      <c r="O12" s="171">
        <v>327772.14</v>
      </c>
      <c r="P12" s="172">
        <f t="shared" si="6"/>
        <v>4.765257908882984E-2</v>
      </c>
      <c r="Q12" s="171">
        <v>0</v>
      </c>
      <c r="R12" s="172">
        <f t="shared" si="7"/>
        <v>0</v>
      </c>
      <c r="S12" s="171">
        <f t="shared" si="8"/>
        <v>327772.14</v>
      </c>
      <c r="T12" s="172">
        <f t="shared" ref="T12" si="33">S12/F12</f>
        <v>4.765257908882984E-2</v>
      </c>
      <c r="U12" s="171">
        <v>81368.55</v>
      </c>
      <c r="V12" s="172">
        <f t="shared" ref="V12" si="34">U12/F12</f>
        <v>1.1829624275627591E-2</v>
      </c>
      <c r="W12" s="171">
        <v>267861.06</v>
      </c>
      <c r="X12" s="172">
        <f t="shared" si="11"/>
        <v>3.8942511546185082E-2</v>
      </c>
      <c r="Y12" s="171">
        <v>391389.14</v>
      </c>
      <c r="Z12" s="172">
        <f t="shared" si="12"/>
        <v>5.6901425326628112E-2</v>
      </c>
      <c r="AA12" s="171">
        <v>621079.82999999996</v>
      </c>
      <c r="AB12" s="172">
        <f t="shared" si="13"/>
        <v>9.0294604414981661E-2</v>
      </c>
      <c r="AC12" s="171">
        <f t="shared" si="14"/>
        <v>1012468.97</v>
      </c>
      <c r="AD12" s="172">
        <f t="shared" si="15"/>
        <v>0.14719602974160978</v>
      </c>
      <c r="AE12" s="171">
        <v>1726381.57</v>
      </c>
      <c r="AF12" s="172">
        <f t="shared" si="16"/>
        <v>0.25098696399859738</v>
      </c>
      <c r="AG12" s="171">
        <v>0</v>
      </c>
      <c r="AH12" s="172">
        <f t="shared" si="17"/>
        <v>0</v>
      </c>
      <c r="AI12" s="171">
        <v>1134622.1099999999</v>
      </c>
      <c r="AJ12" s="172">
        <f t="shared" si="18"/>
        <v>0.16495505027581045</v>
      </c>
      <c r="AK12" s="171">
        <v>360234.73000000004</v>
      </c>
      <c r="AL12" s="172">
        <f t="shared" si="19"/>
        <v>5.2372095937953313E-2</v>
      </c>
      <c r="AN12" s="72"/>
    </row>
    <row r="13" spans="1:40" s="73" customFormat="1" ht="14.25" customHeight="1">
      <c r="B13" s="570"/>
      <c r="C13" s="572"/>
      <c r="D13" s="170">
        <v>46237</v>
      </c>
      <c r="E13" s="170" t="s">
        <v>117</v>
      </c>
      <c r="F13" s="320">
        <f t="shared" si="0"/>
        <v>6725813.8300000001</v>
      </c>
      <c r="G13" s="571"/>
      <c r="H13" s="566"/>
      <c r="I13" s="171">
        <v>864009.9600000002</v>
      </c>
      <c r="J13" s="172">
        <f t="shared" si="2"/>
        <v>0.12846177159203354</v>
      </c>
      <c r="K13" s="171">
        <v>1075351.23</v>
      </c>
      <c r="L13" s="172">
        <f t="shared" si="3"/>
        <v>0.15988418014240516</v>
      </c>
      <c r="M13" s="171">
        <f t="shared" si="4"/>
        <v>1939361.1900000002</v>
      </c>
      <c r="N13" s="172">
        <f t="shared" ref="N13:N14" si="35">M13/$F13</f>
        <v>0.28834595173443867</v>
      </c>
      <c r="O13" s="171">
        <v>315262.73</v>
      </c>
      <c r="P13" s="172">
        <f t="shared" si="6"/>
        <v>4.6873543926207663E-2</v>
      </c>
      <c r="Q13" s="171">
        <v>0</v>
      </c>
      <c r="R13" s="172">
        <f t="shared" si="7"/>
        <v>0</v>
      </c>
      <c r="S13" s="171">
        <f t="shared" si="8"/>
        <v>315262.73</v>
      </c>
      <c r="T13" s="172">
        <f t="shared" ref="T13:T14" si="36">S13/$F13</f>
        <v>4.6873543926207663E-2</v>
      </c>
      <c r="U13" s="171">
        <v>70998.929999999993</v>
      </c>
      <c r="V13" s="172">
        <f t="shared" ref="V13:V14" si="37">U13/$F13</f>
        <v>1.0556184246925549E-2</v>
      </c>
      <c r="W13" s="171">
        <v>303013.85000000003</v>
      </c>
      <c r="X13" s="172">
        <f t="shared" si="11"/>
        <v>4.505236952120633E-2</v>
      </c>
      <c r="Y13" s="171">
        <v>401346.24</v>
      </c>
      <c r="Z13" s="172">
        <f t="shared" si="12"/>
        <v>5.9672516983717935E-2</v>
      </c>
      <c r="AA13" s="171">
        <v>561753.03</v>
      </c>
      <c r="AB13" s="172">
        <f t="shared" si="13"/>
        <v>8.352194161163691E-2</v>
      </c>
      <c r="AC13" s="171">
        <f t="shared" si="14"/>
        <v>963099.27</v>
      </c>
      <c r="AD13" s="172">
        <f t="shared" si="15"/>
        <v>0.14319445859535485</v>
      </c>
      <c r="AE13" s="171">
        <v>1604276.7799999998</v>
      </c>
      <c r="AF13" s="172">
        <f t="shared" si="16"/>
        <v>0.23852530274392084</v>
      </c>
      <c r="AG13" s="171">
        <v>0</v>
      </c>
      <c r="AH13" s="172">
        <f t="shared" si="17"/>
        <v>0</v>
      </c>
      <c r="AI13" s="171">
        <v>1129650.8400000001</v>
      </c>
      <c r="AJ13" s="172">
        <f t="shared" si="18"/>
        <v>0.16795749459511877</v>
      </c>
      <c r="AK13" s="171">
        <v>400150.24</v>
      </c>
      <c r="AL13" s="172">
        <f t="shared" si="19"/>
        <v>5.9494694636827314E-2</v>
      </c>
      <c r="AN13" s="72"/>
    </row>
    <row r="14" spans="1:40" s="73" customFormat="1" ht="14.25" customHeight="1">
      <c r="B14" s="568">
        <f>B7+7</f>
        <v>46246</v>
      </c>
      <c r="C14" s="572"/>
      <c r="D14" s="170">
        <v>46238</v>
      </c>
      <c r="E14" s="170" t="s">
        <v>118</v>
      </c>
      <c r="F14" s="320">
        <f t="shared" si="0"/>
        <v>6631265.1100000003</v>
      </c>
      <c r="G14" s="571">
        <f t="shared" ref="G14" si="38">SUM(F14:F20)</f>
        <v>41863930.679999992</v>
      </c>
      <c r="H14" s="566"/>
      <c r="I14" s="171">
        <v>857079.16999999981</v>
      </c>
      <c r="J14" s="172">
        <f t="shared" si="2"/>
        <v>0.12924821369417391</v>
      </c>
      <c r="K14" s="171">
        <v>1068334.81</v>
      </c>
      <c r="L14" s="172">
        <f t="shared" si="3"/>
        <v>0.16110573054739474</v>
      </c>
      <c r="M14" s="171">
        <f t="shared" si="4"/>
        <v>1925413.98</v>
      </c>
      <c r="N14" s="172">
        <f t="shared" si="35"/>
        <v>0.29035394424156868</v>
      </c>
      <c r="O14" s="171">
        <v>313871.57</v>
      </c>
      <c r="P14" s="172">
        <f t="shared" si="6"/>
        <v>4.7332079896289951E-2</v>
      </c>
      <c r="Q14" s="171">
        <v>0</v>
      </c>
      <c r="R14" s="172">
        <f t="shared" si="7"/>
        <v>0</v>
      </c>
      <c r="S14" s="171">
        <f t="shared" si="8"/>
        <v>313871.57</v>
      </c>
      <c r="T14" s="172">
        <f t="shared" si="36"/>
        <v>4.7332079896289951E-2</v>
      </c>
      <c r="U14" s="171">
        <v>74355.569999999992</v>
      </c>
      <c r="V14" s="172">
        <f t="shared" si="37"/>
        <v>1.1212878503058368E-2</v>
      </c>
      <c r="W14" s="171">
        <v>257387.76</v>
      </c>
      <c r="X14" s="172">
        <f t="shared" si="11"/>
        <v>3.8814276873331034E-2</v>
      </c>
      <c r="Y14" s="171">
        <v>362160.97000000003</v>
      </c>
      <c r="Z14" s="172">
        <f t="shared" si="12"/>
        <v>5.461415943902747E-2</v>
      </c>
      <c r="AA14" s="171">
        <v>560720.56000000006</v>
      </c>
      <c r="AB14" s="172">
        <f t="shared" si="13"/>
        <v>8.455710195546684E-2</v>
      </c>
      <c r="AC14" s="171">
        <f t="shared" si="14"/>
        <v>922881.53</v>
      </c>
      <c r="AD14" s="172">
        <f t="shared" si="15"/>
        <v>0.13917126139449429</v>
      </c>
      <c r="AE14" s="171">
        <v>1541947.74</v>
      </c>
      <c r="AF14" s="172">
        <f t="shared" si="16"/>
        <v>0.23252693331091989</v>
      </c>
      <c r="AG14" s="171">
        <v>0</v>
      </c>
      <c r="AH14" s="172">
        <f t="shared" si="17"/>
        <v>0</v>
      </c>
      <c r="AI14" s="171">
        <v>1242921.71</v>
      </c>
      <c r="AJ14" s="172">
        <f t="shared" si="18"/>
        <v>0.18743357253590481</v>
      </c>
      <c r="AK14" s="171">
        <v>352485.25</v>
      </c>
      <c r="AL14" s="172">
        <f t="shared" si="19"/>
        <v>5.315505324443287E-2</v>
      </c>
      <c r="AN14" s="72"/>
    </row>
    <row r="15" spans="1:40" s="73" customFormat="1" ht="14.25" customHeight="1">
      <c r="B15" s="569"/>
      <c r="C15" s="572"/>
      <c r="D15" s="170">
        <v>46239</v>
      </c>
      <c r="E15" s="170" t="s">
        <v>112</v>
      </c>
      <c r="F15" s="320">
        <f t="shared" si="0"/>
        <v>6359055.9800000004</v>
      </c>
      <c r="G15" s="571"/>
      <c r="H15" s="566"/>
      <c r="I15" s="171">
        <v>842955.62</v>
      </c>
      <c r="J15" s="172">
        <f t="shared" si="2"/>
        <v>0.13255986779345821</v>
      </c>
      <c r="K15" s="171">
        <v>1022362.32</v>
      </c>
      <c r="L15" s="172">
        <f t="shared" si="3"/>
        <v>0.16077265606961993</v>
      </c>
      <c r="M15" s="171">
        <f t="shared" si="4"/>
        <v>1865317.94</v>
      </c>
      <c r="N15" s="172">
        <f t="shared" ref="N15" si="39">M15/F15</f>
        <v>0.29333252386307818</v>
      </c>
      <c r="O15" s="171">
        <v>312054.82</v>
      </c>
      <c r="P15" s="172">
        <f t="shared" si="6"/>
        <v>4.9072507142797629E-2</v>
      </c>
      <c r="Q15" s="171">
        <v>0</v>
      </c>
      <c r="R15" s="172">
        <f t="shared" si="7"/>
        <v>0</v>
      </c>
      <c r="S15" s="171">
        <f t="shared" si="8"/>
        <v>312054.82</v>
      </c>
      <c r="T15" s="172">
        <f t="shared" ref="T15" si="40">S15/F15</f>
        <v>4.9072507142797629E-2</v>
      </c>
      <c r="U15" s="171">
        <v>63146.79</v>
      </c>
      <c r="V15" s="172">
        <f t="shared" ref="V15" si="41">U15/F15</f>
        <v>9.9302145158973731E-3</v>
      </c>
      <c r="W15" s="171">
        <v>255786.58000000002</v>
      </c>
      <c r="X15" s="172">
        <f t="shared" si="11"/>
        <v>4.022398620243E-2</v>
      </c>
      <c r="Y15" s="171">
        <v>329826.56</v>
      </c>
      <c r="Z15" s="172">
        <f t="shared" si="12"/>
        <v>5.186722070655525E-2</v>
      </c>
      <c r="AA15" s="171">
        <v>546079.94000000006</v>
      </c>
      <c r="AB15" s="172">
        <f t="shared" si="13"/>
        <v>8.5874372189439357E-2</v>
      </c>
      <c r="AC15" s="171">
        <f t="shared" si="14"/>
        <v>875906.5</v>
      </c>
      <c r="AD15" s="172">
        <f t="shared" si="15"/>
        <v>0.13774159289599458</v>
      </c>
      <c r="AE15" s="171">
        <v>1436100.6800000002</v>
      </c>
      <c r="AF15" s="172">
        <f t="shared" si="16"/>
        <v>0.22583551466077834</v>
      </c>
      <c r="AG15" s="171">
        <v>0</v>
      </c>
      <c r="AH15" s="172">
        <f t="shared" si="17"/>
        <v>0</v>
      </c>
      <c r="AI15" s="171">
        <v>1204932.28</v>
      </c>
      <c r="AJ15" s="172">
        <f t="shared" si="18"/>
        <v>0.18948288610599712</v>
      </c>
      <c r="AK15" s="171">
        <v>345810.39</v>
      </c>
      <c r="AL15" s="172">
        <f t="shared" si="19"/>
        <v>5.4380774613026761E-2</v>
      </c>
      <c r="AN15" s="72"/>
    </row>
    <row r="16" spans="1:40" s="73" customFormat="1" ht="14.25" customHeight="1">
      <c r="B16" s="569"/>
      <c r="C16" s="572"/>
      <c r="D16" s="170">
        <v>46240</v>
      </c>
      <c r="E16" s="170" t="s">
        <v>113</v>
      </c>
      <c r="F16" s="320">
        <f t="shared" si="0"/>
        <v>5817645.9100000001</v>
      </c>
      <c r="G16" s="571"/>
      <c r="H16" s="566"/>
      <c r="I16" s="171">
        <v>805504.79000000015</v>
      </c>
      <c r="J16" s="172">
        <f t="shared" si="2"/>
        <v>0.13845888912135598</v>
      </c>
      <c r="K16" s="171">
        <v>921519.6</v>
      </c>
      <c r="L16" s="172">
        <f t="shared" si="3"/>
        <v>0.15840077142130501</v>
      </c>
      <c r="M16" s="171">
        <f t="shared" si="4"/>
        <v>1727024.3900000001</v>
      </c>
      <c r="N16" s="172">
        <f t="shared" ref="N16" si="42">M16/$F16</f>
        <v>0.296859660542661</v>
      </c>
      <c r="O16" s="171">
        <v>294598.61</v>
      </c>
      <c r="P16" s="172">
        <f t="shared" si="6"/>
        <v>5.0638800394092735E-2</v>
      </c>
      <c r="Q16" s="171">
        <v>0</v>
      </c>
      <c r="R16" s="172">
        <f t="shared" si="7"/>
        <v>0</v>
      </c>
      <c r="S16" s="171">
        <f t="shared" si="8"/>
        <v>294598.61</v>
      </c>
      <c r="T16" s="172">
        <f t="shared" ref="T16" si="43">S16/$F16</f>
        <v>5.0638800394092735E-2</v>
      </c>
      <c r="U16" s="171">
        <v>64974.96</v>
      </c>
      <c r="V16" s="172">
        <f t="shared" ref="V16" si="44">U16/$F16</f>
        <v>1.1168599981018783E-2</v>
      </c>
      <c r="W16" s="171">
        <v>249989.26</v>
      </c>
      <c r="X16" s="172">
        <f t="shared" si="11"/>
        <v>4.2970862075034748E-2</v>
      </c>
      <c r="Y16" s="171">
        <v>309485.95</v>
      </c>
      <c r="Z16" s="172">
        <f t="shared" si="12"/>
        <v>5.3197797663832036E-2</v>
      </c>
      <c r="AA16" s="171">
        <v>415950.19</v>
      </c>
      <c r="AB16" s="172">
        <f t="shared" si="13"/>
        <v>7.1498024533431945E-2</v>
      </c>
      <c r="AC16" s="171">
        <f t="shared" si="14"/>
        <v>725436.14</v>
      </c>
      <c r="AD16" s="172">
        <f t="shared" si="15"/>
        <v>0.12469582219726398</v>
      </c>
      <c r="AE16" s="171">
        <v>1249878.6999999997</v>
      </c>
      <c r="AF16" s="172">
        <f t="shared" si="16"/>
        <v>0.21484269055488112</v>
      </c>
      <c r="AG16" s="171">
        <v>0</v>
      </c>
      <c r="AH16" s="172">
        <f t="shared" si="17"/>
        <v>0</v>
      </c>
      <c r="AI16" s="171">
        <v>1166850.9500000002</v>
      </c>
      <c r="AJ16" s="172">
        <f t="shared" si="18"/>
        <v>0.20057098146765692</v>
      </c>
      <c r="AK16" s="171">
        <v>338892.9</v>
      </c>
      <c r="AL16" s="172">
        <f t="shared" si="19"/>
        <v>5.8252582787390719E-2</v>
      </c>
      <c r="AN16" s="72"/>
    </row>
    <row r="17" spans="2:40" s="73" customFormat="1" ht="14.25" customHeight="1">
      <c r="B17" s="569"/>
      <c r="C17" s="572"/>
      <c r="D17" s="170">
        <v>46241</v>
      </c>
      <c r="E17" s="170" t="s">
        <v>114</v>
      </c>
      <c r="F17" s="320">
        <f t="shared" si="0"/>
        <v>4858510.08</v>
      </c>
      <c r="G17" s="571"/>
      <c r="H17" s="566"/>
      <c r="I17" s="171">
        <v>608534.94999999995</v>
      </c>
      <c r="J17" s="172">
        <f t="shared" si="2"/>
        <v>0.12525135071861371</v>
      </c>
      <c r="K17" s="171">
        <v>819416.28</v>
      </c>
      <c r="L17" s="172">
        <f t="shared" si="3"/>
        <v>0.16865587731784637</v>
      </c>
      <c r="M17" s="171">
        <f t="shared" si="4"/>
        <v>1427951.23</v>
      </c>
      <c r="N17" s="172">
        <f t="shared" ref="N17" si="45">M17/F17</f>
        <v>0.29390722803646008</v>
      </c>
      <c r="O17" s="171">
        <v>225136.19</v>
      </c>
      <c r="P17" s="172">
        <f t="shared" si="6"/>
        <v>4.6338524834345925E-2</v>
      </c>
      <c r="Q17" s="171">
        <v>0</v>
      </c>
      <c r="R17" s="172">
        <f t="shared" si="7"/>
        <v>0</v>
      </c>
      <c r="S17" s="171">
        <f t="shared" si="8"/>
        <v>225136.19</v>
      </c>
      <c r="T17" s="172">
        <f t="shared" ref="T17" si="46">S17/F17</f>
        <v>4.6338524834345925E-2</v>
      </c>
      <c r="U17" s="171">
        <v>44205.75</v>
      </c>
      <c r="V17" s="172">
        <f t="shared" ref="V17" si="47">U17/F17</f>
        <v>9.0986226789921566E-3</v>
      </c>
      <c r="W17" s="171">
        <v>183306.33000000002</v>
      </c>
      <c r="X17" s="172">
        <f t="shared" si="11"/>
        <v>3.7728918327159265E-2</v>
      </c>
      <c r="Y17" s="171">
        <v>272663.26</v>
      </c>
      <c r="Z17" s="172">
        <f t="shared" si="12"/>
        <v>5.61207562627924E-2</v>
      </c>
      <c r="AA17" s="171">
        <v>413793.20000000007</v>
      </c>
      <c r="AB17" s="172">
        <f t="shared" si="13"/>
        <v>8.5168743747877557E-2</v>
      </c>
      <c r="AC17" s="171">
        <f t="shared" si="14"/>
        <v>686456.46000000008</v>
      </c>
      <c r="AD17" s="172">
        <f t="shared" si="15"/>
        <v>0.14128950001066995</v>
      </c>
      <c r="AE17" s="171">
        <v>937494.25</v>
      </c>
      <c r="AF17" s="172">
        <f t="shared" si="16"/>
        <v>0.19295920653930185</v>
      </c>
      <c r="AG17" s="171">
        <v>0</v>
      </c>
      <c r="AH17" s="172">
        <f t="shared" si="17"/>
        <v>0</v>
      </c>
      <c r="AI17" s="171">
        <v>1071266.26</v>
      </c>
      <c r="AJ17" s="172">
        <f t="shared" si="18"/>
        <v>0.22049275237893506</v>
      </c>
      <c r="AK17" s="171">
        <v>282693.61</v>
      </c>
      <c r="AL17" s="172">
        <f t="shared" si="19"/>
        <v>5.8185247194135696E-2</v>
      </c>
      <c r="AN17" s="72"/>
    </row>
    <row r="18" spans="2:40" s="73" customFormat="1" ht="14.25" customHeight="1">
      <c r="B18" s="569"/>
      <c r="C18" s="572"/>
      <c r="D18" s="170">
        <v>46242</v>
      </c>
      <c r="E18" s="170" t="s">
        <v>115</v>
      </c>
      <c r="F18" s="320">
        <f t="shared" si="0"/>
        <v>5207709.95</v>
      </c>
      <c r="G18" s="571"/>
      <c r="H18" s="566"/>
      <c r="I18" s="171">
        <v>574346.98999999987</v>
      </c>
      <c r="J18" s="172">
        <f t="shared" si="2"/>
        <v>0.11028782238534615</v>
      </c>
      <c r="K18" s="171">
        <v>958866.58</v>
      </c>
      <c r="L18" s="172">
        <f t="shared" si="3"/>
        <v>0.18412442113831626</v>
      </c>
      <c r="M18" s="171">
        <f t="shared" si="4"/>
        <v>1533213.5699999998</v>
      </c>
      <c r="N18" s="172">
        <f t="shared" ref="N18" si="48">M18/$F18</f>
        <v>0.29441224352366241</v>
      </c>
      <c r="O18" s="171">
        <v>213936.77000000002</v>
      </c>
      <c r="P18" s="172">
        <f t="shared" si="6"/>
        <v>4.1080776781740699E-2</v>
      </c>
      <c r="Q18" s="171">
        <v>0</v>
      </c>
      <c r="R18" s="172">
        <f t="shared" si="7"/>
        <v>0</v>
      </c>
      <c r="S18" s="171">
        <f t="shared" si="8"/>
        <v>213936.77000000002</v>
      </c>
      <c r="T18" s="172">
        <f t="shared" ref="T18" si="49">S18/$F18</f>
        <v>4.1080776781740699E-2</v>
      </c>
      <c r="U18" s="171">
        <v>47652.299999999996</v>
      </c>
      <c r="V18" s="172">
        <f t="shared" ref="V18" si="50">U18/$F18</f>
        <v>9.1503368001514748E-3</v>
      </c>
      <c r="W18" s="171">
        <v>193061.75999999998</v>
      </c>
      <c r="X18" s="172">
        <f t="shared" si="11"/>
        <v>3.7072295088170178E-2</v>
      </c>
      <c r="Y18" s="171">
        <v>290648.93</v>
      </c>
      <c r="Z18" s="172">
        <f t="shared" si="12"/>
        <v>5.5811274589131057E-2</v>
      </c>
      <c r="AA18" s="171">
        <v>526138.22</v>
      </c>
      <c r="AB18" s="172">
        <f t="shared" si="13"/>
        <v>0.10103063055575896</v>
      </c>
      <c r="AC18" s="171">
        <f t="shared" si="14"/>
        <v>816787.14999999991</v>
      </c>
      <c r="AD18" s="172">
        <f t="shared" si="15"/>
        <v>0.15684190514488999</v>
      </c>
      <c r="AE18" s="171">
        <v>1057265.08</v>
      </c>
      <c r="AF18" s="172">
        <f t="shared" si="16"/>
        <v>0.20301919464619952</v>
      </c>
      <c r="AG18" s="171">
        <v>0</v>
      </c>
      <c r="AH18" s="172">
        <f t="shared" si="17"/>
        <v>0</v>
      </c>
      <c r="AI18" s="171">
        <v>1064846.29</v>
      </c>
      <c r="AJ18" s="172">
        <f t="shared" si="18"/>
        <v>0.20447496120631681</v>
      </c>
      <c r="AK18" s="171">
        <v>280947.03000000003</v>
      </c>
      <c r="AL18" s="172">
        <f t="shared" si="19"/>
        <v>5.3948286808868845E-2</v>
      </c>
      <c r="AN18" s="72"/>
    </row>
    <row r="19" spans="2:40" s="73" customFormat="1" ht="14.25" customHeight="1">
      <c r="B19" s="569"/>
      <c r="C19" s="572"/>
      <c r="D19" s="170">
        <v>46243</v>
      </c>
      <c r="E19" s="170" t="s">
        <v>116</v>
      </c>
      <c r="F19" s="320">
        <f t="shared" si="0"/>
        <v>6655646.0600000005</v>
      </c>
      <c r="G19" s="571"/>
      <c r="H19" s="566"/>
      <c r="I19" s="171">
        <v>834309.99</v>
      </c>
      <c r="J19" s="172">
        <f t="shared" si="2"/>
        <v>0.12535371960569669</v>
      </c>
      <c r="K19" s="171">
        <v>1100928.43</v>
      </c>
      <c r="L19" s="172">
        <f t="shared" si="3"/>
        <v>0.16541270675682532</v>
      </c>
      <c r="M19" s="171">
        <f t="shared" si="4"/>
        <v>1935238.42</v>
      </c>
      <c r="N19" s="172">
        <f t="shared" ref="N19" si="51">M19/F19</f>
        <v>0.29076642636252203</v>
      </c>
      <c r="O19" s="171">
        <v>299433.43</v>
      </c>
      <c r="P19" s="172">
        <f t="shared" si="6"/>
        <v>4.4989386049173408E-2</v>
      </c>
      <c r="Q19" s="171">
        <v>0</v>
      </c>
      <c r="R19" s="172">
        <f t="shared" si="7"/>
        <v>0</v>
      </c>
      <c r="S19" s="171">
        <f t="shared" si="8"/>
        <v>299433.43</v>
      </c>
      <c r="T19" s="172">
        <f t="shared" ref="T19" si="52">S19/F19</f>
        <v>4.4989386049173408E-2</v>
      </c>
      <c r="U19" s="171">
        <v>81218.7</v>
      </c>
      <c r="V19" s="172">
        <f t="shared" ref="V19" si="53">U19/F19</f>
        <v>1.2202977632497482E-2</v>
      </c>
      <c r="W19" s="171">
        <v>253716.25000000003</v>
      </c>
      <c r="X19" s="172">
        <f t="shared" si="11"/>
        <v>3.8120454079554826E-2</v>
      </c>
      <c r="Y19" s="171">
        <v>364346.75</v>
      </c>
      <c r="Z19" s="172">
        <f t="shared" si="12"/>
        <v>5.4742506845383537E-2</v>
      </c>
      <c r="AA19" s="171">
        <v>614255.53999999992</v>
      </c>
      <c r="AB19" s="172">
        <f t="shared" si="13"/>
        <v>9.2290896249972748E-2</v>
      </c>
      <c r="AC19" s="171">
        <f t="shared" si="14"/>
        <v>978602.28999999992</v>
      </c>
      <c r="AD19" s="172">
        <f t="shared" si="15"/>
        <v>0.14703340309535629</v>
      </c>
      <c r="AE19" s="171">
        <v>1623092.2300000002</v>
      </c>
      <c r="AF19" s="172">
        <f t="shared" si="16"/>
        <v>0.2438669687913062</v>
      </c>
      <c r="AG19" s="171">
        <v>0</v>
      </c>
      <c r="AH19" s="172">
        <f t="shared" si="17"/>
        <v>0</v>
      </c>
      <c r="AI19" s="171">
        <v>1235753.1199999999</v>
      </c>
      <c r="AJ19" s="172">
        <f t="shared" si="18"/>
        <v>0.18566989723609187</v>
      </c>
      <c r="AK19" s="171">
        <v>248591.62</v>
      </c>
      <c r="AL19" s="172">
        <f t="shared" si="19"/>
        <v>3.7350486753497822E-2</v>
      </c>
      <c r="AN19" s="72"/>
    </row>
    <row r="20" spans="2:40" s="73" customFormat="1" ht="14.25" customHeight="1">
      <c r="B20" s="570"/>
      <c r="C20" s="572"/>
      <c r="D20" s="170">
        <v>46244</v>
      </c>
      <c r="E20" s="170" t="s">
        <v>117</v>
      </c>
      <c r="F20" s="320">
        <f t="shared" si="0"/>
        <v>6334097.5899999999</v>
      </c>
      <c r="G20" s="571"/>
      <c r="H20" s="566"/>
      <c r="I20" s="171">
        <v>801920.08999999985</v>
      </c>
      <c r="J20" s="172">
        <f t="shared" si="2"/>
        <v>0.12660368404585945</v>
      </c>
      <c r="K20" s="171">
        <v>1078602.6800000002</v>
      </c>
      <c r="L20" s="172">
        <f t="shared" si="3"/>
        <v>0.1702851376497343</v>
      </c>
      <c r="M20" s="171">
        <f t="shared" si="4"/>
        <v>1880522.77</v>
      </c>
      <c r="N20" s="172">
        <f t="shared" ref="N20:N21" si="54">M20/$F20</f>
        <v>0.29688882169559372</v>
      </c>
      <c r="O20" s="171">
        <v>312805.92000000004</v>
      </c>
      <c r="P20" s="172">
        <f t="shared" si="6"/>
        <v>4.9384449095613007E-2</v>
      </c>
      <c r="Q20" s="171">
        <v>0</v>
      </c>
      <c r="R20" s="172">
        <f t="shared" si="7"/>
        <v>0</v>
      </c>
      <c r="S20" s="171">
        <f t="shared" si="8"/>
        <v>312805.92000000004</v>
      </c>
      <c r="T20" s="172">
        <f t="shared" ref="T20:T21" si="55">S20/$F20</f>
        <v>4.9384449095613007E-2</v>
      </c>
      <c r="U20" s="171">
        <v>71418.509999999995</v>
      </c>
      <c r="V20" s="172">
        <f t="shared" ref="V20:V21" si="56">U20/$F20</f>
        <v>1.1275246234404797E-2</v>
      </c>
      <c r="W20" s="171">
        <v>281829.55000000005</v>
      </c>
      <c r="X20" s="172">
        <f t="shared" si="11"/>
        <v>4.4494033442891753E-2</v>
      </c>
      <c r="Y20" s="171">
        <v>375996.35</v>
      </c>
      <c r="Z20" s="172">
        <f t="shared" si="12"/>
        <v>5.9360681558428594E-2</v>
      </c>
      <c r="AA20" s="171">
        <v>573928.04</v>
      </c>
      <c r="AB20" s="172">
        <f t="shared" si="13"/>
        <v>9.0609282829189883E-2</v>
      </c>
      <c r="AC20" s="171">
        <f t="shared" si="14"/>
        <v>949924.39</v>
      </c>
      <c r="AD20" s="172">
        <f t="shared" si="15"/>
        <v>0.14996996438761848</v>
      </c>
      <c r="AE20" s="171">
        <v>1559266.41</v>
      </c>
      <c r="AF20" s="172">
        <f t="shared" si="16"/>
        <v>0.24617025359093023</v>
      </c>
      <c r="AG20" s="171">
        <v>0</v>
      </c>
      <c r="AH20" s="172">
        <f t="shared" si="17"/>
        <v>0</v>
      </c>
      <c r="AI20" s="171">
        <v>989183.96</v>
      </c>
      <c r="AJ20" s="172">
        <f t="shared" si="18"/>
        <v>0.156168095919722</v>
      </c>
      <c r="AK20" s="171">
        <v>289146.07999999996</v>
      </c>
      <c r="AL20" s="172">
        <f t="shared" si="19"/>
        <v>4.5649135633226007E-2</v>
      </c>
      <c r="AN20" s="72"/>
    </row>
    <row r="21" spans="2:40" s="73" customFormat="1" ht="14.25" customHeight="1">
      <c r="B21" s="568">
        <f>B14+7</f>
        <v>46253</v>
      </c>
      <c r="C21" s="572"/>
      <c r="D21" s="170">
        <v>46245</v>
      </c>
      <c r="E21" s="170" t="s">
        <v>118</v>
      </c>
      <c r="F21" s="320">
        <f t="shared" si="0"/>
        <v>5779689.7399999984</v>
      </c>
      <c r="G21" s="571">
        <f t="shared" ref="G21" si="57">SUM(F21:F27)</f>
        <v>38288004.869999997</v>
      </c>
      <c r="H21" s="566"/>
      <c r="I21" s="171">
        <v>769716.01</v>
      </c>
      <c r="J21" s="172">
        <f t="shared" si="2"/>
        <v>0.13317600851010392</v>
      </c>
      <c r="K21" s="171">
        <v>1030354.47</v>
      </c>
      <c r="L21" s="172">
        <f t="shared" si="3"/>
        <v>0.17827158832923795</v>
      </c>
      <c r="M21" s="171">
        <f t="shared" si="4"/>
        <v>1800070.48</v>
      </c>
      <c r="N21" s="172">
        <f t="shared" si="54"/>
        <v>0.31144759683934187</v>
      </c>
      <c r="O21" s="171">
        <v>278005.31</v>
      </c>
      <c r="P21" s="172">
        <f t="shared" si="6"/>
        <v>4.8100386440466623E-2</v>
      </c>
      <c r="Q21" s="171">
        <v>0</v>
      </c>
      <c r="R21" s="172">
        <f t="shared" si="7"/>
        <v>0</v>
      </c>
      <c r="S21" s="171">
        <f t="shared" si="8"/>
        <v>278005.31</v>
      </c>
      <c r="T21" s="172">
        <f t="shared" si="55"/>
        <v>4.8100386440466623E-2</v>
      </c>
      <c r="U21" s="171">
        <v>76273.649999999994</v>
      </c>
      <c r="V21" s="172">
        <f t="shared" si="56"/>
        <v>1.3196841600705026E-2</v>
      </c>
      <c r="W21" s="171">
        <v>238085.11000000002</v>
      </c>
      <c r="X21" s="172">
        <f t="shared" si="11"/>
        <v>4.1193406689681598E-2</v>
      </c>
      <c r="Y21" s="171">
        <v>343228.02</v>
      </c>
      <c r="Z21" s="172">
        <f t="shared" si="12"/>
        <v>5.9385198071203057E-2</v>
      </c>
      <c r="AA21" s="171">
        <v>564492.78</v>
      </c>
      <c r="AB21" s="172">
        <f t="shared" si="13"/>
        <v>9.7668353388118065E-2</v>
      </c>
      <c r="AC21" s="171">
        <f t="shared" si="14"/>
        <v>907720.8</v>
      </c>
      <c r="AD21" s="172">
        <f t="shared" si="15"/>
        <v>0.15705355145932112</v>
      </c>
      <c r="AE21" s="171">
        <v>1468121.85</v>
      </c>
      <c r="AF21" s="172">
        <f t="shared" si="16"/>
        <v>0.25401395508126368</v>
      </c>
      <c r="AG21" s="171">
        <v>0</v>
      </c>
      <c r="AH21" s="172">
        <f t="shared" si="17"/>
        <v>0</v>
      </c>
      <c r="AI21" s="171">
        <v>804901.5199999999</v>
      </c>
      <c r="AJ21" s="172">
        <f t="shared" si="18"/>
        <v>0.13926379376897144</v>
      </c>
      <c r="AK21" s="171">
        <v>206511.02</v>
      </c>
      <c r="AL21" s="172">
        <f t="shared" si="19"/>
        <v>3.5730468120248965E-2</v>
      </c>
      <c r="AN21" s="72"/>
    </row>
    <row r="22" spans="2:40" s="73" customFormat="1" ht="14.25" customHeight="1">
      <c r="B22" s="569"/>
      <c r="C22" s="572"/>
      <c r="D22" s="170">
        <v>46246</v>
      </c>
      <c r="E22" s="170" t="s">
        <v>112</v>
      </c>
      <c r="F22" s="320">
        <f t="shared" si="0"/>
        <v>5663016.0199999996</v>
      </c>
      <c r="G22" s="571"/>
      <c r="H22" s="566"/>
      <c r="I22" s="171">
        <v>758266.73</v>
      </c>
      <c r="J22" s="172">
        <f t="shared" si="2"/>
        <v>0.13389803725118193</v>
      </c>
      <c r="K22" s="171">
        <v>987157.76</v>
      </c>
      <c r="L22" s="172">
        <f t="shared" si="3"/>
        <v>0.17431661088608399</v>
      </c>
      <c r="M22" s="171">
        <f t="shared" si="4"/>
        <v>1745424.49</v>
      </c>
      <c r="N22" s="172">
        <f t="shared" ref="N22" si="58">M22/F22</f>
        <v>0.30821464813726596</v>
      </c>
      <c r="O22" s="171">
        <v>281150.71000000002</v>
      </c>
      <c r="P22" s="172">
        <f t="shared" si="6"/>
        <v>4.9646815231859445E-2</v>
      </c>
      <c r="Q22" s="171">
        <v>0</v>
      </c>
      <c r="R22" s="172">
        <f t="shared" si="7"/>
        <v>0</v>
      </c>
      <c r="S22" s="171">
        <f t="shared" si="8"/>
        <v>281150.71000000002</v>
      </c>
      <c r="T22" s="172">
        <f t="shared" ref="T22" si="59">S22/F22</f>
        <v>4.9646815231859445E-2</v>
      </c>
      <c r="U22" s="171">
        <v>65694.239999999991</v>
      </c>
      <c r="V22" s="172">
        <f t="shared" ref="V22" si="60">U22/F22</f>
        <v>1.1600574635139386E-2</v>
      </c>
      <c r="W22" s="171">
        <v>243905.42</v>
      </c>
      <c r="X22" s="172">
        <f t="shared" si="11"/>
        <v>4.3069879925926827E-2</v>
      </c>
      <c r="Y22" s="171">
        <v>314787.56</v>
      </c>
      <c r="Z22" s="172">
        <f t="shared" si="12"/>
        <v>5.5586556507745855E-2</v>
      </c>
      <c r="AA22" s="171">
        <v>555141.96</v>
      </c>
      <c r="AB22" s="172">
        <f t="shared" si="13"/>
        <v>9.8029381876973742E-2</v>
      </c>
      <c r="AC22" s="171">
        <f t="shared" si="14"/>
        <v>869929.52</v>
      </c>
      <c r="AD22" s="172">
        <f t="shared" si="15"/>
        <v>0.15361593838471962</v>
      </c>
      <c r="AE22" s="171">
        <v>1371919.8900000001</v>
      </c>
      <c r="AF22" s="172">
        <f t="shared" si="16"/>
        <v>0.24225958131758918</v>
      </c>
      <c r="AG22" s="171">
        <v>0</v>
      </c>
      <c r="AH22" s="172">
        <f t="shared" si="17"/>
        <v>0</v>
      </c>
      <c r="AI22" s="171">
        <v>888246.86</v>
      </c>
      <c r="AJ22" s="172">
        <f t="shared" si="18"/>
        <v>0.15685049395286721</v>
      </c>
      <c r="AK22" s="171">
        <v>196744.88999999998</v>
      </c>
      <c r="AL22" s="172">
        <f t="shared" si="19"/>
        <v>3.4742068414632524E-2</v>
      </c>
      <c r="AN22" s="72"/>
    </row>
    <row r="23" spans="2:40" s="73" customFormat="1" ht="14.25" customHeight="1">
      <c r="B23" s="569"/>
      <c r="C23" s="572"/>
      <c r="D23" s="170">
        <v>46247</v>
      </c>
      <c r="E23" s="170" t="s">
        <v>113</v>
      </c>
      <c r="F23" s="320">
        <f t="shared" si="0"/>
        <v>5284211.26</v>
      </c>
      <c r="G23" s="571"/>
      <c r="H23" s="566"/>
      <c r="I23" s="171">
        <v>730872.76999999979</v>
      </c>
      <c r="J23" s="172">
        <f t="shared" si="2"/>
        <v>0.13831255679206131</v>
      </c>
      <c r="K23" s="171">
        <v>888383.44000000006</v>
      </c>
      <c r="L23" s="172">
        <f t="shared" si="3"/>
        <v>0.1681203487689476</v>
      </c>
      <c r="M23" s="171">
        <f t="shared" si="4"/>
        <v>1619256.21</v>
      </c>
      <c r="N23" s="172">
        <f t="shared" ref="N23" si="61">M23/$F23</f>
        <v>0.30643290556100894</v>
      </c>
      <c r="O23" s="171">
        <v>271371.64</v>
      </c>
      <c r="P23" s="172">
        <f t="shared" si="6"/>
        <v>5.1355183706262346E-2</v>
      </c>
      <c r="Q23" s="171">
        <v>0</v>
      </c>
      <c r="R23" s="172">
        <f t="shared" si="7"/>
        <v>0</v>
      </c>
      <c r="S23" s="171">
        <f t="shared" si="8"/>
        <v>271371.64</v>
      </c>
      <c r="T23" s="172">
        <f t="shared" ref="T23" si="62">S23/$F23</f>
        <v>5.1355183706262346E-2</v>
      </c>
      <c r="U23" s="171">
        <v>67102.83</v>
      </c>
      <c r="V23" s="172">
        <f t="shared" ref="V23" si="63">U23/$F23</f>
        <v>1.2698740965931783E-2</v>
      </c>
      <c r="W23" s="171">
        <v>234136.44000000003</v>
      </c>
      <c r="X23" s="172">
        <f t="shared" si="11"/>
        <v>4.4308682692599244E-2</v>
      </c>
      <c r="Y23" s="171">
        <v>298896.26</v>
      </c>
      <c r="Z23" s="172">
        <f t="shared" si="12"/>
        <v>5.6564025413321575E-2</v>
      </c>
      <c r="AA23" s="171">
        <v>411941.73000000004</v>
      </c>
      <c r="AB23" s="172">
        <f t="shared" si="13"/>
        <v>7.795708947488221E-2</v>
      </c>
      <c r="AC23" s="171">
        <f t="shared" si="14"/>
        <v>710837.99</v>
      </c>
      <c r="AD23" s="172">
        <f t="shared" si="15"/>
        <v>0.13452111488820379</v>
      </c>
      <c r="AE23" s="171">
        <v>1285534.43</v>
      </c>
      <c r="AF23" s="172">
        <f t="shared" si="16"/>
        <v>0.24327839421015124</v>
      </c>
      <c r="AG23" s="171">
        <v>0</v>
      </c>
      <c r="AH23" s="172">
        <f t="shared" si="17"/>
        <v>0</v>
      </c>
      <c r="AI23" s="171">
        <v>897256.87999999977</v>
      </c>
      <c r="AJ23" s="172">
        <f t="shared" si="18"/>
        <v>0.16979958518918106</v>
      </c>
      <c r="AK23" s="171">
        <v>198714.83999999997</v>
      </c>
      <c r="AL23" s="172">
        <f t="shared" si="19"/>
        <v>3.7605392786661591E-2</v>
      </c>
      <c r="AN23" s="72"/>
    </row>
    <row r="24" spans="2:40" s="73" customFormat="1" ht="14.25" customHeight="1">
      <c r="B24" s="569"/>
      <c r="C24" s="572"/>
      <c r="D24" s="170">
        <v>46248</v>
      </c>
      <c r="E24" s="170" t="s">
        <v>114</v>
      </c>
      <c r="F24" s="320">
        <f t="shared" si="0"/>
        <v>4470999.01</v>
      </c>
      <c r="G24" s="571"/>
      <c r="H24" s="566"/>
      <c r="I24" s="171">
        <v>552586.48</v>
      </c>
      <c r="J24" s="172">
        <f t="shared" si="2"/>
        <v>0.12359351428261667</v>
      </c>
      <c r="K24" s="171">
        <v>812891.67999999993</v>
      </c>
      <c r="L24" s="172">
        <f t="shared" si="3"/>
        <v>0.18181432788999879</v>
      </c>
      <c r="M24" s="171">
        <f t="shared" si="4"/>
        <v>1365478.16</v>
      </c>
      <c r="N24" s="172">
        <f t="shared" ref="N24" si="64">M24/F24</f>
        <v>0.30540784217261546</v>
      </c>
      <c r="O24" s="171">
        <v>214671.62</v>
      </c>
      <c r="P24" s="172">
        <f t="shared" si="6"/>
        <v>4.8014240110511676E-2</v>
      </c>
      <c r="Q24" s="171">
        <v>0</v>
      </c>
      <c r="R24" s="172">
        <f t="shared" si="7"/>
        <v>0</v>
      </c>
      <c r="S24" s="171">
        <f t="shared" si="8"/>
        <v>214671.62</v>
      </c>
      <c r="T24" s="172">
        <f t="shared" ref="T24" si="65">S24/F24</f>
        <v>4.8014240110511676E-2</v>
      </c>
      <c r="U24" s="171">
        <v>49300.65</v>
      </c>
      <c r="V24" s="172">
        <f t="shared" ref="V24" si="66">U24/F24</f>
        <v>1.1026763792551143E-2</v>
      </c>
      <c r="W24" s="171">
        <v>183154.84</v>
      </c>
      <c r="X24" s="172">
        <f t="shared" si="11"/>
        <v>4.0965081761447315E-2</v>
      </c>
      <c r="Y24" s="171">
        <v>255370.1</v>
      </c>
      <c r="Z24" s="172">
        <f t="shared" si="12"/>
        <v>5.7117011081601651E-2</v>
      </c>
      <c r="AA24" s="171">
        <v>401533.3</v>
      </c>
      <c r="AB24" s="172">
        <f t="shared" si="13"/>
        <v>8.9808407271376248E-2</v>
      </c>
      <c r="AC24" s="171">
        <f t="shared" si="14"/>
        <v>656903.4</v>
      </c>
      <c r="AD24" s="172">
        <f t="shared" si="15"/>
        <v>0.1469254183529779</v>
      </c>
      <c r="AE24" s="171">
        <v>972783.65</v>
      </c>
      <c r="AF24" s="172">
        <f t="shared" si="16"/>
        <v>0.21757635101780085</v>
      </c>
      <c r="AG24" s="171">
        <v>0</v>
      </c>
      <c r="AH24" s="172">
        <f t="shared" si="17"/>
        <v>0</v>
      </c>
      <c r="AI24" s="171">
        <v>866402.55999999994</v>
      </c>
      <c r="AJ24" s="172">
        <f t="shared" si="18"/>
        <v>0.19378276713150067</v>
      </c>
      <c r="AK24" s="171">
        <v>162304.13</v>
      </c>
      <c r="AL24" s="172">
        <f t="shared" si="19"/>
        <v>3.6301535660595019E-2</v>
      </c>
      <c r="AN24" s="72"/>
    </row>
    <row r="25" spans="2:40" s="73" customFormat="1" ht="14.25" customHeight="1">
      <c r="B25" s="569"/>
      <c r="C25" s="572"/>
      <c r="D25" s="170">
        <v>46249</v>
      </c>
      <c r="E25" s="170" t="s">
        <v>115</v>
      </c>
      <c r="F25" s="320">
        <f t="shared" si="0"/>
        <v>4735598.2299999995</v>
      </c>
      <c r="G25" s="571"/>
      <c r="H25" s="566"/>
      <c r="I25" s="171">
        <v>523224.6399999999</v>
      </c>
      <c r="J25" s="172">
        <f t="shared" si="2"/>
        <v>0.11048754868716976</v>
      </c>
      <c r="K25" s="171">
        <v>952595.77</v>
      </c>
      <c r="L25" s="172">
        <f t="shared" si="3"/>
        <v>0.20115637428135455</v>
      </c>
      <c r="M25" s="171">
        <f t="shared" si="4"/>
        <v>1475820.41</v>
      </c>
      <c r="N25" s="172">
        <f t="shared" ref="N25" si="67">M25/$F25</f>
        <v>0.31164392296852433</v>
      </c>
      <c r="O25" s="171">
        <v>203943.4</v>
      </c>
      <c r="P25" s="172">
        <f t="shared" si="6"/>
        <v>4.306602673935031E-2</v>
      </c>
      <c r="Q25" s="171">
        <v>0</v>
      </c>
      <c r="R25" s="172">
        <f t="shared" si="7"/>
        <v>0</v>
      </c>
      <c r="S25" s="171">
        <f t="shared" si="8"/>
        <v>203943.4</v>
      </c>
      <c r="T25" s="172">
        <f t="shared" ref="T25" si="68">S25/$F25</f>
        <v>4.306602673935031E-2</v>
      </c>
      <c r="U25" s="171">
        <v>52087.86</v>
      </c>
      <c r="V25" s="172">
        <f t="shared" ref="V25" si="69">U25/$F25</f>
        <v>1.0999214348468917E-2</v>
      </c>
      <c r="W25" s="171">
        <v>161920.18000000002</v>
      </c>
      <c r="X25" s="172">
        <f t="shared" si="11"/>
        <v>3.4192127823309881E-2</v>
      </c>
      <c r="Y25" s="171">
        <v>275461.34999999998</v>
      </c>
      <c r="Z25" s="172">
        <f t="shared" si="12"/>
        <v>5.8168226403784259E-2</v>
      </c>
      <c r="AA25" s="171">
        <v>537538.14</v>
      </c>
      <c r="AB25" s="172">
        <f t="shared" si="13"/>
        <v>0.11351008128069177</v>
      </c>
      <c r="AC25" s="171">
        <f t="shared" si="14"/>
        <v>812999.49</v>
      </c>
      <c r="AD25" s="172">
        <f t="shared" si="15"/>
        <v>0.17167830768447603</v>
      </c>
      <c r="AE25" s="171">
        <v>1025283.05</v>
      </c>
      <c r="AF25" s="172">
        <f t="shared" si="16"/>
        <v>0.21650549734241289</v>
      </c>
      <c r="AG25" s="171">
        <v>0</v>
      </c>
      <c r="AH25" s="172">
        <f t="shared" si="17"/>
        <v>0</v>
      </c>
      <c r="AI25" s="171">
        <v>846485.73999999987</v>
      </c>
      <c r="AJ25" s="172">
        <f t="shared" si="18"/>
        <v>0.17874948399074808</v>
      </c>
      <c r="AK25" s="171">
        <v>157058.1</v>
      </c>
      <c r="AL25" s="172">
        <f t="shared" si="19"/>
        <v>3.3165419102709655E-2</v>
      </c>
      <c r="AN25" s="72"/>
    </row>
    <row r="26" spans="2:40" s="73" customFormat="1" ht="14.25" customHeight="1">
      <c r="B26" s="569"/>
      <c r="C26" s="572"/>
      <c r="D26" s="170">
        <v>46250</v>
      </c>
      <c r="E26" s="170" t="s">
        <v>116</v>
      </c>
      <c r="F26" s="320">
        <f t="shared" si="0"/>
        <v>6269913.0899999999</v>
      </c>
      <c r="G26" s="571"/>
      <c r="H26" s="566"/>
      <c r="I26" s="171">
        <v>793652.12999999989</v>
      </c>
      <c r="J26" s="172">
        <f t="shared" si="2"/>
        <v>0.12658104165204623</v>
      </c>
      <c r="K26" s="171">
        <v>1093741.4399999997</v>
      </c>
      <c r="L26" s="172">
        <f t="shared" si="3"/>
        <v>0.17444283904739097</v>
      </c>
      <c r="M26" s="171">
        <f t="shared" si="4"/>
        <v>1887393.5699999996</v>
      </c>
      <c r="N26" s="172">
        <f t="shared" ref="N26" si="70">M26/F26</f>
        <v>0.3010238806994372</v>
      </c>
      <c r="O26" s="171">
        <v>288498.48</v>
      </c>
      <c r="P26" s="172">
        <f t="shared" si="6"/>
        <v>4.6013154545974731E-2</v>
      </c>
      <c r="Q26" s="171">
        <v>0</v>
      </c>
      <c r="R26" s="172">
        <f t="shared" si="7"/>
        <v>0</v>
      </c>
      <c r="S26" s="171">
        <f t="shared" si="8"/>
        <v>288498.48</v>
      </c>
      <c r="T26" s="172">
        <f t="shared" ref="T26" si="71">S26/F26</f>
        <v>4.6013154545974731E-2</v>
      </c>
      <c r="U26" s="171">
        <v>84335.58</v>
      </c>
      <c r="V26" s="172">
        <f t="shared" ref="V26" si="72">U26/F26</f>
        <v>1.3450837163039528E-2</v>
      </c>
      <c r="W26" s="171">
        <v>220963.28</v>
      </c>
      <c r="X26" s="172">
        <f t="shared" si="11"/>
        <v>3.5241840967846653E-2</v>
      </c>
      <c r="Y26" s="171">
        <v>350031.54000000004</v>
      </c>
      <c r="Z26" s="172">
        <f t="shared" si="12"/>
        <v>5.5827175747981544E-2</v>
      </c>
      <c r="AA26" s="171">
        <v>627063.07000000007</v>
      </c>
      <c r="AB26" s="172">
        <f t="shared" si="13"/>
        <v>0.10001144529421221</v>
      </c>
      <c r="AC26" s="171">
        <f t="shared" si="14"/>
        <v>977094.6100000001</v>
      </c>
      <c r="AD26" s="172">
        <f t="shared" si="15"/>
        <v>0.15583862104219376</v>
      </c>
      <c r="AE26" s="171">
        <v>1640135.9000000001</v>
      </c>
      <c r="AF26" s="172">
        <f t="shared" si="16"/>
        <v>0.26158829898549679</v>
      </c>
      <c r="AG26" s="171">
        <v>0</v>
      </c>
      <c r="AH26" s="172">
        <f t="shared" si="17"/>
        <v>0</v>
      </c>
      <c r="AI26" s="171">
        <v>1026305.5099999999</v>
      </c>
      <c r="AJ26" s="172">
        <f t="shared" si="18"/>
        <v>0.16368735822460975</v>
      </c>
      <c r="AK26" s="171">
        <v>145186.15999999997</v>
      </c>
      <c r="AL26" s="172">
        <f t="shared" si="19"/>
        <v>2.3156008371401519E-2</v>
      </c>
      <c r="AN26" s="72"/>
    </row>
    <row r="27" spans="2:40" s="73" customFormat="1" ht="14.25" customHeight="1">
      <c r="B27" s="570"/>
      <c r="C27" s="573"/>
      <c r="D27" s="170">
        <v>46251</v>
      </c>
      <c r="E27" s="170" t="s">
        <v>117</v>
      </c>
      <c r="F27" s="320">
        <f t="shared" si="0"/>
        <v>6084577.5200000005</v>
      </c>
      <c r="G27" s="571"/>
      <c r="H27" s="566"/>
      <c r="I27" s="171">
        <v>784514.72000000009</v>
      </c>
      <c r="J27" s="172">
        <f t="shared" si="2"/>
        <v>0.12893495356436843</v>
      </c>
      <c r="K27" s="171">
        <v>1082040.97</v>
      </c>
      <c r="L27" s="172">
        <f t="shared" si="3"/>
        <v>0.17783337732871876</v>
      </c>
      <c r="M27" s="171">
        <f t="shared" si="4"/>
        <v>1866555.69</v>
      </c>
      <c r="N27" s="172">
        <f t="shared" ref="N27" si="73">M27/$F27</f>
        <v>0.30676833089308719</v>
      </c>
      <c r="O27" s="171">
        <v>281762.01</v>
      </c>
      <c r="P27" s="172">
        <f t="shared" si="6"/>
        <v>4.6307571737536184E-2</v>
      </c>
      <c r="Q27" s="171">
        <v>0</v>
      </c>
      <c r="R27" s="172">
        <f t="shared" si="7"/>
        <v>0</v>
      </c>
      <c r="S27" s="171">
        <f t="shared" si="8"/>
        <v>281762.01</v>
      </c>
      <c r="T27" s="172">
        <f t="shared" ref="T27" si="74">S27/$F27</f>
        <v>4.6307571737536184E-2</v>
      </c>
      <c r="U27" s="171">
        <v>73456.47</v>
      </c>
      <c r="V27" s="172">
        <f t="shared" ref="V27" si="75">U27/$F27</f>
        <v>1.2072567036667484E-2</v>
      </c>
      <c r="W27" s="171">
        <v>250384.3</v>
      </c>
      <c r="X27" s="172">
        <f t="shared" si="11"/>
        <v>4.115064672559221E-2</v>
      </c>
      <c r="Y27" s="171">
        <v>371928.8</v>
      </c>
      <c r="Z27" s="172">
        <f t="shared" si="12"/>
        <v>6.1126478999974997E-2</v>
      </c>
      <c r="AA27" s="171">
        <v>576313.35</v>
      </c>
      <c r="AB27" s="172">
        <f t="shared" si="13"/>
        <v>9.4717069197599757E-2</v>
      </c>
      <c r="AC27" s="171">
        <f t="shared" si="14"/>
        <v>948242.14999999991</v>
      </c>
      <c r="AD27" s="172">
        <f t="shared" si="15"/>
        <v>0.15584354819757476</v>
      </c>
      <c r="AE27" s="171">
        <v>1551809.46</v>
      </c>
      <c r="AF27" s="172">
        <f t="shared" si="16"/>
        <v>0.25503980430838524</v>
      </c>
      <c r="AG27" s="171">
        <v>0</v>
      </c>
      <c r="AH27" s="172">
        <f t="shared" si="17"/>
        <v>0</v>
      </c>
      <c r="AI27" s="171">
        <v>951265.58</v>
      </c>
      <c r="AJ27" s="172">
        <f t="shared" si="18"/>
        <v>0.15634044876134637</v>
      </c>
      <c r="AK27" s="171">
        <v>161101.85999999999</v>
      </c>
      <c r="AL27" s="172">
        <f t="shared" si="19"/>
        <v>2.6477082339810502E-2</v>
      </c>
      <c r="AN27" s="72"/>
    </row>
    <row r="28" spans="2:40" hidden="1">
      <c r="H28" s="566"/>
    </row>
    <row r="29" spans="2:40" hidden="1">
      <c r="H29" s="566"/>
    </row>
    <row r="30" spans="2:40" hidden="1">
      <c r="H30" s="566"/>
    </row>
    <row r="31" spans="2:40" hidden="1">
      <c r="H31" s="566"/>
    </row>
    <row r="32" spans="2:40" hidden="1">
      <c r="H32" s="566"/>
    </row>
    <row r="33" spans="8:8" hidden="1">
      <c r="H33" s="566"/>
    </row>
    <row r="34" spans="8:8" hidden="1">
      <c r="H34" s="566"/>
    </row>
    <row r="35" spans="8:8" hidden="1">
      <c r="H35" s="566"/>
    </row>
    <row r="36" spans="8:8" hidden="1">
      <c r="H36" s="566"/>
    </row>
    <row r="37" spans="8:8" hidden="1">
      <c r="H37" s="566"/>
    </row>
    <row r="38" spans="8:8" hidden="1">
      <c r="H38" s="566"/>
    </row>
    <row r="39" spans="8:8" hidden="1">
      <c r="H39" s="566"/>
    </row>
    <row r="40" spans="8:8" hidden="1">
      <c r="H40" s="566"/>
    </row>
    <row r="41" spans="8:8" hidden="1">
      <c r="H41" s="567"/>
    </row>
  </sheetData>
  <mergeCells count="43">
    <mergeCell ref="H7:H10"/>
    <mergeCell ref="B7:B13"/>
    <mergeCell ref="G7:G13"/>
    <mergeCell ref="C7:C10"/>
    <mergeCell ref="H11:H41"/>
    <mergeCell ref="B14:B20"/>
    <mergeCell ref="G14:G20"/>
    <mergeCell ref="B21:B27"/>
    <mergeCell ref="G21:G27"/>
    <mergeCell ref="C11:C27"/>
    <mergeCell ref="AK5:AL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4:AL4"/>
    <mergeCell ref="B2:AL2"/>
    <mergeCell ref="B3:B6"/>
    <mergeCell ref="C3:C6"/>
    <mergeCell ref="D3:E6"/>
    <mergeCell ref="F3:H4"/>
    <mergeCell ref="I3:AL3"/>
    <mergeCell ref="I4:N4"/>
    <mergeCell ref="O4:T4"/>
    <mergeCell ref="U4:V4"/>
    <mergeCell ref="M5:N5"/>
    <mergeCell ref="W4:X4"/>
    <mergeCell ref="Y4:AD4"/>
    <mergeCell ref="AE4:AF4"/>
    <mergeCell ref="AG4:AH4"/>
    <mergeCell ref="F5:F6"/>
    <mergeCell ref="AI4:AJ4"/>
    <mergeCell ref="G5:G6"/>
    <mergeCell ref="H5:H6"/>
    <mergeCell ref="I5:J5"/>
    <mergeCell ref="K5:L5"/>
  </mergeCells>
  <phoneticPr fontId="13" type="noConversion"/>
  <pageMargins left="0.7" right="0.7" top="0.75" bottom="0.75" header="0.3" footer="0.3"/>
  <pageSetup paperSize="257" orientation="portrait" horizontalDpi="203" verticalDpi="20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">
    <tabColor rgb="FFFFFFCC"/>
  </sheetPr>
  <dimension ref="A2:AL41"/>
  <sheetViews>
    <sheetView zoomScale="85" zoomScaleNormal="85" workbookViewId="0">
      <selection activeCell="C11" sqref="C11:C27"/>
    </sheetView>
  </sheetViews>
  <sheetFormatPr defaultColWidth="8.85546875" defaultRowHeight="14.25"/>
  <cols>
    <col min="1" max="1" width="8.85546875" style="75"/>
    <col min="2" max="2" width="13.140625" style="75" customWidth="1"/>
    <col min="3" max="3" width="8.85546875" style="94"/>
    <col min="4" max="4" width="17" style="94" customWidth="1"/>
    <col min="5" max="5" width="8.5703125" style="77" customWidth="1"/>
    <col min="6" max="8" width="17.42578125" style="95" customWidth="1"/>
    <col min="9" max="9" width="10.5703125" style="82" customWidth="1"/>
    <col min="10" max="10" width="10.5703125" style="84" customWidth="1"/>
    <col min="11" max="11" width="10.5703125" style="82" customWidth="1"/>
    <col min="12" max="12" width="10.5703125" style="84" customWidth="1"/>
    <col min="13" max="13" width="10.5703125" style="82" customWidth="1"/>
    <col min="14" max="14" width="10.5703125" style="84" customWidth="1"/>
    <col min="15" max="15" width="10.5703125" style="82" customWidth="1"/>
    <col min="16" max="16" width="10.5703125" style="84" customWidth="1"/>
    <col min="17" max="17" width="10.5703125" style="82" customWidth="1"/>
    <col min="18" max="18" width="10.5703125" style="84" customWidth="1"/>
    <col min="19" max="19" width="10.5703125" style="82" customWidth="1"/>
    <col min="20" max="20" width="10.5703125" style="84" customWidth="1"/>
    <col min="21" max="21" width="10.5703125" style="82" customWidth="1"/>
    <col min="22" max="22" width="10.5703125" style="84" customWidth="1"/>
    <col min="23" max="23" width="10.5703125" style="82" customWidth="1"/>
    <col min="24" max="24" width="10.5703125" style="84" customWidth="1"/>
    <col min="25" max="25" width="10.5703125" style="82" customWidth="1"/>
    <col min="26" max="26" width="10.5703125" style="84" customWidth="1"/>
    <col min="27" max="27" width="10.5703125" style="82" customWidth="1"/>
    <col min="28" max="28" width="10.5703125" style="84" customWidth="1"/>
    <col min="29" max="29" width="10.5703125" style="82" customWidth="1"/>
    <col min="30" max="30" width="10.5703125" style="84" customWidth="1"/>
    <col min="31" max="31" width="10.5703125" style="82" customWidth="1"/>
    <col min="32" max="32" width="10.5703125" style="84" customWidth="1"/>
    <col min="33" max="33" width="10.42578125" style="82" customWidth="1"/>
    <col min="34" max="34" width="10.42578125" style="84" customWidth="1"/>
    <col min="35" max="35" width="10.42578125" style="82" customWidth="1"/>
    <col min="36" max="36" width="10.42578125" style="84" customWidth="1"/>
    <col min="37" max="37" width="10.42578125" style="82" customWidth="1"/>
    <col min="38" max="38" width="10.42578125" style="84" customWidth="1"/>
    <col min="39" max="16384" width="8.85546875" style="75"/>
  </cols>
  <sheetData>
    <row r="2" spans="1:38" ht="38.1" customHeight="1">
      <c r="A2" s="74"/>
      <c r="B2" s="531" t="s">
        <v>302</v>
      </c>
      <c r="C2" s="531"/>
      <c r="D2" s="531"/>
      <c r="E2" s="531"/>
      <c r="F2" s="531"/>
      <c r="G2" s="531"/>
      <c r="H2" s="531"/>
      <c r="I2" s="531"/>
      <c r="J2" s="531"/>
      <c r="K2" s="531"/>
      <c r="L2" s="531"/>
      <c r="M2" s="531"/>
      <c r="N2" s="531"/>
      <c r="O2" s="531"/>
      <c r="P2" s="531"/>
      <c r="Q2" s="531"/>
      <c r="R2" s="531"/>
      <c r="S2" s="531"/>
      <c r="T2" s="531"/>
      <c r="U2" s="531"/>
      <c r="V2" s="531"/>
      <c r="W2" s="531"/>
      <c r="X2" s="531"/>
      <c r="Y2" s="531"/>
      <c r="Z2" s="531"/>
      <c r="AA2" s="531"/>
      <c r="AB2" s="531"/>
      <c r="AC2" s="531"/>
      <c r="AD2" s="531"/>
      <c r="AE2" s="531"/>
      <c r="AF2" s="531"/>
      <c r="AG2" s="531"/>
      <c r="AH2" s="531"/>
      <c r="AI2" s="531"/>
      <c r="AJ2" s="531"/>
      <c r="AK2" s="531"/>
      <c r="AL2" s="531"/>
    </row>
    <row r="3" spans="1:38" ht="25.35" customHeight="1">
      <c r="B3" s="557" t="s">
        <v>387</v>
      </c>
      <c r="C3" s="558" t="s">
        <v>388</v>
      </c>
      <c r="D3" s="559" t="s">
        <v>105</v>
      </c>
      <c r="E3" s="559"/>
      <c r="F3" s="580" t="s">
        <v>153</v>
      </c>
      <c r="G3" s="580"/>
      <c r="H3" s="580"/>
      <c r="I3" s="579" t="s">
        <v>300</v>
      </c>
      <c r="J3" s="579"/>
      <c r="K3" s="579"/>
      <c r="L3" s="579"/>
      <c r="M3" s="579"/>
      <c r="N3" s="579"/>
      <c r="O3" s="579"/>
      <c r="P3" s="579"/>
      <c r="Q3" s="579"/>
      <c r="R3" s="579"/>
      <c r="S3" s="579"/>
      <c r="T3" s="579"/>
      <c r="U3" s="579"/>
      <c r="V3" s="579"/>
      <c r="W3" s="579"/>
      <c r="X3" s="579"/>
      <c r="Y3" s="579"/>
      <c r="Z3" s="579"/>
      <c r="AA3" s="579"/>
      <c r="AB3" s="579"/>
      <c r="AC3" s="579"/>
      <c r="AD3" s="579"/>
      <c r="AE3" s="579"/>
      <c r="AF3" s="579"/>
      <c r="AG3" s="579"/>
      <c r="AH3" s="579"/>
      <c r="AI3" s="579"/>
      <c r="AJ3" s="579"/>
      <c r="AK3" s="579"/>
      <c r="AL3" s="579"/>
    </row>
    <row r="4" spans="1:38" ht="25.35" customHeight="1">
      <c r="B4" s="557"/>
      <c r="C4" s="558"/>
      <c r="D4" s="559"/>
      <c r="E4" s="559"/>
      <c r="F4" s="580"/>
      <c r="G4" s="580"/>
      <c r="H4" s="580"/>
      <c r="I4" s="576" t="s">
        <v>389</v>
      </c>
      <c r="J4" s="576"/>
      <c r="K4" s="576"/>
      <c r="L4" s="576"/>
      <c r="M4" s="576"/>
      <c r="N4" s="576"/>
      <c r="O4" s="576" t="s">
        <v>390</v>
      </c>
      <c r="P4" s="576"/>
      <c r="Q4" s="576"/>
      <c r="R4" s="576"/>
      <c r="S4" s="576"/>
      <c r="T4" s="576"/>
      <c r="U4" s="576" t="s">
        <v>391</v>
      </c>
      <c r="V4" s="576"/>
      <c r="W4" s="576" t="s">
        <v>392</v>
      </c>
      <c r="X4" s="576"/>
      <c r="Y4" s="576" t="s">
        <v>139</v>
      </c>
      <c r="Z4" s="576"/>
      <c r="AA4" s="576"/>
      <c r="AB4" s="576"/>
      <c r="AC4" s="576"/>
      <c r="AD4" s="576"/>
      <c r="AE4" s="576" t="s">
        <v>137</v>
      </c>
      <c r="AF4" s="576"/>
      <c r="AG4" s="576" t="s">
        <v>393</v>
      </c>
      <c r="AH4" s="576"/>
      <c r="AI4" s="576" t="s">
        <v>394</v>
      </c>
      <c r="AJ4" s="576"/>
      <c r="AK4" s="576" t="s">
        <v>143</v>
      </c>
      <c r="AL4" s="576"/>
    </row>
    <row r="5" spans="1:38" ht="25.35" customHeight="1">
      <c r="B5" s="557"/>
      <c r="C5" s="558"/>
      <c r="D5" s="559"/>
      <c r="E5" s="559"/>
      <c r="F5" s="577" t="s">
        <v>116</v>
      </c>
      <c r="G5" s="577" t="s">
        <v>120</v>
      </c>
      <c r="H5" s="577" t="s">
        <v>121</v>
      </c>
      <c r="I5" s="576" t="s">
        <v>133</v>
      </c>
      <c r="J5" s="576"/>
      <c r="K5" s="576" t="s">
        <v>134</v>
      </c>
      <c r="L5" s="576"/>
      <c r="M5" s="576" t="s">
        <v>152</v>
      </c>
      <c r="N5" s="576"/>
      <c r="O5" s="576" t="s">
        <v>133</v>
      </c>
      <c r="P5" s="576"/>
      <c r="Q5" s="576" t="s">
        <v>134</v>
      </c>
      <c r="R5" s="576"/>
      <c r="S5" s="576" t="s">
        <v>152</v>
      </c>
      <c r="T5" s="576"/>
      <c r="U5" s="576" t="s">
        <v>133</v>
      </c>
      <c r="V5" s="576"/>
      <c r="W5" s="576" t="s">
        <v>133</v>
      </c>
      <c r="X5" s="576"/>
      <c r="Y5" s="576" t="s">
        <v>133</v>
      </c>
      <c r="Z5" s="576"/>
      <c r="AA5" s="576" t="s">
        <v>134</v>
      </c>
      <c r="AB5" s="576"/>
      <c r="AC5" s="576" t="s">
        <v>152</v>
      </c>
      <c r="AD5" s="576"/>
      <c r="AE5" s="576" t="s">
        <v>133</v>
      </c>
      <c r="AF5" s="576"/>
      <c r="AG5" s="576" t="s">
        <v>133</v>
      </c>
      <c r="AH5" s="576"/>
      <c r="AI5" s="576" t="s">
        <v>133</v>
      </c>
      <c r="AJ5" s="576"/>
      <c r="AK5" s="576" t="s">
        <v>133</v>
      </c>
      <c r="AL5" s="576"/>
    </row>
    <row r="6" spans="1:38" s="77" customFormat="1" ht="23.45" customHeight="1">
      <c r="B6" s="557"/>
      <c r="C6" s="558"/>
      <c r="D6" s="560"/>
      <c r="E6" s="560"/>
      <c r="F6" s="578"/>
      <c r="G6" s="577"/>
      <c r="H6" s="577"/>
      <c r="I6" s="214" t="s">
        <v>154</v>
      </c>
      <c r="J6" s="173" t="s">
        <v>111</v>
      </c>
      <c r="K6" s="214" t="s">
        <v>154</v>
      </c>
      <c r="L6" s="173" t="s">
        <v>111</v>
      </c>
      <c r="M6" s="214" t="s">
        <v>154</v>
      </c>
      <c r="N6" s="173" t="s">
        <v>111</v>
      </c>
      <c r="O6" s="214" t="s">
        <v>154</v>
      </c>
      <c r="P6" s="173" t="s">
        <v>111</v>
      </c>
      <c r="Q6" s="214" t="s">
        <v>154</v>
      </c>
      <c r="R6" s="173" t="s">
        <v>111</v>
      </c>
      <c r="S6" s="214" t="s">
        <v>154</v>
      </c>
      <c r="T6" s="173" t="s">
        <v>111</v>
      </c>
      <c r="U6" s="214" t="s">
        <v>154</v>
      </c>
      <c r="V6" s="173" t="s">
        <v>111</v>
      </c>
      <c r="W6" s="214" t="s">
        <v>154</v>
      </c>
      <c r="X6" s="173" t="s">
        <v>111</v>
      </c>
      <c r="Y6" s="214" t="s">
        <v>154</v>
      </c>
      <c r="Z6" s="173" t="s">
        <v>111</v>
      </c>
      <c r="AA6" s="214" t="s">
        <v>154</v>
      </c>
      <c r="AB6" s="173" t="s">
        <v>111</v>
      </c>
      <c r="AC6" s="214" t="s">
        <v>154</v>
      </c>
      <c r="AD6" s="173" t="s">
        <v>111</v>
      </c>
      <c r="AE6" s="214" t="s">
        <v>154</v>
      </c>
      <c r="AF6" s="173" t="s">
        <v>111</v>
      </c>
      <c r="AG6" s="214" t="s">
        <v>154</v>
      </c>
      <c r="AH6" s="173" t="s">
        <v>111</v>
      </c>
      <c r="AI6" s="214" t="s">
        <v>154</v>
      </c>
      <c r="AJ6" s="173" t="s">
        <v>111</v>
      </c>
      <c r="AK6" s="214" t="s">
        <v>154</v>
      </c>
      <c r="AL6" s="173" t="s">
        <v>111</v>
      </c>
    </row>
    <row r="7" spans="1:38" s="73" customFormat="1" ht="14.25" customHeight="1">
      <c r="B7" s="568">
        <v>46239</v>
      </c>
      <c r="C7" s="572"/>
      <c r="D7" s="170">
        <v>46230</v>
      </c>
      <c r="E7" s="170" t="s">
        <v>118</v>
      </c>
      <c r="F7" s="321">
        <f t="shared" ref="F7:F27" si="0">SUM(M7,S7,U7,W7,AC7,AE7,AG7,AI7,AK7)</f>
        <v>213264</v>
      </c>
      <c r="G7" s="583">
        <f t="shared" ref="G7" si="1">SUM(F7:F13)</f>
        <v>1361947</v>
      </c>
      <c r="H7" s="581"/>
      <c r="I7" s="308">
        <v>45488</v>
      </c>
      <c r="J7" s="230">
        <f t="shared" ref="J7:J27" si="2">I7/$F7</f>
        <v>0.21329432065421261</v>
      </c>
      <c r="K7" s="308">
        <v>57537</v>
      </c>
      <c r="L7" s="230">
        <f t="shared" ref="L7:L27" si="3">K7/$F7</f>
        <v>0.26979237002025658</v>
      </c>
      <c r="M7" s="308">
        <f t="shared" ref="M7:M27" si="4">I7+K7</f>
        <v>103025</v>
      </c>
      <c r="N7" s="230">
        <f t="shared" ref="N7:N27" si="5">M7/$F7</f>
        <v>0.48308669067446919</v>
      </c>
      <c r="O7" s="308">
        <v>11432</v>
      </c>
      <c r="P7" s="230">
        <f t="shared" ref="P7:P27" si="6">O7/$F7</f>
        <v>5.3604921599519843E-2</v>
      </c>
      <c r="Q7" s="308">
        <v>0</v>
      </c>
      <c r="R7" s="230">
        <f t="shared" ref="R7:R27" si="7">Q7/$F7</f>
        <v>0</v>
      </c>
      <c r="S7" s="308">
        <f t="shared" ref="S7:S27" si="8">O7+Q7</f>
        <v>11432</v>
      </c>
      <c r="T7" s="230">
        <f t="shared" ref="T7:T27" si="9">S7/$F7</f>
        <v>5.3604921599519843E-2</v>
      </c>
      <c r="U7" s="308">
        <v>2424</v>
      </c>
      <c r="V7" s="230">
        <f t="shared" ref="V7:V27" si="10">U7/$F7</f>
        <v>1.1366194013054243E-2</v>
      </c>
      <c r="W7" s="308">
        <v>17095</v>
      </c>
      <c r="X7" s="230">
        <f t="shared" ref="X7:X27" si="11">W7/$F7</f>
        <v>8.0158864130842528E-2</v>
      </c>
      <c r="Y7" s="308">
        <v>7471</v>
      </c>
      <c r="Z7" s="230">
        <f t="shared" ref="Z7:Z27" si="12">Y7/$F7</f>
        <v>3.5031697801785583E-2</v>
      </c>
      <c r="AA7" s="308">
        <v>10322</v>
      </c>
      <c r="AB7" s="230">
        <f t="shared" ref="AB7:AB27" si="13">AA7/$F7</f>
        <v>4.8400105034136096E-2</v>
      </c>
      <c r="AC7" s="308">
        <f t="shared" ref="AC7:AC27" si="14">Y7+AA7</f>
        <v>17793</v>
      </c>
      <c r="AD7" s="230">
        <f t="shared" ref="AD7:AD27" si="15">AC7/$F7</f>
        <v>8.3431802835921678E-2</v>
      </c>
      <c r="AE7" s="308">
        <v>24810</v>
      </c>
      <c r="AF7" s="230">
        <f t="shared" ref="AF7:AF27" si="16">AE7/$F7</f>
        <v>0.11633468377222597</v>
      </c>
      <c r="AG7" s="308">
        <v>0</v>
      </c>
      <c r="AH7" s="230">
        <f t="shared" ref="AH7:AH27" si="17">AG7/$F7</f>
        <v>0</v>
      </c>
      <c r="AI7" s="308">
        <v>25278</v>
      </c>
      <c r="AJ7" s="230">
        <f t="shared" ref="AJ7:AJ27" si="18">AI7/$F7</f>
        <v>0.11852914697276615</v>
      </c>
      <c r="AK7" s="308">
        <v>11407</v>
      </c>
      <c r="AL7" s="230">
        <f t="shared" ref="AL7:AL27" si="19">AK7/$F7</f>
        <v>5.3487696001200388E-2</v>
      </c>
    </row>
    <row r="8" spans="1:38" s="73" customFormat="1" ht="14.25" customHeight="1">
      <c r="B8" s="569"/>
      <c r="C8" s="572"/>
      <c r="D8" s="170">
        <f t="shared" ref="D8:D27" si="20">D7+1</f>
        <v>46231</v>
      </c>
      <c r="E8" s="170" t="s">
        <v>112</v>
      </c>
      <c r="F8" s="321">
        <f t="shared" si="0"/>
        <v>201459</v>
      </c>
      <c r="G8" s="583"/>
      <c r="H8" s="581"/>
      <c r="I8" s="308">
        <v>44279</v>
      </c>
      <c r="J8" s="230">
        <f t="shared" si="2"/>
        <v>0.21979162013114331</v>
      </c>
      <c r="K8" s="308">
        <v>54467</v>
      </c>
      <c r="L8" s="230">
        <f t="shared" si="3"/>
        <v>0.27036270407378177</v>
      </c>
      <c r="M8" s="308">
        <f t="shared" si="4"/>
        <v>98746</v>
      </c>
      <c r="N8" s="230">
        <f t="shared" si="5"/>
        <v>0.49015432420492505</v>
      </c>
      <c r="O8" s="308">
        <v>11501</v>
      </c>
      <c r="P8" s="230">
        <f t="shared" si="6"/>
        <v>5.7088539107212885E-2</v>
      </c>
      <c r="Q8" s="308">
        <v>0</v>
      </c>
      <c r="R8" s="230">
        <f t="shared" si="7"/>
        <v>0</v>
      </c>
      <c r="S8" s="308">
        <f t="shared" si="8"/>
        <v>11501</v>
      </c>
      <c r="T8" s="230">
        <f t="shared" si="9"/>
        <v>5.7088539107212885E-2</v>
      </c>
      <c r="U8" s="308">
        <v>2170</v>
      </c>
      <c r="V8" s="230">
        <f t="shared" si="10"/>
        <v>1.0771422473059034E-2</v>
      </c>
      <c r="W8" s="308">
        <v>13175</v>
      </c>
      <c r="X8" s="230">
        <f t="shared" si="11"/>
        <v>6.5397922157858418E-2</v>
      </c>
      <c r="Y8" s="308">
        <v>6883</v>
      </c>
      <c r="Z8" s="230">
        <f t="shared" si="12"/>
        <v>3.4165760775145312E-2</v>
      </c>
      <c r="AA8" s="308">
        <v>10192</v>
      </c>
      <c r="AB8" s="230">
        <f t="shared" si="13"/>
        <v>5.0590939099270822E-2</v>
      </c>
      <c r="AC8" s="308">
        <f t="shared" si="14"/>
        <v>17075</v>
      </c>
      <c r="AD8" s="230">
        <f t="shared" si="15"/>
        <v>8.4756699874416128E-2</v>
      </c>
      <c r="AE8" s="308">
        <v>22675</v>
      </c>
      <c r="AF8" s="230">
        <f t="shared" si="16"/>
        <v>0.11255391915972977</v>
      </c>
      <c r="AG8" s="308">
        <v>0</v>
      </c>
      <c r="AH8" s="230">
        <f t="shared" si="17"/>
        <v>0</v>
      </c>
      <c r="AI8" s="308">
        <v>24753</v>
      </c>
      <c r="AJ8" s="230">
        <f t="shared" si="18"/>
        <v>0.12286867303024437</v>
      </c>
      <c r="AK8" s="308">
        <v>11364</v>
      </c>
      <c r="AL8" s="230">
        <f t="shared" si="19"/>
        <v>5.6408499992554317E-2</v>
      </c>
    </row>
    <row r="9" spans="1:38" s="73" customFormat="1" ht="14.25" customHeight="1">
      <c r="B9" s="569"/>
      <c r="C9" s="572"/>
      <c r="D9" s="170">
        <f t="shared" si="20"/>
        <v>46232</v>
      </c>
      <c r="E9" s="170" t="s">
        <v>113</v>
      </c>
      <c r="F9" s="321">
        <f t="shared" si="0"/>
        <v>187092</v>
      </c>
      <c r="G9" s="583"/>
      <c r="H9" s="581"/>
      <c r="I9" s="308">
        <v>41849</v>
      </c>
      <c r="J9" s="230">
        <f t="shared" si="2"/>
        <v>0.2236813973873816</v>
      </c>
      <c r="K9" s="308">
        <v>48419</v>
      </c>
      <c r="L9" s="230">
        <f t="shared" si="3"/>
        <v>0.25879781070275587</v>
      </c>
      <c r="M9" s="308">
        <f t="shared" si="4"/>
        <v>90268</v>
      </c>
      <c r="N9" s="230">
        <f t="shared" si="5"/>
        <v>0.48247920809013745</v>
      </c>
      <c r="O9" s="308">
        <v>10895</v>
      </c>
      <c r="P9" s="230">
        <f t="shared" si="6"/>
        <v>5.8233382507001906E-2</v>
      </c>
      <c r="Q9" s="308">
        <v>0</v>
      </c>
      <c r="R9" s="230">
        <f t="shared" si="7"/>
        <v>0</v>
      </c>
      <c r="S9" s="308">
        <f t="shared" si="8"/>
        <v>10895</v>
      </c>
      <c r="T9" s="230">
        <f t="shared" si="9"/>
        <v>5.8233382507001906E-2</v>
      </c>
      <c r="U9" s="308">
        <v>2184</v>
      </c>
      <c r="V9" s="230">
        <f t="shared" si="10"/>
        <v>1.1673401321275095E-2</v>
      </c>
      <c r="W9" s="308">
        <v>12625</v>
      </c>
      <c r="X9" s="230">
        <f t="shared" si="11"/>
        <v>6.748017018365296E-2</v>
      </c>
      <c r="Y9" s="308">
        <v>6417</v>
      </c>
      <c r="Z9" s="230">
        <f t="shared" si="12"/>
        <v>3.4298633827208005E-2</v>
      </c>
      <c r="AA9" s="308">
        <v>7813</v>
      </c>
      <c r="AB9" s="230">
        <f t="shared" si="13"/>
        <v>4.1760203536228169E-2</v>
      </c>
      <c r="AC9" s="308">
        <f t="shared" si="14"/>
        <v>14230</v>
      </c>
      <c r="AD9" s="230">
        <f t="shared" si="15"/>
        <v>7.6058837363436174E-2</v>
      </c>
      <c r="AE9" s="308">
        <v>20863</v>
      </c>
      <c r="AF9" s="230">
        <f t="shared" si="16"/>
        <v>0.11151198340923182</v>
      </c>
      <c r="AG9" s="308">
        <v>0</v>
      </c>
      <c r="AH9" s="230">
        <f t="shared" si="17"/>
        <v>0</v>
      </c>
      <c r="AI9" s="308">
        <v>25158</v>
      </c>
      <c r="AJ9" s="230">
        <f t="shared" si="18"/>
        <v>0.13446860368161118</v>
      </c>
      <c r="AK9" s="308">
        <v>10869</v>
      </c>
      <c r="AL9" s="230">
        <f t="shared" si="19"/>
        <v>5.8094413443653389E-2</v>
      </c>
    </row>
    <row r="10" spans="1:38" s="73" customFormat="1" ht="14.25" customHeight="1">
      <c r="B10" s="569"/>
      <c r="C10" s="573"/>
      <c r="D10" s="170">
        <f t="shared" si="20"/>
        <v>46233</v>
      </c>
      <c r="E10" s="170" t="s">
        <v>114</v>
      </c>
      <c r="F10" s="321">
        <f t="shared" si="0"/>
        <v>159659</v>
      </c>
      <c r="G10" s="583"/>
      <c r="H10" s="582"/>
      <c r="I10" s="308">
        <v>31930</v>
      </c>
      <c r="J10" s="230">
        <f t="shared" si="2"/>
        <v>0.1999887259722283</v>
      </c>
      <c r="K10" s="308">
        <v>44449</v>
      </c>
      <c r="L10" s="230">
        <f t="shared" si="3"/>
        <v>0.27839958912432122</v>
      </c>
      <c r="M10" s="308">
        <f t="shared" si="4"/>
        <v>76379</v>
      </c>
      <c r="N10" s="230">
        <f t="shared" si="5"/>
        <v>0.4783883150965495</v>
      </c>
      <c r="O10" s="308">
        <v>8693</v>
      </c>
      <c r="P10" s="230">
        <f t="shared" si="6"/>
        <v>5.4447290788492975E-2</v>
      </c>
      <c r="Q10" s="308">
        <v>0</v>
      </c>
      <c r="R10" s="230">
        <f t="shared" si="7"/>
        <v>0</v>
      </c>
      <c r="S10" s="308">
        <f t="shared" si="8"/>
        <v>8693</v>
      </c>
      <c r="T10" s="230">
        <f t="shared" si="9"/>
        <v>5.4447290788492975E-2</v>
      </c>
      <c r="U10" s="308">
        <v>1611</v>
      </c>
      <c r="V10" s="230">
        <f t="shared" si="10"/>
        <v>1.0090254855661127E-2</v>
      </c>
      <c r="W10" s="308">
        <v>9171</v>
      </c>
      <c r="X10" s="230">
        <f t="shared" si="11"/>
        <v>5.7441171496752451E-2</v>
      </c>
      <c r="Y10" s="308">
        <v>5633</v>
      </c>
      <c r="Z10" s="230">
        <f t="shared" si="12"/>
        <v>3.5281443576622676E-2</v>
      </c>
      <c r="AA10" s="308">
        <v>7457</v>
      </c>
      <c r="AB10" s="230">
        <f t="shared" si="13"/>
        <v>4.6705791718600266E-2</v>
      </c>
      <c r="AC10" s="308">
        <f t="shared" si="14"/>
        <v>13090</v>
      </c>
      <c r="AD10" s="230">
        <f t="shared" si="15"/>
        <v>8.1987235295222949E-2</v>
      </c>
      <c r="AE10" s="308">
        <v>15571</v>
      </c>
      <c r="AF10" s="230">
        <f t="shared" si="16"/>
        <v>9.7526603573866805E-2</v>
      </c>
      <c r="AG10" s="308">
        <v>0</v>
      </c>
      <c r="AH10" s="230">
        <f t="shared" si="17"/>
        <v>0</v>
      </c>
      <c r="AI10" s="308">
        <v>25690</v>
      </c>
      <c r="AJ10" s="230">
        <f t="shared" si="18"/>
        <v>0.16090542969704183</v>
      </c>
      <c r="AK10" s="308">
        <v>9454</v>
      </c>
      <c r="AL10" s="230">
        <f t="shared" si="19"/>
        <v>5.9213699196412353E-2</v>
      </c>
    </row>
    <row r="11" spans="1:38" s="73" customFormat="1" ht="14.25" customHeight="1">
      <c r="B11" s="569"/>
      <c r="C11" s="575" t="s">
        <v>563</v>
      </c>
      <c r="D11" s="170">
        <f t="shared" si="20"/>
        <v>46234</v>
      </c>
      <c r="E11" s="170" t="s">
        <v>115</v>
      </c>
      <c r="F11" s="321">
        <f t="shared" si="0"/>
        <v>170810</v>
      </c>
      <c r="G11" s="583"/>
      <c r="H11" s="584">
        <f>SUM(F11:F41)</f>
        <v>3191112</v>
      </c>
      <c r="I11" s="308">
        <v>30379</v>
      </c>
      <c r="J11" s="230">
        <f t="shared" si="2"/>
        <v>0.177852584743282</v>
      </c>
      <c r="K11" s="308">
        <v>51912</v>
      </c>
      <c r="L11" s="230">
        <f t="shared" si="3"/>
        <v>0.3039166325156607</v>
      </c>
      <c r="M11" s="308">
        <f t="shared" si="4"/>
        <v>82291</v>
      </c>
      <c r="N11" s="230">
        <f t="shared" si="5"/>
        <v>0.48176921725894267</v>
      </c>
      <c r="O11" s="308">
        <v>8393</v>
      </c>
      <c r="P11" s="230">
        <f t="shared" si="6"/>
        <v>4.9136467419940287E-2</v>
      </c>
      <c r="Q11" s="308">
        <v>0</v>
      </c>
      <c r="R11" s="230">
        <f t="shared" si="7"/>
        <v>0</v>
      </c>
      <c r="S11" s="308">
        <f t="shared" si="8"/>
        <v>8393</v>
      </c>
      <c r="T11" s="230">
        <f t="shared" si="9"/>
        <v>4.9136467419940287E-2</v>
      </c>
      <c r="U11" s="308">
        <v>1656</v>
      </c>
      <c r="V11" s="230">
        <f t="shared" si="10"/>
        <v>9.6949827293483989E-3</v>
      </c>
      <c r="W11" s="308">
        <v>10193</v>
      </c>
      <c r="X11" s="230">
        <f t="shared" si="11"/>
        <v>5.9674492125753764E-2</v>
      </c>
      <c r="Y11" s="308">
        <v>6072</v>
      </c>
      <c r="Z11" s="230">
        <f t="shared" si="12"/>
        <v>3.5548270007610794E-2</v>
      </c>
      <c r="AA11" s="308">
        <v>9679</v>
      </c>
      <c r="AB11" s="230">
        <f t="shared" si="13"/>
        <v>5.6665300626427023E-2</v>
      </c>
      <c r="AC11" s="308">
        <f t="shared" si="14"/>
        <v>15751</v>
      </c>
      <c r="AD11" s="230">
        <f t="shared" si="15"/>
        <v>9.2213570634037817E-2</v>
      </c>
      <c r="AE11" s="308">
        <v>16749</v>
      </c>
      <c r="AF11" s="230">
        <f t="shared" si="16"/>
        <v>9.8056319887594404E-2</v>
      </c>
      <c r="AG11" s="308">
        <v>0</v>
      </c>
      <c r="AH11" s="230">
        <f t="shared" si="17"/>
        <v>0</v>
      </c>
      <c r="AI11" s="308">
        <v>26285</v>
      </c>
      <c r="AJ11" s="230">
        <f t="shared" si="18"/>
        <v>0.15388443299572624</v>
      </c>
      <c r="AK11" s="308">
        <v>9492</v>
      </c>
      <c r="AL11" s="230">
        <f t="shared" si="19"/>
        <v>5.5570516948656404E-2</v>
      </c>
    </row>
    <row r="12" spans="1:38" s="73" customFormat="1" ht="14.25" customHeight="1">
      <c r="B12" s="569"/>
      <c r="C12" s="572"/>
      <c r="D12" s="170">
        <f t="shared" si="20"/>
        <v>46235</v>
      </c>
      <c r="E12" s="170" t="s">
        <v>116</v>
      </c>
      <c r="F12" s="321">
        <f t="shared" si="0"/>
        <v>216220</v>
      </c>
      <c r="G12" s="583"/>
      <c r="H12" s="581"/>
      <c r="I12" s="308">
        <v>44211</v>
      </c>
      <c r="J12" s="230">
        <f t="shared" si="2"/>
        <v>0.20447229673480713</v>
      </c>
      <c r="K12" s="308">
        <v>59625</v>
      </c>
      <c r="L12" s="230">
        <f t="shared" si="3"/>
        <v>0.27576079918601426</v>
      </c>
      <c r="M12" s="308">
        <f t="shared" si="4"/>
        <v>103836</v>
      </c>
      <c r="N12" s="230">
        <f t="shared" si="5"/>
        <v>0.48023309592082136</v>
      </c>
      <c r="O12" s="308">
        <v>11257</v>
      </c>
      <c r="P12" s="230">
        <f t="shared" si="6"/>
        <v>5.2062713902506705E-2</v>
      </c>
      <c r="Q12" s="308">
        <v>0</v>
      </c>
      <c r="R12" s="230">
        <f t="shared" si="7"/>
        <v>0</v>
      </c>
      <c r="S12" s="308">
        <f t="shared" si="8"/>
        <v>11257</v>
      </c>
      <c r="T12" s="230">
        <f t="shared" si="9"/>
        <v>5.2062713902506705E-2</v>
      </c>
      <c r="U12" s="308">
        <v>2715</v>
      </c>
      <c r="V12" s="230">
        <f t="shared" si="10"/>
        <v>1.2556655258532976E-2</v>
      </c>
      <c r="W12" s="308">
        <v>11384</v>
      </c>
      <c r="X12" s="230">
        <f t="shared" si="11"/>
        <v>5.2650078623624086E-2</v>
      </c>
      <c r="Y12" s="308">
        <v>7444</v>
      </c>
      <c r="Z12" s="230">
        <f t="shared" si="12"/>
        <v>3.4427897511793544E-2</v>
      </c>
      <c r="AA12" s="308">
        <v>11380</v>
      </c>
      <c r="AB12" s="230">
        <f t="shared" si="13"/>
        <v>5.2631578947368418E-2</v>
      </c>
      <c r="AC12" s="308">
        <f t="shared" si="14"/>
        <v>18824</v>
      </c>
      <c r="AD12" s="230">
        <f t="shared" si="15"/>
        <v>8.7059476459161969E-2</v>
      </c>
      <c r="AE12" s="308">
        <v>27748</v>
      </c>
      <c r="AF12" s="230">
        <f t="shared" si="16"/>
        <v>0.12833225418555175</v>
      </c>
      <c r="AG12" s="308">
        <v>0</v>
      </c>
      <c r="AH12" s="230">
        <f t="shared" si="17"/>
        <v>0</v>
      </c>
      <c r="AI12" s="308">
        <v>29293</v>
      </c>
      <c r="AJ12" s="230">
        <f t="shared" si="18"/>
        <v>0.13547775413930258</v>
      </c>
      <c r="AK12" s="308">
        <v>11163</v>
      </c>
      <c r="AL12" s="230">
        <f t="shared" si="19"/>
        <v>5.1627971510498569E-2</v>
      </c>
    </row>
    <row r="13" spans="1:38" s="73" customFormat="1" ht="14.25" customHeight="1">
      <c r="B13" s="570"/>
      <c r="C13" s="572"/>
      <c r="D13" s="170">
        <f t="shared" si="20"/>
        <v>46236</v>
      </c>
      <c r="E13" s="170" t="s">
        <v>117</v>
      </c>
      <c r="F13" s="321">
        <f t="shared" si="0"/>
        <v>213443</v>
      </c>
      <c r="G13" s="583"/>
      <c r="H13" s="581"/>
      <c r="I13" s="308">
        <v>43672</v>
      </c>
      <c r="J13" s="230">
        <f t="shared" si="2"/>
        <v>0.20460731905005083</v>
      </c>
      <c r="K13" s="308">
        <v>58843</v>
      </c>
      <c r="L13" s="230">
        <f t="shared" si="3"/>
        <v>0.27568484326026155</v>
      </c>
      <c r="M13" s="308">
        <f t="shared" si="4"/>
        <v>102515</v>
      </c>
      <c r="N13" s="230">
        <f t="shared" si="5"/>
        <v>0.48029216231031235</v>
      </c>
      <c r="O13" s="308">
        <v>10839</v>
      </c>
      <c r="P13" s="230">
        <f t="shared" si="6"/>
        <v>5.0781707528473642E-2</v>
      </c>
      <c r="Q13" s="308">
        <v>0</v>
      </c>
      <c r="R13" s="230">
        <f t="shared" si="7"/>
        <v>0</v>
      </c>
      <c r="S13" s="308">
        <f t="shared" si="8"/>
        <v>10839</v>
      </c>
      <c r="T13" s="230">
        <f t="shared" si="9"/>
        <v>5.0781707528473642E-2</v>
      </c>
      <c r="U13" s="308">
        <v>2369</v>
      </c>
      <c r="V13" s="230">
        <f t="shared" si="10"/>
        <v>1.1098981929601815E-2</v>
      </c>
      <c r="W13" s="308">
        <v>12791</v>
      </c>
      <c r="X13" s="230">
        <f t="shared" si="11"/>
        <v>5.9927006273337614E-2</v>
      </c>
      <c r="Y13" s="308">
        <v>7631</v>
      </c>
      <c r="Z13" s="230">
        <f t="shared" si="12"/>
        <v>3.5751933771545563E-2</v>
      </c>
      <c r="AA13" s="308">
        <v>10280</v>
      </c>
      <c r="AB13" s="230">
        <f t="shared" si="13"/>
        <v>4.8162741340779504E-2</v>
      </c>
      <c r="AC13" s="308">
        <f t="shared" si="14"/>
        <v>17911</v>
      </c>
      <c r="AD13" s="230">
        <f t="shared" si="15"/>
        <v>8.3914675112325074E-2</v>
      </c>
      <c r="AE13" s="308">
        <v>25707</v>
      </c>
      <c r="AF13" s="230">
        <f t="shared" si="16"/>
        <v>0.12043964899293956</v>
      </c>
      <c r="AG13" s="308">
        <v>0</v>
      </c>
      <c r="AH13" s="230">
        <f t="shared" si="17"/>
        <v>0</v>
      </c>
      <c r="AI13" s="308">
        <v>29105</v>
      </c>
      <c r="AJ13" s="230">
        <f t="shared" si="18"/>
        <v>0.13635959014818944</v>
      </c>
      <c r="AK13" s="308">
        <v>12206</v>
      </c>
      <c r="AL13" s="230">
        <f t="shared" si="19"/>
        <v>5.7186227704820493E-2</v>
      </c>
    </row>
    <row r="14" spans="1:38" s="73" customFormat="1" ht="14.25" customHeight="1">
      <c r="B14" s="585">
        <f>B7+7</f>
        <v>46246</v>
      </c>
      <c r="C14" s="572"/>
      <c r="D14" s="170">
        <f t="shared" si="20"/>
        <v>46237</v>
      </c>
      <c r="E14" s="170" t="s">
        <v>118</v>
      </c>
      <c r="F14" s="321">
        <f t="shared" si="0"/>
        <v>211425</v>
      </c>
      <c r="G14" s="583">
        <f t="shared" ref="G14" si="21">SUM(F14:F20)</f>
        <v>1345846</v>
      </c>
      <c r="H14" s="581"/>
      <c r="I14" s="308">
        <v>43309</v>
      </c>
      <c r="J14" s="230">
        <f t="shared" si="2"/>
        <v>0.20484332505616648</v>
      </c>
      <c r="K14" s="308">
        <v>58265</v>
      </c>
      <c r="L14" s="230">
        <f t="shared" si="3"/>
        <v>0.27558235781009816</v>
      </c>
      <c r="M14" s="308">
        <f t="shared" si="4"/>
        <v>101574</v>
      </c>
      <c r="N14" s="230">
        <f t="shared" si="5"/>
        <v>0.48042568286626464</v>
      </c>
      <c r="O14" s="308">
        <v>10803</v>
      </c>
      <c r="P14" s="230">
        <f t="shared" si="6"/>
        <v>5.1096133380631431E-2</v>
      </c>
      <c r="Q14" s="308">
        <v>0</v>
      </c>
      <c r="R14" s="230">
        <f t="shared" si="7"/>
        <v>0</v>
      </c>
      <c r="S14" s="308">
        <f t="shared" si="8"/>
        <v>10803</v>
      </c>
      <c r="T14" s="230">
        <f t="shared" si="9"/>
        <v>5.1096133380631431E-2</v>
      </c>
      <c r="U14" s="308">
        <v>2481</v>
      </c>
      <c r="V14" s="230">
        <f t="shared" si="10"/>
        <v>1.1734657680028378E-2</v>
      </c>
      <c r="W14" s="308">
        <v>10926</v>
      </c>
      <c r="X14" s="230">
        <f t="shared" si="11"/>
        <v>5.167789996452643E-2</v>
      </c>
      <c r="Y14" s="308">
        <v>6864</v>
      </c>
      <c r="Z14" s="230">
        <f t="shared" si="12"/>
        <v>3.2465413267116001E-2</v>
      </c>
      <c r="AA14" s="308">
        <v>10278</v>
      </c>
      <c r="AB14" s="230">
        <f t="shared" si="13"/>
        <v>4.8612983327421068E-2</v>
      </c>
      <c r="AC14" s="308">
        <f t="shared" si="14"/>
        <v>17142</v>
      </c>
      <c r="AD14" s="230">
        <f t="shared" si="15"/>
        <v>8.1078396594537069E-2</v>
      </c>
      <c r="AE14" s="308">
        <v>24827</v>
      </c>
      <c r="AF14" s="230">
        <f t="shared" si="16"/>
        <v>0.11742698356391156</v>
      </c>
      <c r="AG14" s="308">
        <v>0</v>
      </c>
      <c r="AH14" s="230">
        <f t="shared" si="17"/>
        <v>0</v>
      </c>
      <c r="AI14" s="308">
        <v>32596</v>
      </c>
      <c r="AJ14" s="230">
        <f t="shared" si="18"/>
        <v>0.1541728745417997</v>
      </c>
      <c r="AK14" s="308">
        <v>11076</v>
      </c>
      <c r="AL14" s="230">
        <f t="shared" si="19"/>
        <v>5.2387371408300819E-2</v>
      </c>
    </row>
    <row r="15" spans="1:38" s="73" customFormat="1" ht="14.25" customHeight="1">
      <c r="B15" s="586"/>
      <c r="C15" s="572"/>
      <c r="D15" s="170">
        <f t="shared" si="20"/>
        <v>46238</v>
      </c>
      <c r="E15" s="170" t="s">
        <v>112</v>
      </c>
      <c r="F15" s="321">
        <f t="shared" si="0"/>
        <v>203649</v>
      </c>
      <c r="G15" s="583"/>
      <c r="H15" s="581"/>
      <c r="I15" s="308">
        <v>42566</v>
      </c>
      <c r="J15" s="230">
        <f t="shared" si="2"/>
        <v>0.20901649406577003</v>
      </c>
      <c r="K15" s="308">
        <v>55591</v>
      </c>
      <c r="L15" s="230">
        <f t="shared" si="3"/>
        <v>0.27297457880961851</v>
      </c>
      <c r="M15" s="308">
        <f t="shared" si="4"/>
        <v>98157</v>
      </c>
      <c r="N15" s="230">
        <f t="shared" si="5"/>
        <v>0.48199107287538856</v>
      </c>
      <c r="O15" s="308">
        <v>10739</v>
      </c>
      <c r="P15" s="230">
        <f t="shared" si="6"/>
        <v>5.2732888450225633E-2</v>
      </c>
      <c r="Q15" s="308">
        <v>0</v>
      </c>
      <c r="R15" s="230">
        <f t="shared" si="7"/>
        <v>0</v>
      </c>
      <c r="S15" s="308">
        <f t="shared" si="8"/>
        <v>10739</v>
      </c>
      <c r="T15" s="230">
        <f t="shared" si="9"/>
        <v>5.2732888450225633E-2</v>
      </c>
      <c r="U15" s="308">
        <v>2107</v>
      </c>
      <c r="V15" s="230">
        <f t="shared" si="10"/>
        <v>1.0346232979292803E-2</v>
      </c>
      <c r="W15" s="308">
        <v>10904</v>
      </c>
      <c r="X15" s="230">
        <f t="shared" si="11"/>
        <v>5.3543106030474005E-2</v>
      </c>
      <c r="Y15" s="308">
        <v>6264</v>
      </c>
      <c r="Z15" s="230">
        <f t="shared" si="12"/>
        <v>3.0758805591974428E-2</v>
      </c>
      <c r="AA15" s="308">
        <v>10014</v>
      </c>
      <c r="AB15" s="230">
        <f t="shared" si="13"/>
        <v>4.9172841506710072E-2</v>
      </c>
      <c r="AC15" s="308">
        <f t="shared" si="14"/>
        <v>16278</v>
      </c>
      <c r="AD15" s="230">
        <f t="shared" si="15"/>
        <v>7.99316470986845E-2</v>
      </c>
      <c r="AE15" s="308">
        <v>23106</v>
      </c>
      <c r="AF15" s="230">
        <f t="shared" si="16"/>
        <v>0.11345992369223518</v>
      </c>
      <c r="AG15" s="308">
        <v>0</v>
      </c>
      <c r="AH15" s="230">
        <f t="shared" si="17"/>
        <v>0</v>
      </c>
      <c r="AI15" s="308">
        <v>31313</v>
      </c>
      <c r="AJ15" s="230">
        <f t="shared" si="18"/>
        <v>0.15375965509283129</v>
      </c>
      <c r="AK15" s="308">
        <v>11045</v>
      </c>
      <c r="AL15" s="230">
        <f t="shared" si="19"/>
        <v>5.4235473780868064E-2</v>
      </c>
    </row>
    <row r="16" spans="1:38" s="73" customFormat="1" ht="14.25" customHeight="1">
      <c r="B16" s="586"/>
      <c r="C16" s="572"/>
      <c r="D16" s="170">
        <f t="shared" si="20"/>
        <v>46239</v>
      </c>
      <c r="E16" s="170" t="s">
        <v>113</v>
      </c>
      <c r="F16" s="321">
        <f t="shared" si="0"/>
        <v>188918</v>
      </c>
      <c r="G16" s="583"/>
      <c r="H16" s="581"/>
      <c r="I16" s="308">
        <v>40837</v>
      </c>
      <c r="J16" s="230">
        <f t="shared" si="2"/>
        <v>0.2161625678865963</v>
      </c>
      <c r="K16" s="308">
        <v>50083</v>
      </c>
      <c r="L16" s="230">
        <f t="shared" si="3"/>
        <v>0.26510443684561558</v>
      </c>
      <c r="M16" s="308">
        <f t="shared" si="4"/>
        <v>90920</v>
      </c>
      <c r="N16" s="230">
        <f t="shared" si="5"/>
        <v>0.48126700473221184</v>
      </c>
      <c r="O16" s="308">
        <v>10151</v>
      </c>
      <c r="P16" s="230">
        <f t="shared" si="6"/>
        <v>5.3732307138546882E-2</v>
      </c>
      <c r="Q16" s="308">
        <v>0</v>
      </c>
      <c r="R16" s="230">
        <f t="shared" si="7"/>
        <v>0</v>
      </c>
      <c r="S16" s="308">
        <f t="shared" si="8"/>
        <v>10151</v>
      </c>
      <c r="T16" s="230">
        <f t="shared" si="9"/>
        <v>5.3732307138546882E-2</v>
      </c>
      <c r="U16" s="308">
        <v>2168</v>
      </c>
      <c r="V16" s="230">
        <f t="shared" si="10"/>
        <v>1.1475878423442975E-2</v>
      </c>
      <c r="W16" s="308">
        <v>10626</v>
      </c>
      <c r="X16" s="230">
        <f t="shared" si="11"/>
        <v>5.6246625520066908E-2</v>
      </c>
      <c r="Y16" s="308">
        <v>5871</v>
      </c>
      <c r="Z16" s="230">
        <f t="shared" si="12"/>
        <v>3.1076975195587504E-2</v>
      </c>
      <c r="AA16" s="308">
        <v>7631</v>
      </c>
      <c r="AB16" s="230">
        <f t="shared" si="13"/>
        <v>4.0393186461851173E-2</v>
      </c>
      <c r="AC16" s="308">
        <f t="shared" si="14"/>
        <v>13502</v>
      </c>
      <c r="AD16" s="230">
        <f t="shared" si="15"/>
        <v>7.1470161657438677E-2</v>
      </c>
      <c r="AE16" s="308">
        <v>20278</v>
      </c>
      <c r="AF16" s="230">
        <f t="shared" si="16"/>
        <v>0.10733757503255381</v>
      </c>
      <c r="AG16" s="308">
        <v>0</v>
      </c>
      <c r="AH16" s="230">
        <f t="shared" si="17"/>
        <v>0</v>
      </c>
      <c r="AI16" s="308">
        <v>30366</v>
      </c>
      <c r="AJ16" s="230">
        <f t="shared" si="18"/>
        <v>0.1607364041541833</v>
      </c>
      <c r="AK16" s="308">
        <v>10907</v>
      </c>
      <c r="AL16" s="230">
        <f t="shared" si="19"/>
        <v>5.7734043341555595E-2</v>
      </c>
    </row>
    <row r="17" spans="2:38" s="73" customFormat="1" ht="14.25" customHeight="1">
      <c r="B17" s="586"/>
      <c r="C17" s="572"/>
      <c r="D17" s="170">
        <f t="shared" si="20"/>
        <v>46240</v>
      </c>
      <c r="E17" s="170" t="s">
        <v>114</v>
      </c>
      <c r="F17" s="321">
        <f t="shared" si="0"/>
        <v>157640</v>
      </c>
      <c r="G17" s="583"/>
      <c r="H17" s="581"/>
      <c r="I17" s="308">
        <v>30769</v>
      </c>
      <c r="J17" s="230">
        <f t="shared" si="2"/>
        <v>0.19518523217457498</v>
      </c>
      <c r="K17" s="308">
        <v>44602</v>
      </c>
      <c r="L17" s="230">
        <f t="shared" si="3"/>
        <v>0.28293580309566102</v>
      </c>
      <c r="M17" s="308">
        <f t="shared" si="4"/>
        <v>75371</v>
      </c>
      <c r="N17" s="230">
        <f t="shared" si="5"/>
        <v>0.47812103527023597</v>
      </c>
      <c r="O17" s="308">
        <v>7769</v>
      </c>
      <c r="P17" s="230">
        <f t="shared" si="6"/>
        <v>4.928317685866531E-2</v>
      </c>
      <c r="Q17" s="308">
        <v>0</v>
      </c>
      <c r="R17" s="230">
        <f t="shared" si="7"/>
        <v>0</v>
      </c>
      <c r="S17" s="308">
        <f t="shared" si="8"/>
        <v>7769</v>
      </c>
      <c r="T17" s="230">
        <f t="shared" si="9"/>
        <v>4.928317685866531E-2</v>
      </c>
      <c r="U17" s="308">
        <v>1475</v>
      </c>
      <c r="V17" s="230">
        <f t="shared" si="10"/>
        <v>9.3567622430855112E-3</v>
      </c>
      <c r="W17" s="308">
        <v>7835</v>
      </c>
      <c r="X17" s="230">
        <f t="shared" si="11"/>
        <v>4.9701852321745753E-2</v>
      </c>
      <c r="Y17" s="308">
        <v>5138</v>
      </c>
      <c r="Z17" s="230">
        <f t="shared" si="12"/>
        <v>3.2593250444049732E-2</v>
      </c>
      <c r="AA17" s="308">
        <v>7598</v>
      </c>
      <c r="AB17" s="230">
        <f t="shared" si="13"/>
        <v>4.8198426795229635E-2</v>
      </c>
      <c r="AC17" s="308">
        <f t="shared" si="14"/>
        <v>12736</v>
      </c>
      <c r="AD17" s="230">
        <f t="shared" si="15"/>
        <v>8.0791677239279366E-2</v>
      </c>
      <c r="AE17" s="308">
        <v>15213</v>
      </c>
      <c r="AF17" s="230">
        <f t="shared" si="16"/>
        <v>9.65046942400406E-2</v>
      </c>
      <c r="AG17" s="308">
        <v>0</v>
      </c>
      <c r="AH17" s="230">
        <f t="shared" si="17"/>
        <v>0</v>
      </c>
      <c r="AI17" s="308">
        <v>27885</v>
      </c>
      <c r="AJ17" s="230">
        <f t="shared" si="18"/>
        <v>0.17689038315148439</v>
      </c>
      <c r="AK17" s="308">
        <v>9356</v>
      </c>
      <c r="AL17" s="230">
        <f t="shared" si="19"/>
        <v>5.9350418675463083E-2</v>
      </c>
    </row>
    <row r="18" spans="2:38" s="73" customFormat="1" ht="14.25" customHeight="1">
      <c r="B18" s="586"/>
      <c r="C18" s="572"/>
      <c r="D18" s="170">
        <f t="shared" si="20"/>
        <v>46241</v>
      </c>
      <c r="E18" s="170" t="s">
        <v>115</v>
      </c>
      <c r="F18" s="321">
        <f t="shared" si="0"/>
        <v>168530</v>
      </c>
      <c r="G18" s="583"/>
      <c r="H18" s="581"/>
      <c r="I18" s="308">
        <v>29367</v>
      </c>
      <c r="J18" s="230">
        <f t="shared" si="2"/>
        <v>0.17425384204592653</v>
      </c>
      <c r="K18" s="308">
        <v>52357</v>
      </c>
      <c r="L18" s="230">
        <f t="shared" si="3"/>
        <v>0.31066872366937637</v>
      </c>
      <c r="M18" s="308">
        <f t="shared" si="4"/>
        <v>81724</v>
      </c>
      <c r="N18" s="230">
        <f t="shared" si="5"/>
        <v>0.4849225657153029</v>
      </c>
      <c r="O18" s="308">
        <v>7386</v>
      </c>
      <c r="P18" s="230">
        <f t="shared" si="6"/>
        <v>4.3826025040052216E-2</v>
      </c>
      <c r="Q18" s="308">
        <v>0</v>
      </c>
      <c r="R18" s="230">
        <f t="shared" si="7"/>
        <v>0</v>
      </c>
      <c r="S18" s="308">
        <f t="shared" si="8"/>
        <v>7386</v>
      </c>
      <c r="T18" s="230">
        <f t="shared" si="9"/>
        <v>4.3826025040052216E-2</v>
      </c>
      <c r="U18" s="308">
        <v>1590</v>
      </c>
      <c r="V18" s="230">
        <f t="shared" si="10"/>
        <v>9.4345220435530768E-3</v>
      </c>
      <c r="W18" s="308">
        <v>8272</v>
      </c>
      <c r="X18" s="230">
        <f t="shared" si="11"/>
        <v>4.9083249273126447E-2</v>
      </c>
      <c r="Y18" s="308">
        <v>5571</v>
      </c>
      <c r="Z18" s="230">
        <f t="shared" si="12"/>
        <v>3.305642912241144E-2</v>
      </c>
      <c r="AA18" s="308">
        <v>9663</v>
      </c>
      <c r="AB18" s="230">
        <f t="shared" si="13"/>
        <v>5.7336972645819738E-2</v>
      </c>
      <c r="AC18" s="308">
        <f t="shared" si="14"/>
        <v>15234</v>
      </c>
      <c r="AD18" s="230">
        <f t="shared" si="15"/>
        <v>9.0393401768231171E-2</v>
      </c>
      <c r="AE18" s="308">
        <v>17261</v>
      </c>
      <c r="AF18" s="230">
        <f t="shared" si="16"/>
        <v>0.1024209339583457</v>
      </c>
      <c r="AG18" s="308">
        <v>0</v>
      </c>
      <c r="AH18" s="230">
        <f t="shared" si="17"/>
        <v>0</v>
      </c>
      <c r="AI18" s="308">
        <v>27784</v>
      </c>
      <c r="AJ18" s="230">
        <f t="shared" si="18"/>
        <v>0.16486085563401176</v>
      </c>
      <c r="AK18" s="308">
        <v>9279</v>
      </c>
      <c r="AL18" s="230">
        <f t="shared" si="19"/>
        <v>5.5058446567376726E-2</v>
      </c>
    </row>
    <row r="19" spans="2:38" s="73" customFormat="1" ht="14.25" customHeight="1">
      <c r="B19" s="586"/>
      <c r="C19" s="572"/>
      <c r="D19" s="170">
        <f t="shared" si="20"/>
        <v>46242</v>
      </c>
      <c r="E19" s="170" t="s">
        <v>116</v>
      </c>
      <c r="F19" s="321">
        <f t="shared" si="0"/>
        <v>211756</v>
      </c>
      <c r="G19" s="583"/>
      <c r="H19" s="581"/>
      <c r="I19" s="308">
        <v>42732</v>
      </c>
      <c r="J19" s="230">
        <f t="shared" si="2"/>
        <v>0.20179829615217515</v>
      </c>
      <c r="K19" s="308">
        <v>60127</v>
      </c>
      <c r="L19" s="230">
        <f t="shared" si="3"/>
        <v>0.28394472883885225</v>
      </c>
      <c r="M19" s="308">
        <f t="shared" si="4"/>
        <v>102859</v>
      </c>
      <c r="N19" s="230">
        <f t="shared" si="5"/>
        <v>0.48574302499102739</v>
      </c>
      <c r="O19" s="308">
        <v>10326</v>
      </c>
      <c r="P19" s="230">
        <f t="shared" si="6"/>
        <v>4.8763671395379585E-2</v>
      </c>
      <c r="Q19" s="308">
        <v>0</v>
      </c>
      <c r="R19" s="230">
        <f t="shared" si="7"/>
        <v>0</v>
      </c>
      <c r="S19" s="308">
        <f t="shared" si="8"/>
        <v>10326</v>
      </c>
      <c r="T19" s="230">
        <f t="shared" si="9"/>
        <v>4.8763671395379585E-2</v>
      </c>
      <c r="U19" s="308">
        <v>2710</v>
      </c>
      <c r="V19" s="230">
        <f t="shared" si="10"/>
        <v>1.2797748351876689E-2</v>
      </c>
      <c r="W19" s="308">
        <v>10879</v>
      </c>
      <c r="X19" s="230">
        <f t="shared" si="11"/>
        <v>5.1375167645780991E-2</v>
      </c>
      <c r="Y19" s="308">
        <v>7035</v>
      </c>
      <c r="Z19" s="230">
        <f t="shared" si="12"/>
        <v>3.3222199134853324E-2</v>
      </c>
      <c r="AA19" s="308">
        <v>11267</v>
      </c>
      <c r="AB19" s="230">
        <f t="shared" si="13"/>
        <v>5.3207465195791386E-2</v>
      </c>
      <c r="AC19" s="308">
        <f t="shared" si="14"/>
        <v>18302</v>
      </c>
      <c r="AD19" s="230">
        <f t="shared" si="15"/>
        <v>8.6429664330644709E-2</v>
      </c>
      <c r="AE19" s="308">
        <v>26403</v>
      </c>
      <c r="AF19" s="230">
        <f t="shared" si="16"/>
        <v>0.12468595931166059</v>
      </c>
      <c r="AG19" s="308">
        <v>0</v>
      </c>
      <c r="AH19" s="230">
        <f t="shared" si="17"/>
        <v>0</v>
      </c>
      <c r="AI19" s="308">
        <v>32210</v>
      </c>
      <c r="AJ19" s="230">
        <f t="shared" si="18"/>
        <v>0.15210903114905835</v>
      </c>
      <c r="AK19" s="308">
        <v>8067</v>
      </c>
      <c r="AL19" s="230">
        <f t="shared" si="19"/>
        <v>3.8095732824571675E-2</v>
      </c>
    </row>
    <row r="20" spans="2:38" s="73" customFormat="1" ht="14.25" customHeight="1">
      <c r="B20" s="586"/>
      <c r="C20" s="572"/>
      <c r="D20" s="170">
        <f t="shared" si="20"/>
        <v>46243</v>
      </c>
      <c r="E20" s="170" t="s">
        <v>117</v>
      </c>
      <c r="F20" s="321">
        <f t="shared" si="0"/>
        <v>203928</v>
      </c>
      <c r="G20" s="583"/>
      <c r="H20" s="581"/>
      <c r="I20" s="308">
        <v>41198</v>
      </c>
      <c r="J20" s="230">
        <f t="shared" si="2"/>
        <v>0.20202228237417127</v>
      </c>
      <c r="K20" s="308">
        <v>58990</v>
      </c>
      <c r="L20" s="230">
        <f t="shared" si="3"/>
        <v>0.28926876152367503</v>
      </c>
      <c r="M20" s="308">
        <f t="shared" si="4"/>
        <v>100188</v>
      </c>
      <c r="N20" s="230">
        <f t="shared" si="5"/>
        <v>0.49129104389784628</v>
      </c>
      <c r="O20" s="308">
        <v>10764</v>
      </c>
      <c r="P20" s="230">
        <f t="shared" si="6"/>
        <v>5.2783335294809934E-2</v>
      </c>
      <c r="Q20" s="308">
        <v>0</v>
      </c>
      <c r="R20" s="230">
        <f t="shared" si="7"/>
        <v>0</v>
      </c>
      <c r="S20" s="308">
        <f t="shared" si="8"/>
        <v>10764</v>
      </c>
      <c r="T20" s="230">
        <f t="shared" si="9"/>
        <v>5.2783335294809934E-2</v>
      </c>
      <c r="U20" s="308">
        <v>2383</v>
      </c>
      <c r="V20" s="230">
        <f t="shared" si="10"/>
        <v>1.1685496842022674E-2</v>
      </c>
      <c r="W20" s="308">
        <v>12017</v>
      </c>
      <c r="X20" s="230">
        <f t="shared" si="11"/>
        <v>5.8927660743007336E-2</v>
      </c>
      <c r="Y20" s="308">
        <v>7275</v>
      </c>
      <c r="Z20" s="230">
        <f t="shared" si="12"/>
        <v>3.567435565493704E-2</v>
      </c>
      <c r="AA20" s="308">
        <v>10527</v>
      </c>
      <c r="AB20" s="230">
        <f t="shared" si="13"/>
        <v>5.1621160409556312E-2</v>
      </c>
      <c r="AC20" s="308">
        <f t="shared" si="14"/>
        <v>17802</v>
      </c>
      <c r="AD20" s="230">
        <f t="shared" si="15"/>
        <v>8.7295516064493345E-2</v>
      </c>
      <c r="AE20" s="308">
        <v>25325</v>
      </c>
      <c r="AF20" s="230">
        <f t="shared" si="16"/>
        <v>0.12418598721117258</v>
      </c>
      <c r="AG20" s="308">
        <v>0</v>
      </c>
      <c r="AH20" s="230">
        <f t="shared" si="17"/>
        <v>0</v>
      </c>
      <c r="AI20" s="308">
        <v>26296</v>
      </c>
      <c r="AJ20" s="230">
        <f t="shared" si="18"/>
        <v>0.12894747165666315</v>
      </c>
      <c r="AK20" s="308">
        <v>9153</v>
      </c>
      <c r="AL20" s="230">
        <f t="shared" si="19"/>
        <v>4.4883488289984702E-2</v>
      </c>
    </row>
    <row r="21" spans="2:38" s="73" customFormat="1" ht="14.25" customHeight="1">
      <c r="B21" s="585">
        <f>B14+7</f>
        <v>46253</v>
      </c>
      <c r="C21" s="572"/>
      <c r="D21" s="170">
        <f t="shared" si="20"/>
        <v>46244</v>
      </c>
      <c r="E21" s="170" t="s">
        <v>118</v>
      </c>
      <c r="F21" s="321">
        <f t="shared" si="0"/>
        <v>187621</v>
      </c>
      <c r="G21" s="583">
        <f t="shared" ref="G21" si="22">SUM(F21:F27)</f>
        <v>1244793</v>
      </c>
      <c r="H21" s="581"/>
      <c r="I21" s="308">
        <v>39636</v>
      </c>
      <c r="J21" s="230">
        <f t="shared" si="2"/>
        <v>0.21125566967450338</v>
      </c>
      <c r="K21" s="308">
        <v>56401</v>
      </c>
      <c r="L21" s="230">
        <f t="shared" si="3"/>
        <v>0.30061133881601737</v>
      </c>
      <c r="M21" s="308">
        <f t="shared" si="4"/>
        <v>96037</v>
      </c>
      <c r="N21" s="230">
        <f t="shared" si="5"/>
        <v>0.5118670084905208</v>
      </c>
      <c r="O21" s="308">
        <v>9595</v>
      </c>
      <c r="P21" s="230">
        <f t="shared" si="6"/>
        <v>5.114033077320769E-2</v>
      </c>
      <c r="Q21" s="308">
        <v>0</v>
      </c>
      <c r="R21" s="230">
        <f t="shared" si="7"/>
        <v>0</v>
      </c>
      <c r="S21" s="308">
        <f t="shared" si="8"/>
        <v>9595</v>
      </c>
      <c r="T21" s="230">
        <f t="shared" si="9"/>
        <v>5.114033077320769E-2</v>
      </c>
      <c r="U21" s="308">
        <v>2545</v>
      </c>
      <c r="V21" s="230">
        <f t="shared" si="10"/>
        <v>1.3564579657927418E-2</v>
      </c>
      <c r="W21" s="308">
        <v>10221</v>
      </c>
      <c r="X21" s="230">
        <f t="shared" si="11"/>
        <v>5.4476844276493568E-2</v>
      </c>
      <c r="Y21" s="308">
        <v>6599</v>
      </c>
      <c r="Z21" s="230">
        <f t="shared" si="12"/>
        <v>3.517196902265738E-2</v>
      </c>
      <c r="AA21" s="308">
        <v>10346</v>
      </c>
      <c r="AB21" s="230">
        <f t="shared" si="13"/>
        <v>5.5143080998395703E-2</v>
      </c>
      <c r="AC21" s="308">
        <f t="shared" si="14"/>
        <v>16945</v>
      </c>
      <c r="AD21" s="230">
        <f t="shared" si="15"/>
        <v>9.0315050021053084E-2</v>
      </c>
      <c r="AE21" s="308">
        <v>23942</v>
      </c>
      <c r="AF21" s="230">
        <f t="shared" si="16"/>
        <v>0.12760831676624684</v>
      </c>
      <c r="AG21" s="308">
        <v>0</v>
      </c>
      <c r="AH21" s="230">
        <f t="shared" si="17"/>
        <v>0</v>
      </c>
      <c r="AI21" s="308">
        <v>21462</v>
      </c>
      <c r="AJ21" s="230">
        <f t="shared" si="18"/>
        <v>0.11439018020370854</v>
      </c>
      <c r="AK21" s="308">
        <v>6874</v>
      </c>
      <c r="AL21" s="230">
        <f t="shared" si="19"/>
        <v>3.6637689810842068E-2</v>
      </c>
    </row>
    <row r="22" spans="2:38" s="73" customFormat="1" ht="14.25" customHeight="1">
      <c r="B22" s="586"/>
      <c r="C22" s="572"/>
      <c r="D22" s="170">
        <f t="shared" si="20"/>
        <v>46245</v>
      </c>
      <c r="E22" s="170" t="s">
        <v>112</v>
      </c>
      <c r="F22" s="321">
        <f t="shared" si="0"/>
        <v>184147</v>
      </c>
      <c r="G22" s="583"/>
      <c r="H22" s="581"/>
      <c r="I22" s="308">
        <v>39019</v>
      </c>
      <c r="J22" s="230">
        <f t="shared" si="2"/>
        <v>0.21189050052403785</v>
      </c>
      <c r="K22" s="308">
        <v>53877</v>
      </c>
      <c r="L22" s="230">
        <f t="shared" si="3"/>
        <v>0.29257603979429475</v>
      </c>
      <c r="M22" s="308">
        <f t="shared" si="4"/>
        <v>92896</v>
      </c>
      <c r="N22" s="230">
        <f t="shared" si="5"/>
        <v>0.5044665403183326</v>
      </c>
      <c r="O22" s="308">
        <v>9704</v>
      </c>
      <c r="P22" s="230">
        <f t="shared" si="6"/>
        <v>5.2697030090091065E-2</v>
      </c>
      <c r="Q22" s="308">
        <v>0</v>
      </c>
      <c r="R22" s="230">
        <f t="shared" si="7"/>
        <v>0</v>
      </c>
      <c r="S22" s="308">
        <f t="shared" si="8"/>
        <v>9704</v>
      </c>
      <c r="T22" s="230">
        <f t="shared" si="9"/>
        <v>5.2697030090091065E-2</v>
      </c>
      <c r="U22" s="308">
        <v>2192</v>
      </c>
      <c r="V22" s="230">
        <f t="shared" si="10"/>
        <v>1.1903533590012326E-2</v>
      </c>
      <c r="W22" s="308">
        <v>10414</v>
      </c>
      <c r="X22" s="230">
        <f t="shared" si="11"/>
        <v>5.6552645440870609E-2</v>
      </c>
      <c r="Y22" s="308">
        <v>6047</v>
      </c>
      <c r="Z22" s="230">
        <f t="shared" si="12"/>
        <v>3.2837895811498423E-2</v>
      </c>
      <c r="AA22" s="308">
        <v>10179</v>
      </c>
      <c r="AB22" s="230">
        <f t="shared" si="13"/>
        <v>5.5276491064204139E-2</v>
      </c>
      <c r="AC22" s="308">
        <f t="shared" si="14"/>
        <v>16226</v>
      </c>
      <c r="AD22" s="230">
        <f t="shared" si="15"/>
        <v>8.8114386875702569E-2</v>
      </c>
      <c r="AE22" s="308">
        <v>22338</v>
      </c>
      <c r="AF22" s="230">
        <f t="shared" si="16"/>
        <v>0.12130526155734278</v>
      </c>
      <c r="AG22" s="308">
        <v>0</v>
      </c>
      <c r="AH22" s="230">
        <f t="shared" si="17"/>
        <v>0</v>
      </c>
      <c r="AI22" s="308">
        <v>23675</v>
      </c>
      <c r="AJ22" s="230">
        <f t="shared" si="18"/>
        <v>0.12856576539395156</v>
      </c>
      <c r="AK22" s="308">
        <v>6702</v>
      </c>
      <c r="AL22" s="230">
        <f t="shared" si="19"/>
        <v>3.6394836733696451E-2</v>
      </c>
    </row>
    <row r="23" spans="2:38" s="73" customFormat="1" ht="14.25" customHeight="1">
      <c r="B23" s="586"/>
      <c r="C23" s="572"/>
      <c r="D23" s="170">
        <f t="shared" si="20"/>
        <v>46246</v>
      </c>
      <c r="E23" s="170" t="s">
        <v>113</v>
      </c>
      <c r="F23" s="321">
        <f t="shared" si="0"/>
        <v>172846</v>
      </c>
      <c r="G23" s="583"/>
      <c r="H23" s="581"/>
      <c r="I23" s="308">
        <v>37661</v>
      </c>
      <c r="J23" s="230">
        <f t="shared" si="2"/>
        <v>0.21788759936590954</v>
      </c>
      <c r="K23" s="308">
        <v>48557</v>
      </c>
      <c r="L23" s="230">
        <f t="shared" si="3"/>
        <v>0.2809263737662428</v>
      </c>
      <c r="M23" s="308">
        <f t="shared" si="4"/>
        <v>86218</v>
      </c>
      <c r="N23" s="230">
        <f t="shared" si="5"/>
        <v>0.49881397313215231</v>
      </c>
      <c r="O23" s="308">
        <v>9368</v>
      </c>
      <c r="P23" s="230">
        <f t="shared" si="6"/>
        <v>5.4198535112180785E-2</v>
      </c>
      <c r="Q23" s="308">
        <v>0</v>
      </c>
      <c r="R23" s="230">
        <f t="shared" si="7"/>
        <v>0</v>
      </c>
      <c r="S23" s="308">
        <f t="shared" si="8"/>
        <v>9368</v>
      </c>
      <c r="T23" s="230">
        <f t="shared" si="9"/>
        <v>5.4198535112180785E-2</v>
      </c>
      <c r="U23" s="308">
        <v>2239</v>
      </c>
      <c r="V23" s="230">
        <f t="shared" si="10"/>
        <v>1.2953727595663192E-2</v>
      </c>
      <c r="W23" s="308">
        <v>10042</v>
      </c>
      <c r="X23" s="230">
        <f t="shared" si="11"/>
        <v>5.8097960033787303E-2</v>
      </c>
      <c r="Y23" s="308">
        <v>5757</v>
      </c>
      <c r="Z23" s="230">
        <f t="shared" si="12"/>
        <v>3.3307105747312639E-2</v>
      </c>
      <c r="AA23" s="308">
        <v>7575</v>
      </c>
      <c r="AB23" s="230">
        <f t="shared" si="13"/>
        <v>4.3825139141200835E-2</v>
      </c>
      <c r="AC23" s="308">
        <f t="shared" si="14"/>
        <v>13332</v>
      </c>
      <c r="AD23" s="230">
        <f t="shared" si="15"/>
        <v>7.7132244888513474E-2</v>
      </c>
      <c r="AE23" s="308">
        <v>20979</v>
      </c>
      <c r="AF23" s="230">
        <f t="shared" si="16"/>
        <v>0.12137393980769008</v>
      </c>
      <c r="AG23" s="308">
        <v>0</v>
      </c>
      <c r="AH23" s="230">
        <f t="shared" si="17"/>
        <v>0</v>
      </c>
      <c r="AI23" s="308">
        <v>23915</v>
      </c>
      <c r="AJ23" s="230">
        <f t="shared" si="18"/>
        <v>0.13836015875403537</v>
      </c>
      <c r="AK23" s="308">
        <v>6753</v>
      </c>
      <c r="AL23" s="230">
        <f t="shared" si="19"/>
        <v>3.9069460675977462E-2</v>
      </c>
    </row>
    <row r="24" spans="2:38" s="73" customFormat="1" ht="14.25" customHeight="1">
      <c r="B24" s="586"/>
      <c r="C24" s="572"/>
      <c r="D24" s="170">
        <f t="shared" si="20"/>
        <v>46247</v>
      </c>
      <c r="E24" s="170" t="s">
        <v>114</v>
      </c>
      <c r="F24" s="321">
        <f t="shared" si="0"/>
        <v>146977</v>
      </c>
      <c r="G24" s="583"/>
      <c r="H24" s="581"/>
      <c r="I24" s="308">
        <v>28515</v>
      </c>
      <c r="J24" s="230">
        <f t="shared" si="2"/>
        <v>0.19400994713458569</v>
      </c>
      <c r="K24" s="308">
        <v>44407</v>
      </c>
      <c r="L24" s="230">
        <f t="shared" si="3"/>
        <v>0.3021357083081026</v>
      </c>
      <c r="M24" s="308">
        <f t="shared" si="4"/>
        <v>72922</v>
      </c>
      <c r="N24" s="230">
        <f t="shared" si="5"/>
        <v>0.49614565544268829</v>
      </c>
      <c r="O24" s="308">
        <v>7420</v>
      </c>
      <c r="P24" s="230">
        <f t="shared" si="6"/>
        <v>5.0484089347312848E-2</v>
      </c>
      <c r="Q24" s="308">
        <v>0</v>
      </c>
      <c r="R24" s="230">
        <f t="shared" si="7"/>
        <v>0</v>
      </c>
      <c r="S24" s="308">
        <f t="shared" si="8"/>
        <v>7420</v>
      </c>
      <c r="T24" s="230">
        <f t="shared" si="9"/>
        <v>5.0484089347312848E-2</v>
      </c>
      <c r="U24" s="308">
        <v>1645</v>
      </c>
      <c r="V24" s="230">
        <f t="shared" si="10"/>
        <v>1.1192227355300489E-2</v>
      </c>
      <c r="W24" s="308">
        <v>7822</v>
      </c>
      <c r="X24" s="230">
        <f t="shared" si="11"/>
        <v>5.3219211169094484E-2</v>
      </c>
      <c r="Y24" s="308">
        <v>4885</v>
      </c>
      <c r="Z24" s="230">
        <f t="shared" si="12"/>
        <v>3.3236492784585341E-2</v>
      </c>
      <c r="AA24" s="308">
        <v>7387</v>
      </c>
      <c r="AB24" s="230">
        <f t="shared" si="13"/>
        <v>5.0259564421644205E-2</v>
      </c>
      <c r="AC24" s="308">
        <f t="shared" si="14"/>
        <v>12272</v>
      </c>
      <c r="AD24" s="230">
        <f t="shared" si="15"/>
        <v>8.3496057206229546E-2</v>
      </c>
      <c r="AE24" s="308">
        <v>15866</v>
      </c>
      <c r="AF24" s="230">
        <f t="shared" si="16"/>
        <v>0.10794886274723256</v>
      </c>
      <c r="AG24" s="308">
        <v>0</v>
      </c>
      <c r="AH24" s="230">
        <f t="shared" si="17"/>
        <v>0</v>
      </c>
      <c r="AI24" s="308">
        <v>23167</v>
      </c>
      <c r="AJ24" s="230">
        <f t="shared" si="18"/>
        <v>0.15762330160501303</v>
      </c>
      <c r="AK24" s="308">
        <v>5863</v>
      </c>
      <c r="AL24" s="230">
        <f t="shared" si="19"/>
        <v>3.9890595127128732E-2</v>
      </c>
    </row>
    <row r="25" spans="2:38" s="73" customFormat="1" ht="14.25" customHeight="1">
      <c r="B25" s="586"/>
      <c r="C25" s="572"/>
      <c r="D25" s="170">
        <f t="shared" si="20"/>
        <v>46248</v>
      </c>
      <c r="E25" s="170" t="s">
        <v>115</v>
      </c>
      <c r="F25" s="321">
        <f t="shared" si="0"/>
        <v>155408</v>
      </c>
      <c r="G25" s="583"/>
      <c r="H25" s="581"/>
      <c r="I25" s="308">
        <v>27250</v>
      </c>
      <c r="J25" s="230">
        <f t="shared" si="2"/>
        <v>0.17534489858951921</v>
      </c>
      <c r="K25" s="308">
        <v>52210</v>
      </c>
      <c r="L25" s="230">
        <f t="shared" si="3"/>
        <v>0.3359543910223412</v>
      </c>
      <c r="M25" s="308">
        <f t="shared" si="4"/>
        <v>79460</v>
      </c>
      <c r="N25" s="230">
        <f t="shared" si="5"/>
        <v>0.51129928961186044</v>
      </c>
      <c r="O25" s="308">
        <v>7054</v>
      </c>
      <c r="P25" s="230">
        <f t="shared" si="6"/>
        <v>4.5390198702769481E-2</v>
      </c>
      <c r="Q25" s="308">
        <v>0</v>
      </c>
      <c r="R25" s="230">
        <f t="shared" si="7"/>
        <v>0</v>
      </c>
      <c r="S25" s="308">
        <f t="shared" si="8"/>
        <v>7054</v>
      </c>
      <c r="T25" s="230">
        <f t="shared" si="9"/>
        <v>4.5390198702769481E-2</v>
      </c>
      <c r="U25" s="308">
        <v>1738</v>
      </c>
      <c r="V25" s="230">
        <f t="shared" si="10"/>
        <v>1.1183465458663647E-2</v>
      </c>
      <c r="W25" s="308">
        <v>7056</v>
      </c>
      <c r="X25" s="230">
        <f t="shared" si="11"/>
        <v>4.5403068053124676E-2</v>
      </c>
      <c r="Y25" s="308">
        <v>5245</v>
      </c>
      <c r="Z25" s="230">
        <f t="shared" si="12"/>
        <v>3.3749871306496447E-2</v>
      </c>
      <c r="AA25" s="308">
        <v>9880</v>
      </c>
      <c r="AB25" s="230">
        <f t="shared" si="13"/>
        <v>6.3574590754658711E-2</v>
      </c>
      <c r="AC25" s="308">
        <f t="shared" si="14"/>
        <v>15125</v>
      </c>
      <c r="AD25" s="230">
        <f t="shared" si="15"/>
        <v>9.7324462061155151E-2</v>
      </c>
      <c r="AE25" s="308">
        <v>16765</v>
      </c>
      <c r="AF25" s="230">
        <f t="shared" si="16"/>
        <v>0.10787732935241429</v>
      </c>
      <c r="AG25" s="308">
        <v>0</v>
      </c>
      <c r="AH25" s="230">
        <f t="shared" si="17"/>
        <v>0</v>
      </c>
      <c r="AI25" s="308">
        <v>22612</v>
      </c>
      <c r="AJ25" s="230">
        <f t="shared" si="18"/>
        <v>0.14550087511582416</v>
      </c>
      <c r="AK25" s="308">
        <v>5598</v>
      </c>
      <c r="AL25" s="230">
        <f t="shared" si="19"/>
        <v>3.6021311644188203E-2</v>
      </c>
    </row>
    <row r="26" spans="2:38" s="73" customFormat="1" ht="14.25" customHeight="1">
      <c r="B26" s="586"/>
      <c r="C26" s="572"/>
      <c r="D26" s="170">
        <f t="shared" si="20"/>
        <v>46249</v>
      </c>
      <c r="E26" s="170" t="s">
        <v>116</v>
      </c>
      <c r="F26" s="321">
        <f t="shared" si="0"/>
        <v>200927</v>
      </c>
      <c r="G26" s="583"/>
      <c r="H26" s="581"/>
      <c r="I26" s="308">
        <v>41131</v>
      </c>
      <c r="J26" s="230">
        <f t="shared" si="2"/>
        <v>0.20470618682407044</v>
      </c>
      <c r="K26" s="308">
        <v>59949</v>
      </c>
      <c r="L26" s="230">
        <f t="shared" si="3"/>
        <v>0.29836209170494754</v>
      </c>
      <c r="M26" s="308">
        <f t="shared" si="4"/>
        <v>101080</v>
      </c>
      <c r="N26" s="230">
        <f t="shared" si="5"/>
        <v>0.50306827852901803</v>
      </c>
      <c r="O26" s="308">
        <v>9965</v>
      </c>
      <c r="P26" s="230">
        <f t="shared" si="6"/>
        <v>4.95951265882634E-2</v>
      </c>
      <c r="Q26" s="308">
        <v>0</v>
      </c>
      <c r="R26" s="230">
        <f t="shared" si="7"/>
        <v>0</v>
      </c>
      <c r="S26" s="308">
        <f t="shared" si="8"/>
        <v>9965</v>
      </c>
      <c r="T26" s="230">
        <f t="shared" si="9"/>
        <v>4.95951265882634E-2</v>
      </c>
      <c r="U26" s="308">
        <v>2814</v>
      </c>
      <c r="V26" s="230">
        <f t="shared" si="10"/>
        <v>1.4005086424422801E-2</v>
      </c>
      <c r="W26" s="308">
        <v>9600</v>
      </c>
      <c r="X26" s="230">
        <f t="shared" si="11"/>
        <v>4.7778546437263286E-2</v>
      </c>
      <c r="Y26" s="308">
        <v>6693</v>
      </c>
      <c r="Z26" s="230">
        <f t="shared" si="12"/>
        <v>3.3310605344229499E-2</v>
      </c>
      <c r="AA26" s="308">
        <v>11505</v>
      </c>
      <c r="AB26" s="230">
        <f t="shared" si="13"/>
        <v>5.7259601745907718E-2</v>
      </c>
      <c r="AC26" s="308">
        <f t="shared" si="14"/>
        <v>18198</v>
      </c>
      <c r="AD26" s="230">
        <f t="shared" si="15"/>
        <v>9.0570207090137217E-2</v>
      </c>
      <c r="AE26" s="308">
        <v>26774</v>
      </c>
      <c r="AF26" s="230">
        <f t="shared" si="16"/>
        <v>0.13325237524075909</v>
      </c>
      <c r="AG26" s="308">
        <v>0</v>
      </c>
      <c r="AH26" s="230">
        <f t="shared" si="17"/>
        <v>0</v>
      </c>
      <c r="AI26" s="308">
        <v>27356</v>
      </c>
      <c r="AJ26" s="230">
        <f t="shared" si="18"/>
        <v>0.13614894961851817</v>
      </c>
      <c r="AK26" s="308">
        <v>5140</v>
      </c>
      <c r="AL26" s="230">
        <f t="shared" si="19"/>
        <v>2.5581430071618051E-2</v>
      </c>
    </row>
    <row r="27" spans="2:38" s="73" customFormat="1" ht="14.25" customHeight="1">
      <c r="B27" s="586"/>
      <c r="C27" s="573"/>
      <c r="D27" s="170">
        <f t="shared" si="20"/>
        <v>46250</v>
      </c>
      <c r="E27" s="170" t="s">
        <v>117</v>
      </c>
      <c r="F27" s="321">
        <f t="shared" si="0"/>
        <v>196867</v>
      </c>
      <c r="G27" s="583"/>
      <c r="H27" s="581"/>
      <c r="I27" s="308">
        <v>40733</v>
      </c>
      <c r="J27" s="230">
        <f t="shared" si="2"/>
        <v>0.20690618539420014</v>
      </c>
      <c r="K27" s="308">
        <v>59338</v>
      </c>
      <c r="L27" s="230">
        <f t="shared" si="3"/>
        <v>0.30141161291633439</v>
      </c>
      <c r="M27" s="308">
        <f t="shared" si="4"/>
        <v>100071</v>
      </c>
      <c r="N27" s="230">
        <f t="shared" si="5"/>
        <v>0.50831779831053447</v>
      </c>
      <c r="O27" s="308">
        <v>9735</v>
      </c>
      <c r="P27" s="230">
        <f t="shared" si="6"/>
        <v>4.94496284293457E-2</v>
      </c>
      <c r="Q27" s="308">
        <v>0</v>
      </c>
      <c r="R27" s="230">
        <f t="shared" si="7"/>
        <v>0</v>
      </c>
      <c r="S27" s="308">
        <f t="shared" si="8"/>
        <v>9735</v>
      </c>
      <c r="T27" s="230">
        <f t="shared" si="9"/>
        <v>4.94496284293457E-2</v>
      </c>
      <c r="U27" s="308">
        <v>2451</v>
      </c>
      <c r="V27" s="230">
        <f t="shared" si="10"/>
        <v>1.2450029715493201E-2</v>
      </c>
      <c r="W27" s="308">
        <v>10812</v>
      </c>
      <c r="X27" s="230">
        <f t="shared" si="11"/>
        <v>5.4920326921220924E-2</v>
      </c>
      <c r="Y27" s="308">
        <v>7140</v>
      </c>
      <c r="Z27" s="230">
        <f t="shared" si="12"/>
        <v>3.6268140419674195E-2</v>
      </c>
      <c r="AA27" s="308">
        <v>10569</v>
      </c>
      <c r="AB27" s="230">
        <f t="shared" si="13"/>
        <v>5.3685991049795038E-2</v>
      </c>
      <c r="AC27" s="308">
        <f t="shared" si="14"/>
        <v>17709</v>
      </c>
      <c r="AD27" s="230">
        <f t="shared" si="15"/>
        <v>8.9954131469469234E-2</v>
      </c>
      <c r="AE27" s="308">
        <v>25236</v>
      </c>
      <c r="AF27" s="230">
        <f t="shared" si="16"/>
        <v>0.12818806605474761</v>
      </c>
      <c r="AG27" s="308">
        <v>0</v>
      </c>
      <c r="AH27" s="230">
        <f t="shared" si="17"/>
        <v>0</v>
      </c>
      <c r="AI27" s="308">
        <v>25324</v>
      </c>
      <c r="AJ27" s="230">
        <f t="shared" si="18"/>
        <v>0.12863506834563437</v>
      </c>
      <c r="AK27" s="308">
        <v>5529</v>
      </c>
      <c r="AL27" s="230">
        <f t="shared" si="19"/>
        <v>2.8084950753554432E-2</v>
      </c>
    </row>
    <row r="28" spans="2:38" hidden="1">
      <c r="H28" s="581"/>
    </row>
    <row r="29" spans="2:38" hidden="1">
      <c r="H29" s="581"/>
    </row>
    <row r="30" spans="2:38" hidden="1">
      <c r="H30" s="581"/>
    </row>
    <row r="31" spans="2:38" hidden="1">
      <c r="H31" s="581"/>
    </row>
    <row r="32" spans="2:38" hidden="1">
      <c r="H32" s="581"/>
    </row>
    <row r="33" spans="8:8" hidden="1">
      <c r="H33" s="581"/>
    </row>
    <row r="34" spans="8:8" hidden="1">
      <c r="H34" s="581"/>
    </row>
    <row r="35" spans="8:8" hidden="1">
      <c r="H35" s="581"/>
    </row>
    <row r="36" spans="8:8" hidden="1">
      <c r="H36" s="581"/>
    </row>
    <row r="37" spans="8:8" hidden="1">
      <c r="H37" s="581"/>
    </row>
    <row r="38" spans="8:8" hidden="1">
      <c r="H38" s="581"/>
    </row>
    <row r="39" spans="8:8" hidden="1">
      <c r="H39" s="581"/>
    </row>
    <row r="40" spans="8:8" hidden="1">
      <c r="H40" s="581"/>
    </row>
    <row r="41" spans="8:8" hidden="1">
      <c r="H41" s="582"/>
    </row>
  </sheetData>
  <mergeCells count="43">
    <mergeCell ref="H7:H10"/>
    <mergeCell ref="B7:B13"/>
    <mergeCell ref="G7:G13"/>
    <mergeCell ref="C7:C10"/>
    <mergeCell ref="H11:H41"/>
    <mergeCell ref="B14:B20"/>
    <mergeCell ref="G14:G20"/>
    <mergeCell ref="B21:B27"/>
    <mergeCell ref="G21:G27"/>
    <mergeCell ref="C11:C27"/>
    <mergeCell ref="G5:G6"/>
    <mergeCell ref="B3:B6"/>
    <mergeCell ref="C3:C6"/>
    <mergeCell ref="D3:E6"/>
    <mergeCell ref="O5:P5"/>
    <mergeCell ref="AI5:AJ5"/>
    <mergeCell ref="K5:L5"/>
    <mergeCell ref="S5:T5"/>
    <mergeCell ref="H5:H6"/>
    <mergeCell ref="AA5:AB5"/>
    <mergeCell ref="I5:J5"/>
    <mergeCell ref="M5:N5"/>
    <mergeCell ref="AK4:AL4"/>
    <mergeCell ref="O4:T4"/>
    <mergeCell ref="F3:H4"/>
    <mergeCell ref="I4:N4"/>
    <mergeCell ref="Y4:AD4"/>
    <mergeCell ref="B2:AL2"/>
    <mergeCell ref="AK5:AL5"/>
    <mergeCell ref="U4:V4"/>
    <mergeCell ref="U5:V5"/>
    <mergeCell ref="W5:X5"/>
    <mergeCell ref="W4:X4"/>
    <mergeCell ref="Y5:Z5"/>
    <mergeCell ref="AC5:AD5"/>
    <mergeCell ref="AE4:AF4"/>
    <mergeCell ref="AE5:AF5"/>
    <mergeCell ref="AG5:AH5"/>
    <mergeCell ref="AG4:AH4"/>
    <mergeCell ref="F5:F6"/>
    <mergeCell ref="Q5:R5"/>
    <mergeCell ref="I3:AL3"/>
    <mergeCell ref="AI4:AJ4"/>
  </mergeCells>
  <phoneticPr fontId="1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8">
    <tabColor rgb="FFFFFFCC"/>
  </sheetPr>
  <dimension ref="A1:AX127"/>
  <sheetViews>
    <sheetView zoomScale="85" zoomScaleNormal="85" workbookViewId="0">
      <pane xSplit="13" ySplit="1" topLeftCell="N80" activePane="bottomRight" state="frozen"/>
      <selection activeCell="G19" sqref="G19:G25"/>
      <selection pane="topRight" activeCell="G19" sqref="G19:G25"/>
      <selection pane="bottomLeft" activeCell="G19" sqref="G19:G25"/>
      <selection pane="bottomRight" activeCell="B86" sqref="B86:M87"/>
    </sheetView>
  </sheetViews>
  <sheetFormatPr defaultColWidth="8.85546875" defaultRowHeight="12"/>
  <cols>
    <col min="1" max="1" width="5.5703125" style="78" customWidth="1"/>
    <col min="2" max="2" width="12.42578125" style="78" customWidth="1"/>
    <col min="3" max="3" width="9.5703125" style="176" bestFit="1" customWidth="1"/>
    <col min="4" max="4" width="26.42578125" style="175" customWidth="1"/>
    <col min="5" max="5" width="7.7109375" style="176" customWidth="1"/>
    <col min="6" max="7" width="8.7109375" style="176" customWidth="1"/>
    <col min="8" max="8" width="10.7109375" style="176" customWidth="1"/>
    <col min="9" max="9" width="7.7109375" style="177" customWidth="1"/>
    <col min="10" max="11" width="8.7109375" style="177" customWidth="1"/>
    <col min="12" max="12" width="10.7109375" style="177" customWidth="1"/>
    <col min="13" max="13" width="5.7109375" style="177" customWidth="1"/>
    <col min="14" max="14" width="9.85546875" style="177" customWidth="1"/>
    <col min="15" max="15" width="7.140625" style="177" customWidth="1" collapsed="1"/>
    <col min="16" max="16" width="7.7109375" style="177" customWidth="1"/>
    <col min="17" max="18" width="8.7109375" style="177" customWidth="1"/>
    <col min="19" max="19" width="5.42578125" style="177" customWidth="1"/>
    <col min="20" max="20" width="10.7109375" style="177" customWidth="1"/>
    <col min="21" max="21" width="7.7109375" style="178" customWidth="1"/>
    <col min="22" max="23" width="8.7109375" style="178" customWidth="1"/>
    <col min="24" max="24" width="5.42578125" style="177" customWidth="1"/>
    <col min="25" max="25" width="10.7109375" style="178" customWidth="1"/>
    <col min="26" max="26" width="7.7109375" style="178" customWidth="1"/>
    <col min="27" max="28" width="8.7109375" style="178" customWidth="1"/>
    <col min="29" max="29" width="5.42578125" style="177" customWidth="1"/>
    <col min="30" max="30" width="10.7109375" style="178" customWidth="1"/>
    <col min="31" max="31" width="7.7109375" style="178" customWidth="1"/>
    <col min="32" max="33" width="8.7109375" style="178" customWidth="1"/>
    <col min="34" max="34" width="5.42578125" style="177" customWidth="1"/>
    <col min="35" max="35" width="10.7109375" style="178" customWidth="1"/>
    <col min="36" max="36" width="7.7109375" style="178" customWidth="1"/>
    <col min="37" max="38" width="8.7109375" style="178" customWidth="1"/>
    <col min="39" max="39" width="5.42578125" style="177" customWidth="1"/>
    <col min="40" max="40" width="10.7109375" style="178" customWidth="1"/>
    <col min="41" max="41" width="7.7109375" style="178" customWidth="1"/>
    <col min="42" max="43" width="8.7109375" style="178" customWidth="1"/>
    <col min="44" max="44" width="5.42578125" style="178" customWidth="1"/>
    <col min="45" max="45" width="10.7109375" style="178" customWidth="1"/>
    <col min="46" max="46" width="7.7109375" style="178" customWidth="1"/>
    <col min="47" max="48" width="8.7109375" style="178" customWidth="1"/>
    <col min="49" max="49" width="5.42578125" style="178" customWidth="1"/>
    <col min="50" max="50" width="10.7109375" style="178" customWidth="1"/>
    <col min="51" max="16384" width="8.85546875" style="78"/>
  </cols>
  <sheetData>
    <row r="1" spans="1:50" ht="21">
      <c r="A1" s="74"/>
      <c r="B1" s="450" t="s">
        <v>672</v>
      </c>
      <c r="C1" s="174">
        <f>AVERAGE(L49,L91)</f>
        <v>782.87679667683892</v>
      </c>
    </row>
    <row r="2" spans="1:50" ht="14.25" customHeight="1">
      <c r="B2" s="593" t="s">
        <v>627</v>
      </c>
      <c r="C2" s="594"/>
      <c r="D2" s="594"/>
      <c r="E2" s="594"/>
      <c r="F2" s="594"/>
      <c r="G2" s="594"/>
      <c r="H2" s="594"/>
      <c r="I2" s="594"/>
      <c r="J2" s="594"/>
      <c r="K2" s="594"/>
      <c r="L2" s="594"/>
      <c r="M2" s="595"/>
      <c r="N2" s="598" t="s">
        <v>341</v>
      </c>
      <c r="O2" s="598" t="s">
        <v>105</v>
      </c>
      <c r="P2" s="600">
        <v>46231</v>
      </c>
      <c r="Q2" s="601"/>
      <c r="R2" s="601"/>
      <c r="S2" s="601"/>
      <c r="T2" s="601"/>
      <c r="U2" s="602">
        <v>46232</v>
      </c>
      <c r="V2" s="603"/>
      <c r="W2" s="603"/>
      <c r="X2" s="603"/>
      <c r="Y2" s="603"/>
      <c r="Z2" s="600">
        <v>46233</v>
      </c>
      <c r="AA2" s="601"/>
      <c r="AB2" s="601"/>
      <c r="AC2" s="601"/>
      <c r="AD2" s="601"/>
      <c r="AE2" s="602">
        <v>46234</v>
      </c>
      <c r="AF2" s="603"/>
      <c r="AG2" s="603"/>
      <c r="AH2" s="603"/>
      <c r="AI2" s="603"/>
      <c r="AJ2" s="609">
        <v>46235</v>
      </c>
      <c r="AK2" s="610"/>
      <c r="AL2" s="610"/>
      <c r="AM2" s="610"/>
      <c r="AN2" s="611"/>
      <c r="AO2" s="602">
        <v>46236</v>
      </c>
      <c r="AP2" s="603"/>
      <c r="AQ2" s="603"/>
      <c r="AR2" s="603"/>
      <c r="AS2" s="603"/>
      <c r="AT2" s="609">
        <v>46237</v>
      </c>
      <c r="AU2" s="610"/>
      <c r="AV2" s="610"/>
      <c r="AW2" s="610"/>
      <c r="AX2" s="611"/>
    </row>
    <row r="3" spans="1:50" ht="14.25" customHeight="1">
      <c r="B3" s="596"/>
      <c r="C3" s="596"/>
      <c r="D3" s="596"/>
      <c r="E3" s="596"/>
      <c r="F3" s="596"/>
      <c r="G3" s="596"/>
      <c r="H3" s="596"/>
      <c r="I3" s="596"/>
      <c r="J3" s="596"/>
      <c r="K3" s="596"/>
      <c r="L3" s="596"/>
      <c r="M3" s="597"/>
      <c r="N3" s="599"/>
      <c r="O3" s="599"/>
      <c r="P3" s="604">
        <v>46196</v>
      </c>
      <c r="Q3" s="604"/>
      <c r="R3" s="604"/>
      <c r="S3" s="604"/>
      <c r="T3" s="604"/>
      <c r="U3" s="605">
        <v>46197</v>
      </c>
      <c r="V3" s="605"/>
      <c r="W3" s="605"/>
      <c r="X3" s="605"/>
      <c r="Y3" s="605"/>
      <c r="Z3" s="604">
        <v>46198</v>
      </c>
      <c r="AA3" s="604"/>
      <c r="AB3" s="604"/>
      <c r="AC3" s="604"/>
      <c r="AD3" s="604"/>
      <c r="AE3" s="605">
        <v>46199</v>
      </c>
      <c r="AF3" s="605"/>
      <c r="AG3" s="605"/>
      <c r="AH3" s="605"/>
      <c r="AI3" s="605"/>
      <c r="AJ3" s="606">
        <v>46200</v>
      </c>
      <c r="AK3" s="607"/>
      <c r="AL3" s="607"/>
      <c r="AM3" s="607"/>
      <c r="AN3" s="608"/>
      <c r="AO3" s="605">
        <v>46201</v>
      </c>
      <c r="AP3" s="605"/>
      <c r="AQ3" s="605"/>
      <c r="AR3" s="605"/>
      <c r="AS3" s="605"/>
      <c r="AT3" s="606">
        <v>46202</v>
      </c>
      <c r="AU3" s="607"/>
      <c r="AV3" s="607"/>
      <c r="AW3" s="607"/>
      <c r="AX3" s="608"/>
    </row>
    <row r="4" spans="1:50" ht="14.25" customHeight="1">
      <c r="B4" s="586" t="s">
        <v>162</v>
      </c>
      <c r="C4" s="586" t="s">
        <v>157</v>
      </c>
      <c r="D4" s="586"/>
      <c r="E4" s="586" t="s">
        <v>158</v>
      </c>
      <c r="F4" s="586"/>
      <c r="G4" s="586"/>
      <c r="H4" s="586" t="s">
        <v>163</v>
      </c>
      <c r="I4" s="592" t="s">
        <v>342</v>
      </c>
      <c r="J4" s="592"/>
      <c r="K4" s="592"/>
      <c r="L4" s="592" t="s">
        <v>163</v>
      </c>
      <c r="M4" s="592" t="s">
        <v>165</v>
      </c>
      <c r="N4" s="590"/>
      <c r="O4" s="591" t="s">
        <v>164</v>
      </c>
      <c r="P4" s="591" t="s">
        <v>160</v>
      </c>
      <c r="Q4" s="591"/>
      <c r="R4" s="591"/>
      <c r="S4" s="591"/>
      <c r="T4" s="591" t="s">
        <v>163</v>
      </c>
      <c r="U4" s="591" t="s">
        <v>160</v>
      </c>
      <c r="V4" s="591"/>
      <c r="W4" s="591"/>
      <c r="X4" s="591"/>
      <c r="Y4" s="591" t="s">
        <v>163</v>
      </c>
      <c r="Z4" s="591" t="s">
        <v>160</v>
      </c>
      <c r="AA4" s="591"/>
      <c r="AB4" s="591"/>
      <c r="AC4" s="591"/>
      <c r="AD4" s="591" t="s">
        <v>163</v>
      </c>
      <c r="AE4" s="591" t="s">
        <v>160</v>
      </c>
      <c r="AF4" s="591"/>
      <c r="AG4" s="591"/>
      <c r="AH4" s="591"/>
      <c r="AI4" s="591" t="s">
        <v>163</v>
      </c>
      <c r="AJ4" s="591" t="s">
        <v>160</v>
      </c>
      <c r="AK4" s="591"/>
      <c r="AL4" s="591"/>
      <c r="AM4" s="591"/>
      <c r="AN4" s="591" t="s">
        <v>163</v>
      </c>
      <c r="AO4" s="591" t="s">
        <v>160</v>
      </c>
      <c r="AP4" s="591"/>
      <c r="AQ4" s="591"/>
      <c r="AR4" s="591"/>
      <c r="AS4" s="591" t="s">
        <v>163</v>
      </c>
      <c r="AT4" s="591" t="s">
        <v>160</v>
      </c>
      <c r="AU4" s="591"/>
      <c r="AV4" s="591"/>
      <c r="AW4" s="591"/>
      <c r="AX4" s="591" t="s">
        <v>163</v>
      </c>
    </row>
    <row r="5" spans="1:50" ht="14.25" customHeight="1">
      <c r="B5" s="586"/>
      <c r="C5" s="586"/>
      <c r="D5" s="586"/>
      <c r="E5" s="586" t="s">
        <v>343</v>
      </c>
      <c r="F5" s="586"/>
      <c r="G5" s="586"/>
      <c r="H5" s="586"/>
      <c r="I5" s="592" t="s">
        <v>343</v>
      </c>
      <c r="J5" s="592"/>
      <c r="K5" s="592"/>
      <c r="L5" s="592"/>
      <c r="M5" s="592"/>
      <c r="N5" s="590"/>
      <c r="O5" s="591"/>
      <c r="P5" s="591" t="s">
        <v>344</v>
      </c>
      <c r="Q5" s="591"/>
      <c r="R5" s="591"/>
      <c r="S5" s="591"/>
      <c r="T5" s="591"/>
      <c r="U5" s="591" t="s">
        <v>344</v>
      </c>
      <c r="V5" s="591"/>
      <c r="W5" s="591"/>
      <c r="X5" s="591"/>
      <c r="Y5" s="591"/>
      <c r="Z5" s="591" t="s">
        <v>344</v>
      </c>
      <c r="AA5" s="591"/>
      <c r="AB5" s="591"/>
      <c r="AC5" s="591"/>
      <c r="AD5" s="591"/>
      <c r="AE5" s="591" t="s">
        <v>344</v>
      </c>
      <c r="AF5" s="591"/>
      <c r="AG5" s="591"/>
      <c r="AH5" s="591"/>
      <c r="AI5" s="591"/>
      <c r="AJ5" s="591" t="s">
        <v>344</v>
      </c>
      <c r="AK5" s="591"/>
      <c r="AL5" s="591"/>
      <c r="AM5" s="591"/>
      <c r="AN5" s="591"/>
      <c r="AO5" s="591" t="s">
        <v>344</v>
      </c>
      <c r="AP5" s="591"/>
      <c r="AQ5" s="591"/>
      <c r="AR5" s="591"/>
      <c r="AS5" s="591"/>
      <c r="AT5" s="591" t="s">
        <v>344</v>
      </c>
      <c r="AU5" s="591"/>
      <c r="AV5" s="591"/>
      <c r="AW5" s="591"/>
      <c r="AX5" s="591"/>
    </row>
    <row r="6" spans="1:50" ht="14.25" customHeight="1">
      <c r="A6" s="176"/>
      <c r="B6" s="586"/>
      <c r="C6" s="586"/>
      <c r="D6" s="586"/>
      <c r="E6" s="179" t="s">
        <v>159</v>
      </c>
      <c r="F6" s="179" t="s">
        <v>345</v>
      </c>
      <c r="G6" s="179" t="s">
        <v>161</v>
      </c>
      <c r="H6" s="586"/>
      <c r="I6" s="180" t="s">
        <v>159</v>
      </c>
      <c r="J6" s="180" t="s">
        <v>345</v>
      </c>
      <c r="K6" s="180" t="s">
        <v>161</v>
      </c>
      <c r="L6" s="592"/>
      <c r="M6" s="592"/>
      <c r="N6" s="590"/>
      <c r="O6" s="591"/>
      <c r="P6" s="181" t="s">
        <v>159</v>
      </c>
      <c r="Q6" s="181" t="s">
        <v>345</v>
      </c>
      <c r="R6" s="181" t="s">
        <v>161</v>
      </c>
      <c r="S6" s="181" t="s">
        <v>165</v>
      </c>
      <c r="T6" s="591"/>
      <c r="U6" s="181" t="s">
        <v>159</v>
      </c>
      <c r="V6" s="181" t="s">
        <v>345</v>
      </c>
      <c r="W6" s="181" t="s">
        <v>161</v>
      </c>
      <c r="X6" s="181" t="s">
        <v>165</v>
      </c>
      <c r="Y6" s="591"/>
      <c r="Z6" s="181" t="s">
        <v>159</v>
      </c>
      <c r="AA6" s="181" t="s">
        <v>345</v>
      </c>
      <c r="AB6" s="181" t="s">
        <v>161</v>
      </c>
      <c r="AC6" s="181" t="s">
        <v>165</v>
      </c>
      <c r="AD6" s="591"/>
      <c r="AE6" s="181" t="s">
        <v>159</v>
      </c>
      <c r="AF6" s="181" t="s">
        <v>345</v>
      </c>
      <c r="AG6" s="181" t="s">
        <v>161</v>
      </c>
      <c r="AH6" s="181" t="s">
        <v>165</v>
      </c>
      <c r="AI6" s="591"/>
      <c r="AJ6" s="181" t="s">
        <v>159</v>
      </c>
      <c r="AK6" s="181" t="s">
        <v>345</v>
      </c>
      <c r="AL6" s="181" t="s">
        <v>161</v>
      </c>
      <c r="AM6" s="181" t="s">
        <v>165</v>
      </c>
      <c r="AN6" s="591"/>
      <c r="AO6" s="181" t="s">
        <v>159</v>
      </c>
      <c r="AP6" s="181" t="s">
        <v>345</v>
      </c>
      <c r="AQ6" s="181" t="s">
        <v>161</v>
      </c>
      <c r="AR6" s="181" t="s">
        <v>165</v>
      </c>
      <c r="AS6" s="591"/>
      <c r="AT6" s="181" t="s">
        <v>159</v>
      </c>
      <c r="AU6" s="181" t="s">
        <v>345</v>
      </c>
      <c r="AV6" s="181" t="s">
        <v>161</v>
      </c>
      <c r="AW6" s="181" t="s">
        <v>165</v>
      </c>
      <c r="AX6" s="591"/>
    </row>
    <row r="7" spans="1:50" ht="14.25" customHeight="1">
      <c r="B7" s="586" t="s">
        <v>346</v>
      </c>
      <c r="C7" s="179">
        <v>1</v>
      </c>
      <c r="D7" s="182" t="s">
        <v>371</v>
      </c>
      <c r="E7" s="183">
        <v>4</v>
      </c>
      <c r="F7" s="179">
        <v>3300</v>
      </c>
      <c r="G7" s="184">
        <f>IFERROR(F7/E7,"")</f>
        <v>825</v>
      </c>
      <c r="H7" s="588">
        <f>AVERAGE(G7:G43)</f>
        <v>865.57142857142856</v>
      </c>
      <c r="I7" s="185">
        <f>AVERAGE(P7,U7,Z7,AE7,AJ7,AO7,AT7)</f>
        <v>4</v>
      </c>
      <c r="J7" s="185">
        <f>AVERAGE(Q7,V7,AA7,AF7,AK7,AP7,AU7)</f>
        <v>3004.0978309442535</v>
      </c>
      <c r="K7" s="186">
        <f>AVERAGE(R7,W7,AB7,AG7,AL7,AQ7,AV7)</f>
        <v>751.02445773606337</v>
      </c>
      <c r="L7" s="589">
        <f>IFERROR(AVERAGE(K7:K43),"-")</f>
        <v>777.98601036720368</v>
      </c>
      <c r="M7" s="185">
        <f>RANK(K7, K$7:$K$43)</f>
        <v>17</v>
      </c>
      <c r="N7" s="590"/>
      <c r="O7" s="591"/>
      <c r="P7" s="187">
        <v>4</v>
      </c>
      <c r="Q7" s="187">
        <v>2996.4786933476325</v>
      </c>
      <c r="R7" s="184">
        <f>IFERROR(Q7/P7,"")</f>
        <v>749.11967333690814</v>
      </c>
      <c r="S7" s="181">
        <f>RANK(R7, R$7:R$43)</f>
        <v>17</v>
      </c>
      <c r="T7" s="587">
        <f>AVERAGE(R7:R43)</f>
        <v>776.99977110784801</v>
      </c>
      <c r="U7" s="187">
        <v>4</v>
      </c>
      <c r="V7" s="187">
        <v>3003.2226331240963</v>
      </c>
      <c r="W7" s="184">
        <f t="shared" ref="W7:W41" si="0">IFERROR(V7/U7,"")</f>
        <v>750.80565828102408</v>
      </c>
      <c r="X7" s="181">
        <f>RANK(W7, W$7:W$43)</f>
        <v>16</v>
      </c>
      <c r="Y7" s="587">
        <f>AVERAGE(W7:W43)</f>
        <v>777.55571519430828</v>
      </c>
      <c r="Z7" s="187">
        <v>4</v>
      </c>
      <c r="AA7" s="187">
        <v>3003.8826331240966</v>
      </c>
      <c r="AB7" s="184">
        <f>IFERROR(AA7/Z7,"")</f>
        <v>750.97065828102416</v>
      </c>
      <c r="AC7" s="181">
        <f>RANK(AB7, AB$7:AB$43)</f>
        <v>17</v>
      </c>
      <c r="AD7" s="587">
        <f>AVERAGE(AB7:AB43)</f>
        <v>777.82493189396871</v>
      </c>
      <c r="AE7" s="187">
        <v>4</v>
      </c>
      <c r="AF7" s="187">
        <v>3005.2026331240963</v>
      </c>
      <c r="AG7" s="184">
        <f>IFERROR(AF7/AE7,"")</f>
        <v>751.30065828102408</v>
      </c>
      <c r="AH7" s="181">
        <f>RANK(AG7, AG$7:AG$43)</f>
        <v>17</v>
      </c>
      <c r="AI7" s="587">
        <f>AVERAGE(AG7:AG43)</f>
        <v>778.00507769310116</v>
      </c>
      <c r="AJ7" s="187">
        <v>4</v>
      </c>
      <c r="AK7" s="187">
        <v>3005.2026331240959</v>
      </c>
      <c r="AL7" s="184">
        <f>IFERROR(AK7/AJ7,"")</f>
        <v>751.30065828102397</v>
      </c>
      <c r="AM7" s="181">
        <f>RANK(AL7, AL$7:AL$43)</f>
        <v>17</v>
      </c>
      <c r="AN7" s="587">
        <f>AVERAGE(AL7:AL43)</f>
        <v>778.19057166560435</v>
      </c>
      <c r="AO7" s="187">
        <v>4</v>
      </c>
      <c r="AP7" s="187">
        <v>3006.1926331240957</v>
      </c>
      <c r="AQ7" s="184">
        <f>IFERROR(AP7/AO7,"")</f>
        <v>751.54815828102392</v>
      </c>
      <c r="AR7" s="181">
        <f>RANK(AQ7, AQ$7:AQ$43)</f>
        <v>17</v>
      </c>
      <c r="AS7" s="587">
        <f>AVERAGE(AQ7:AQ43)</f>
        <v>778.42546490772497</v>
      </c>
      <c r="AT7" s="187">
        <v>4</v>
      </c>
      <c r="AU7" s="187">
        <v>3008.5029576416591</v>
      </c>
      <c r="AV7" s="184">
        <f>IFERROR(AU7/AT7,"")</f>
        <v>752.12573941041478</v>
      </c>
      <c r="AW7" s="181">
        <f>RANK(AV7, AV$7:AV$43)</f>
        <v>17</v>
      </c>
      <c r="AX7" s="587">
        <f>AVERAGE(AV7:AV43)</f>
        <v>778.90054010787128</v>
      </c>
    </row>
    <row r="8" spans="1:50" ht="14.25" customHeight="1">
      <c r="B8" s="586"/>
      <c r="C8" s="179">
        <v>2</v>
      </c>
      <c r="D8" s="182" t="s">
        <v>369</v>
      </c>
      <c r="E8" s="183">
        <v>3</v>
      </c>
      <c r="F8" s="179">
        <v>3600</v>
      </c>
      <c r="G8" s="184">
        <f t="shared" ref="G8:G41" si="1">IFERROR(F8/E8,"")</f>
        <v>1200</v>
      </c>
      <c r="H8" s="588"/>
      <c r="I8" s="185">
        <f t="shared" ref="I8:K37" si="2">AVERAGE(P8,U8,Z8,AE8,AJ8,AO8,AT8)</f>
        <v>3</v>
      </c>
      <c r="J8" s="185">
        <f t="shared" si="2"/>
        <v>3207.6595226048348</v>
      </c>
      <c r="K8" s="186">
        <f t="shared" si="2"/>
        <v>1069.2198408682784</v>
      </c>
      <c r="L8" s="589"/>
      <c r="M8" s="185">
        <f>RANK(K8, K$7:$K$43)</f>
        <v>6</v>
      </c>
      <c r="N8" s="590"/>
      <c r="O8" s="591"/>
      <c r="P8" s="187">
        <v>3</v>
      </c>
      <c r="Q8" s="187">
        <v>3204.6252368905498</v>
      </c>
      <c r="R8" s="184">
        <f t="shared" ref="R8:R41" si="3">IFERROR(Q8/P8,"")</f>
        <v>1068.2084122968499</v>
      </c>
      <c r="S8" s="181">
        <f t="shared" ref="S8:S41" si="4">RANK(R8, R$7:R$43)</f>
        <v>7</v>
      </c>
      <c r="T8" s="587"/>
      <c r="U8" s="187">
        <v>3</v>
      </c>
      <c r="V8" s="187">
        <v>3205.34523689055</v>
      </c>
      <c r="W8" s="184">
        <f t="shared" si="0"/>
        <v>1068.4484122968499</v>
      </c>
      <c r="X8" s="181">
        <f t="shared" ref="X8:X41" si="5">RANK(W8, W$7:W$43)</f>
        <v>7</v>
      </c>
      <c r="Y8" s="587"/>
      <c r="Z8" s="187">
        <v>3</v>
      </c>
      <c r="AA8" s="187">
        <v>3207.1452368905493</v>
      </c>
      <c r="AB8" s="184">
        <f t="shared" ref="AB8:AB41" si="6">IFERROR(AA8/Z8,"")</f>
        <v>1069.0484122968498</v>
      </c>
      <c r="AC8" s="181">
        <f t="shared" ref="AC8:AC41" si="7">RANK(AB8, AB$7:AB$43)</f>
        <v>6</v>
      </c>
      <c r="AD8" s="587"/>
      <c r="AE8" s="187">
        <v>3</v>
      </c>
      <c r="AF8" s="187">
        <v>3207.1452368905493</v>
      </c>
      <c r="AG8" s="184">
        <f t="shared" ref="AG8:AG41" si="8">IFERROR(AF8/AE8,"")</f>
        <v>1069.0484122968498</v>
      </c>
      <c r="AH8" s="181">
        <f t="shared" ref="AH8:AH41" si="9">RANK(AG8, AG$7:AG$43)</f>
        <v>6</v>
      </c>
      <c r="AI8" s="587"/>
      <c r="AJ8" s="187">
        <v>3</v>
      </c>
      <c r="AK8" s="187">
        <v>3208.5852368905489</v>
      </c>
      <c r="AL8" s="184">
        <f t="shared" ref="AL8:AL41" si="10">IFERROR(AK8/AJ8,"")</f>
        <v>1069.5284122968496</v>
      </c>
      <c r="AM8" s="181">
        <f t="shared" ref="AM8:AM41" si="11">RANK(AL8, AL$7:AL$43)</f>
        <v>5</v>
      </c>
      <c r="AN8" s="587"/>
      <c r="AO8" s="187">
        <v>3</v>
      </c>
      <c r="AP8" s="187">
        <v>3210.025236890549</v>
      </c>
      <c r="AQ8" s="184">
        <f t="shared" ref="AQ8:AQ41" si="12">IFERROR(AP8/AO8,"")</f>
        <v>1070.0084122968497</v>
      </c>
      <c r="AR8" s="181">
        <f t="shared" ref="AR8:AR41" si="13">RANK(AQ8, AQ$7:AQ$43)</f>
        <v>5</v>
      </c>
      <c r="AS8" s="587"/>
      <c r="AT8" s="187">
        <v>3</v>
      </c>
      <c r="AU8" s="187">
        <v>3210.7452368905497</v>
      </c>
      <c r="AV8" s="184">
        <f t="shared" ref="AV8:AV41" si="14">IFERROR(AU8/AT8,"")</f>
        <v>1070.2484122968499</v>
      </c>
      <c r="AW8" s="181">
        <f t="shared" ref="AW8:AW41" si="15">RANK(AV8, AV$7:AV$43)</f>
        <v>7</v>
      </c>
      <c r="AX8" s="587"/>
    </row>
    <row r="9" spans="1:50" ht="14.25" customHeight="1">
      <c r="B9" s="586"/>
      <c r="C9" s="179">
        <v>3</v>
      </c>
      <c r="D9" s="182" t="s">
        <v>370</v>
      </c>
      <c r="E9" s="183">
        <v>5</v>
      </c>
      <c r="F9" s="179">
        <v>3600</v>
      </c>
      <c r="G9" s="184">
        <f t="shared" si="1"/>
        <v>720</v>
      </c>
      <c r="H9" s="588"/>
      <c r="I9" s="185">
        <f t="shared" si="2"/>
        <v>5</v>
      </c>
      <c r="J9" s="185">
        <f t="shared" si="2"/>
        <v>3207.7299062226934</v>
      </c>
      <c r="K9" s="186">
        <f t="shared" si="2"/>
        <v>641.54598124453878</v>
      </c>
      <c r="L9" s="589"/>
      <c r="M9" s="185">
        <f>RANK(K9, K$7:$K$43)</f>
        <v>28</v>
      </c>
      <c r="N9" s="590"/>
      <c r="O9" s="591"/>
      <c r="P9" s="187">
        <v>5</v>
      </c>
      <c r="Q9" s="187">
        <v>3205.5758276693327</v>
      </c>
      <c r="R9" s="184">
        <f t="shared" si="3"/>
        <v>641.1151655338665</v>
      </c>
      <c r="S9" s="181">
        <f t="shared" si="4"/>
        <v>24</v>
      </c>
      <c r="T9" s="587"/>
      <c r="U9" s="187">
        <v>5</v>
      </c>
      <c r="V9" s="187">
        <v>3206.6558276693327</v>
      </c>
      <c r="W9" s="184">
        <f t="shared" si="0"/>
        <v>641.33116553386651</v>
      </c>
      <c r="X9" s="181">
        <f t="shared" si="5"/>
        <v>26</v>
      </c>
      <c r="Y9" s="587"/>
      <c r="Z9" s="187">
        <v>5</v>
      </c>
      <c r="AA9" s="187">
        <v>3206.6558276693327</v>
      </c>
      <c r="AB9" s="184">
        <f t="shared" si="6"/>
        <v>641.33116553386651</v>
      </c>
      <c r="AC9" s="181">
        <f t="shared" si="7"/>
        <v>28</v>
      </c>
      <c r="AD9" s="587"/>
      <c r="AE9" s="187">
        <v>5</v>
      </c>
      <c r="AF9" s="187">
        <v>3207.0158276693328</v>
      </c>
      <c r="AG9" s="184">
        <f t="shared" si="8"/>
        <v>641.40316553386651</v>
      </c>
      <c r="AH9" s="181">
        <f t="shared" si="9"/>
        <v>28</v>
      </c>
      <c r="AI9" s="587"/>
      <c r="AJ9" s="187">
        <v>5</v>
      </c>
      <c r="AK9" s="187">
        <v>3207.3758276693325</v>
      </c>
      <c r="AL9" s="184">
        <f t="shared" si="10"/>
        <v>641.47516553386652</v>
      </c>
      <c r="AM9" s="181">
        <f t="shared" si="11"/>
        <v>29</v>
      </c>
      <c r="AN9" s="587"/>
      <c r="AO9" s="187">
        <v>5</v>
      </c>
      <c r="AP9" s="187">
        <v>3208.4558276693324</v>
      </c>
      <c r="AQ9" s="184">
        <f t="shared" si="12"/>
        <v>641.69116553386652</v>
      </c>
      <c r="AR9" s="181">
        <f t="shared" si="13"/>
        <v>29</v>
      </c>
      <c r="AS9" s="587"/>
      <c r="AT9" s="187">
        <v>5</v>
      </c>
      <c r="AU9" s="187">
        <v>3212.3743775428579</v>
      </c>
      <c r="AV9" s="184">
        <f t="shared" si="14"/>
        <v>642.47487550857159</v>
      </c>
      <c r="AW9" s="181">
        <f t="shared" si="15"/>
        <v>27</v>
      </c>
      <c r="AX9" s="587"/>
    </row>
    <row r="10" spans="1:50" ht="14.25" customHeight="1">
      <c r="B10" s="586"/>
      <c r="C10" s="179">
        <v>4</v>
      </c>
      <c r="D10" s="182" t="s">
        <v>212</v>
      </c>
      <c r="E10" s="183">
        <v>5</v>
      </c>
      <c r="F10" s="179">
        <v>3300</v>
      </c>
      <c r="G10" s="184">
        <f t="shared" si="1"/>
        <v>660</v>
      </c>
      <c r="H10" s="588"/>
      <c r="I10" s="185">
        <f t="shared" si="2"/>
        <v>5</v>
      </c>
      <c r="J10" s="185">
        <f t="shared" si="2"/>
        <v>3007.0541810350014</v>
      </c>
      <c r="K10" s="186">
        <f t="shared" si="2"/>
        <v>601.41083620700022</v>
      </c>
      <c r="L10" s="589"/>
      <c r="M10" s="185">
        <f>RANK(K10, K$7:$K$43)</f>
        <v>31</v>
      </c>
      <c r="N10" s="590"/>
      <c r="O10" s="591"/>
      <c r="P10" s="187">
        <v>5</v>
      </c>
      <c r="Q10" s="187">
        <v>2999.4550675856426</v>
      </c>
      <c r="R10" s="184">
        <f t="shared" si="3"/>
        <v>599.8910135171285</v>
      </c>
      <c r="S10" s="181">
        <f t="shared" si="4"/>
        <v>31</v>
      </c>
      <c r="T10" s="587"/>
      <c r="U10" s="187">
        <v>5</v>
      </c>
      <c r="V10" s="187">
        <v>3006.8428785148703</v>
      </c>
      <c r="W10" s="184">
        <f t="shared" si="0"/>
        <v>601.36857570297411</v>
      </c>
      <c r="X10" s="181">
        <f t="shared" si="5"/>
        <v>31</v>
      </c>
      <c r="Y10" s="587"/>
      <c r="Z10" s="187">
        <v>5</v>
      </c>
      <c r="AA10" s="187">
        <v>3006.8428785148708</v>
      </c>
      <c r="AB10" s="184">
        <f t="shared" si="6"/>
        <v>601.36857570297411</v>
      </c>
      <c r="AC10" s="181">
        <f t="shared" si="7"/>
        <v>32</v>
      </c>
      <c r="AD10" s="587"/>
      <c r="AE10" s="187">
        <v>5</v>
      </c>
      <c r="AF10" s="187">
        <v>3007.1728785148703</v>
      </c>
      <c r="AG10" s="184">
        <f t="shared" si="8"/>
        <v>601.43457570297403</v>
      </c>
      <c r="AH10" s="181">
        <f t="shared" si="9"/>
        <v>31</v>
      </c>
      <c r="AI10" s="587"/>
      <c r="AJ10" s="187">
        <v>5</v>
      </c>
      <c r="AK10" s="187">
        <v>3007.8328785148701</v>
      </c>
      <c r="AL10" s="184">
        <f t="shared" si="10"/>
        <v>601.56657570297398</v>
      </c>
      <c r="AM10" s="181">
        <f t="shared" si="11"/>
        <v>31</v>
      </c>
      <c r="AN10" s="587"/>
      <c r="AO10" s="187">
        <v>5</v>
      </c>
      <c r="AP10" s="187">
        <v>3009.4828785148693</v>
      </c>
      <c r="AQ10" s="184">
        <f t="shared" si="12"/>
        <v>601.89657570297391</v>
      </c>
      <c r="AR10" s="181">
        <f t="shared" si="13"/>
        <v>31</v>
      </c>
      <c r="AS10" s="587"/>
      <c r="AT10" s="187">
        <v>5</v>
      </c>
      <c r="AU10" s="187">
        <v>3011.749807085017</v>
      </c>
      <c r="AV10" s="184">
        <f t="shared" si="14"/>
        <v>602.34996141700344</v>
      </c>
      <c r="AW10" s="181">
        <f t="shared" si="15"/>
        <v>31</v>
      </c>
      <c r="AX10" s="587"/>
    </row>
    <row r="11" spans="1:50" ht="14.25" customHeight="1">
      <c r="B11" s="586"/>
      <c r="C11" s="179">
        <v>5</v>
      </c>
      <c r="D11" s="182" t="s">
        <v>366</v>
      </c>
      <c r="E11" s="183">
        <v>3</v>
      </c>
      <c r="F11" s="179">
        <v>3600</v>
      </c>
      <c r="G11" s="184">
        <f t="shared" si="1"/>
        <v>1200</v>
      </c>
      <c r="H11" s="588"/>
      <c r="I11" s="185">
        <f t="shared" si="2"/>
        <v>3</v>
      </c>
      <c r="J11" s="185">
        <f t="shared" si="2"/>
        <v>3207.9623703926045</v>
      </c>
      <c r="K11" s="186">
        <f t="shared" si="2"/>
        <v>1069.3207901308681</v>
      </c>
      <c r="L11" s="589"/>
      <c r="M11" s="185">
        <f>RANK(K11, K$7:$K$43)</f>
        <v>5</v>
      </c>
      <c r="N11" s="590"/>
      <c r="O11" s="591"/>
      <c r="P11" s="187">
        <v>3</v>
      </c>
      <c r="Q11" s="187">
        <v>3205.6217186658937</v>
      </c>
      <c r="R11" s="184">
        <f t="shared" si="3"/>
        <v>1068.5405728886312</v>
      </c>
      <c r="S11" s="181">
        <f t="shared" si="4"/>
        <v>6</v>
      </c>
      <c r="T11" s="587"/>
      <c r="U11" s="187">
        <v>3</v>
      </c>
      <c r="V11" s="187">
        <v>3206.7017186658936</v>
      </c>
      <c r="W11" s="184">
        <f t="shared" si="0"/>
        <v>1068.9005728886311</v>
      </c>
      <c r="X11" s="181">
        <f t="shared" si="5"/>
        <v>5</v>
      </c>
      <c r="Y11" s="587"/>
      <c r="Z11" s="187">
        <v>3</v>
      </c>
      <c r="AA11" s="187">
        <v>3207.421718665893</v>
      </c>
      <c r="AB11" s="184">
        <f t="shared" si="6"/>
        <v>1069.1405728886309</v>
      </c>
      <c r="AC11" s="181">
        <f t="shared" si="7"/>
        <v>5</v>
      </c>
      <c r="AD11" s="587"/>
      <c r="AE11" s="187">
        <v>3</v>
      </c>
      <c r="AF11" s="187">
        <v>3208.1417186658928</v>
      </c>
      <c r="AG11" s="184">
        <f t="shared" si="8"/>
        <v>1069.3805728886309</v>
      </c>
      <c r="AH11" s="181">
        <f t="shared" si="9"/>
        <v>5</v>
      </c>
      <c r="AI11" s="587"/>
      <c r="AJ11" s="187">
        <v>3</v>
      </c>
      <c r="AK11" s="187">
        <v>3208.5017186658933</v>
      </c>
      <c r="AL11" s="184">
        <f t="shared" si="10"/>
        <v>1069.500572888631</v>
      </c>
      <c r="AM11" s="181">
        <f t="shared" si="11"/>
        <v>6</v>
      </c>
      <c r="AN11" s="587"/>
      <c r="AO11" s="187">
        <v>3</v>
      </c>
      <c r="AP11" s="187">
        <v>3208.5017186658933</v>
      </c>
      <c r="AQ11" s="184">
        <f t="shared" si="12"/>
        <v>1069.500572888631</v>
      </c>
      <c r="AR11" s="181">
        <f t="shared" si="13"/>
        <v>6</v>
      </c>
      <c r="AS11" s="587"/>
      <c r="AT11" s="187">
        <v>3</v>
      </c>
      <c r="AU11" s="187">
        <v>3210.8462807528699</v>
      </c>
      <c r="AV11" s="184">
        <f t="shared" si="14"/>
        <v>1070.2820935842899</v>
      </c>
      <c r="AW11" s="181">
        <f t="shared" si="15"/>
        <v>6</v>
      </c>
      <c r="AX11" s="587"/>
    </row>
    <row r="12" spans="1:50" ht="14.25" customHeight="1">
      <c r="B12" s="586"/>
      <c r="C12" s="179">
        <v>6</v>
      </c>
      <c r="D12" s="182" t="s">
        <v>318</v>
      </c>
      <c r="E12" s="183">
        <v>4</v>
      </c>
      <c r="F12" s="179">
        <v>3600</v>
      </c>
      <c r="G12" s="184">
        <f t="shared" si="1"/>
        <v>900</v>
      </c>
      <c r="H12" s="588"/>
      <c r="I12" s="185">
        <f t="shared" si="2"/>
        <v>4</v>
      </c>
      <c r="J12" s="185">
        <f t="shared" si="2"/>
        <v>3208.059613400289</v>
      </c>
      <c r="K12" s="186">
        <f t="shared" si="2"/>
        <v>802.01490335007225</v>
      </c>
      <c r="L12" s="589"/>
      <c r="M12" s="185">
        <f>RANK(K12, K$7:$K$43)</f>
        <v>14</v>
      </c>
      <c r="N12" s="590"/>
      <c r="O12" s="591"/>
      <c r="P12" s="187">
        <v>4</v>
      </c>
      <c r="Q12" s="187">
        <v>3205.5911032386434</v>
      </c>
      <c r="R12" s="184">
        <f t="shared" si="3"/>
        <v>801.39777580966086</v>
      </c>
      <c r="S12" s="181">
        <f t="shared" si="4"/>
        <v>14</v>
      </c>
      <c r="T12" s="587"/>
      <c r="U12" s="187">
        <v>4</v>
      </c>
      <c r="V12" s="187">
        <v>3207.0311032386426</v>
      </c>
      <c r="W12" s="184">
        <f t="shared" si="0"/>
        <v>801.75777580966064</v>
      </c>
      <c r="X12" s="181">
        <f t="shared" si="5"/>
        <v>14</v>
      </c>
      <c r="Y12" s="587"/>
      <c r="Z12" s="187">
        <v>4</v>
      </c>
      <c r="AA12" s="187">
        <v>3207.3911032386427</v>
      </c>
      <c r="AB12" s="184">
        <f t="shared" si="6"/>
        <v>801.84777580966067</v>
      </c>
      <c r="AC12" s="181">
        <f t="shared" si="7"/>
        <v>14</v>
      </c>
      <c r="AD12" s="587"/>
      <c r="AE12" s="187">
        <v>4</v>
      </c>
      <c r="AF12" s="187">
        <v>3207.3911032386432</v>
      </c>
      <c r="AG12" s="184">
        <f t="shared" si="8"/>
        <v>801.84777580966079</v>
      </c>
      <c r="AH12" s="181">
        <f t="shared" si="9"/>
        <v>14</v>
      </c>
      <c r="AI12" s="587"/>
      <c r="AJ12" s="187">
        <v>4</v>
      </c>
      <c r="AK12" s="187">
        <v>3207.7511032386433</v>
      </c>
      <c r="AL12" s="184">
        <f t="shared" si="10"/>
        <v>801.93777580966082</v>
      </c>
      <c r="AM12" s="181">
        <f t="shared" si="11"/>
        <v>15</v>
      </c>
      <c r="AN12" s="587"/>
      <c r="AO12" s="187">
        <v>4</v>
      </c>
      <c r="AP12" s="187">
        <v>3208.1111032386439</v>
      </c>
      <c r="AQ12" s="184">
        <f t="shared" si="12"/>
        <v>802.02777580966097</v>
      </c>
      <c r="AR12" s="181">
        <f t="shared" si="13"/>
        <v>15</v>
      </c>
      <c r="AS12" s="587"/>
      <c r="AT12" s="187">
        <v>4</v>
      </c>
      <c r="AU12" s="187">
        <v>3213.1506743701643</v>
      </c>
      <c r="AV12" s="184">
        <f t="shared" si="14"/>
        <v>803.28766859254108</v>
      </c>
      <c r="AW12" s="181">
        <f t="shared" si="15"/>
        <v>14</v>
      </c>
      <c r="AX12" s="587"/>
    </row>
    <row r="13" spans="1:50" ht="14.25" customHeight="1">
      <c r="B13" s="586"/>
      <c r="C13" s="179">
        <v>7</v>
      </c>
      <c r="D13" s="182" t="s">
        <v>368</v>
      </c>
      <c r="E13" s="183">
        <v>3</v>
      </c>
      <c r="F13" s="179">
        <v>3600</v>
      </c>
      <c r="G13" s="184">
        <f t="shared" si="1"/>
        <v>1200</v>
      </c>
      <c r="H13" s="588"/>
      <c r="I13" s="185">
        <f t="shared" si="2"/>
        <v>3</v>
      </c>
      <c r="J13" s="185">
        <f t="shared" si="2"/>
        <v>3211.0646645229745</v>
      </c>
      <c r="K13" s="186">
        <f t="shared" si="2"/>
        <v>1070.354888174325</v>
      </c>
      <c r="L13" s="589"/>
      <c r="M13" s="185">
        <f>RANK(K13, K$7:$K$43)</f>
        <v>2</v>
      </c>
      <c r="N13" s="590"/>
      <c r="O13" s="591"/>
      <c r="P13" s="187">
        <v>3</v>
      </c>
      <c r="Q13" s="187">
        <v>3208.081807380117</v>
      </c>
      <c r="R13" s="184">
        <f t="shared" si="3"/>
        <v>1069.360602460039</v>
      </c>
      <c r="S13" s="181">
        <f t="shared" si="4"/>
        <v>2</v>
      </c>
      <c r="T13" s="587"/>
      <c r="U13" s="187">
        <v>3</v>
      </c>
      <c r="V13" s="187">
        <v>3209.8818073801172</v>
      </c>
      <c r="W13" s="184">
        <f t="shared" si="0"/>
        <v>1069.9606024600391</v>
      </c>
      <c r="X13" s="181">
        <f t="shared" si="5"/>
        <v>2</v>
      </c>
      <c r="Y13" s="587"/>
      <c r="Z13" s="187">
        <v>3</v>
      </c>
      <c r="AA13" s="187">
        <v>3211.3218073801172</v>
      </c>
      <c r="AB13" s="184">
        <f t="shared" si="6"/>
        <v>1070.4406024600391</v>
      </c>
      <c r="AC13" s="181">
        <f t="shared" si="7"/>
        <v>2</v>
      </c>
      <c r="AD13" s="587"/>
      <c r="AE13" s="187">
        <v>3</v>
      </c>
      <c r="AF13" s="187">
        <v>3211.3218073801177</v>
      </c>
      <c r="AG13" s="184">
        <f t="shared" si="8"/>
        <v>1070.4406024600391</v>
      </c>
      <c r="AH13" s="181">
        <f t="shared" si="9"/>
        <v>2</v>
      </c>
      <c r="AI13" s="587"/>
      <c r="AJ13" s="187">
        <v>3</v>
      </c>
      <c r="AK13" s="187">
        <v>3211.6818073801178</v>
      </c>
      <c r="AL13" s="184">
        <f t="shared" si="10"/>
        <v>1070.5606024600393</v>
      </c>
      <c r="AM13" s="181">
        <f t="shared" si="11"/>
        <v>2</v>
      </c>
      <c r="AN13" s="587"/>
      <c r="AO13" s="187">
        <v>3</v>
      </c>
      <c r="AP13" s="187">
        <v>3212.401807380118</v>
      </c>
      <c r="AQ13" s="184">
        <f t="shared" si="12"/>
        <v>1070.8006024600393</v>
      </c>
      <c r="AR13" s="181">
        <f t="shared" si="13"/>
        <v>2</v>
      </c>
      <c r="AS13" s="587"/>
      <c r="AT13" s="187">
        <v>3</v>
      </c>
      <c r="AU13" s="187">
        <v>3212.7618073801177</v>
      </c>
      <c r="AV13" s="184">
        <f t="shared" si="14"/>
        <v>1070.9206024600392</v>
      </c>
      <c r="AW13" s="181">
        <f t="shared" si="15"/>
        <v>4</v>
      </c>
      <c r="AX13" s="587"/>
    </row>
    <row r="14" spans="1:50" ht="14.25" customHeight="1">
      <c r="B14" s="586"/>
      <c r="C14" s="179">
        <v>8</v>
      </c>
      <c r="D14" s="182" t="s">
        <v>367</v>
      </c>
      <c r="E14" s="183">
        <v>5</v>
      </c>
      <c r="F14" s="179">
        <v>3600</v>
      </c>
      <c r="G14" s="184">
        <f t="shared" si="1"/>
        <v>720</v>
      </c>
      <c r="H14" s="588"/>
      <c r="I14" s="185">
        <f t="shared" si="2"/>
        <v>5</v>
      </c>
      <c r="J14" s="185">
        <f t="shared" si="2"/>
        <v>3210.5895508629173</v>
      </c>
      <c r="K14" s="186">
        <f t="shared" si="2"/>
        <v>642.11791017258349</v>
      </c>
      <c r="L14" s="589"/>
      <c r="M14" s="185">
        <f>RANK(K14, K$7:$K$43)</f>
        <v>23</v>
      </c>
      <c r="N14" s="590"/>
      <c r="O14" s="591"/>
      <c r="P14" s="187">
        <v>5</v>
      </c>
      <c r="Q14" s="187">
        <v>3207.3495508629176</v>
      </c>
      <c r="R14" s="184">
        <f t="shared" si="3"/>
        <v>641.46991017258347</v>
      </c>
      <c r="S14" s="181">
        <f t="shared" si="4"/>
        <v>23</v>
      </c>
      <c r="T14" s="587"/>
      <c r="U14" s="187">
        <v>5</v>
      </c>
      <c r="V14" s="187">
        <v>3208.7895508629172</v>
      </c>
      <c r="W14" s="184">
        <f t="shared" si="0"/>
        <v>641.75791017258348</v>
      </c>
      <c r="X14" s="181">
        <f t="shared" si="5"/>
        <v>23</v>
      </c>
      <c r="Y14" s="587"/>
      <c r="Z14" s="187">
        <v>5</v>
      </c>
      <c r="AA14" s="187">
        <v>3210.2295508629172</v>
      </c>
      <c r="AB14" s="184">
        <f t="shared" si="6"/>
        <v>642.04591017258349</v>
      </c>
      <c r="AC14" s="181">
        <f t="shared" si="7"/>
        <v>23</v>
      </c>
      <c r="AD14" s="587"/>
      <c r="AE14" s="187">
        <v>5</v>
      </c>
      <c r="AF14" s="187">
        <v>3210.5895508629173</v>
      </c>
      <c r="AG14" s="184">
        <f t="shared" si="8"/>
        <v>642.11791017258349</v>
      </c>
      <c r="AH14" s="181">
        <f t="shared" si="9"/>
        <v>23</v>
      </c>
      <c r="AI14" s="587"/>
      <c r="AJ14" s="187">
        <v>5</v>
      </c>
      <c r="AK14" s="187">
        <v>3210.5895508629173</v>
      </c>
      <c r="AL14" s="184">
        <f t="shared" si="10"/>
        <v>642.11791017258349</v>
      </c>
      <c r="AM14" s="181">
        <f t="shared" si="11"/>
        <v>23</v>
      </c>
      <c r="AN14" s="587"/>
      <c r="AO14" s="187">
        <v>5</v>
      </c>
      <c r="AP14" s="187">
        <v>3212.3895508629166</v>
      </c>
      <c r="AQ14" s="184">
        <f t="shared" si="12"/>
        <v>642.47791017258328</v>
      </c>
      <c r="AR14" s="181">
        <f t="shared" si="13"/>
        <v>23</v>
      </c>
      <c r="AS14" s="587"/>
      <c r="AT14" s="187">
        <v>5</v>
      </c>
      <c r="AU14" s="187">
        <v>3214.1895508629163</v>
      </c>
      <c r="AV14" s="184">
        <f t="shared" si="14"/>
        <v>642.83791017258329</v>
      </c>
      <c r="AW14" s="181">
        <f t="shared" si="15"/>
        <v>23</v>
      </c>
      <c r="AX14" s="587"/>
    </row>
    <row r="15" spans="1:50" ht="14.25" customHeight="1">
      <c r="B15" s="586"/>
      <c r="C15" s="179">
        <v>9</v>
      </c>
      <c r="D15" s="182" t="s">
        <v>365</v>
      </c>
      <c r="E15" s="183">
        <v>5</v>
      </c>
      <c r="F15" s="179">
        <v>3600</v>
      </c>
      <c r="G15" s="184">
        <f t="shared" si="1"/>
        <v>720</v>
      </c>
      <c r="H15" s="588"/>
      <c r="I15" s="185">
        <f t="shared" si="2"/>
        <v>5</v>
      </c>
      <c r="J15" s="185">
        <f t="shared" si="2"/>
        <v>3207.6637302638414</v>
      </c>
      <c r="K15" s="186">
        <f t="shared" si="2"/>
        <v>641.53274605276818</v>
      </c>
      <c r="L15" s="589"/>
      <c r="M15" s="185">
        <f>RANK(K15, K$7:$K$43)</f>
        <v>29</v>
      </c>
      <c r="N15" s="590"/>
      <c r="O15" s="591"/>
      <c r="P15" s="187">
        <v>5</v>
      </c>
      <c r="Q15" s="187">
        <v>3205.487658717434</v>
      </c>
      <c r="R15" s="184">
        <f t="shared" si="3"/>
        <v>641.0975317434868</v>
      </c>
      <c r="S15" s="181">
        <f t="shared" si="4"/>
        <v>26</v>
      </c>
      <c r="T15" s="587"/>
      <c r="U15" s="187">
        <v>5</v>
      </c>
      <c r="V15" s="187">
        <v>3206.2076587174338</v>
      </c>
      <c r="W15" s="184">
        <f t="shared" si="0"/>
        <v>641.2415317434868</v>
      </c>
      <c r="X15" s="181">
        <f t="shared" si="5"/>
        <v>27</v>
      </c>
      <c r="Y15" s="587"/>
      <c r="Z15" s="187">
        <v>5</v>
      </c>
      <c r="AA15" s="187">
        <v>3206.5676587174344</v>
      </c>
      <c r="AB15" s="184">
        <f t="shared" si="6"/>
        <v>641.31353174348692</v>
      </c>
      <c r="AC15" s="181">
        <f t="shared" si="7"/>
        <v>29</v>
      </c>
      <c r="AD15" s="587"/>
      <c r="AE15" s="187">
        <v>5</v>
      </c>
      <c r="AF15" s="187">
        <v>3206.5676587174348</v>
      </c>
      <c r="AG15" s="184">
        <f t="shared" si="8"/>
        <v>641.31353174348692</v>
      </c>
      <c r="AH15" s="181">
        <f t="shared" si="9"/>
        <v>30</v>
      </c>
      <c r="AI15" s="587"/>
      <c r="AJ15" s="187">
        <v>5</v>
      </c>
      <c r="AK15" s="187">
        <v>3207.2876587174351</v>
      </c>
      <c r="AL15" s="184">
        <f t="shared" si="10"/>
        <v>641.45753174348704</v>
      </c>
      <c r="AM15" s="181">
        <f t="shared" si="11"/>
        <v>30</v>
      </c>
      <c r="AN15" s="587"/>
      <c r="AO15" s="187">
        <v>5</v>
      </c>
      <c r="AP15" s="187">
        <v>3208.0076587174353</v>
      </c>
      <c r="AQ15" s="184">
        <f t="shared" si="12"/>
        <v>641.60153174348704</v>
      </c>
      <c r="AR15" s="181">
        <f t="shared" si="13"/>
        <v>30</v>
      </c>
      <c r="AS15" s="587"/>
      <c r="AT15" s="187">
        <v>5</v>
      </c>
      <c r="AU15" s="187">
        <v>3213.5201595422814</v>
      </c>
      <c r="AV15" s="184">
        <f t="shared" si="14"/>
        <v>642.70403190845627</v>
      </c>
      <c r="AW15" s="181">
        <f t="shared" si="15"/>
        <v>25</v>
      </c>
      <c r="AX15" s="587"/>
    </row>
    <row r="16" spans="1:50" ht="14.25" customHeight="1">
      <c r="B16" s="586"/>
      <c r="C16" s="179">
        <v>10</v>
      </c>
      <c r="D16" s="182" t="s">
        <v>211</v>
      </c>
      <c r="E16" s="183">
        <v>3</v>
      </c>
      <c r="F16" s="179">
        <v>3000</v>
      </c>
      <c r="G16" s="184">
        <f t="shared" si="1"/>
        <v>1000</v>
      </c>
      <c r="H16" s="588"/>
      <c r="I16" s="185">
        <f t="shared" si="2"/>
        <v>3</v>
      </c>
      <c r="J16" s="185">
        <f t="shared" si="2"/>
        <v>2735.1875431881708</v>
      </c>
      <c r="K16" s="186">
        <f t="shared" si="2"/>
        <v>911.72918106272334</v>
      </c>
      <c r="L16" s="589"/>
      <c r="M16" s="185">
        <f>RANK(K16, K$7:$K$43)</f>
        <v>12</v>
      </c>
      <c r="N16" s="590"/>
      <c r="O16" s="591"/>
      <c r="P16" s="187">
        <v>3</v>
      </c>
      <c r="Q16" s="187">
        <v>2733.2161146167423</v>
      </c>
      <c r="R16" s="184">
        <f t="shared" si="3"/>
        <v>911.07203820558072</v>
      </c>
      <c r="S16" s="181">
        <f t="shared" si="4"/>
        <v>11</v>
      </c>
      <c r="T16" s="587"/>
      <c r="U16" s="187">
        <v>3</v>
      </c>
      <c r="V16" s="187">
        <v>2733.516114616742</v>
      </c>
      <c r="W16" s="184">
        <f t="shared" si="0"/>
        <v>911.17203820558063</v>
      </c>
      <c r="X16" s="181">
        <f t="shared" si="5"/>
        <v>11</v>
      </c>
      <c r="Y16" s="587"/>
      <c r="Z16" s="187">
        <v>3</v>
      </c>
      <c r="AA16" s="187">
        <v>2734.4161146167421</v>
      </c>
      <c r="AB16" s="184">
        <f t="shared" si="6"/>
        <v>911.4720382055807</v>
      </c>
      <c r="AC16" s="181">
        <f t="shared" si="7"/>
        <v>12</v>
      </c>
      <c r="AD16" s="587"/>
      <c r="AE16" s="187">
        <v>3</v>
      </c>
      <c r="AF16" s="187">
        <v>2735.016114616742</v>
      </c>
      <c r="AG16" s="184">
        <f t="shared" si="8"/>
        <v>911.67203820558063</v>
      </c>
      <c r="AH16" s="181">
        <f t="shared" si="9"/>
        <v>12</v>
      </c>
      <c r="AI16" s="587"/>
      <c r="AJ16" s="187">
        <v>3</v>
      </c>
      <c r="AK16" s="187">
        <v>2735.3161146167417</v>
      </c>
      <c r="AL16" s="184">
        <f t="shared" si="10"/>
        <v>911.77203820558054</v>
      </c>
      <c r="AM16" s="181">
        <f t="shared" si="11"/>
        <v>12</v>
      </c>
      <c r="AN16" s="587"/>
      <c r="AO16" s="187">
        <v>3</v>
      </c>
      <c r="AP16" s="187">
        <v>2736.8161146167413</v>
      </c>
      <c r="AQ16" s="184">
        <f t="shared" si="12"/>
        <v>912.27203820558043</v>
      </c>
      <c r="AR16" s="181">
        <f t="shared" si="13"/>
        <v>12</v>
      </c>
      <c r="AS16" s="587"/>
      <c r="AT16" s="187">
        <v>3</v>
      </c>
      <c r="AU16" s="187">
        <v>2738.0161146167411</v>
      </c>
      <c r="AV16" s="184">
        <f t="shared" si="14"/>
        <v>912.67203820558041</v>
      </c>
      <c r="AW16" s="181">
        <f t="shared" si="15"/>
        <v>12</v>
      </c>
      <c r="AX16" s="587"/>
    </row>
    <row r="17" spans="2:50" ht="14.25" customHeight="1">
      <c r="B17" s="586"/>
      <c r="C17" s="179">
        <v>11</v>
      </c>
      <c r="D17" s="182" t="s">
        <v>416</v>
      </c>
      <c r="E17" s="183">
        <v>12</v>
      </c>
      <c r="F17" s="179">
        <v>3600</v>
      </c>
      <c r="G17" s="184">
        <f t="shared" si="1"/>
        <v>300</v>
      </c>
      <c r="H17" s="588"/>
      <c r="I17" s="185">
        <f t="shared" si="2"/>
        <v>12</v>
      </c>
      <c r="J17" s="185">
        <f t="shared" si="2"/>
        <v>3122.112601323061</v>
      </c>
      <c r="K17" s="186">
        <f t="shared" si="2"/>
        <v>260.17605011025506</v>
      </c>
      <c r="L17" s="589"/>
      <c r="M17" s="185">
        <f>RANK(K17, K$7:$K$43)</f>
        <v>34</v>
      </c>
      <c r="N17" s="590"/>
      <c r="O17" s="591"/>
      <c r="P17" s="187">
        <v>12</v>
      </c>
      <c r="Q17" s="187">
        <v>3121.0617443150168</v>
      </c>
      <c r="R17" s="184">
        <f t="shared" si="3"/>
        <v>260.08847869291804</v>
      </c>
      <c r="S17" s="181">
        <f t="shared" si="4"/>
        <v>35</v>
      </c>
      <c r="T17" s="587"/>
      <c r="U17" s="187">
        <v>12</v>
      </c>
      <c r="V17" s="187">
        <v>3122.1417443150167</v>
      </c>
      <c r="W17" s="184">
        <f t="shared" si="0"/>
        <v>260.17847869291808</v>
      </c>
      <c r="X17" s="181">
        <f t="shared" si="5"/>
        <v>34</v>
      </c>
      <c r="Y17" s="587"/>
      <c r="Z17" s="187">
        <v>12</v>
      </c>
      <c r="AA17" s="187">
        <v>3123.9417443150169</v>
      </c>
      <c r="AB17" s="184">
        <f t="shared" si="6"/>
        <v>260.32847869291805</v>
      </c>
      <c r="AC17" s="181">
        <f t="shared" si="7"/>
        <v>34</v>
      </c>
      <c r="AD17" s="587"/>
      <c r="AE17" s="187">
        <v>12</v>
      </c>
      <c r="AF17" s="187">
        <v>3121.7708540453582</v>
      </c>
      <c r="AG17" s="184">
        <f t="shared" si="8"/>
        <v>260.1475711704465</v>
      </c>
      <c r="AH17" s="181">
        <f t="shared" si="9"/>
        <v>35</v>
      </c>
      <c r="AI17" s="587"/>
      <c r="AJ17" s="187">
        <v>12</v>
      </c>
      <c r="AK17" s="187">
        <v>3122.8508540453586</v>
      </c>
      <c r="AL17" s="184">
        <f t="shared" si="10"/>
        <v>260.23757117044653</v>
      </c>
      <c r="AM17" s="181">
        <f t="shared" si="11"/>
        <v>34</v>
      </c>
      <c r="AN17" s="587"/>
      <c r="AO17" s="187">
        <v>12</v>
      </c>
      <c r="AP17" s="187">
        <v>3120.4789558549865</v>
      </c>
      <c r="AQ17" s="184">
        <f t="shared" si="12"/>
        <v>260.03991298791556</v>
      </c>
      <c r="AR17" s="181">
        <f t="shared" si="13"/>
        <v>35</v>
      </c>
      <c r="AS17" s="587"/>
      <c r="AT17" s="187">
        <v>12</v>
      </c>
      <c r="AU17" s="187">
        <v>3122.5423123706705</v>
      </c>
      <c r="AV17" s="184">
        <f t="shared" si="14"/>
        <v>260.21185936422256</v>
      </c>
      <c r="AW17" s="181">
        <f t="shared" si="15"/>
        <v>35</v>
      </c>
      <c r="AX17" s="587"/>
    </row>
    <row r="18" spans="2:50" ht="14.25" customHeight="1">
      <c r="B18" s="586"/>
      <c r="C18" s="179">
        <v>12</v>
      </c>
      <c r="D18" s="182" t="s">
        <v>432</v>
      </c>
      <c r="E18" s="183">
        <v>3</v>
      </c>
      <c r="F18" s="179">
        <v>3300</v>
      </c>
      <c r="G18" s="184">
        <f t="shared" si="1"/>
        <v>1100</v>
      </c>
      <c r="H18" s="588"/>
      <c r="I18" s="185">
        <f t="shared" si="2"/>
        <v>3</v>
      </c>
      <c r="J18" s="185">
        <f t="shared" si="2"/>
        <v>3003.3903286473283</v>
      </c>
      <c r="K18" s="186">
        <f t="shared" si="2"/>
        <v>1001.1301095491093</v>
      </c>
      <c r="L18" s="589"/>
      <c r="M18" s="185">
        <f>RANK(K18, K$7:$K$43)</f>
        <v>10</v>
      </c>
      <c r="N18" s="590"/>
      <c r="O18" s="591"/>
      <c r="P18" s="187">
        <v>3</v>
      </c>
      <c r="Q18" s="187">
        <v>2996.220443760727</v>
      </c>
      <c r="R18" s="184">
        <f t="shared" si="3"/>
        <v>998.74014792024229</v>
      </c>
      <c r="S18" s="181">
        <f t="shared" si="4"/>
        <v>9</v>
      </c>
      <c r="T18" s="587"/>
      <c r="U18" s="187">
        <v>3</v>
      </c>
      <c r="V18" s="187">
        <v>3002.3556832401646</v>
      </c>
      <c r="W18" s="184">
        <f t="shared" si="0"/>
        <v>1000.7852277467215</v>
      </c>
      <c r="X18" s="181">
        <f t="shared" si="5"/>
        <v>9</v>
      </c>
      <c r="Y18" s="587"/>
      <c r="Z18" s="187">
        <v>3</v>
      </c>
      <c r="AA18" s="187">
        <v>3003.0156832401649</v>
      </c>
      <c r="AB18" s="184">
        <f t="shared" si="6"/>
        <v>1001.0052277467216</v>
      </c>
      <c r="AC18" s="181">
        <f t="shared" si="7"/>
        <v>10</v>
      </c>
      <c r="AD18" s="587"/>
      <c r="AE18" s="187">
        <v>3</v>
      </c>
      <c r="AF18" s="187">
        <v>3003.6756832401643</v>
      </c>
      <c r="AG18" s="184">
        <f t="shared" si="8"/>
        <v>1001.2252277467214</v>
      </c>
      <c r="AH18" s="181">
        <f t="shared" si="9"/>
        <v>10</v>
      </c>
      <c r="AI18" s="587"/>
      <c r="AJ18" s="187">
        <v>3</v>
      </c>
      <c r="AK18" s="187">
        <v>3004.0056832401647</v>
      </c>
      <c r="AL18" s="184">
        <f t="shared" si="10"/>
        <v>1001.3352277467216</v>
      </c>
      <c r="AM18" s="181">
        <f t="shared" si="11"/>
        <v>10</v>
      </c>
      <c r="AN18" s="587"/>
      <c r="AO18" s="187">
        <v>3</v>
      </c>
      <c r="AP18" s="187">
        <v>3005.6556832401643</v>
      </c>
      <c r="AQ18" s="184">
        <f t="shared" si="12"/>
        <v>1001.8852277467214</v>
      </c>
      <c r="AR18" s="181">
        <f t="shared" si="13"/>
        <v>10</v>
      </c>
      <c r="AS18" s="587"/>
      <c r="AT18" s="187">
        <v>3</v>
      </c>
      <c r="AU18" s="187">
        <v>3008.8034405697481</v>
      </c>
      <c r="AV18" s="184">
        <f t="shared" si="14"/>
        <v>1002.934480189916</v>
      </c>
      <c r="AW18" s="181">
        <f t="shared" si="15"/>
        <v>10</v>
      </c>
      <c r="AX18" s="587"/>
    </row>
    <row r="19" spans="2:50" ht="14.25" customHeight="1">
      <c r="B19" s="586"/>
      <c r="C19" s="179">
        <v>13</v>
      </c>
      <c r="D19" s="182" t="s">
        <v>491</v>
      </c>
      <c r="E19" s="183">
        <v>5</v>
      </c>
      <c r="F19" s="179">
        <v>3600</v>
      </c>
      <c r="G19" s="184">
        <f t="shared" si="1"/>
        <v>720</v>
      </c>
      <c r="H19" s="588"/>
      <c r="I19" s="185">
        <f t="shared" si="2"/>
        <v>5</v>
      </c>
      <c r="J19" s="185">
        <f t="shared" si="2"/>
        <v>3208.3054351992255</v>
      </c>
      <c r="K19" s="186">
        <f t="shared" si="2"/>
        <v>641.66108703984514</v>
      </c>
      <c r="L19" s="589"/>
      <c r="M19" s="185">
        <f>RANK(K19, K$7:$K$43)</f>
        <v>26</v>
      </c>
      <c r="N19" s="590"/>
      <c r="O19" s="591"/>
      <c r="P19" s="187">
        <v>5</v>
      </c>
      <c r="Q19" s="187">
        <v>3204.5511494849411</v>
      </c>
      <c r="R19" s="184">
        <f t="shared" si="3"/>
        <v>640.9102298969882</v>
      </c>
      <c r="S19" s="181">
        <f t="shared" si="4"/>
        <v>29</v>
      </c>
      <c r="T19" s="587"/>
      <c r="U19" s="187">
        <v>5</v>
      </c>
      <c r="V19" s="187">
        <v>3205.9911494849407</v>
      </c>
      <c r="W19" s="184">
        <f t="shared" si="0"/>
        <v>641.1982298969881</v>
      </c>
      <c r="X19" s="181">
        <f t="shared" si="5"/>
        <v>28</v>
      </c>
      <c r="Y19" s="587"/>
      <c r="Z19" s="187">
        <v>5</v>
      </c>
      <c r="AA19" s="187">
        <v>3207.0711494849402</v>
      </c>
      <c r="AB19" s="184">
        <f t="shared" si="6"/>
        <v>641.41422989698799</v>
      </c>
      <c r="AC19" s="181">
        <f t="shared" si="7"/>
        <v>26</v>
      </c>
      <c r="AD19" s="587"/>
      <c r="AE19" s="187">
        <v>5</v>
      </c>
      <c r="AF19" s="187">
        <v>3208.5111494849398</v>
      </c>
      <c r="AG19" s="184">
        <f t="shared" si="8"/>
        <v>641.702229896988</v>
      </c>
      <c r="AH19" s="181">
        <f t="shared" si="9"/>
        <v>26</v>
      </c>
      <c r="AI19" s="587"/>
      <c r="AJ19" s="187">
        <v>5</v>
      </c>
      <c r="AK19" s="187">
        <v>3209.5911494849397</v>
      </c>
      <c r="AL19" s="184">
        <f t="shared" si="10"/>
        <v>641.9182298969879</v>
      </c>
      <c r="AM19" s="181">
        <f t="shared" si="11"/>
        <v>25</v>
      </c>
      <c r="AN19" s="587"/>
      <c r="AO19" s="187">
        <v>5</v>
      </c>
      <c r="AP19" s="187">
        <v>3210.6711494849396</v>
      </c>
      <c r="AQ19" s="184">
        <f t="shared" si="12"/>
        <v>642.1342298969879</v>
      </c>
      <c r="AR19" s="181">
        <f t="shared" si="13"/>
        <v>26</v>
      </c>
      <c r="AS19" s="587"/>
      <c r="AT19" s="187">
        <v>5</v>
      </c>
      <c r="AU19" s="187">
        <v>3211.7511494849391</v>
      </c>
      <c r="AV19" s="184">
        <f t="shared" si="14"/>
        <v>642.3502298969878</v>
      </c>
      <c r="AW19" s="181">
        <f t="shared" si="15"/>
        <v>28</v>
      </c>
      <c r="AX19" s="587"/>
    </row>
    <row r="20" spans="2:50" ht="14.25" customHeight="1">
      <c r="B20" s="586"/>
      <c r="C20" s="179">
        <v>14</v>
      </c>
      <c r="D20" s="182" t="s">
        <v>529</v>
      </c>
      <c r="E20" s="183">
        <v>3</v>
      </c>
      <c r="F20" s="179">
        <v>3600</v>
      </c>
      <c r="G20" s="184">
        <f t="shared" si="1"/>
        <v>1200</v>
      </c>
      <c r="H20" s="588"/>
      <c r="I20" s="185">
        <f t="shared" si="2"/>
        <v>3</v>
      </c>
      <c r="J20" s="185">
        <f t="shared" si="2"/>
        <v>3210.1812150023106</v>
      </c>
      <c r="K20" s="186">
        <f t="shared" si="2"/>
        <v>1070.0604050007701</v>
      </c>
      <c r="L20" s="589"/>
      <c r="M20" s="185">
        <f>RANK(K20, K$7:$K$43)</f>
        <v>4</v>
      </c>
      <c r="N20" s="590"/>
      <c r="O20" s="591"/>
      <c r="P20" s="187">
        <v>3</v>
      </c>
      <c r="Q20" s="187">
        <v>3207.1983578594527</v>
      </c>
      <c r="R20" s="184">
        <f t="shared" si="3"/>
        <v>1069.0661192864843</v>
      </c>
      <c r="S20" s="181">
        <f t="shared" si="4"/>
        <v>3</v>
      </c>
      <c r="T20" s="587"/>
      <c r="U20" s="187">
        <v>3</v>
      </c>
      <c r="V20" s="187">
        <v>3207.918357859453</v>
      </c>
      <c r="W20" s="184">
        <f t="shared" si="0"/>
        <v>1069.3061192864843</v>
      </c>
      <c r="X20" s="181">
        <f t="shared" si="5"/>
        <v>4</v>
      </c>
      <c r="Y20" s="587"/>
      <c r="Z20" s="187">
        <v>3</v>
      </c>
      <c r="AA20" s="187">
        <v>3209.7183578594527</v>
      </c>
      <c r="AB20" s="184">
        <f t="shared" si="6"/>
        <v>1069.9061192864842</v>
      </c>
      <c r="AC20" s="181">
        <f t="shared" si="7"/>
        <v>4</v>
      </c>
      <c r="AD20" s="587"/>
      <c r="AE20" s="187">
        <v>3</v>
      </c>
      <c r="AF20" s="187">
        <v>3210.4383578594529</v>
      </c>
      <c r="AG20" s="184">
        <f t="shared" si="8"/>
        <v>1070.1461192864842</v>
      </c>
      <c r="AH20" s="181">
        <f t="shared" si="9"/>
        <v>3</v>
      </c>
      <c r="AI20" s="587"/>
      <c r="AJ20" s="187">
        <v>3</v>
      </c>
      <c r="AK20" s="187">
        <v>3211.1583578594532</v>
      </c>
      <c r="AL20" s="184">
        <f t="shared" si="10"/>
        <v>1070.3861192864845</v>
      </c>
      <c r="AM20" s="181">
        <f t="shared" si="11"/>
        <v>3</v>
      </c>
      <c r="AN20" s="587"/>
      <c r="AO20" s="187">
        <v>3</v>
      </c>
      <c r="AP20" s="187">
        <v>3211.8783578594539</v>
      </c>
      <c r="AQ20" s="184">
        <f t="shared" si="12"/>
        <v>1070.6261192864847</v>
      </c>
      <c r="AR20" s="181">
        <f t="shared" si="13"/>
        <v>3</v>
      </c>
      <c r="AS20" s="587"/>
      <c r="AT20" s="187">
        <v>3</v>
      </c>
      <c r="AU20" s="187">
        <v>3212.9583578594538</v>
      </c>
      <c r="AV20" s="184">
        <f t="shared" si="14"/>
        <v>1070.9861192864846</v>
      </c>
      <c r="AW20" s="181">
        <f t="shared" si="15"/>
        <v>3</v>
      </c>
      <c r="AX20" s="587"/>
    </row>
    <row r="21" spans="2:50" ht="14.25" customHeight="1">
      <c r="B21" s="586"/>
      <c r="C21" s="179">
        <v>15</v>
      </c>
      <c r="D21" s="182" t="s">
        <v>522</v>
      </c>
      <c r="E21" s="183">
        <v>3</v>
      </c>
      <c r="F21" s="179">
        <v>3300</v>
      </c>
      <c r="G21" s="184">
        <f t="shared" si="1"/>
        <v>1100</v>
      </c>
      <c r="H21" s="588"/>
      <c r="I21" s="185">
        <f t="shared" si="2"/>
        <v>3</v>
      </c>
      <c r="J21" s="185">
        <f t="shared" si="2"/>
        <v>3006.6657410941298</v>
      </c>
      <c r="K21" s="186">
        <f t="shared" si="2"/>
        <v>1002.2219136980433</v>
      </c>
      <c r="L21" s="589"/>
      <c r="M21" s="185">
        <f>RANK(K21, K$7:$K$43)</f>
        <v>9</v>
      </c>
      <c r="N21" s="590"/>
      <c r="O21" s="591"/>
      <c r="P21" s="187">
        <v>3</v>
      </c>
      <c r="Q21" s="187">
        <v>2995.9529888086831</v>
      </c>
      <c r="R21" s="184">
        <f t="shared" si="3"/>
        <v>998.65099626956101</v>
      </c>
      <c r="S21" s="181">
        <f t="shared" si="4"/>
        <v>10</v>
      </c>
      <c r="T21" s="587"/>
      <c r="U21" s="187">
        <v>3</v>
      </c>
      <c r="V21" s="187">
        <v>3001.5423199072752</v>
      </c>
      <c r="W21" s="184">
        <f t="shared" si="0"/>
        <v>1000.5141066357584</v>
      </c>
      <c r="X21" s="181">
        <f t="shared" si="5"/>
        <v>10</v>
      </c>
      <c r="Y21" s="587"/>
      <c r="Z21" s="187">
        <v>3</v>
      </c>
      <c r="AA21" s="187">
        <v>3003.9861461758132</v>
      </c>
      <c r="AB21" s="184">
        <f t="shared" si="6"/>
        <v>1001.3287153919377</v>
      </c>
      <c r="AC21" s="181">
        <f t="shared" si="7"/>
        <v>9</v>
      </c>
      <c r="AD21" s="587"/>
      <c r="AE21" s="187">
        <v>3</v>
      </c>
      <c r="AF21" s="187">
        <v>3009.3971831917834</v>
      </c>
      <c r="AG21" s="184">
        <f t="shared" si="8"/>
        <v>1003.1323943972611</v>
      </c>
      <c r="AH21" s="181">
        <f t="shared" si="9"/>
        <v>9</v>
      </c>
      <c r="AI21" s="587"/>
      <c r="AJ21" s="187">
        <v>3</v>
      </c>
      <c r="AK21" s="187">
        <v>3011.0471831917839</v>
      </c>
      <c r="AL21" s="184">
        <f t="shared" si="10"/>
        <v>1003.6823943972613</v>
      </c>
      <c r="AM21" s="181">
        <f t="shared" si="11"/>
        <v>9</v>
      </c>
      <c r="AN21" s="587"/>
      <c r="AO21" s="187">
        <v>3</v>
      </c>
      <c r="AP21" s="187">
        <v>3012.3671831917845</v>
      </c>
      <c r="AQ21" s="184">
        <f t="shared" si="12"/>
        <v>1004.1223943972615</v>
      </c>
      <c r="AR21" s="181">
        <f t="shared" si="13"/>
        <v>9</v>
      </c>
      <c r="AS21" s="587"/>
      <c r="AT21" s="187">
        <v>3</v>
      </c>
      <c r="AU21" s="187">
        <v>3012.3671831917841</v>
      </c>
      <c r="AV21" s="184">
        <f t="shared" si="14"/>
        <v>1004.1223943972614</v>
      </c>
      <c r="AW21" s="181">
        <f t="shared" si="15"/>
        <v>9</v>
      </c>
      <c r="AX21" s="587"/>
    </row>
    <row r="22" spans="2:50" ht="14.25" customHeight="1">
      <c r="B22" s="586"/>
      <c r="C22" s="179">
        <v>16</v>
      </c>
      <c r="D22" s="182" t="s">
        <v>597</v>
      </c>
      <c r="E22" s="183">
        <v>4</v>
      </c>
      <c r="F22" s="179">
        <v>3300</v>
      </c>
      <c r="G22" s="184">
        <f t="shared" si="1"/>
        <v>825</v>
      </c>
      <c r="H22" s="588"/>
      <c r="I22" s="185">
        <f t="shared" si="2"/>
        <v>4</v>
      </c>
      <c r="J22" s="185">
        <f t="shared" si="2"/>
        <v>3006.5654077430131</v>
      </c>
      <c r="K22" s="186">
        <f t="shared" si="2"/>
        <v>751.64135193575328</v>
      </c>
      <c r="L22" s="589"/>
      <c r="M22" s="185">
        <f>RANK(K22, K$7:$K$43)</f>
        <v>16</v>
      </c>
      <c r="N22" s="590"/>
      <c r="O22" s="591"/>
      <c r="P22" s="187">
        <v>4</v>
      </c>
      <c r="Q22" s="187">
        <v>2995.5873407796425</v>
      </c>
      <c r="R22" s="184">
        <f t="shared" si="3"/>
        <v>748.89683519491064</v>
      </c>
      <c r="S22" s="181">
        <f t="shared" si="4"/>
        <v>18</v>
      </c>
      <c r="T22" s="587"/>
      <c r="U22" s="187">
        <v>4</v>
      </c>
      <c r="V22" s="187">
        <v>3002.5849046594872</v>
      </c>
      <c r="W22" s="184">
        <f t="shared" si="0"/>
        <v>750.64622616487179</v>
      </c>
      <c r="X22" s="181">
        <f t="shared" si="5"/>
        <v>17</v>
      </c>
      <c r="Y22" s="587"/>
      <c r="Z22" s="187">
        <v>4</v>
      </c>
      <c r="AA22" s="187">
        <v>3007.4451217523929</v>
      </c>
      <c r="AB22" s="184">
        <f t="shared" si="6"/>
        <v>751.86128043809822</v>
      </c>
      <c r="AC22" s="181">
        <f t="shared" si="7"/>
        <v>16</v>
      </c>
      <c r="AD22" s="587"/>
      <c r="AE22" s="187">
        <v>4</v>
      </c>
      <c r="AF22" s="187">
        <v>3008.1051217523927</v>
      </c>
      <c r="AG22" s="184">
        <f t="shared" si="8"/>
        <v>752.02628043809818</v>
      </c>
      <c r="AH22" s="181">
        <f t="shared" si="9"/>
        <v>16</v>
      </c>
      <c r="AI22" s="587"/>
      <c r="AJ22" s="187">
        <v>4</v>
      </c>
      <c r="AK22" s="187">
        <v>3009.4251217523929</v>
      </c>
      <c r="AL22" s="184">
        <f t="shared" si="10"/>
        <v>752.35628043809822</v>
      </c>
      <c r="AM22" s="181">
        <f t="shared" si="11"/>
        <v>16</v>
      </c>
      <c r="AN22" s="587"/>
      <c r="AO22" s="187">
        <v>4</v>
      </c>
      <c r="AP22" s="187">
        <v>3011.0751217523925</v>
      </c>
      <c r="AQ22" s="184">
        <f t="shared" si="12"/>
        <v>752.76878043809813</v>
      </c>
      <c r="AR22" s="181">
        <f t="shared" si="13"/>
        <v>16</v>
      </c>
      <c r="AS22" s="587"/>
      <c r="AT22" s="187">
        <v>4</v>
      </c>
      <c r="AU22" s="187">
        <v>3011.7351217523924</v>
      </c>
      <c r="AV22" s="184">
        <f t="shared" si="14"/>
        <v>752.9337804380981</v>
      </c>
      <c r="AW22" s="181">
        <f t="shared" si="15"/>
        <v>16</v>
      </c>
      <c r="AX22" s="587"/>
    </row>
    <row r="23" spans="2:50" ht="14.25" customHeight="1">
      <c r="B23" s="586"/>
      <c r="C23" s="179">
        <v>17</v>
      </c>
      <c r="D23" s="182" t="s">
        <v>612</v>
      </c>
      <c r="E23" s="183">
        <v>5</v>
      </c>
      <c r="F23" s="179">
        <v>3600</v>
      </c>
      <c r="G23" s="184">
        <f t="shared" si="1"/>
        <v>720</v>
      </c>
      <c r="H23" s="588"/>
      <c r="I23" s="185">
        <f t="shared" si="2"/>
        <v>5</v>
      </c>
      <c r="J23" s="185">
        <f t="shared" si="2"/>
        <v>3208.6344480201619</v>
      </c>
      <c r="K23" s="186">
        <f t="shared" si="2"/>
        <v>641.72688960403241</v>
      </c>
      <c r="L23" s="589"/>
      <c r="M23" s="185">
        <f>RANK(K23, K$7:$K$43)</f>
        <v>25</v>
      </c>
      <c r="N23" s="590"/>
      <c r="O23" s="591"/>
      <c r="P23" s="187">
        <v>5</v>
      </c>
      <c r="Q23" s="187">
        <v>3205.4458765915911</v>
      </c>
      <c r="R23" s="184">
        <f t="shared" si="3"/>
        <v>641.08917531831821</v>
      </c>
      <c r="S23" s="181">
        <f t="shared" si="4"/>
        <v>27</v>
      </c>
      <c r="T23" s="587"/>
      <c r="U23" s="187">
        <v>5</v>
      </c>
      <c r="V23" s="187">
        <v>3207.2458765915912</v>
      </c>
      <c r="W23" s="184">
        <f t="shared" si="0"/>
        <v>641.44917531831823</v>
      </c>
      <c r="X23" s="181">
        <f t="shared" si="5"/>
        <v>25</v>
      </c>
      <c r="Y23" s="587"/>
      <c r="Z23" s="187">
        <v>5</v>
      </c>
      <c r="AA23" s="187">
        <v>3207.6058765915909</v>
      </c>
      <c r="AB23" s="184">
        <f t="shared" si="6"/>
        <v>641.52117531831823</v>
      </c>
      <c r="AC23" s="181">
        <f t="shared" si="7"/>
        <v>25</v>
      </c>
      <c r="AD23" s="587"/>
      <c r="AE23" s="187">
        <v>5</v>
      </c>
      <c r="AF23" s="187">
        <v>3207.6058765915905</v>
      </c>
      <c r="AG23" s="184">
        <f t="shared" si="8"/>
        <v>641.52117531831811</v>
      </c>
      <c r="AH23" s="181">
        <f t="shared" si="9"/>
        <v>27</v>
      </c>
      <c r="AI23" s="587"/>
      <c r="AJ23" s="187">
        <v>5</v>
      </c>
      <c r="AK23" s="187">
        <v>3208.6858765915904</v>
      </c>
      <c r="AL23" s="184">
        <f t="shared" si="10"/>
        <v>641.73717531831812</v>
      </c>
      <c r="AM23" s="181">
        <f t="shared" si="11"/>
        <v>27</v>
      </c>
      <c r="AN23" s="587"/>
      <c r="AO23" s="187">
        <v>5</v>
      </c>
      <c r="AP23" s="187">
        <v>3210.8458765915902</v>
      </c>
      <c r="AQ23" s="184">
        <f t="shared" si="12"/>
        <v>642.16917531831803</v>
      </c>
      <c r="AR23" s="181">
        <f t="shared" si="13"/>
        <v>25</v>
      </c>
      <c r="AS23" s="587"/>
      <c r="AT23" s="187">
        <v>5</v>
      </c>
      <c r="AU23" s="187">
        <v>3213.0058765915905</v>
      </c>
      <c r="AV23" s="184">
        <f t="shared" si="14"/>
        <v>642.60117531831816</v>
      </c>
      <c r="AW23" s="181">
        <f t="shared" si="15"/>
        <v>26</v>
      </c>
      <c r="AX23" s="587"/>
    </row>
    <row r="24" spans="2:50" ht="14.25" customHeight="1">
      <c r="B24" s="586"/>
      <c r="C24" s="179">
        <v>18</v>
      </c>
      <c r="D24" s="182" t="s">
        <v>378</v>
      </c>
      <c r="E24" s="183">
        <v>5</v>
      </c>
      <c r="F24" s="179">
        <v>3600</v>
      </c>
      <c r="G24" s="184">
        <f t="shared" si="1"/>
        <v>720</v>
      </c>
      <c r="H24" s="588"/>
      <c r="I24" s="185">
        <f t="shared" si="2"/>
        <v>5</v>
      </c>
      <c r="J24" s="185">
        <f t="shared" si="2"/>
        <v>3209.6403738098284</v>
      </c>
      <c r="K24" s="186">
        <f t="shared" si="2"/>
        <v>641.9280747619656</v>
      </c>
      <c r="L24" s="589"/>
      <c r="M24" s="185">
        <f>RANK(K24, K$7:$K$43)</f>
        <v>24</v>
      </c>
      <c r="N24" s="590"/>
      <c r="O24" s="591"/>
      <c r="P24" s="187">
        <v>5</v>
      </c>
      <c r="Q24" s="187">
        <v>3205.0353825568527</v>
      </c>
      <c r="R24" s="184">
        <f t="shared" si="3"/>
        <v>641.00707651137054</v>
      </c>
      <c r="S24" s="181">
        <f t="shared" si="4"/>
        <v>28</v>
      </c>
      <c r="T24" s="587"/>
      <c r="U24" s="187">
        <v>5</v>
      </c>
      <c r="V24" s="187">
        <v>3207.7078723519899</v>
      </c>
      <c r="W24" s="184">
        <f t="shared" si="0"/>
        <v>641.54157447039802</v>
      </c>
      <c r="X24" s="181">
        <f t="shared" si="5"/>
        <v>24</v>
      </c>
      <c r="Y24" s="587"/>
      <c r="Z24" s="187">
        <v>5</v>
      </c>
      <c r="AA24" s="187">
        <v>3208.7878723519907</v>
      </c>
      <c r="AB24" s="184">
        <f t="shared" si="6"/>
        <v>641.75757447039814</v>
      </c>
      <c r="AC24" s="181">
        <f t="shared" si="7"/>
        <v>24</v>
      </c>
      <c r="AD24" s="587"/>
      <c r="AE24" s="187">
        <v>5</v>
      </c>
      <c r="AF24" s="187">
        <v>3209.507872351991</v>
      </c>
      <c r="AG24" s="184">
        <f t="shared" si="8"/>
        <v>641.90157447039815</v>
      </c>
      <c r="AH24" s="181">
        <f t="shared" si="9"/>
        <v>24</v>
      </c>
      <c r="AI24" s="587"/>
      <c r="AJ24" s="187">
        <v>5</v>
      </c>
      <c r="AK24" s="187">
        <v>3210.2278723519912</v>
      </c>
      <c r="AL24" s="184">
        <f t="shared" si="10"/>
        <v>642.04557447039826</v>
      </c>
      <c r="AM24" s="181">
        <f t="shared" si="11"/>
        <v>24</v>
      </c>
      <c r="AN24" s="587"/>
      <c r="AO24" s="187">
        <v>5</v>
      </c>
      <c r="AP24" s="187">
        <v>3212.0278723519905</v>
      </c>
      <c r="AQ24" s="184">
        <f t="shared" si="12"/>
        <v>642.40557447039805</v>
      </c>
      <c r="AR24" s="181">
        <f t="shared" si="13"/>
        <v>24</v>
      </c>
      <c r="AS24" s="587"/>
      <c r="AT24" s="187">
        <v>5</v>
      </c>
      <c r="AU24" s="187">
        <v>3214.1878723519903</v>
      </c>
      <c r="AV24" s="184">
        <f t="shared" si="14"/>
        <v>642.83757447039807</v>
      </c>
      <c r="AW24" s="181">
        <f t="shared" si="15"/>
        <v>24</v>
      </c>
      <c r="AX24" s="587"/>
    </row>
    <row r="25" spans="2:50" ht="14.25" customHeight="1">
      <c r="B25" s="586"/>
      <c r="C25" s="179">
        <v>19</v>
      </c>
      <c r="D25" s="182" t="s">
        <v>377</v>
      </c>
      <c r="E25" s="183">
        <v>3</v>
      </c>
      <c r="F25" s="179">
        <v>3600</v>
      </c>
      <c r="G25" s="184">
        <f t="shared" si="1"/>
        <v>1200</v>
      </c>
      <c r="H25" s="588"/>
      <c r="I25" s="185">
        <f t="shared" si="2"/>
        <v>3</v>
      </c>
      <c r="J25" s="185">
        <f t="shared" si="2"/>
        <v>3210.2740297791215</v>
      </c>
      <c r="K25" s="186">
        <f t="shared" si="2"/>
        <v>1070.0913432597072</v>
      </c>
      <c r="L25" s="589"/>
      <c r="M25" s="185">
        <f>RANK(K25, K$7:$K$43)</f>
        <v>3</v>
      </c>
      <c r="N25" s="590"/>
      <c r="O25" s="591"/>
      <c r="P25" s="187">
        <v>3</v>
      </c>
      <c r="Q25" s="187">
        <v>3208.1247664220637</v>
      </c>
      <c r="R25" s="184">
        <f t="shared" si="3"/>
        <v>1069.3749221406879</v>
      </c>
      <c r="S25" s="181">
        <f t="shared" si="4"/>
        <v>1</v>
      </c>
      <c r="T25" s="587"/>
      <c r="U25" s="187">
        <v>3</v>
      </c>
      <c r="V25" s="187">
        <v>3208.844766422063</v>
      </c>
      <c r="W25" s="184">
        <f t="shared" si="0"/>
        <v>1069.6149221406877</v>
      </c>
      <c r="X25" s="181">
        <f t="shared" si="5"/>
        <v>3</v>
      </c>
      <c r="Y25" s="587"/>
      <c r="Z25" s="187">
        <v>3</v>
      </c>
      <c r="AA25" s="187">
        <v>3209.9247664220629</v>
      </c>
      <c r="AB25" s="184">
        <f t="shared" si="6"/>
        <v>1069.9749221406876</v>
      </c>
      <c r="AC25" s="181">
        <f t="shared" si="7"/>
        <v>3</v>
      </c>
      <c r="AD25" s="587"/>
      <c r="AE25" s="187">
        <v>3</v>
      </c>
      <c r="AF25" s="187">
        <v>3210.2847664220626</v>
      </c>
      <c r="AG25" s="184">
        <f t="shared" si="8"/>
        <v>1070.0949221406875</v>
      </c>
      <c r="AH25" s="181">
        <f t="shared" si="9"/>
        <v>4</v>
      </c>
      <c r="AI25" s="587"/>
      <c r="AJ25" s="187">
        <v>3</v>
      </c>
      <c r="AK25" s="187">
        <v>3210.6447664220623</v>
      </c>
      <c r="AL25" s="184">
        <f t="shared" si="10"/>
        <v>1070.2149221406873</v>
      </c>
      <c r="AM25" s="181">
        <f t="shared" si="11"/>
        <v>4</v>
      </c>
      <c r="AN25" s="587"/>
      <c r="AO25" s="187">
        <v>3</v>
      </c>
      <c r="AP25" s="187">
        <v>3211.0047664220629</v>
      </c>
      <c r="AQ25" s="184">
        <f t="shared" si="12"/>
        <v>1070.3349221406877</v>
      </c>
      <c r="AR25" s="181">
        <f t="shared" si="13"/>
        <v>4</v>
      </c>
      <c r="AS25" s="587"/>
      <c r="AT25" s="187">
        <v>3</v>
      </c>
      <c r="AU25" s="187">
        <v>3213.0896099214742</v>
      </c>
      <c r="AV25" s="184">
        <f t="shared" si="14"/>
        <v>1071.0298699738248</v>
      </c>
      <c r="AW25" s="181">
        <f t="shared" si="15"/>
        <v>2</v>
      </c>
      <c r="AX25" s="587"/>
    </row>
    <row r="26" spans="2:50" ht="14.25" customHeight="1">
      <c r="B26" s="586"/>
      <c r="C26" s="179">
        <v>20</v>
      </c>
      <c r="D26" s="182" t="s">
        <v>379</v>
      </c>
      <c r="E26" s="183">
        <v>4</v>
      </c>
      <c r="F26" s="179">
        <v>3300</v>
      </c>
      <c r="G26" s="184">
        <f t="shared" si="1"/>
        <v>825</v>
      </c>
      <c r="H26" s="588"/>
      <c r="I26" s="185">
        <f t="shared" si="2"/>
        <v>4</v>
      </c>
      <c r="J26" s="185">
        <f t="shared" si="2"/>
        <v>3003.0954159949133</v>
      </c>
      <c r="K26" s="186">
        <f t="shared" si="2"/>
        <v>750.77385399872833</v>
      </c>
      <c r="L26" s="589"/>
      <c r="M26" s="185">
        <f>RANK(K26, K$7:$K$43)</f>
        <v>18</v>
      </c>
      <c r="N26" s="590"/>
      <c r="O26" s="591"/>
      <c r="P26" s="187">
        <v>4</v>
      </c>
      <c r="Q26" s="187">
        <v>2996.9283901922017</v>
      </c>
      <c r="R26" s="184">
        <f t="shared" si="3"/>
        <v>749.23209754805043</v>
      </c>
      <c r="S26" s="181">
        <f t="shared" si="4"/>
        <v>16</v>
      </c>
      <c r="T26" s="587"/>
      <c r="U26" s="187">
        <v>4</v>
      </c>
      <c r="V26" s="187">
        <v>3002.0402889108927</v>
      </c>
      <c r="W26" s="184">
        <f t="shared" si="0"/>
        <v>750.51007222772319</v>
      </c>
      <c r="X26" s="181">
        <f t="shared" si="5"/>
        <v>18</v>
      </c>
      <c r="Y26" s="587"/>
      <c r="Z26" s="187">
        <v>4</v>
      </c>
      <c r="AA26" s="187">
        <v>3002.3702889108922</v>
      </c>
      <c r="AB26" s="184">
        <f t="shared" si="6"/>
        <v>750.59257222772305</v>
      </c>
      <c r="AC26" s="181">
        <f t="shared" si="7"/>
        <v>18</v>
      </c>
      <c r="AD26" s="587"/>
      <c r="AE26" s="187">
        <v>4</v>
      </c>
      <c r="AF26" s="187">
        <v>3003.0302889108916</v>
      </c>
      <c r="AG26" s="184">
        <f t="shared" si="8"/>
        <v>750.7575722277229</v>
      </c>
      <c r="AH26" s="181">
        <f t="shared" si="9"/>
        <v>18</v>
      </c>
      <c r="AI26" s="587"/>
      <c r="AJ26" s="187">
        <v>4</v>
      </c>
      <c r="AK26" s="187">
        <v>3004.3502889108909</v>
      </c>
      <c r="AL26" s="184">
        <f t="shared" si="10"/>
        <v>751.08757222772272</v>
      </c>
      <c r="AM26" s="181">
        <f t="shared" si="11"/>
        <v>18</v>
      </c>
      <c r="AN26" s="587"/>
      <c r="AO26" s="187">
        <v>4</v>
      </c>
      <c r="AP26" s="187">
        <v>3004.6802889108908</v>
      </c>
      <c r="AQ26" s="184">
        <f t="shared" si="12"/>
        <v>751.1700722277227</v>
      </c>
      <c r="AR26" s="181">
        <f t="shared" si="13"/>
        <v>18</v>
      </c>
      <c r="AS26" s="587"/>
      <c r="AT26" s="187">
        <v>4</v>
      </c>
      <c r="AU26" s="187">
        <v>3008.268077217735</v>
      </c>
      <c r="AV26" s="184">
        <f t="shared" si="14"/>
        <v>752.06701930443376</v>
      </c>
      <c r="AW26" s="181">
        <f t="shared" si="15"/>
        <v>18</v>
      </c>
      <c r="AX26" s="587"/>
    </row>
    <row r="27" spans="2:50" ht="14.25" customHeight="1">
      <c r="B27" s="586"/>
      <c r="C27" s="179">
        <v>21</v>
      </c>
      <c r="D27" s="182" t="s">
        <v>323</v>
      </c>
      <c r="E27" s="183">
        <v>5</v>
      </c>
      <c r="F27" s="179">
        <v>3300</v>
      </c>
      <c r="G27" s="184">
        <f t="shared" si="1"/>
        <v>660</v>
      </c>
      <c r="H27" s="588"/>
      <c r="I27" s="185">
        <f t="shared" si="2"/>
        <v>5</v>
      </c>
      <c r="J27" s="185">
        <f t="shared" si="2"/>
        <v>3005.9186417170326</v>
      </c>
      <c r="K27" s="186">
        <f t="shared" si="2"/>
        <v>601.18372834340641</v>
      </c>
      <c r="L27" s="589"/>
      <c r="M27" s="185">
        <f>RANK(K27, K$7:$K$43)</f>
        <v>32</v>
      </c>
      <c r="N27" s="590"/>
      <c r="O27" s="591"/>
      <c r="P27" s="187">
        <v>5</v>
      </c>
      <c r="Q27" s="187">
        <v>2998.049999999997</v>
      </c>
      <c r="R27" s="184">
        <f t="shared" si="3"/>
        <v>599.60999999999945</v>
      </c>
      <c r="S27" s="181">
        <f t="shared" si="4"/>
        <v>32</v>
      </c>
      <c r="T27" s="587"/>
      <c r="U27" s="187">
        <v>5</v>
      </c>
      <c r="V27" s="187">
        <v>3006.7515103561414</v>
      </c>
      <c r="W27" s="184">
        <f t="shared" si="0"/>
        <v>601.35030207122827</v>
      </c>
      <c r="X27" s="181">
        <f t="shared" si="5"/>
        <v>32</v>
      </c>
      <c r="Y27" s="587"/>
      <c r="Z27" s="187">
        <v>5</v>
      </c>
      <c r="AA27" s="187">
        <v>3007.7415103561411</v>
      </c>
      <c r="AB27" s="184">
        <f t="shared" si="6"/>
        <v>601.54830207122825</v>
      </c>
      <c r="AC27" s="181">
        <f t="shared" si="7"/>
        <v>31</v>
      </c>
      <c r="AD27" s="587"/>
      <c r="AE27" s="187">
        <v>5</v>
      </c>
      <c r="AF27" s="187">
        <v>3006.1962323054954</v>
      </c>
      <c r="AG27" s="184">
        <f t="shared" si="8"/>
        <v>601.23924646109913</v>
      </c>
      <c r="AH27" s="181">
        <f t="shared" si="9"/>
        <v>32</v>
      </c>
      <c r="AI27" s="587"/>
      <c r="AJ27" s="187">
        <v>5</v>
      </c>
      <c r="AK27" s="187">
        <v>3006.5262323054958</v>
      </c>
      <c r="AL27" s="184">
        <f t="shared" si="10"/>
        <v>601.30524646109916</v>
      </c>
      <c r="AM27" s="181">
        <f t="shared" si="11"/>
        <v>32</v>
      </c>
      <c r="AN27" s="587"/>
      <c r="AO27" s="187">
        <v>5</v>
      </c>
      <c r="AP27" s="187">
        <v>3006.8562323054957</v>
      </c>
      <c r="AQ27" s="184">
        <f t="shared" si="12"/>
        <v>601.37124646109919</v>
      </c>
      <c r="AR27" s="181">
        <f t="shared" si="13"/>
        <v>32</v>
      </c>
      <c r="AS27" s="587"/>
      <c r="AT27" s="187">
        <v>5</v>
      </c>
      <c r="AU27" s="187">
        <v>3009.308774390463</v>
      </c>
      <c r="AV27" s="184">
        <f t="shared" si="14"/>
        <v>601.8617548780926</v>
      </c>
      <c r="AW27" s="181">
        <f t="shared" si="15"/>
        <v>32</v>
      </c>
      <c r="AX27" s="587"/>
    </row>
    <row r="28" spans="2:50" ht="14.25" customHeight="1">
      <c r="B28" s="586"/>
      <c r="C28" s="179">
        <v>22</v>
      </c>
      <c r="D28" s="182" t="s">
        <v>373</v>
      </c>
      <c r="E28" s="183">
        <v>3</v>
      </c>
      <c r="F28" s="179">
        <v>3600</v>
      </c>
      <c r="G28" s="184">
        <f t="shared" si="1"/>
        <v>1200</v>
      </c>
      <c r="H28" s="588"/>
      <c r="I28" s="185">
        <f t="shared" si="2"/>
        <v>3</v>
      </c>
      <c r="J28" s="185">
        <f t="shared" si="2"/>
        <v>3206.3649327751341</v>
      </c>
      <c r="K28" s="186">
        <f t="shared" si="2"/>
        <v>1068.7883109250449</v>
      </c>
      <c r="L28" s="589"/>
      <c r="M28" s="185">
        <f>RANK(K28, K$7:$K$43)</f>
        <v>8</v>
      </c>
      <c r="N28" s="590"/>
      <c r="O28" s="591"/>
      <c r="P28" s="187">
        <v>3</v>
      </c>
      <c r="Q28" s="187">
        <v>3202.7096651856</v>
      </c>
      <c r="R28" s="184">
        <f t="shared" si="3"/>
        <v>1067.5698883952</v>
      </c>
      <c r="S28" s="181">
        <f t="shared" si="4"/>
        <v>8</v>
      </c>
      <c r="T28" s="587"/>
      <c r="U28" s="187">
        <v>3</v>
      </c>
      <c r="V28" s="187">
        <v>3204.1496651855996</v>
      </c>
      <c r="W28" s="184">
        <f t="shared" si="0"/>
        <v>1068.0498883951998</v>
      </c>
      <c r="X28" s="181">
        <f t="shared" si="5"/>
        <v>8</v>
      </c>
      <c r="Y28" s="587"/>
      <c r="Z28" s="187">
        <v>3</v>
      </c>
      <c r="AA28" s="187">
        <v>3204.8696651855998</v>
      </c>
      <c r="AB28" s="184">
        <f t="shared" si="6"/>
        <v>1068.2898883952</v>
      </c>
      <c r="AC28" s="181">
        <f t="shared" si="7"/>
        <v>8</v>
      </c>
      <c r="AD28" s="587"/>
      <c r="AE28" s="187">
        <v>3</v>
      </c>
      <c r="AF28" s="187">
        <v>3206.3096651855994</v>
      </c>
      <c r="AG28" s="184">
        <f t="shared" si="8"/>
        <v>1068.7698883951998</v>
      </c>
      <c r="AH28" s="181">
        <f t="shared" si="9"/>
        <v>8</v>
      </c>
      <c r="AI28" s="587"/>
      <c r="AJ28" s="187">
        <v>3</v>
      </c>
      <c r="AK28" s="187">
        <v>3207.3896651856003</v>
      </c>
      <c r="AL28" s="184">
        <f t="shared" si="10"/>
        <v>1069.1298883952002</v>
      </c>
      <c r="AM28" s="181">
        <f t="shared" si="11"/>
        <v>8</v>
      </c>
      <c r="AN28" s="587"/>
      <c r="AO28" s="187">
        <v>3</v>
      </c>
      <c r="AP28" s="187">
        <v>3208.1096651856005</v>
      </c>
      <c r="AQ28" s="184">
        <f t="shared" si="12"/>
        <v>1069.3698883952002</v>
      </c>
      <c r="AR28" s="181">
        <f t="shared" si="13"/>
        <v>7</v>
      </c>
      <c r="AS28" s="587"/>
      <c r="AT28" s="187">
        <v>3</v>
      </c>
      <c r="AU28" s="187">
        <v>3211.0165383123431</v>
      </c>
      <c r="AV28" s="184">
        <f t="shared" si="14"/>
        <v>1070.3388461041143</v>
      </c>
      <c r="AW28" s="181">
        <f t="shared" si="15"/>
        <v>5</v>
      </c>
      <c r="AX28" s="587"/>
    </row>
    <row r="29" spans="2:50" ht="14.25" customHeight="1">
      <c r="B29" s="586"/>
      <c r="C29" s="179">
        <v>23</v>
      </c>
      <c r="D29" s="182" t="s">
        <v>482</v>
      </c>
      <c r="E29" s="183">
        <v>4</v>
      </c>
      <c r="F29" s="179">
        <v>3600</v>
      </c>
      <c r="G29" s="184">
        <f t="shared" si="1"/>
        <v>900</v>
      </c>
      <c r="H29" s="588"/>
      <c r="I29" s="185">
        <f t="shared" si="2"/>
        <v>4</v>
      </c>
      <c r="J29" s="185">
        <f t="shared" si="2"/>
        <v>3207.5657452687478</v>
      </c>
      <c r="K29" s="186">
        <f t="shared" si="2"/>
        <v>801.89143631718696</v>
      </c>
      <c r="L29" s="589"/>
      <c r="M29" s="185">
        <f>RANK(K29, K$7:$K$43)</f>
        <v>15</v>
      </c>
      <c r="N29" s="590"/>
      <c r="O29" s="591"/>
      <c r="P29" s="187">
        <v>4</v>
      </c>
      <c r="Q29" s="187">
        <v>3205.2000309830337</v>
      </c>
      <c r="R29" s="184">
        <f t="shared" si="3"/>
        <v>801.30000774575842</v>
      </c>
      <c r="S29" s="181">
        <f t="shared" si="4"/>
        <v>15</v>
      </c>
      <c r="T29" s="587"/>
      <c r="U29" s="187">
        <v>4</v>
      </c>
      <c r="V29" s="187">
        <v>3205.920030983033</v>
      </c>
      <c r="W29" s="184">
        <f t="shared" si="0"/>
        <v>801.48000774575826</v>
      </c>
      <c r="X29" s="181">
        <f t="shared" si="5"/>
        <v>15</v>
      </c>
      <c r="Y29" s="587"/>
      <c r="Z29" s="187">
        <v>4</v>
      </c>
      <c r="AA29" s="187">
        <v>3206.6400309830333</v>
      </c>
      <c r="AB29" s="184">
        <f t="shared" si="6"/>
        <v>801.66000774575832</v>
      </c>
      <c r="AC29" s="181">
        <f t="shared" si="7"/>
        <v>15</v>
      </c>
      <c r="AD29" s="587"/>
      <c r="AE29" s="187">
        <v>4</v>
      </c>
      <c r="AF29" s="187">
        <v>3207.360030983034</v>
      </c>
      <c r="AG29" s="184">
        <f t="shared" si="8"/>
        <v>801.8400077457585</v>
      </c>
      <c r="AH29" s="181">
        <f t="shared" si="9"/>
        <v>15</v>
      </c>
      <c r="AI29" s="587"/>
      <c r="AJ29" s="187">
        <v>4</v>
      </c>
      <c r="AK29" s="187">
        <v>3208.0800309830338</v>
      </c>
      <c r="AL29" s="184">
        <f t="shared" si="10"/>
        <v>802.02000774575845</v>
      </c>
      <c r="AM29" s="181">
        <f t="shared" si="11"/>
        <v>14</v>
      </c>
      <c r="AN29" s="587"/>
      <c r="AO29" s="187">
        <v>4</v>
      </c>
      <c r="AP29" s="187">
        <v>3209.5200309830338</v>
      </c>
      <c r="AQ29" s="184">
        <f t="shared" si="12"/>
        <v>802.38000774575846</v>
      </c>
      <c r="AR29" s="181">
        <f t="shared" si="13"/>
        <v>14</v>
      </c>
      <c r="AS29" s="587"/>
      <c r="AT29" s="187">
        <v>4</v>
      </c>
      <c r="AU29" s="187">
        <v>3210.2400309830336</v>
      </c>
      <c r="AV29" s="184">
        <f t="shared" si="14"/>
        <v>802.56000774575841</v>
      </c>
      <c r="AW29" s="181">
        <f t="shared" si="15"/>
        <v>15</v>
      </c>
      <c r="AX29" s="587"/>
    </row>
    <row r="30" spans="2:50" ht="14.25" customHeight="1">
      <c r="B30" s="586"/>
      <c r="C30" s="179">
        <v>24</v>
      </c>
      <c r="D30" s="182" t="s">
        <v>376</v>
      </c>
      <c r="E30" s="183">
        <v>3</v>
      </c>
      <c r="F30" s="179">
        <v>3600</v>
      </c>
      <c r="G30" s="184">
        <f t="shared" si="1"/>
        <v>1200</v>
      </c>
      <c r="H30" s="588"/>
      <c r="I30" s="185">
        <f t="shared" si="2"/>
        <v>3</v>
      </c>
      <c r="J30" s="185">
        <f t="shared" si="2"/>
        <v>3207.1743711100994</v>
      </c>
      <c r="K30" s="186">
        <f t="shared" si="2"/>
        <v>1069.0581237033666</v>
      </c>
      <c r="L30" s="589"/>
      <c r="M30" s="185">
        <f>RANK(K30, K$7:$K$43)</f>
        <v>7</v>
      </c>
      <c r="N30" s="590"/>
      <c r="O30" s="591"/>
      <c r="P30" s="187">
        <v>3</v>
      </c>
      <c r="Q30" s="187">
        <v>3206.0429425386715</v>
      </c>
      <c r="R30" s="184">
        <f t="shared" si="3"/>
        <v>1068.6809808462237</v>
      </c>
      <c r="S30" s="181">
        <f t="shared" si="4"/>
        <v>5</v>
      </c>
      <c r="T30" s="587"/>
      <c r="U30" s="187">
        <v>3</v>
      </c>
      <c r="V30" s="187">
        <v>3206.4029425386716</v>
      </c>
      <c r="W30" s="184">
        <f t="shared" si="0"/>
        <v>1068.8009808462239</v>
      </c>
      <c r="X30" s="181">
        <f t="shared" si="5"/>
        <v>6</v>
      </c>
      <c r="Y30" s="587"/>
      <c r="Z30" s="187">
        <v>3</v>
      </c>
      <c r="AA30" s="187">
        <v>3206.4029425386716</v>
      </c>
      <c r="AB30" s="184">
        <f t="shared" si="6"/>
        <v>1068.8009808462239</v>
      </c>
      <c r="AC30" s="181">
        <f t="shared" si="7"/>
        <v>7</v>
      </c>
      <c r="AD30" s="587"/>
      <c r="AE30" s="187">
        <v>3</v>
      </c>
      <c r="AF30" s="187">
        <v>3206.4029425386711</v>
      </c>
      <c r="AG30" s="184">
        <f t="shared" si="8"/>
        <v>1068.8009808462236</v>
      </c>
      <c r="AH30" s="181">
        <f t="shared" si="9"/>
        <v>7</v>
      </c>
      <c r="AI30" s="587"/>
      <c r="AJ30" s="187">
        <v>3</v>
      </c>
      <c r="AK30" s="187">
        <v>3207.4829425386706</v>
      </c>
      <c r="AL30" s="184">
        <f t="shared" si="10"/>
        <v>1069.1609808462235</v>
      </c>
      <c r="AM30" s="181">
        <f t="shared" si="11"/>
        <v>7</v>
      </c>
      <c r="AN30" s="587"/>
      <c r="AO30" s="187">
        <v>3</v>
      </c>
      <c r="AP30" s="187">
        <v>3207.8429425386703</v>
      </c>
      <c r="AQ30" s="184">
        <f t="shared" si="12"/>
        <v>1069.2809808462234</v>
      </c>
      <c r="AR30" s="181">
        <f t="shared" si="13"/>
        <v>8</v>
      </c>
      <c r="AS30" s="587"/>
      <c r="AT30" s="187">
        <v>3</v>
      </c>
      <c r="AU30" s="187">
        <v>3209.6429425386705</v>
      </c>
      <c r="AV30" s="184">
        <f t="shared" si="14"/>
        <v>1069.8809808462236</v>
      </c>
      <c r="AW30" s="181">
        <f t="shared" si="15"/>
        <v>8</v>
      </c>
      <c r="AX30" s="587"/>
    </row>
    <row r="31" spans="2:50" ht="14.25" customHeight="1">
      <c r="B31" s="586"/>
      <c r="C31" s="179">
        <v>25</v>
      </c>
      <c r="D31" s="182" t="s">
        <v>375</v>
      </c>
      <c r="E31" s="183">
        <v>5</v>
      </c>
      <c r="F31" s="179">
        <v>3600</v>
      </c>
      <c r="G31" s="184">
        <f t="shared" si="1"/>
        <v>720</v>
      </c>
      <c r="H31" s="588"/>
      <c r="I31" s="185">
        <f t="shared" si="2"/>
        <v>5</v>
      </c>
      <c r="J31" s="185">
        <f t="shared" si="2"/>
        <v>3208.1201722713872</v>
      </c>
      <c r="K31" s="186">
        <f t="shared" si="2"/>
        <v>641.62403445427742</v>
      </c>
      <c r="L31" s="589"/>
      <c r="M31" s="185">
        <f>RANK(K31, K$7:$K$43)</f>
        <v>27</v>
      </c>
      <c r="N31" s="590"/>
      <c r="O31" s="591"/>
      <c r="P31" s="187">
        <v>5</v>
      </c>
      <c r="Q31" s="187">
        <v>3205.5487436999574</v>
      </c>
      <c r="R31" s="184">
        <f t="shared" si="3"/>
        <v>641.10974873999146</v>
      </c>
      <c r="S31" s="181">
        <f t="shared" si="4"/>
        <v>25</v>
      </c>
      <c r="T31" s="587"/>
      <c r="U31" s="187">
        <v>5</v>
      </c>
      <c r="V31" s="187">
        <v>3205.9087436999575</v>
      </c>
      <c r="W31" s="184">
        <f t="shared" si="0"/>
        <v>641.18174873999146</v>
      </c>
      <c r="X31" s="181">
        <f t="shared" si="5"/>
        <v>29</v>
      </c>
      <c r="Y31" s="587"/>
      <c r="Z31" s="187">
        <v>5</v>
      </c>
      <c r="AA31" s="187">
        <v>3206.9887436999575</v>
      </c>
      <c r="AB31" s="184">
        <f t="shared" si="6"/>
        <v>641.39774873999147</v>
      </c>
      <c r="AC31" s="181">
        <f t="shared" si="7"/>
        <v>27</v>
      </c>
      <c r="AD31" s="587"/>
      <c r="AE31" s="187">
        <v>5</v>
      </c>
      <c r="AF31" s="187">
        <v>3208.7887436999572</v>
      </c>
      <c r="AG31" s="184">
        <f t="shared" si="8"/>
        <v>641.75774873999148</v>
      </c>
      <c r="AH31" s="181">
        <f t="shared" si="9"/>
        <v>25</v>
      </c>
      <c r="AI31" s="587"/>
      <c r="AJ31" s="187">
        <v>5</v>
      </c>
      <c r="AK31" s="187">
        <v>3208.7887436999581</v>
      </c>
      <c r="AL31" s="184">
        <f t="shared" si="10"/>
        <v>641.7577487399916</v>
      </c>
      <c r="AM31" s="181">
        <f t="shared" si="11"/>
        <v>26</v>
      </c>
      <c r="AN31" s="587"/>
      <c r="AO31" s="187">
        <v>5</v>
      </c>
      <c r="AP31" s="187">
        <v>3209.5087436999584</v>
      </c>
      <c r="AQ31" s="184">
        <f t="shared" si="12"/>
        <v>641.90174873999172</v>
      </c>
      <c r="AR31" s="181">
        <f t="shared" si="13"/>
        <v>27</v>
      </c>
      <c r="AS31" s="587"/>
      <c r="AT31" s="187">
        <v>5</v>
      </c>
      <c r="AU31" s="187">
        <v>3211.3087436999585</v>
      </c>
      <c r="AV31" s="184">
        <f t="shared" si="14"/>
        <v>642.26174873999173</v>
      </c>
      <c r="AW31" s="181">
        <f t="shared" si="15"/>
        <v>29</v>
      </c>
      <c r="AX31" s="587"/>
    </row>
    <row r="32" spans="2:50" ht="14.25" customHeight="1">
      <c r="B32" s="586"/>
      <c r="C32" s="179">
        <v>26</v>
      </c>
      <c r="D32" s="182" t="s">
        <v>372</v>
      </c>
      <c r="E32" s="183">
        <v>5</v>
      </c>
      <c r="F32" s="179">
        <v>3600</v>
      </c>
      <c r="G32" s="184">
        <f t="shared" si="1"/>
        <v>720</v>
      </c>
      <c r="H32" s="588"/>
      <c r="I32" s="185">
        <f t="shared" si="2"/>
        <v>5</v>
      </c>
      <c r="J32" s="185">
        <f t="shared" si="2"/>
        <v>3207.1702935302014</v>
      </c>
      <c r="K32" s="186">
        <f t="shared" si="2"/>
        <v>641.43405870604033</v>
      </c>
      <c r="L32" s="589"/>
      <c r="M32" s="185">
        <f>RANK(K32, K$7:$K$43)</f>
        <v>30</v>
      </c>
      <c r="N32" s="590"/>
      <c r="O32" s="591"/>
      <c r="P32" s="187">
        <v>5</v>
      </c>
      <c r="Q32" s="187">
        <v>3204.3931506730587</v>
      </c>
      <c r="R32" s="184">
        <f t="shared" si="3"/>
        <v>640.87863013461174</v>
      </c>
      <c r="S32" s="181">
        <f t="shared" si="4"/>
        <v>30</v>
      </c>
      <c r="T32" s="587"/>
      <c r="U32" s="187">
        <v>5</v>
      </c>
      <c r="V32" s="187">
        <v>3205.4731506730586</v>
      </c>
      <c r="W32" s="184">
        <f t="shared" si="0"/>
        <v>641.09463013461175</v>
      </c>
      <c r="X32" s="181">
        <f t="shared" si="5"/>
        <v>30</v>
      </c>
      <c r="Y32" s="587"/>
      <c r="Z32" s="187">
        <v>5</v>
      </c>
      <c r="AA32" s="187">
        <v>3206.553150673059</v>
      </c>
      <c r="AB32" s="184">
        <f t="shared" si="6"/>
        <v>641.31063013461176</v>
      </c>
      <c r="AC32" s="181">
        <f t="shared" si="7"/>
        <v>30</v>
      </c>
      <c r="AD32" s="587"/>
      <c r="AE32" s="187">
        <v>5</v>
      </c>
      <c r="AF32" s="187">
        <v>3206.9131506730591</v>
      </c>
      <c r="AG32" s="184">
        <f t="shared" si="8"/>
        <v>641.38263013461187</v>
      </c>
      <c r="AH32" s="181">
        <f t="shared" si="9"/>
        <v>29</v>
      </c>
      <c r="AI32" s="587"/>
      <c r="AJ32" s="187">
        <v>5</v>
      </c>
      <c r="AK32" s="187">
        <v>3207.6331506730585</v>
      </c>
      <c r="AL32" s="184">
        <f t="shared" si="10"/>
        <v>641.52663013461165</v>
      </c>
      <c r="AM32" s="181">
        <f t="shared" si="11"/>
        <v>28</v>
      </c>
      <c r="AN32" s="587"/>
      <c r="AO32" s="187">
        <v>5</v>
      </c>
      <c r="AP32" s="187">
        <v>3208.7131506730575</v>
      </c>
      <c r="AQ32" s="184">
        <f t="shared" si="12"/>
        <v>641.74263013461155</v>
      </c>
      <c r="AR32" s="181">
        <f t="shared" si="13"/>
        <v>28</v>
      </c>
      <c r="AS32" s="587"/>
      <c r="AT32" s="187">
        <v>5</v>
      </c>
      <c r="AU32" s="187">
        <v>3210.5131506730577</v>
      </c>
      <c r="AV32" s="184">
        <f t="shared" si="14"/>
        <v>642.10263013461156</v>
      </c>
      <c r="AW32" s="181">
        <f t="shared" si="15"/>
        <v>30</v>
      </c>
      <c r="AX32" s="587"/>
    </row>
    <row r="33" spans="1:50" ht="14.25" customHeight="1">
      <c r="B33" s="586"/>
      <c r="C33" s="179">
        <v>27</v>
      </c>
      <c r="D33" s="182" t="s">
        <v>374</v>
      </c>
      <c r="E33" s="183">
        <v>3</v>
      </c>
      <c r="F33" s="179">
        <v>3000</v>
      </c>
      <c r="G33" s="184">
        <f t="shared" si="1"/>
        <v>1000</v>
      </c>
      <c r="H33" s="588"/>
      <c r="I33" s="185">
        <f t="shared" si="2"/>
        <v>3</v>
      </c>
      <c r="J33" s="185">
        <f t="shared" si="2"/>
        <v>2735.8819722090002</v>
      </c>
      <c r="K33" s="186">
        <f t="shared" si="2"/>
        <v>911.9606574029998</v>
      </c>
      <c r="L33" s="589"/>
      <c r="M33" s="185">
        <f>RANK(K33, K$7:$K$43)</f>
        <v>11</v>
      </c>
      <c r="N33" s="590"/>
      <c r="O33" s="591"/>
      <c r="P33" s="187">
        <v>3</v>
      </c>
      <c r="Q33" s="187">
        <v>2731.9156912027665</v>
      </c>
      <c r="R33" s="184">
        <f t="shared" si="3"/>
        <v>910.63856373425551</v>
      </c>
      <c r="S33" s="181">
        <f t="shared" si="4"/>
        <v>13</v>
      </c>
      <c r="T33" s="587"/>
      <c r="U33" s="187">
        <v>3</v>
      </c>
      <c r="V33" s="187">
        <v>2732.2156912027667</v>
      </c>
      <c r="W33" s="184">
        <f t="shared" si="0"/>
        <v>910.73856373425554</v>
      </c>
      <c r="X33" s="181">
        <f t="shared" si="5"/>
        <v>13</v>
      </c>
      <c r="Y33" s="587"/>
      <c r="Z33" s="187">
        <v>3</v>
      </c>
      <c r="AA33" s="187">
        <v>2735.8259555789173</v>
      </c>
      <c r="AB33" s="184">
        <f t="shared" si="6"/>
        <v>911.94198519297242</v>
      </c>
      <c r="AC33" s="181">
        <f t="shared" si="7"/>
        <v>11</v>
      </c>
      <c r="AD33" s="587"/>
      <c r="AE33" s="187">
        <v>3</v>
      </c>
      <c r="AF33" s="187">
        <v>2736.4541168696373</v>
      </c>
      <c r="AG33" s="184">
        <f t="shared" si="8"/>
        <v>912.15137228987908</v>
      </c>
      <c r="AH33" s="181">
        <f t="shared" si="9"/>
        <v>11</v>
      </c>
      <c r="AI33" s="587"/>
      <c r="AJ33" s="187">
        <v>3</v>
      </c>
      <c r="AK33" s="187">
        <v>2737.6541168696372</v>
      </c>
      <c r="AL33" s="184">
        <f t="shared" si="10"/>
        <v>912.55137228987905</v>
      </c>
      <c r="AM33" s="181">
        <f t="shared" si="11"/>
        <v>11</v>
      </c>
      <c r="AN33" s="587"/>
      <c r="AO33" s="187">
        <v>3</v>
      </c>
      <c r="AP33" s="187">
        <v>2737.9541168696369</v>
      </c>
      <c r="AQ33" s="184">
        <f t="shared" si="12"/>
        <v>912.65137228987896</v>
      </c>
      <c r="AR33" s="181">
        <f t="shared" si="13"/>
        <v>11</v>
      </c>
      <c r="AS33" s="587"/>
      <c r="AT33" s="187">
        <v>3</v>
      </c>
      <c r="AU33" s="187">
        <v>2739.1541168696372</v>
      </c>
      <c r="AV33" s="184">
        <f t="shared" si="14"/>
        <v>913.05137228987905</v>
      </c>
      <c r="AW33" s="181">
        <f t="shared" si="15"/>
        <v>11</v>
      </c>
      <c r="AX33" s="587"/>
    </row>
    <row r="34" spans="1:50" ht="14.25" customHeight="1">
      <c r="B34" s="586"/>
      <c r="C34" s="179">
        <v>28</v>
      </c>
      <c r="D34" s="182" t="s">
        <v>412</v>
      </c>
      <c r="E34" s="183">
        <v>3</v>
      </c>
      <c r="F34" s="179">
        <v>3600</v>
      </c>
      <c r="G34" s="184">
        <f t="shared" si="1"/>
        <v>1200</v>
      </c>
      <c r="H34" s="588"/>
      <c r="I34" s="185">
        <f t="shared" si="2"/>
        <v>3</v>
      </c>
      <c r="J34" s="185">
        <f t="shared" si="2"/>
        <v>3212.7668521761993</v>
      </c>
      <c r="K34" s="186">
        <f t="shared" si="2"/>
        <v>1070.9222840587331</v>
      </c>
      <c r="L34" s="589"/>
      <c r="M34" s="185">
        <f>RANK(K34, K$7:$K$43)</f>
        <v>1</v>
      </c>
      <c r="N34" s="590"/>
      <c r="O34" s="591"/>
      <c r="P34" s="187">
        <v>3</v>
      </c>
      <c r="Q34" s="187">
        <v>3206.5446526664191</v>
      </c>
      <c r="R34" s="184">
        <f t="shared" si="3"/>
        <v>1068.848217555473</v>
      </c>
      <c r="S34" s="181">
        <f t="shared" si="4"/>
        <v>4</v>
      </c>
      <c r="T34" s="587"/>
      <c r="U34" s="187">
        <v>3</v>
      </c>
      <c r="V34" s="187">
        <v>3210.8038854278293</v>
      </c>
      <c r="W34" s="184">
        <f t="shared" si="0"/>
        <v>1070.2679618092764</v>
      </c>
      <c r="X34" s="181">
        <f t="shared" si="5"/>
        <v>1</v>
      </c>
      <c r="Y34" s="587"/>
      <c r="Z34" s="187">
        <v>3</v>
      </c>
      <c r="AA34" s="187">
        <v>3211.8838854278292</v>
      </c>
      <c r="AB34" s="184">
        <f t="shared" si="6"/>
        <v>1070.6279618092765</v>
      </c>
      <c r="AC34" s="181">
        <f t="shared" si="7"/>
        <v>1</v>
      </c>
      <c r="AD34" s="587"/>
      <c r="AE34" s="187">
        <v>3</v>
      </c>
      <c r="AF34" s="187">
        <v>3212.9638854278292</v>
      </c>
      <c r="AG34" s="184">
        <f t="shared" si="8"/>
        <v>1070.9879618092764</v>
      </c>
      <c r="AH34" s="181">
        <f t="shared" si="9"/>
        <v>1</v>
      </c>
      <c r="AI34" s="587"/>
      <c r="AJ34" s="187">
        <v>3</v>
      </c>
      <c r="AK34" s="187">
        <v>3214.7638854278293</v>
      </c>
      <c r="AL34" s="184">
        <f t="shared" si="10"/>
        <v>1071.5879618092765</v>
      </c>
      <c r="AM34" s="181">
        <f t="shared" si="11"/>
        <v>1</v>
      </c>
      <c r="AN34" s="587"/>
      <c r="AO34" s="187">
        <v>3</v>
      </c>
      <c r="AP34" s="187">
        <v>3215.8438854278302</v>
      </c>
      <c r="AQ34" s="184">
        <f t="shared" si="12"/>
        <v>1071.9479618092766</v>
      </c>
      <c r="AR34" s="181">
        <f t="shared" si="13"/>
        <v>1</v>
      </c>
      <c r="AS34" s="587"/>
      <c r="AT34" s="187">
        <v>3</v>
      </c>
      <c r="AU34" s="187">
        <v>3216.5638854278304</v>
      </c>
      <c r="AV34" s="184">
        <f t="shared" si="14"/>
        <v>1072.1879618092769</v>
      </c>
      <c r="AW34" s="181">
        <f t="shared" si="15"/>
        <v>1</v>
      </c>
      <c r="AX34" s="587"/>
    </row>
    <row r="35" spans="1:50" ht="14.25" customHeight="1">
      <c r="B35" s="586"/>
      <c r="C35" s="179">
        <v>29</v>
      </c>
      <c r="D35" s="182" t="s">
        <v>417</v>
      </c>
      <c r="E35" s="183">
        <v>4</v>
      </c>
      <c r="F35" s="179">
        <v>3000</v>
      </c>
      <c r="G35" s="184">
        <f t="shared" si="1"/>
        <v>750</v>
      </c>
      <c r="H35" s="588"/>
      <c r="I35" s="185">
        <f t="shared" si="2"/>
        <v>4</v>
      </c>
      <c r="J35" s="185">
        <f t="shared" si="2"/>
        <v>2732.8885682167979</v>
      </c>
      <c r="K35" s="186">
        <f t="shared" si="2"/>
        <v>683.22214205419948</v>
      </c>
      <c r="L35" s="589"/>
      <c r="M35" s="185">
        <f>RANK(K35, K$7:$K$43)</f>
        <v>19</v>
      </c>
      <c r="N35" s="590"/>
      <c r="O35" s="591"/>
      <c r="P35" s="187">
        <v>4</v>
      </c>
      <c r="Q35" s="187">
        <v>2729.8786774566447</v>
      </c>
      <c r="R35" s="184">
        <f t="shared" si="3"/>
        <v>682.46966936416118</v>
      </c>
      <c r="S35" s="181">
        <f t="shared" si="4"/>
        <v>20</v>
      </c>
      <c r="T35" s="587"/>
      <c r="U35" s="187">
        <v>4</v>
      </c>
      <c r="V35" s="187">
        <v>2730.1786774566453</v>
      </c>
      <c r="W35" s="184">
        <f t="shared" si="0"/>
        <v>682.54466936416134</v>
      </c>
      <c r="X35" s="181">
        <f t="shared" si="5"/>
        <v>20</v>
      </c>
      <c r="Y35" s="587"/>
      <c r="Z35" s="187">
        <v>4</v>
      </c>
      <c r="AA35" s="187">
        <v>2731.3786774566452</v>
      </c>
      <c r="AB35" s="184">
        <f t="shared" si="6"/>
        <v>682.84466936416129</v>
      </c>
      <c r="AC35" s="181">
        <f t="shared" si="7"/>
        <v>20</v>
      </c>
      <c r="AD35" s="587"/>
      <c r="AE35" s="187">
        <v>4</v>
      </c>
      <c r="AF35" s="187">
        <v>2731.9786774566451</v>
      </c>
      <c r="AG35" s="184">
        <f t="shared" si="8"/>
        <v>682.99466936416127</v>
      </c>
      <c r="AH35" s="181">
        <f t="shared" si="9"/>
        <v>20</v>
      </c>
      <c r="AI35" s="587"/>
      <c r="AJ35" s="187">
        <v>4</v>
      </c>
      <c r="AK35" s="187">
        <v>2733.1786774566444</v>
      </c>
      <c r="AL35" s="184">
        <f t="shared" si="10"/>
        <v>683.29466936416111</v>
      </c>
      <c r="AM35" s="181">
        <f t="shared" si="11"/>
        <v>19</v>
      </c>
      <c r="AN35" s="587"/>
      <c r="AO35" s="187">
        <v>4</v>
      </c>
      <c r="AP35" s="187">
        <v>2733.7786774566443</v>
      </c>
      <c r="AQ35" s="184">
        <f t="shared" si="12"/>
        <v>683.44466936416109</v>
      </c>
      <c r="AR35" s="181">
        <f t="shared" si="13"/>
        <v>19</v>
      </c>
      <c r="AS35" s="587"/>
      <c r="AT35" s="187">
        <v>4</v>
      </c>
      <c r="AU35" s="187">
        <v>2739.8479127777177</v>
      </c>
      <c r="AV35" s="184">
        <f t="shared" si="14"/>
        <v>684.96197819442943</v>
      </c>
      <c r="AW35" s="181">
        <f t="shared" si="15"/>
        <v>19</v>
      </c>
      <c r="AX35" s="587"/>
    </row>
    <row r="36" spans="1:50" ht="14.25" customHeight="1">
      <c r="B36" s="586"/>
      <c r="C36" s="179">
        <v>30</v>
      </c>
      <c r="D36" s="182" t="s">
        <v>470</v>
      </c>
      <c r="E36" s="183">
        <v>5</v>
      </c>
      <c r="F36" s="179">
        <v>3000</v>
      </c>
      <c r="G36" s="184">
        <f t="shared" si="1"/>
        <v>600</v>
      </c>
      <c r="H36" s="588"/>
      <c r="I36" s="185">
        <f t="shared" si="2"/>
        <v>5</v>
      </c>
      <c r="J36" s="185">
        <f t="shared" si="2"/>
        <v>2733.913026083198</v>
      </c>
      <c r="K36" s="186">
        <f t="shared" si="2"/>
        <v>546.78260521663969</v>
      </c>
      <c r="L36" s="589"/>
      <c r="M36" s="185">
        <f>RANK(K36, K$7:$K$43)</f>
        <v>33</v>
      </c>
      <c r="N36" s="590"/>
      <c r="O36" s="591"/>
      <c r="P36" s="187">
        <v>5</v>
      </c>
      <c r="Q36" s="187">
        <v>2730.6048578727991</v>
      </c>
      <c r="R36" s="184">
        <f t="shared" si="3"/>
        <v>546.1209715745598</v>
      </c>
      <c r="S36" s="181">
        <f t="shared" si="4"/>
        <v>33</v>
      </c>
      <c r="T36" s="587"/>
      <c r="U36" s="187">
        <v>5</v>
      </c>
      <c r="V36" s="187">
        <v>2733.1218367216975</v>
      </c>
      <c r="W36" s="184">
        <f t="shared" si="0"/>
        <v>546.62436734433948</v>
      </c>
      <c r="X36" s="181">
        <f t="shared" si="5"/>
        <v>33</v>
      </c>
      <c r="Y36" s="587"/>
      <c r="Z36" s="187">
        <v>5</v>
      </c>
      <c r="AA36" s="187">
        <v>2733.7218367216974</v>
      </c>
      <c r="AB36" s="184">
        <f t="shared" si="6"/>
        <v>546.74436734433948</v>
      </c>
      <c r="AC36" s="181">
        <f t="shared" si="7"/>
        <v>33</v>
      </c>
      <c r="AD36" s="587"/>
      <c r="AE36" s="187">
        <v>5</v>
      </c>
      <c r="AF36" s="187">
        <v>2734.0218367216976</v>
      </c>
      <c r="AG36" s="184">
        <f t="shared" si="8"/>
        <v>546.80436734433954</v>
      </c>
      <c r="AH36" s="181">
        <f t="shared" si="9"/>
        <v>33</v>
      </c>
      <c r="AI36" s="587"/>
      <c r="AJ36" s="187">
        <v>5</v>
      </c>
      <c r="AK36" s="187">
        <v>2734.3218367216978</v>
      </c>
      <c r="AL36" s="184">
        <f t="shared" si="10"/>
        <v>546.8643673443396</v>
      </c>
      <c r="AM36" s="181">
        <f t="shared" si="11"/>
        <v>33</v>
      </c>
      <c r="AN36" s="587"/>
      <c r="AO36" s="187">
        <v>5</v>
      </c>
      <c r="AP36" s="187">
        <v>2734.6218367216979</v>
      </c>
      <c r="AQ36" s="184">
        <f t="shared" si="12"/>
        <v>546.92436734433954</v>
      </c>
      <c r="AR36" s="181">
        <f t="shared" si="13"/>
        <v>33</v>
      </c>
      <c r="AS36" s="587"/>
      <c r="AT36" s="187">
        <v>5</v>
      </c>
      <c r="AU36" s="187">
        <v>2736.9771411010993</v>
      </c>
      <c r="AV36" s="184">
        <f t="shared" si="14"/>
        <v>547.39542822021986</v>
      </c>
      <c r="AW36" s="181">
        <f t="shared" si="15"/>
        <v>33</v>
      </c>
      <c r="AX36" s="587"/>
    </row>
    <row r="37" spans="1:50" ht="14.25" customHeight="1">
      <c r="B37" s="586"/>
      <c r="C37" s="179">
        <v>31</v>
      </c>
      <c r="D37" s="182" t="s">
        <v>553</v>
      </c>
      <c r="E37" s="179">
        <v>5</v>
      </c>
      <c r="F37" s="179">
        <v>3600</v>
      </c>
      <c r="G37" s="184">
        <f t="shared" si="1"/>
        <v>720</v>
      </c>
      <c r="H37" s="588"/>
      <c r="I37" s="185">
        <f t="shared" si="2"/>
        <v>5</v>
      </c>
      <c r="J37" s="185">
        <f t="shared" si="2"/>
        <v>3264.5341984990905</v>
      </c>
      <c r="K37" s="186">
        <f t="shared" si="2"/>
        <v>652.90683969981797</v>
      </c>
      <c r="L37" s="589"/>
      <c r="M37" s="185">
        <f>RANK(K37, K$7:$K$43)</f>
        <v>22</v>
      </c>
      <c r="N37" s="590"/>
      <c r="O37" s="591"/>
      <c r="P37" s="187">
        <v>5</v>
      </c>
      <c r="Q37" s="187">
        <v>3263.4541984990906</v>
      </c>
      <c r="R37" s="184">
        <f t="shared" si="3"/>
        <v>652.69083969981807</v>
      </c>
      <c r="S37" s="181">
        <f t="shared" si="4"/>
        <v>22</v>
      </c>
      <c r="T37" s="587"/>
      <c r="U37" s="187">
        <v>5</v>
      </c>
      <c r="V37" s="187">
        <v>3263.8141984990898</v>
      </c>
      <c r="W37" s="184">
        <f t="shared" si="0"/>
        <v>652.76283969981796</v>
      </c>
      <c r="X37" s="181">
        <f t="shared" si="5"/>
        <v>22</v>
      </c>
      <c r="Y37" s="587"/>
      <c r="Z37" s="187">
        <v>5</v>
      </c>
      <c r="AA37" s="187">
        <v>3263.4541984990901</v>
      </c>
      <c r="AB37" s="184">
        <f t="shared" si="6"/>
        <v>652.69083969981807</v>
      </c>
      <c r="AC37" s="181">
        <f t="shared" si="7"/>
        <v>22</v>
      </c>
      <c r="AD37" s="587"/>
      <c r="AE37" s="187">
        <v>5</v>
      </c>
      <c r="AF37" s="187">
        <v>3263.8141984990903</v>
      </c>
      <c r="AG37" s="184">
        <f t="shared" si="8"/>
        <v>652.76283969981807</v>
      </c>
      <c r="AH37" s="181">
        <f t="shared" si="9"/>
        <v>22</v>
      </c>
      <c r="AI37" s="587"/>
      <c r="AJ37" s="187">
        <v>5</v>
      </c>
      <c r="AK37" s="187">
        <v>3264.5341984990901</v>
      </c>
      <c r="AL37" s="184">
        <f t="shared" si="10"/>
        <v>652.90683969981797</v>
      </c>
      <c r="AM37" s="181">
        <f t="shared" si="11"/>
        <v>22</v>
      </c>
      <c r="AN37" s="587"/>
      <c r="AO37" s="187">
        <v>5</v>
      </c>
      <c r="AP37" s="187">
        <v>3265.9741984990897</v>
      </c>
      <c r="AQ37" s="184">
        <f t="shared" si="12"/>
        <v>653.19483969981798</v>
      </c>
      <c r="AR37" s="181">
        <f t="shared" si="13"/>
        <v>22</v>
      </c>
      <c r="AS37" s="587"/>
      <c r="AT37" s="187">
        <v>5</v>
      </c>
      <c r="AU37" s="187">
        <v>3266.6941984990904</v>
      </c>
      <c r="AV37" s="184">
        <f t="shared" si="14"/>
        <v>653.3388396998181</v>
      </c>
      <c r="AW37" s="181">
        <f t="shared" si="15"/>
        <v>21</v>
      </c>
      <c r="AX37" s="587"/>
    </row>
    <row r="38" spans="1:50" ht="14.25" customHeight="1">
      <c r="B38" s="586"/>
      <c r="C38" s="179">
        <v>32</v>
      </c>
      <c r="D38" s="182" t="s">
        <v>559</v>
      </c>
      <c r="E38" s="179">
        <v>4</v>
      </c>
      <c r="F38" s="179">
        <v>3000</v>
      </c>
      <c r="G38" s="184">
        <f t="shared" si="1"/>
        <v>750</v>
      </c>
      <c r="H38" s="588"/>
      <c r="I38" s="185">
        <f t="shared" ref="I38:K41" si="16">AVERAGE(P38,U38,Z38,AE38,AJ38,AO38,AT38)</f>
        <v>4</v>
      </c>
      <c r="J38" s="185">
        <f t="shared" si="16"/>
        <v>2732.4778502218714</v>
      </c>
      <c r="K38" s="186">
        <f t="shared" si="16"/>
        <v>683.11946255546786</v>
      </c>
      <c r="L38" s="589"/>
      <c r="M38" s="185">
        <f>RANK(K38, K$7:$K$43)</f>
        <v>20</v>
      </c>
      <c r="N38" s="590"/>
      <c r="O38" s="591"/>
      <c r="P38" s="187">
        <v>4</v>
      </c>
      <c r="Q38" s="187">
        <v>2730.3766433749715</v>
      </c>
      <c r="R38" s="184">
        <f t="shared" si="3"/>
        <v>682.59416084374288</v>
      </c>
      <c r="S38" s="181">
        <f t="shared" si="4"/>
        <v>19</v>
      </c>
      <c r="T38" s="587"/>
      <c r="U38" s="187">
        <v>4</v>
      </c>
      <c r="V38" s="187">
        <v>2730.9766433749714</v>
      </c>
      <c r="W38" s="184">
        <f t="shared" si="0"/>
        <v>682.74416084374286</v>
      </c>
      <c r="X38" s="181">
        <f t="shared" si="5"/>
        <v>19</v>
      </c>
      <c r="Y38" s="587"/>
      <c r="Z38" s="187">
        <v>4</v>
      </c>
      <c r="AA38" s="187">
        <v>2731.5766433749714</v>
      </c>
      <c r="AB38" s="184">
        <f t="shared" si="6"/>
        <v>682.89416084374284</v>
      </c>
      <c r="AC38" s="181">
        <f t="shared" si="7"/>
        <v>19</v>
      </c>
      <c r="AD38" s="587"/>
      <c r="AE38" s="187">
        <v>4</v>
      </c>
      <c r="AF38" s="187">
        <v>2732.1766433749713</v>
      </c>
      <c r="AG38" s="184">
        <f t="shared" si="8"/>
        <v>683.04416084374282</v>
      </c>
      <c r="AH38" s="181">
        <f t="shared" si="9"/>
        <v>19</v>
      </c>
      <c r="AI38" s="587"/>
      <c r="AJ38" s="187">
        <v>4</v>
      </c>
      <c r="AK38" s="187">
        <v>2732.7766433749716</v>
      </c>
      <c r="AL38" s="184">
        <f t="shared" si="10"/>
        <v>683.19416084374291</v>
      </c>
      <c r="AM38" s="181">
        <f t="shared" si="11"/>
        <v>20</v>
      </c>
      <c r="AN38" s="587"/>
      <c r="AO38" s="187">
        <v>4</v>
      </c>
      <c r="AP38" s="187">
        <v>2733.6766433749713</v>
      </c>
      <c r="AQ38" s="184">
        <f t="shared" si="12"/>
        <v>683.41916084374282</v>
      </c>
      <c r="AR38" s="181">
        <f t="shared" si="13"/>
        <v>20</v>
      </c>
      <c r="AS38" s="587"/>
      <c r="AT38" s="187">
        <v>4</v>
      </c>
      <c r="AU38" s="187">
        <v>2735.7850913032712</v>
      </c>
      <c r="AV38" s="184">
        <f t="shared" si="14"/>
        <v>683.9462728258178</v>
      </c>
      <c r="AW38" s="181">
        <f t="shared" si="15"/>
        <v>20</v>
      </c>
      <c r="AX38" s="587"/>
    </row>
    <row r="39" spans="1:50" ht="14.25" customHeight="1">
      <c r="B39" s="586"/>
      <c r="C39" s="179">
        <v>33</v>
      </c>
      <c r="D39" s="182" t="s">
        <v>560</v>
      </c>
      <c r="E39" s="179">
        <v>5</v>
      </c>
      <c r="F39" s="179">
        <v>3600</v>
      </c>
      <c r="G39" s="184">
        <f t="shared" si="1"/>
        <v>720</v>
      </c>
      <c r="H39" s="588"/>
      <c r="I39" s="185">
        <f t="shared" si="16"/>
        <v>5</v>
      </c>
      <c r="J39" s="185">
        <f t="shared" si="16"/>
        <v>3266.1127295558485</v>
      </c>
      <c r="K39" s="186">
        <f t="shared" si="16"/>
        <v>653.22254591116973</v>
      </c>
      <c r="L39" s="589"/>
      <c r="M39" s="185">
        <f>RANK(K39, K$7:$K$43)</f>
        <v>21</v>
      </c>
      <c r="N39" s="590"/>
      <c r="O39" s="591"/>
      <c r="P39" s="187">
        <v>5</v>
      </c>
      <c r="Q39" s="187">
        <v>3265.7013009844195</v>
      </c>
      <c r="R39" s="184">
        <f t="shared" si="3"/>
        <v>653.1402601968839</v>
      </c>
      <c r="S39" s="181">
        <f t="shared" si="4"/>
        <v>21</v>
      </c>
      <c r="T39" s="587"/>
      <c r="U39" s="187">
        <v>5</v>
      </c>
      <c r="V39" s="187">
        <v>3265.7013009844195</v>
      </c>
      <c r="W39" s="184">
        <f t="shared" si="0"/>
        <v>653.1402601968839</v>
      </c>
      <c r="X39" s="181">
        <f t="shared" si="5"/>
        <v>21</v>
      </c>
      <c r="Y39" s="587"/>
      <c r="Z39" s="187">
        <v>5</v>
      </c>
      <c r="AA39" s="187">
        <v>3265.70130098442</v>
      </c>
      <c r="AB39" s="184">
        <f t="shared" si="6"/>
        <v>653.14026019688401</v>
      </c>
      <c r="AC39" s="181">
        <f t="shared" si="7"/>
        <v>21</v>
      </c>
      <c r="AD39" s="587"/>
      <c r="AE39" s="187">
        <v>5</v>
      </c>
      <c r="AF39" s="187">
        <v>3266.7813009844199</v>
      </c>
      <c r="AG39" s="184">
        <f t="shared" si="8"/>
        <v>653.35626019688402</v>
      </c>
      <c r="AH39" s="181">
        <f t="shared" si="9"/>
        <v>21</v>
      </c>
      <c r="AI39" s="587"/>
      <c r="AJ39" s="187">
        <v>5</v>
      </c>
      <c r="AK39" s="187">
        <v>3266.7813009844208</v>
      </c>
      <c r="AL39" s="184">
        <f t="shared" si="10"/>
        <v>653.35626019688414</v>
      </c>
      <c r="AM39" s="181">
        <f t="shared" si="11"/>
        <v>21</v>
      </c>
      <c r="AN39" s="587"/>
      <c r="AO39" s="187">
        <v>5</v>
      </c>
      <c r="AP39" s="187">
        <v>3266.7813009844208</v>
      </c>
      <c r="AQ39" s="184">
        <f t="shared" si="12"/>
        <v>653.35626019688414</v>
      </c>
      <c r="AR39" s="181">
        <f t="shared" si="13"/>
        <v>21</v>
      </c>
      <c r="AS39" s="587"/>
      <c r="AT39" s="187">
        <v>5</v>
      </c>
      <c r="AU39" s="187">
        <v>3265.3413009844212</v>
      </c>
      <c r="AV39" s="184">
        <f t="shared" si="14"/>
        <v>653.06826019688424</v>
      </c>
      <c r="AW39" s="181">
        <f t="shared" si="15"/>
        <v>22</v>
      </c>
      <c r="AX39" s="587"/>
    </row>
    <row r="40" spans="1:50" ht="14.25" customHeight="1">
      <c r="B40" s="586"/>
      <c r="C40" s="179">
        <v>34</v>
      </c>
      <c r="D40" s="182" t="s">
        <v>324</v>
      </c>
      <c r="E40" s="179">
        <v>3</v>
      </c>
      <c r="F40" s="179">
        <v>3000</v>
      </c>
      <c r="G40" s="184">
        <f t="shared" si="1"/>
        <v>1000</v>
      </c>
      <c r="H40" s="588"/>
      <c r="I40" s="185">
        <f t="shared" si="16"/>
        <v>3</v>
      </c>
      <c r="J40" s="185">
        <f t="shared" si="16"/>
        <v>2734.6401003867823</v>
      </c>
      <c r="K40" s="186">
        <f t="shared" si="16"/>
        <v>911.54670012892745</v>
      </c>
      <c r="L40" s="589"/>
      <c r="M40" s="185">
        <f>RANK(K40, K$7:$K$43)</f>
        <v>13</v>
      </c>
      <c r="N40" s="590"/>
      <c r="O40" s="591"/>
      <c r="P40" s="187">
        <v>3</v>
      </c>
      <c r="Q40" s="187">
        <v>2732.5401003867828</v>
      </c>
      <c r="R40" s="184">
        <f t="shared" si="3"/>
        <v>910.84670012892764</v>
      </c>
      <c r="S40" s="181">
        <f t="shared" si="4"/>
        <v>12</v>
      </c>
      <c r="T40" s="587"/>
      <c r="U40" s="187">
        <v>3</v>
      </c>
      <c r="V40" s="187">
        <v>2733.1401003867832</v>
      </c>
      <c r="W40" s="184">
        <f t="shared" si="0"/>
        <v>911.04670012892768</v>
      </c>
      <c r="X40" s="181">
        <f t="shared" si="5"/>
        <v>12</v>
      </c>
      <c r="Y40" s="587"/>
      <c r="Z40" s="187">
        <v>3</v>
      </c>
      <c r="AA40" s="187">
        <v>2733.4401003867824</v>
      </c>
      <c r="AB40" s="184">
        <f t="shared" si="6"/>
        <v>911.14670012892748</v>
      </c>
      <c r="AC40" s="181">
        <f t="shared" si="7"/>
        <v>13</v>
      </c>
      <c r="AD40" s="587"/>
      <c r="AE40" s="187">
        <v>3</v>
      </c>
      <c r="AF40" s="187">
        <v>2734.3401003867825</v>
      </c>
      <c r="AG40" s="184">
        <f t="shared" si="8"/>
        <v>911.44670012892755</v>
      </c>
      <c r="AH40" s="181">
        <f t="shared" si="9"/>
        <v>13</v>
      </c>
      <c r="AI40" s="587"/>
      <c r="AJ40" s="187">
        <v>3</v>
      </c>
      <c r="AK40" s="187">
        <v>2735.2401003867826</v>
      </c>
      <c r="AL40" s="184">
        <f t="shared" si="10"/>
        <v>911.7467001289275</v>
      </c>
      <c r="AM40" s="181">
        <f t="shared" si="11"/>
        <v>13</v>
      </c>
      <c r="AN40" s="587"/>
      <c r="AO40" s="187">
        <v>3</v>
      </c>
      <c r="AP40" s="187">
        <v>2736.7401003867817</v>
      </c>
      <c r="AQ40" s="184">
        <f t="shared" si="12"/>
        <v>912.24670012892727</v>
      </c>
      <c r="AR40" s="181">
        <f t="shared" si="13"/>
        <v>13</v>
      </c>
      <c r="AS40" s="587"/>
      <c r="AT40" s="187">
        <v>3</v>
      </c>
      <c r="AU40" s="187">
        <v>2737.0401003867819</v>
      </c>
      <c r="AV40" s="184">
        <f t="shared" si="14"/>
        <v>912.3467001289273</v>
      </c>
      <c r="AW40" s="181">
        <f t="shared" si="15"/>
        <v>13</v>
      </c>
      <c r="AX40" s="587"/>
    </row>
    <row r="41" spans="1:50" ht="14.25" customHeight="1">
      <c r="B41" s="586"/>
      <c r="C41" s="179">
        <v>35</v>
      </c>
      <c r="D41" s="182" t="s">
        <v>414</v>
      </c>
      <c r="E41" s="179">
        <v>12</v>
      </c>
      <c r="F41" s="179">
        <v>3600</v>
      </c>
      <c r="G41" s="184">
        <f t="shared" si="1"/>
        <v>300</v>
      </c>
      <c r="H41" s="588"/>
      <c r="I41" s="185">
        <f t="shared" si="16"/>
        <v>12</v>
      </c>
      <c r="J41" s="185">
        <f t="shared" si="16"/>
        <v>3121.9778330090908</v>
      </c>
      <c r="K41" s="186">
        <f t="shared" si="16"/>
        <v>260.16481941742421</v>
      </c>
      <c r="L41" s="589"/>
      <c r="M41" s="185">
        <f>RANK(K41, K$7:$K$43)</f>
        <v>35</v>
      </c>
      <c r="N41" s="590"/>
      <c r="O41" s="591"/>
      <c r="P41" s="187">
        <v>12</v>
      </c>
      <c r="Q41" s="187">
        <v>3121.9749008496306</v>
      </c>
      <c r="R41" s="184">
        <f t="shared" si="3"/>
        <v>260.16457507080253</v>
      </c>
      <c r="S41" s="181">
        <f t="shared" si="4"/>
        <v>34</v>
      </c>
      <c r="T41" s="587"/>
      <c r="U41" s="187">
        <v>12</v>
      </c>
      <c r="V41" s="187">
        <v>3121.6149008496304</v>
      </c>
      <c r="W41" s="184">
        <f t="shared" si="0"/>
        <v>260.13457507080255</v>
      </c>
      <c r="X41" s="181">
        <f t="shared" si="5"/>
        <v>35</v>
      </c>
      <c r="Y41" s="587"/>
      <c r="Z41" s="187">
        <v>12</v>
      </c>
      <c r="AA41" s="187">
        <v>3121.9749008496301</v>
      </c>
      <c r="AB41" s="184">
        <f t="shared" si="6"/>
        <v>260.16457507080253</v>
      </c>
      <c r="AC41" s="181">
        <f t="shared" si="7"/>
        <v>35</v>
      </c>
      <c r="AD41" s="587"/>
      <c r="AE41" s="187">
        <v>12</v>
      </c>
      <c r="AF41" s="187">
        <v>3122.6949008496299</v>
      </c>
      <c r="AG41" s="184">
        <f t="shared" si="8"/>
        <v>260.22457507080247</v>
      </c>
      <c r="AH41" s="181">
        <f t="shared" si="9"/>
        <v>34</v>
      </c>
      <c r="AI41" s="587"/>
      <c r="AJ41" s="187">
        <v>12</v>
      </c>
      <c r="AK41" s="187">
        <v>3120.5863693009533</v>
      </c>
      <c r="AL41" s="184">
        <f t="shared" si="10"/>
        <v>260.04886410841277</v>
      </c>
      <c r="AM41" s="181">
        <f t="shared" si="11"/>
        <v>35</v>
      </c>
      <c r="AN41" s="587"/>
      <c r="AO41" s="187">
        <v>12</v>
      </c>
      <c r="AP41" s="187">
        <v>3122.1394291820802</v>
      </c>
      <c r="AQ41" s="184">
        <f t="shared" si="12"/>
        <v>260.17828576517337</v>
      </c>
      <c r="AR41" s="181">
        <f t="shared" si="13"/>
        <v>34</v>
      </c>
      <c r="AS41" s="587"/>
      <c r="AT41" s="187">
        <v>12</v>
      </c>
      <c r="AU41" s="187">
        <v>3122.8594291820805</v>
      </c>
      <c r="AV41" s="184">
        <f t="shared" si="14"/>
        <v>260.23828576517337</v>
      </c>
      <c r="AW41" s="181">
        <f t="shared" si="15"/>
        <v>34</v>
      </c>
      <c r="AX41" s="587"/>
    </row>
    <row r="42" spans="1:50" ht="14.25" customHeight="1">
      <c r="B42" s="586"/>
      <c r="C42" s="179">
        <v>36</v>
      </c>
      <c r="D42" s="182"/>
      <c r="E42" s="179"/>
      <c r="F42" s="179"/>
      <c r="G42" s="184"/>
      <c r="H42" s="588"/>
      <c r="I42" s="185"/>
      <c r="J42" s="185"/>
      <c r="K42" s="186"/>
      <c r="L42" s="589"/>
      <c r="M42" s="185"/>
      <c r="N42" s="590"/>
      <c r="O42" s="591"/>
      <c r="P42" s="187"/>
      <c r="Q42" s="187"/>
      <c r="R42" s="184"/>
      <c r="S42" s="181"/>
      <c r="T42" s="587"/>
      <c r="U42" s="187"/>
      <c r="V42" s="187"/>
      <c r="W42" s="184"/>
      <c r="X42" s="181"/>
      <c r="Y42" s="587"/>
      <c r="Z42" s="187"/>
      <c r="AA42" s="187"/>
      <c r="AB42" s="184"/>
      <c r="AC42" s="181"/>
      <c r="AD42" s="587"/>
      <c r="AE42" s="187"/>
      <c r="AF42" s="187"/>
      <c r="AG42" s="184"/>
      <c r="AH42" s="181"/>
      <c r="AI42" s="587"/>
      <c r="AJ42" s="187"/>
      <c r="AK42" s="187"/>
      <c r="AL42" s="184"/>
      <c r="AM42" s="181"/>
      <c r="AN42" s="587"/>
      <c r="AO42" s="187"/>
      <c r="AP42" s="187"/>
      <c r="AQ42" s="184"/>
      <c r="AR42" s="181"/>
      <c r="AS42" s="587"/>
      <c r="AT42" s="187"/>
      <c r="AU42" s="187"/>
      <c r="AV42" s="184"/>
      <c r="AW42" s="181"/>
      <c r="AX42" s="587"/>
    </row>
    <row r="43" spans="1:50" ht="14.25" customHeight="1">
      <c r="B43" s="586"/>
      <c r="C43" s="179">
        <v>37</v>
      </c>
      <c r="D43" s="182"/>
      <c r="E43" s="179"/>
      <c r="F43" s="179"/>
      <c r="G43" s="184"/>
      <c r="H43" s="588"/>
      <c r="I43" s="185"/>
      <c r="J43" s="185"/>
      <c r="K43" s="186"/>
      <c r="L43" s="589"/>
      <c r="M43" s="185"/>
      <c r="N43" s="590"/>
      <c r="O43" s="591"/>
      <c r="P43" s="187"/>
      <c r="Q43" s="187"/>
      <c r="R43" s="184"/>
      <c r="S43" s="181"/>
      <c r="T43" s="587"/>
      <c r="U43" s="187"/>
      <c r="V43" s="187"/>
      <c r="W43" s="184"/>
      <c r="X43" s="181"/>
      <c r="Y43" s="587"/>
      <c r="Z43" s="187"/>
      <c r="AA43" s="187"/>
      <c r="AB43" s="184"/>
      <c r="AC43" s="181"/>
      <c r="AD43" s="587"/>
      <c r="AE43" s="187"/>
      <c r="AF43" s="187"/>
      <c r="AG43" s="184"/>
      <c r="AH43" s="181"/>
      <c r="AI43" s="587"/>
      <c r="AJ43" s="187"/>
      <c r="AK43" s="187"/>
      <c r="AL43" s="184"/>
      <c r="AM43" s="181"/>
      <c r="AN43" s="587"/>
      <c r="AO43" s="187"/>
      <c r="AP43" s="187"/>
      <c r="AQ43" s="184"/>
      <c r="AR43" s="181"/>
      <c r="AS43" s="587"/>
      <c r="AT43" s="187"/>
      <c r="AU43" s="187"/>
      <c r="AV43" s="184"/>
      <c r="AW43" s="181"/>
      <c r="AX43" s="587"/>
    </row>
    <row r="44" spans="1:50" ht="14.25" customHeight="1">
      <c r="B44" s="593" t="s">
        <v>688</v>
      </c>
      <c r="C44" s="594"/>
      <c r="D44" s="594"/>
      <c r="E44" s="594"/>
      <c r="F44" s="594"/>
      <c r="G44" s="594"/>
      <c r="H44" s="594"/>
      <c r="I44" s="594"/>
      <c r="J44" s="594"/>
      <c r="K44" s="594"/>
      <c r="L44" s="594"/>
      <c r="M44" s="595"/>
      <c r="N44" s="598" t="s">
        <v>341</v>
      </c>
      <c r="O44" s="598" t="s">
        <v>105</v>
      </c>
      <c r="P44" s="600">
        <v>46238</v>
      </c>
      <c r="Q44" s="601"/>
      <c r="R44" s="601"/>
      <c r="S44" s="601"/>
      <c r="T44" s="601"/>
      <c r="U44" s="602">
        <v>46239</v>
      </c>
      <c r="V44" s="603"/>
      <c r="W44" s="603"/>
      <c r="X44" s="603"/>
      <c r="Y44" s="603"/>
      <c r="Z44" s="600">
        <v>46240</v>
      </c>
      <c r="AA44" s="601"/>
      <c r="AB44" s="601"/>
      <c r="AC44" s="601"/>
      <c r="AD44" s="601"/>
      <c r="AE44" s="602">
        <v>46241</v>
      </c>
      <c r="AF44" s="603"/>
      <c r="AG44" s="603"/>
      <c r="AH44" s="603"/>
      <c r="AI44" s="603"/>
      <c r="AJ44" s="609">
        <v>46242</v>
      </c>
      <c r="AK44" s="610"/>
      <c r="AL44" s="610"/>
      <c r="AM44" s="610"/>
      <c r="AN44" s="611"/>
      <c r="AO44" s="602">
        <v>46243</v>
      </c>
      <c r="AP44" s="603"/>
      <c r="AQ44" s="603"/>
      <c r="AR44" s="603"/>
      <c r="AS44" s="603"/>
      <c r="AT44" s="609">
        <v>46244</v>
      </c>
      <c r="AU44" s="610"/>
      <c r="AV44" s="610"/>
      <c r="AW44" s="610"/>
      <c r="AX44" s="611"/>
    </row>
    <row r="45" spans="1:50" ht="14.25" customHeight="1">
      <c r="B45" s="596"/>
      <c r="C45" s="596"/>
      <c r="D45" s="596"/>
      <c r="E45" s="596"/>
      <c r="F45" s="596"/>
      <c r="G45" s="596"/>
      <c r="H45" s="596"/>
      <c r="I45" s="596"/>
      <c r="J45" s="596"/>
      <c r="K45" s="596"/>
      <c r="L45" s="596"/>
      <c r="M45" s="597"/>
      <c r="N45" s="599"/>
      <c r="O45" s="599"/>
      <c r="P45" s="604">
        <v>46196</v>
      </c>
      <c r="Q45" s="604"/>
      <c r="R45" s="604"/>
      <c r="S45" s="604"/>
      <c r="T45" s="604"/>
      <c r="U45" s="605">
        <v>46197</v>
      </c>
      <c r="V45" s="605"/>
      <c r="W45" s="605"/>
      <c r="X45" s="605"/>
      <c r="Y45" s="605"/>
      <c r="Z45" s="604">
        <v>46198</v>
      </c>
      <c r="AA45" s="604"/>
      <c r="AB45" s="604"/>
      <c r="AC45" s="604"/>
      <c r="AD45" s="604"/>
      <c r="AE45" s="605">
        <v>46199</v>
      </c>
      <c r="AF45" s="605"/>
      <c r="AG45" s="605"/>
      <c r="AH45" s="605"/>
      <c r="AI45" s="605"/>
      <c r="AJ45" s="606">
        <v>46200</v>
      </c>
      <c r="AK45" s="607"/>
      <c r="AL45" s="607"/>
      <c r="AM45" s="607"/>
      <c r="AN45" s="608"/>
      <c r="AO45" s="605">
        <v>46201</v>
      </c>
      <c r="AP45" s="605"/>
      <c r="AQ45" s="605"/>
      <c r="AR45" s="605"/>
      <c r="AS45" s="605"/>
      <c r="AT45" s="606">
        <v>46202</v>
      </c>
      <c r="AU45" s="607"/>
      <c r="AV45" s="607"/>
      <c r="AW45" s="607"/>
      <c r="AX45" s="608"/>
    </row>
    <row r="46" spans="1:50" ht="14.25" customHeight="1">
      <c r="B46" s="586" t="s">
        <v>162</v>
      </c>
      <c r="C46" s="586" t="s">
        <v>157</v>
      </c>
      <c r="D46" s="586"/>
      <c r="E46" s="586" t="s">
        <v>158</v>
      </c>
      <c r="F46" s="586"/>
      <c r="G46" s="586"/>
      <c r="H46" s="586" t="s">
        <v>163</v>
      </c>
      <c r="I46" s="592" t="s">
        <v>342</v>
      </c>
      <c r="J46" s="592"/>
      <c r="K46" s="592"/>
      <c r="L46" s="592" t="s">
        <v>163</v>
      </c>
      <c r="M46" s="592" t="s">
        <v>165</v>
      </c>
      <c r="N46" s="590"/>
      <c r="O46" s="591" t="s">
        <v>164</v>
      </c>
      <c r="P46" s="591" t="s">
        <v>160</v>
      </c>
      <c r="Q46" s="591"/>
      <c r="R46" s="591"/>
      <c r="S46" s="591"/>
      <c r="T46" s="591" t="s">
        <v>163</v>
      </c>
      <c r="U46" s="591" t="s">
        <v>160</v>
      </c>
      <c r="V46" s="591"/>
      <c r="W46" s="591"/>
      <c r="X46" s="591"/>
      <c r="Y46" s="591" t="s">
        <v>163</v>
      </c>
      <c r="Z46" s="591" t="s">
        <v>160</v>
      </c>
      <c r="AA46" s="591"/>
      <c r="AB46" s="591"/>
      <c r="AC46" s="591"/>
      <c r="AD46" s="591" t="s">
        <v>163</v>
      </c>
      <c r="AE46" s="591" t="s">
        <v>160</v>
      </c>
      <c r="AF46" s="591"/>
      <c r="AG46" s="591"/>
      <c r="AH46" s="591"/>
      <c r="AI46" s="591" t="s">
        <v>163</v>
      </c>
      <c r="AJ46" s="591" t="s">
        <v>160</v>
      </c>
      <c r="AK46" s="591"/>
      <c r="AL46" s="591"/>
      <c r="AM46" s="591"/>
      <c r="AN46" s="591" t="s">
        <v>163</v>
      </c>
      <c r="AO46" s="591" t="s">
        <v>160</v>
      </c>
      <c r="AP46" s="591"/>
      <c r="AQ46" s="591"/>
      <c r="AR46" s="591"/>
      <c r="AS46" s="591" t="s">
        <v>163</v>
      </c>
      <c r="AT46" s="591" t="s">
        <v>160</v>
      </c>
      <c r="AU46" s="591"/>
      <c r="AV46" s="591"/>
      <c r="AW46" s="591"/>
      <c r="AX46" s="591" t="s">
        <v>163</v>
      </c>
    </row>
    <row r="47" spans="1:50" ht="14.25" customHeight="1">
      <c r="B47" s="586"/>
      <c r="C47" s="586"/>
      <c r="D47" s="586"/>
      <c r="E47" s="586" t="s">
        <v>343</v>
      </c>
      <c r="F47" s="586"/>
      <c r="G47" s="586"/>
      <c r="H47" s="586"/>
      <c r="I47" s="592" t="s">
        <v>343</v>
      </c>
      <c r="J47" s="592"/>
      <c r="K47" s="592"/>
      <c r="L47" s="592"/>
      <c r="M47" s="592"/>
      <c r="N47" s="590"/>
      <c r="O47" s="591"/>
      <c r="P47" s="591" t="s">
        <v>344</v>
      </c>
      <c r="Q47" s="591"/>
      <c r="R47" s="591"/>
      <c r="S47" s="591"/>
      <c r="T47" s="591"/>
      <c r="U47" s="591" t="s">
        <v>344</v>
      </c>
      <c r="V47" s="591"/>
      <c r="W47" s="591"/>
      <c r="X47" s="591"/>
      <c r="Y47" s="591"/>
      <c r="Z47" s="591" t="s">
        <v>344</v>
      </c>
      <c r="AA47" s="591"/>
      <c r="AB47" s="591"/>
      <c r="AC47" s="591"/>
      <c r="AD47" s="591"/>
      <c r="AE47" s="591" t="s">
        <v>344</v>
      </c>
      <c r="AF47" s="591"/>
      <c r="AG47" s="591"/>
      <c r="AH47" s="591"/>
      <c r="AI47" s="591"/>
      <c r="AJ47" s="591" t="s">
        <v>344</v>
      </c>
      <c r="AK47" s="591"/>
      <c r="AL47" s="591"/>
      <c r="AM47" s="591"/>
      <c r="AN47" s="591"/>
      <c r="AO47" s="591" t="s">
        <v>344</v>
      </c>
      <c r="AP47" s="591"/>
      <c r="AQ47" s="591"/>
      <c r="AR47" s="591"/>
      <c r="AS47" s="591"/>
      <c r="AT47" s="591" t="s">
        <v>344</v>
      </c>
      <c r="AU47" s="591"/>
      <c r="AV47" s="591"/>
      <c r="AW47" s="591"/>
      <c r="AX47" s="591"/>
    </row>
    <row r="48" spans="1:50" ht="14.25" customHeight="1">
      <c r="A48" s="176"/>
      <c r="B48" s="586"/>
      <c r="C48" s="586"/>
      <c r="D48" s="586"/>
      <c r="E48" s="179" t="s">
        <v>159</v>
      </c>
      <c r="F48" s="179" t="s">
        <v>345</v>
      </c>
      <c r="G48" s="179" t="s">
        <v>161</v>
      </c>
      <c r="H48" s="586"/>
      <c r="I48" s="180" t="s">
        <v>159</v>
      </c>
      <c r="J48" s="180" t="s">
        <v>345</v>
      </c>
      <c r="K48" s="180" t="s">
        <v>161</v>
      </c>
      <c r="L48" s="592"/>
      <c r="M48" s="592"/>
      <c r="N48" s="590"/>
      <c r="O48" s="591"/>
      <c r="P48" s="181" t="s">
        <v>159</v>
      </c>
      <c r="Q48" s="181" t="s">
        <v>345</v>
      </c>
      <c r="R48" s="181" t="s">
        <v>161</v>
      </c>
      <c r="S48" s="181" t="s">
        <v>165</v>
      </c>
      <c r="T48" s="591"/>
      <c r="U48" s="181" t="s">
        <v>159</v>
      </c>
      <c r="V48" s="181" t="s">
        <v>345</v>
      </c>
      <c r="W48" s="181" t="s">
        <v>161</v>
      </c>
      <c r="X48" s="181" t="s">
        <v>165</v>
      </c>
      <c r="Y48" s="591"/>
      <c r="Z48" s="181" t="s">
        <v>159</v>
      </c>
      <c r="AA48" s="181" t="s">
        <v>345</v>
      </c>
      <c r="AB48" s="181" t="s">
        <v>161</v>
      </c>
      <c r="AC48" s="181" t="s">
        <v>165</v>
      </c>
      <c r="AD48" s="591"/>
      <c r="AE48" s="181" t="s">
        <v>159</v>
      </c>
      <c r="AF48" s="181" t="s">
        <v>345</v>
      </c>
      <c r="AG48" s="181" t="s">
        <v>161</v>
      </c>
      <c r="AH48" s="181" t="s">
        <v>165</v>
      </c>
      <c r="AI48" s="591"/>
      <c r="AJ48" s="181" t="s">
        <v>159</v>
      </c>
      <c r="AK48" s="181" t="s">
        <v>345</v>
      </c>
      <c r="AL48" s="181" t="s">
        <v>161</v>
      </c>
      <c r="AM48" s="181" t="s">
        <v>165</v>
      </c>
      <c r="AN48" s="591"/>
      <c r="AO48" s="181" t="s">
        <v>159</v>
      </c>
      <c r="AP48" s="181" t="s">
        <v>345</v>
      </c>
      <c r="AQ48" s="181" t="s">
        <v>161</v>
      </c>
      <c r="AR48" s="181" t="s">
        <v>165</v>
      </c>
      <c r="AS48" s="591"/>
      <c r="AT48" s="181" t="s">
        <v>159</v>
      </c>
      <c r="AU48" s="181" t="s">
        <v>345</v>
      </c>
      <c r="AV48" s="181" t="s">
        <v>161</v>
      </c>
      <c r="AW48" s="181" t="s">
        <v>165</v>
      </c>
      <c r="AX48" s="591"/>
    </row>
    <row r="49" spans="2:50" ht="14.25" customHeight="1">
      <c r="B49" s="586" t="s">
        <v>346</v>
      </c>
      <c r="C49" s="179">
        <v>1</v>
      </c>
      <c r="D49" s="182" t="s">
        <v>371</v>
      </c>
      <c r="E49" s="183">
        <v>4</v>
      </c>
      <c r="F49" s="179">
        <v>3300</v>
      </c>
      <c r="G49" s="184">
        <f>IFERROR(F49/E49,"")</f>
        <v>825</v>
      </c>
      <c r="H49" s="588">
        <f>AVERAGE(G49:G85)</f>
        <v>865.57142857142856</v>
      </c>
      <c r="I49" s="185">
        <f>AVERAGE(P49,U49,Z49,AE49,AJ49,AO49,AT49)</f>
        <v>4</v>
      </c>
      <c r="J49" s="185">
        <f>AVERAGE(Q49,V49,AA49,AF49,AK49,AP49,AU49)</f>
        <v>3013.1701004988026</v>
      </c>
      <c r="K49" s="186">
        <f>AVERAGE(R49,W49,AB49,AG49,AL49,AQ49,AV49)</f>
        <v>753.29252512470066</v>
      </c>
      <c r="L49" s="589">
        <f>IFERROR(AVERAGE(K49:K85),"-")</f>
        <v>779.9455818995915</v>
      </c>
      <c r="M49" s="185">
        <f>RANK(K49, K$49:$K$85)</f>
        <v>17</v>
      </c>
      <c r="N49" s="590"/>
      <c r="O49" s="591"/>
      <c r="P49" s="187">
        <v>4</v>
      </c>
      <c r="Q49" s="187">
        <v>3009.8229576416597</v>
      </c>
      <c r="R49" s="184">
        <f>IFERROR(Q49/P49,"")</f>
        <v>752.45573941041494</v>
      </c>
      <c r="S49" s="181">
        <f>RANK(R49, R$49:R$85)</f>
        <v>17</v>
      </c>
      <c r="T49" s="587">
        <f>AVERAGE(R49:R85)</f>
        <v>779.1635579144945</v>
      </c>
      <c r="U49" s="187">
        <v>4</v>
      </c>
      <c r="V49" s="187">
        <v>3011.4729576416598</v>
      </c>
      <c r="W49" s="184">
        <f t="shared" ref="W49:W83" si="17">IFERROR(V49/U49,"")</f>
        <v>752.86823941041496</v>
      </c>
      <c r="X49" s="181">
        <f>RANK(W49, W$49:W$85)</f>
        <v>17</v>
      </c>
      <c r="Y49" s="587">
        <f>AVERAGE(W49:W85)</f>
        <v>779.36560074168847</v>
      </c>
      <c r="Z49" s="187">
        <v>4</v>
      </c>
      <c r="AA49" s="187">
        <v>3012.4629576416596</v>
      </c>
      <c r="AB49" s="184">
        <f>IFERROR(AA49/Z49,"")</f>
        <v>753.1157394104149</v>
      </c>
      <c r="AC49" s="181">
        <f>RANK(AB49, AB$49:AB$85)</f>
        <v>17</v>
      </c>
      <c r="AD49" s="587">
        <f>AVERAGE(AB49:AB85)</f>
        <v>779.65823694487017</v>
      </c>
      <c r="AE49" s="187">
        <v>4</v>
      </c>
      <c r="AF49" s="187">
        <v>3012.79295764166</v>
      </c>
      <c r="AG49" s="184">
        <f>IFERROR(AF49/AE49,"")</f>
        <v>753.198239410415</v>
      </c>
      <c r="AH49" s="181">
        <f>RANK(AG49, AG$49:AG$85)</f>
        <v>18</v>
      </c>
      <c r="AI49" s="587">
        <f>AVERAGE(AG49:AG85)</f>
        <v>779.91406198481832</v>
      </c>
      <c r="AJ49" s="187">
        <v>4</v>
      </c>
      <c r="AK49" s="187">
        <v>3014.1129576416602</v>
      </c>
      <c r="AL49" s="184">
        <f>IFERROR(AK49/AJ49,"")</f>
        <v>753.52823941041504</v>
      </c>
      <c r="AM49" s="181">
        <f>RANK(AL49, AL$49:AL$85)</f>
        <v>18</v>
      </c>
      <c r="AN49" s="587">
        <f>AVERAGE(AL49:AL85)</f>
        <v>780.23606786772439</v>
      </c>
      <c r="AO49" s="187">
        <v>4</v>
      </c>
      <c r="AP49" s="187">
        <v>3014.77295764166</v>
      </c>
      <c r="AQ49" s="184">
        <f>IFERROR(AP49/AO49,"")</f>
        <v>753.693239410415</v>
      </c>
      <c r="AR49" s="181">
        <f>RANK(AQ49, AQ$49:AQ$85)</f>
        <v>18</v>
      </c>
      <c r="AS49" s="587">
        <f>AVERAGE(AQ49:AQ85)</f>
        <v>780.51782440305283</v>
      </c>
      <c r="AT49" s="187">
        <v>4</v>
      </c>
      <c r="AU49" s="187">
        <v>3016.75295764166</v>
      </c>
      <c r="AV49" s="184">
        <f>IFERROR(AU49/AT49,"")</f>
        <v>754.18823941041501</v>
      </c>
      <c r="AW49" s="181">
        <f>RANK(AV49, AV$49:AV$85)</f>
        <v>17</v>
      </c>
      <c r="AX49" s="587">
        <f>AVERAGE(AV49:AV85)</f>
        <v>784.80470854471127</v>
      </c>
    </row>
    <row r="50" spans="2:50" ht="14.25" customHeight="1">
      <c r="B50" s="586"/>
      <c r="C50" s="179">
        <v>2</v>
      </c>
      <c r="D50" s="182" t="s">
        <v>369</v>
      </c>
      <c r="E50" s="183">
        <v>3</v>
      </c>
      <c r="F50" s="179">
        <v>3600</v>
      </c>
      <c r="G50" s="184">
        <f t="shared" ref="G50:G83" si="18">IFERROR(F50/E50,"")</f>
        <v>1200</v>
      </c>
      <c r="H50" s="588"/>
      <c r="I50" s="185">
        <f t="shared" ref="I50:K79" si="19">AVERAGE(P50,U50,Z50,AE50,AJ50,AO50,AT50)</f>
        <v>3</v>
      </c>
      <c r="J50" s="185">
        <f t="shared" si="19"/>
        <v>3216.0423797476928</v>
      </c>
      <c r="K50" s="186">
        <f t="shared" si="19"/>
        <v>1072.0141265825644</v>
      </c>
      <c r="L50" s="589"/>
      <c r="M50" s="185">
        <f>RANK(K50, K$49:$K$85)</f>
        <v>7</v>
      </c>
      <c r="N50" s="590"/>
      <c r="O50" s="591"/>
      <c r="P50" s="187">
        <v>3</v>
      </c>
      <c r="Q50" s="187">
        <v>3211.4652368905504</v>
      </c>
      <c r="R50" s="184">
        <f t="shared" ref="R50:R83" si="20">IFERROR(Q50/P50,"")</f>
        <v>1070.4884122968501</v>
      </c>
      <c r="S50" s="181">
        <f t="shared" ref="S50:S83" si="21">RANK(R50, R$49:R$85)</f>
        <v>7</v>
      </c>
      <c r="T50" s="587"/>
      <c r="U50" s="187">
        <v>3</v>
      </c>
      <c r="V50" s="187">
        <v>3213.2652368905506</v>
      </c>
      <c r="W50" s="184">
        <f t="shared" si="17"/>
        <v>1071.0884122968503</v>
      </c>
      <c r="X50" s="181">
        <f t="shared" ref="X50:X83" si="22">RANK(W50, W$49:W$85)</f>
        <v>6</v>
      </c>
      <c r="Y50" s="587"/>
      <c r="Z50" s="187">
        <v>3</v>
      </c>
      <c r="AA50" s="187">
        <v>3213.9852368905504</v>
      </c>
      <c r="AB50" s="184">
        <f t="shared" ref="AB50:AB83" si="23">IFERROR(AA50/Z50,"")</f>
        <v>1071.32841229685</v>
      </c>
      <c r="AC50" s="181">
        <f t="shared" ref="AC50:AC83" si="24">RANK(AB50, AB$49:AB$85)</f>
        <v>7</v>
      </c>
      <c r="AD50" s="587"/>
      <c r="AE50" s="187">
        <v>3</v>
      </c>
      <c r="AF50" s="187">
        <v>3215.7852368905501</v>
      </c>
      <c r="AG50" s="184">
        <f t="shared" ref="AG50:AG83" si="25">IFERROR(AF50/AE50,"")</f>
        <v>1071.92841229685</v>
      </c>
      <c r="AH50" s="181">
        <f t="shared" ref="AH50:AH83" si="26">RANK(AG50, AG$49:AG$85)</f>
        <v>7</v>
      </c>
      <c r="AI50" s="587"/>
      <c r="AJ50" s="187">
        <v>3</v>
      </c>
      <c r="AK50" s="187">
        <v>3217.5852368905494</v>
      </c>
      <c r="AL50" s="184">
        <f t="shared" ref="AL50:AL83" si="27">IFERROR(AK50/AJ50,"")</f>
        <v>1072.5284122968499</v>
      </c>
      <c r="AM50" s="181">
        <f t="shared" ref="AM50:AM83" si="28">RANK(AL50, AL$49:AL$85)</f>
        <v>6</v>
      </c>
      <c r="AN50" s="587"/>
      <c r="AO50" s="187">
        <v>3</v>
      </c>
      <c r="AP50" s="187">
        <v>3219.3852368905491</v>
      </c>
      <c r="AQ50" s="184">
        <f t="shared" ref="AQ50:AQ83" si="29">IFERROR(AP50/AO50,"")</f>
        <v>1073.1284122968498</v>
      </c>
      <c r="AR50" s="181">
        <f t="shared" ref="AR50:AR83" si="30">RANK(AQ50, AQ$49:AQ$85)</f>
        <v>5</v>
      </c>
      <c r="AS50" s="587"/>
      <c r="AT50" s="187">
        <v>3</v>
      </c>
      <c r="AU50" s="187">
        <v>3220.8252368905496</v>
      </c>
      <c r="AV50" s="184">
        <f t="shared" ref="AV50:AV83" si="31">IFERROR(AU50/AT50,"")</f>
        <v>1073.6084122968498</v>
      </c>
      <c r="AW50" s="181">
        <f t="shared" ref="AW50:AW83" si="32">RANK(AV50, AV$49:AV$85)</f>
        <v>5</v>
      </c>
      <c r="AX50" s="587"/>
    </row>
    <row r="51" spans="2:50" ht="14.25" customHeight="1">
      <c r="B51" s="586"/>
      <c r="C51" s="179">
        <v>3</v>
      </c>
      <c r="D51" s="182" t="s">
        <v>370</v>
      </c>
      <c r="E51" s="183">
        <v>5</v>
      </c>
      <c r="F51" s="179">
        <v>3600</v>
      </c>
      <c r="G51" s="184">
        <f t="shared" si="18"/>
        <v>720</v>
      </c>
      <c r="H51" s="588"/>
      <c r="I51" s="185">
        <f t="shared" si="19"/>
        <v>5</v>
      </c>
      <c r="J51" s="185">
        <f t="shared" si="19"/>
        <v>3214.589369865153</v>
      </c>
      <c r="K51" s="186">
        <f t="shared" si="19"/>
        <v>642.91787397303074</v>
      </c>
      <c r="L51" s="589"/>
      <c r="M51" s="185">
        <f>RANK(K51, K$49:$K$85)</f>
        <v>30</v>
      </c>
      <c r="N51" s="590"/>
      <c r="O51" s="591"/>
      <c r="P51" s="187">
        <v>5</v>
      </c>
      <c r="Q51" s="187">
        <v>3212.3743775428579</v>
      </c>
      <c r="R51" s="184">
        <f t="shared" si="20"/>
        <v>642.47487550857159</v>
      </c>
      <c r="S51" s="181">
        <f t="shared" si="21"/>
        <v>30</v>
      </c>
      <c r="T51" s="587"/>
      <c r="U51" s="187">
        <v>5</v>
      </c>
      <c r="V51" s="187">
        <v>3212.7343775428581</v>
      </c>
      <c r="W51" s="184">
        <f t="shared" si="17"/>
        <v>642.54687550857159</v>
      </c>
      <c r="X51" s="181">
        <f t="shared" si="22"/>
        <v>30</v>
      </c>
      <c r="Y51" s="587"/>
      <c r="Z51" s="187">
        <v>5</v>
      </c>
      <c r="AA51" s="187">
        <v>3213.3873667940716</v>
      </c>
      <c r="AB51" s="184">
        <f t="shared" si="23"/>
        <v>642.67747335881427</v>
      </c>
      <c r="AC51" s="181">
        <f t="shared" si="24"/>
        <v>30</v>
      </c>
      <c r="AD51" s="587"/>
      <c r="AE51" s="187">
        <v>5</v>
      </c>
      <c r="AF51" s="187">
        <v>3214.4673667940715</v>
      </c>
      <c r="AG51" s="184">
        <f t="shared" si="25"/>
        <v>642.89347335881428</v>
      </c>
      <c r="AH51" s="181">
        <f t="shared" si="26"/>
        <v>30</v>
      </c>
      <c r="AI51" s="587"/>
      <c r="AJ51" s="187">
        <v>5</v>
      </c>
      <c r="AK51" s="187">
        <v>3215.1873667940713</v>
      </c>
      <c r="AL51" s="184">
        <f t="shared" si="27"/>
        <v>643.03747335881428</v>
      </c>
      <c r="AM51" s="181">
        <f t="shared" si="28"/>
        <v>30</v>
      </c>
      <c r="AN51" s="587"/>
      <c r="AO51" s="187">
        <v>5</v>
      </c>
      <c r="AP51" s="187">
        <v>3216.6273667940718</v>
      </c>
      <c r="AQ51" s="184">
        <f t="shared" si="29"/>
        <v>643.32547335881441</v>
      </c>
      <c r="AR51" s="181">
        <f t="shared" si="30"/>
        <v>30</v>
      </c>
      <c r="AS51" s="587"/>
      <c r="AT51" s="187">
        <v>5</v>
      </c>
      <c r="AU51" s="187">
        <v>3217.3473667940725</v>
      </c>
      <c r="AV51" s="184">
        <f t="shared" si="31"/>
        <v>643.46947335881453</v>
      </c>
      <c r="AW51" s="181">
        <f t="shared" si="32"/>
        <v>29</v>
      </c>
      <c r="AX51" s="587"/>
    </row>
    <row r="52" spans="2:50" ht="14.25" customHeight="1">
      <c r="B52" s="586"/>
      <c r="C52" s="179">
        <v>4</v>
      </c>
      <c r="D52" s="182" t="s">
        <v>212</v>
      </c>
      <c r="E52" s="183">
        <v>5</v>
      </c>
      <c r="F52" s="179">
        <v>3300</v>
      </c>
      <c r="G52" s="184">
        <f t="shared" si="18"/>
        <v>660</v>
      </c>
      <c r="H52" s="588"/>
      <c r="I52" s="185">
        <f t="shared" si="19"/>
        <v>5</v>
      </c>
      <c r="J52" s="185">
        <f t="shared" si="19"/>
        <v>3015.7569499421597</v>
      </c>
      <c r="K52" s="186">
        <f t="shared" si="19"/>
        <v>603.15138998843202</v>
      </c>
      <c r="L52" s="589"/>
      <c r="M52" s="185">
        <f>RANK(K52, K$49:$K$85)</f>
        <v>31</v>
      </c>
      <c r="N52" s="590"/>
      <c r="O52" s="591"/>
      <c r="P52" s="187">
        <v>5</v>
      </c>
      <c r="Q52" s="187">
        <v>3013.3998070850175</v>
      </c>
      <c r="R52" s="184">
        <f t="shared" si="20"/>
        <v>602.67996141700348</v>
      </c>
      <c r="S52" s="181">
        <f t="shared" si="21"/>
        <v>31</v>
      </c>
      <c r="T52" s="587"/>
      <c r="U52" s="187">
        <v>5</v>
      </c>
      <c r="V52" s="187">
        <v>3013.7298070850179</v>
      </c>
      <c r="W52" s="184">
        <f t="shared" si="17"/>
        <v>602.74596141700363</v>
      </c>
      <c r="X52" s="181">
        <f t="shared" si="22"/>
        <v>31</v>
      </c>
      <c r="Y52" s="587"/>
      <c r="Z52" s="187">
        <v>5</v>
      </c>
      <c r="AA52" s="187">
        <v>3014.7198070850177</v>
      </c>
      <c r="AB52" s="184">
        <f t="shared" si="23"/>
        <v>602.94396141700349</v>
      </c>
      <c r="AC52" s="181">
        <f t="shared" si="24"/>
        <v>31</v>
      </c>
      <c r="AD52" s="587"/>
      <c r="AE52" s="187">
        <v>5</v>
      </c>
      <c r="AF52" s="187">
        <v>3016.0398070850174</v>
      </c>
      <c r="AG52" s="184">
        <f t="shared" si="25"/>
        <v>603.2079614170035</v>
      </c>
      <c r="AH52" s="181">
        <f t="shared" si="26"/>
        <v>31</v>
      </c>
      <c r="AI52" s="587"/>
      <c r="AJ52" s="187">
        <v>5</v>
      </c>
      <c r="AK52" s="187">
        <v>3016.3698070850169</v>
      </c>
      <c r="AL52" s="184">
        <f t="shared" si="27"/>
        <v>603.27396141700342</v>
      </c>
      <c r="AM52" s="181">
        <f t="shared" si="28"/>
        <v>31</v>
      </c>
      <c r="AN52" s="587"/>
      <c r="AO52" s="187">
        <v>5</v>
      </c>
      <c r="AP52" s="187">
        <v>3017.0298070850163</v>
      </c>
      <c r="AQ52" s="184">
        <f t="shared" si="29"/>
        <v>603.40596141700325</v>
      </c>
      <c r="AR52" s="181">
        <f t="shared" si="30"/>
        <v>31</v>
      </c>
      <c r="AS52" s="587"/>
      <c r="AT52" s="187">
        <v>5</v>
      </c>
      <c r="AU52" s="187">
        <v>3019.0098070850163</v>
      </c>
      <c r="AV52" s="184">
        <f t="shared" si="31"/>
        <v>603.80196141700321</v>
      </c>
      <c r="AW52" s="181">
        <f t="shared" si="32"/>
        <v>30</v>
      </c>
      <c r="AX52" s="587"/>
    </row>
    <row r="53" spans="2:50" ht="14.25" customHeight="1">
      <c r="B53" s="586"/>
      <c r="C53" s="179">
        <v>5</v>
      </c>
      <c r="D53" s="182" t="s">
        <v>366</v>
      </c>
      <c r="E53" s="183">
        <v>3</v>
      </c>
      <c r="F53" s="179">
        <v>3600</v>
      </c>
      <c r="G53" s="184">
        <f t="shared" si="18"/>
        <v>1200</v>
      </c>
      <c r="H53" s="588"/>
      <c r="I53" s="185">
        <f t="shared" si="19"/>
        <v>3</v>
      </c>
      <c r="J53" s="185">
        <f t="shared" si="19"/>
        <v>3214.2919950385849</v>
      </c>
      <c r="K53" s="186">
        <f t="shared" si="19"/>
        <v>1071.4306650128615</v>
      </c>
      <c r="L53" s="589"/>
      <c r="M53" s="185">
        <f>RANK(K53, K$49:$K$85)</f>
        <v>8</v>
      </c>
      <c r="N53" s="590"/>
      <c r="O53" s="591"/>
      <c r="P53" s="187">
        <v>3</v>
      </c>
      <c r="Q53" s="187">
        <v>3211.5662807528697</v>
      </c>
      <c r="R53" s="184">
        <f t="shared" si="20"/>
        <v>1070.5220935842899</v>
      </c>
      <c r="S53" s="181">
        <f t="shared" si="21"/>
        <v>6</v>
      </c>
      <c r="T53" s="587"/>
      <c r="U53" s="187">
        <v>3</v>
      </c>
      <c r="V53" s="187">
        <v>3211.9262807528698</v>
      </c>
      <c r="W53" s="184">
        <f t="shared" si="17"/>
        <v>1070.64209358429</v>
      </c>
      <c r="X53" s="181">
        <f t="shared" si="22"/>
        <v>8</v>
      </c>
      <c r="Y53" s="587"/>
      <c r="Z53" s="187">
        <v>3</v>
      </c>
      <c r="AA53" s="187">
        <v>3213.3662807528704</v>
      </c>
      <c r="AB53" s="184">
        <f t="shared" si="23"/>
        <v>1071.12209358429</v>
      </c>
      <c r="AC53" s="181">
        <f t="shared" si="24"/>
        <v>8</v>
      </c>
      <c r="AD53" s="587"/>
      <c r="AE53" s="187">
        <v>3</v>
      </c>
      <c r="AF53" s="187">
        <v>3214.80628075287</v>
      </c>
      <c r="AG53" s="184">
        <f t="shared" si="25"/>
        <v>1071.6020935842901</v>
      </c>
      <c r="AH53" s="181">
        <f t="shared" si="26"/>
        <v>8</v>
      </c>
      <c r="AI53" s="587"/>
      <c r="AJ53" s="187">
        <v>3</v>
      </c>
      <c r="AK53" s="187">
        <v>3215.8862807528703</v>
      </c>
      <c r="AL53" s="184">
        <f t="shared" si="27"/>
        <v>1071.9620935842902</v>
      </c>
      <c r="AM53" s="181">
        <f t="shared" si="28"/>
        <v>8</v>
      </c>
      <c r="AN53" s="587"/>
      <c r="AO53" s="187">
        <v>3</v>
      </c>
      <c r="AP53" s="187">
        <v>3215.8862807528703</v>
      </c>
      <c r="AQ53" s="184">
        <f t="shared" si="29"/>
        <v>1071.9620935842902</v>
      </c>
      <c r="AR53" s="181">
        <f t="shared" si="30"/>
        <v>8</v>
      </c>
      <c r="AS53" s="587"/>
      <c r="AT53" s="187">
        <v>3</v>
      </c>
      <c r="AU53" s="187">
        <v>3216.606280752871</v>
      </c>
      <c r="AV53" s="184">
        <f t="shared" si="31"/>
        <v>1072.2020935842904</v>
      </c>
      <c r="AW53" s="181">
        <f t="shared" si="32"/>
        <v>8</v>
      </c>
      <c r="AX53" s="587"/>
    </row>
    <row r="54" spans="2:50" ht="14.25" customHeight="1">
      <c r="B54" s="586"/>
      <c r="C54" s="179">
        <v>6</v>
      </c>
      <c r="D54" s="182" t="s">
        <v>318</v>
      </c>
      <c r="E54" s="183">
        <v>4</v>
      </c>
      <c r="F54" s="179">
        <v>3600</v>
      </c>
      <c r="G54" s="184">
        <f t="shared" si="18"/>
        <v>900</v>
      </c>
      <c r="H54" s="588"/>
      <c r="I54" s="185">
        <f t="shared" si="19"/>
        <v>4</v>
      </c>
      <c r="J54" s="185">
        <f t="shared" si="19"/>
        <v>3218.7563886558783</v>
      </c>
      <c r="K54" s="186">
        <f t="shared" si="19"/>
        <v>804.68909716396956</v>
      </c>
      <c r="L54" s="589"/>
      <c r="M54" s="185">
        <f>RANK(K54, K$49:$K$85)</f>
        <v>14</v>
      </c>
      <c r="N54" s="590"/>
      <c r="O54" s="591"/>
      <c r="P54" s="187">
        <v>4</v>
      </c>
      <c r="Q54" s="187">
        <v>3214.5906743701644</v>
      </c>
      <c r="R54" s="184">
        <f t="shared" si="20"/>
        <v>803.64766859254109</v>
      </c>
      <c r="S54" s="181">
        <f t="shared" si="21"/>
        <v>14</v>
      </c>
      <c r="T54" s="587"/>
      <c r="U54" s="187">
        <v>4</v>
      </c>
      <c r="V54" s="187">
        <v>3214.9506743701645</v>
      </c>
      <c r="W54" s="184">
        <f t="shared" si="17"/>
        <v>803.73766859254113</v>
      </c>
      <c r="X54" s="181">
        <f t="shared" si="22"/>
        <v>14</v>
      </c>
      <c r="Y54" s="587"/>
      <c r="Z54" s="187">
        <v>4</v>
      </c>
      <c r="AA54" s="187">
        <v>3216.7506743701642</v>
      </c>
      <c r="AB54" s="184">
        <f t="shared" si="23"/>
        <v>804.18766859254106</v>
      </c>
      <c r="AC54" s="181">
        <f t="shared" si="24"/>
        <v>14</v>
      </c>
      <c r="AD54" s="587"/>
      <c r="AE54" s="187">
        <v>4</v>
      </c>
      <c r="AF54" s="187">
        <v>3218.9106743701641</v>
      </c>
      <c r="AG54" s="184">
        <f t="shared" si="25"/>
        <v>804.72766859254102</v>
      </c>
      <c r="AH54" s="181">
        <f t="shared" si="26"/>
        <v>14</v>
      </c>
      <c r="AI54" s="587"/>
      <c r="AJ54" s="187">
        <v>4</v>
      </c>
      <c r="AK54" s="187">
        <v>3221.0706743701639</v>
      </c>
      <c r="AL54" s="184">
        <f t="shared" si="27"/>
        <v>805.26766859254099</v>
      </c>
      <c r="AM54" s="181">
        <f t="shared" si="28"/>
        <v>14</v>
      </c>
      <c r="AN54" s="587"/>
      <c r="AO54" s="187">
        <v>4</v>
      </c>
      <c r="AP54" s="187">
        <v>3221.7906743701642</v>
      </c>
      <c r="AQ54" s="184">
        <f t="shared" si="29"/>
        <v>805.44766859254105</v>
      </c>
      <c r="AR54" s="181">
        <f t="shared" si="30"/>
        <v>14</v>
      </c>
      <c r="AS54" s="587"/>
      <c r="AT54" s="187">
        <v>4</v>
      </c>
      <c r="AU54" s="187">
        <v>3223.2306743701638</v>
      </c>
      <c r="AV54" s="184">
        <f t="shared" si="31"/>
        <v>805.80766859254095</v>
      </c>
      <c r="AW54" s="181">
        <f t="shared" si="32"/>
        <v>14</v>
      </c>
      <c r="AX54" s="587"/>
    </row>
    <row r="55" spans="2:50" ht="14.25" customHeight="1">
      <c r="B55" s="586"/>
      <c r="C55" s="179">
        <v>7</v>
      </c>
      <c r="D55" s="182" t="s">
        <v>368</v>
      </c>
      <c r="E55" s="183">
        <v>3</v>
      </c>
      <c r="F55" s="179">
        <v>3600</v>
      </c>
      <c r="G55" s="184">
        <f t="shared" si="18"/>
        <v>1200</v>
      </c>
      <c r="H55" s="588"/>
      <c r="I55" s="185">
        <f t="shared" si="19"/>
        <v>3</v>
      </c>
      <c r="J55" s="185">
        <f t="shared" si="19"/>
        <v>3217.081807380117</v>
      </c>
      <c r="K55" s="186">
        <f t="shared" si="19"/>
        <v>1072.360602460039</v>
      </c>
      <c r="L55" s="589"/>
      <c r="M55" s="185">
        <f>RANK(K55, K$49:$K$85)</f>
        <v>5</v>
      </c>
      <c r="N55" s="590"/>
      <c r="O55" s="591"/>
      <c r="P55" s="187">
        <v>3</v>
      </c>
      <c r="Q55" s="187">
        <v>3214.2018073801178</v>
      </c>
      <c r="R55" s="184">
        <f t="shared" si="20"/>
        <v>1071.4006024600392</v>
      </c>
      <c r="S55" s="181">
        <f t="shared" si="21"/>
        <v>3</v>
      </c>
      <c r="T55" s="587"/>
      <c r="U55" s="187">
        <v>3</v>
      </c>
      <c r="V55" s="187">
        <v>3215.6418073801174</v>
      </c>
      <c r="W55" s="184">
        <f t="shared" si="17"/>
        <v>1071.8806024600392</v>
      </c>
      <c r="X55" s="181">
        <f t="shared" si="22"/>
        <v>3</v>
      </c>
      <c r="Y55" s="587"/>
      <c r="Z55" s="187">
        <v>3</v>
      </c>
      <c r="AA55" s="187">
        <v>3216.3618073801176</v>
      </c>
      <c r="AB55" s="184">
        <f t="shared" si="23"/>
        <v>1072.1206024600392</v>
      </c>
      <c r="AC55" s="181">
        <f t="shared" si="24"/>
        <v>5</v>
      </c>
      <c r="AD55" s="587"/>
      <c r="AE55" s="187">
        <v>3</v>
      </c>
      <c r="AF55" s="187">
        <v>3217.8018073801172</v>
      </c>
      <c r="AG55" s="184">
        <f t="shared" si="25"/>
        <v>1072.600602460039</v>
      </c>
      <c r="AH55" s="181">
        <f t="shared" si="26"/>
        <v>4</v>
      </c>
      <c r="AI55" s="587"/>
      <c r="AJ55" s="187">
        <v>3</v>
      </c>
      <c r="AK55" s="187">
        <v>3218.1618073801164</v>
      </c>
      <c r="AL55" s="184">
        <f t="shared" si="27"/>
        <v>1072.7206024600389</v>
      </c>
      <c r="AM55" s="181">
        <f t="shared" si="28"/>
        <v>5</v>
      </c>
      <c r="AN55" s="587"/>
      <c r="AO55" s="187">
        <v>3</v>
      </c>
      <c r="AP55" s="187">
        <v>3218.5218073801166</v>
      </c>
      <c r="AQ55" s="184">
        <f t="shared" si="29"/>
        <v>1072.8406024600388</v>
      </c>
      <c r="AR55" s="181">
        <f t="shared" si="30"/>
        <v>7</v>
      </c>
      <c r="AS55" s="587"/>
      <c r="AT55" s="187">
        <v>3</v>
      </c>
      <c r="AU55" s="187">
        <v>3218.8818073801158</v>
      </c>
      <c r="AV55" s="184">
        <f t="shared" si="31"/>
        <v>1072.9606024600387</v>
      </c>
      <c r="AW55" s="181">
        <f t="shared" si="32"/>
        <v>7</v>
      </c>
      <c r="AX55" s="587"/>
    </row>
    <row r="56" spans="2:50" ht="14.25" customHeight="1">
      <c r="B56" s="586"/>
      <c r="C56" s="179">
        <v>8</v>
      </c>
      <c r="D56" s="182" t="s">
        <v>367</v>
      </c>
      <c r="E56" s="183">
        <v>5</v>
      </c>
      <c r="F56" s="179">
        <v>3600</v>
      </c>
      <c r="G56" s="184">
        <f t="shared" si="18"/>
        <v>720</v>
      </c>
      <c r="H56" s="588"/>
      <c r="I56" s="185">
        <f t="shared" si="19"/>
        <v>5</v>
      </c>
      <c r="J56" s="185">
        <f t="shared" si="19"/>
        <v>3218.5609794343436</v>
      </c>
      <c r="K56" s="186">
        <f t="shared" si="19"/>
        <v>643.71219588686893</v>
      </c>
      <c r="L56" s="589"/>
      <c r="M56" s="185">
        <f>RANK(K56, K$49:$K$85)</f>
        <v>25</v>
      </c>
      <c r="N56" s="590"/>
      <c r="O56" s="591"/>
      <c r="P56" s="187">
        <v>5</v>
      </c>
      <c r="Q56" s="187">
        <v>3215.9895508629165</v>
      </c>
      <c r="R56" s="184">
        <f t="shared" si="20"/>
        <v>643.19791017258331</v>
      </c>
      <c r="S56" s="181">
        <f t="shared" si="21"/>
        <v>23</v>
      </c>
      <c r="T56" s="587"/>
      <c r="U56" s="187">
        <v>5</v>
      </c>
      <c r="V56" s="187">
        <v>3216.3495508629162</v>
      </c>
      <c r="W56" s="184">
        <f t="shared" si="17"/>
        <v>643.2699101725832</v>
      </c>
      <c r="X56" s="181">
        <f t="shared" si="22"/>
        <v>24</v>
      </c>
      <c r="Y56" s="587"/>
      <c r="Z56" s="187">
        <v>5</v>
      </c>
      <c r="AA56" s="187">
        <v>3217.4295508629157</v>
      </c>
      <c r="AB56" s="184">
        <f t="shared" si="23"/>
        <v>643.48591017258309</v>
      </c>
      <c r="AC56" s="181">
        <f t="shared" si="24"/>
        <v>23</v>
      </c>
      <c r="AD56" s="587"/>
      <c r="AE56" s="187">
        <v>5</v>
      </c>
      <c r="AF56" s="187">
        <v>3218.5095508629151</v>
      </c>
      <c r="AG56" s="184">
        <f t="shared" si="25"/>
        <v>643.70191017258298</v>
      </c>
      <c r="AH56" s="181">
        <f t="shared" si="26"/>
        <v>25</v>
      </c>
      <c r="AI56" s="587"/>
      <c r="AJ56" s="187">
        <v>5</v>
      </c>
      <c r="AK56" s="187">
        <v>3219.9495508629147</v>
      </c>
      <c r="AL56" s="184">
        <f t="shared" si="27"/>
        <v>643.989910172583</v>
      </c>
      <c r="AM56" s="181">
        <f t="shared" si="28"/>
        <v>25</v>
      </c>
      <c r="AN56" s="587"/>
      <c r="AO56" s="187">
        <v>5</v>
      </c>
      <c r="AP56" s="187">
        <v>3220.3095508629149</v>
      </c>
      <c r="AQ56" s="184">
        <f t="shared" si="29"/>
        <v>644.061910172583</v>
      </c>
      <c r="AR56" s="181">
        <f t="shared" si="30"/>
        <v>27</v>
      </c>
      <c r="AS56" s="587"/>
      <c r="AT56" s="187">
        <v>5</v>
      </c>
      <c r="AU56" s="187">
        <v>3221.3895508629148</v>
      </c>
      <c r="AV56" s="184">
        <f t="shared" si="31"/>
        <v>644.27791017258301</v>
      </c>
      <c r="AW56" s="181">
        <f t="shared" si="32"/>
        <v>26</v>
      </c>
      <c r="AX56" s="587"/>
    </row>
    <row r="57" spans="2:50" ht="14.25" customHeight="1">
      <c r="B57" s="586"/>
      <c r="C57" s="179">
        <v>9</v>
      </c>
      <c r="D57" s="182" t="s">
        <v>365</v>
      </c>
      <c r="E57" s="183">
        <v>5</v>
      </c>
      <c r="F57" s="179">
        <v>3600</v>
      </c>
      <c r="G57" s="184">
        <f t="shared" si="18"/>
        <v>720</v>
      </c>
      <c r="H57" s="588"/>
      <c r="I57" s="185">
        <f t="shared" si="19"/>
        <v>5</v>
      </c>
      <c r="J57" s="185">
        <f t="shared" si="19"/>
        <v>3218.8173023994241</v>
      </c>
      <c r="K57" s="186">
        <f t="shared" si="19"/>
        <v>643.76346047988488</v>
      </c>
      <c r="L57" s="589"/>
      <c r="M57" s="185">
        <f>RANK(K57, K$49:$K$85)</f>
        <v>23</v>
      </c>
      <c r="N57" s="590"/>
      <c r="O57" s="591"/>
      <c r="P57" s="187">
        <v>5</v>
      </c>
      <c r="Q57" s="187">
        <v>3214.960159542281</v>
      </c>
      <c r="R57" s="184">
        <f t="shared" si="20"/>
        <v>642.99203190845617</v>
      </c>
      <c r="S57" s="181">
        <f t="shared" si="21"/>
        <v>24</v>
      </c>
      <c r="T57" s="587"/>
      <c r="U57" s="187">
        <v>5</v>
      </c>
      <c r="V57" s="187">
        <v>3216.7601595422807</v>
      </c>
      <c r="W57" s="184">
        <f t="shared" si="17"/>
        <v>643.35203190845618</v>
      </c>
      <c r="X57" s="181">
        <f t="shared" si="22"/>
        <v>23</v>
      </c>
      <c r="Y57" s="587"/>
      <c r="Z57" s="187">
        <v>5</v>
      </c>
      <c r="AA57" s="187">
        <v>3217.1201595422817</v>
      </c>
      <c r="AB57" s="184">
        <f t="shared" si="23"/>
        <v>643.4240319084563</v>
      </c>
      <c r="AC57" s="181">
        <f t="shared" si="24"/>
        <v>24</v>
      </c>
      <c r="AD57" s="587"/>
      <c r="AE57" s="187">
        <v>5</v>
      </c>
      <c r="AF57" s="187">
        <v>3218.9201595422815</v>
      </c>
      <c r="AG57" s="184">
        <f t="shared" si="25"/>
        <v>643.78403190845631</v>
      </c>
      <c r="AH57" s="181">
        <f t="shared" si="26"/>
        <v>23</v>
      </c>
      <c r="AI57" s="587"/>
      <c r="AJ57" s="187">
        <v>5</v>
      </c>
      <c r="AK57" s="187">
        <v>3220.7201595422816</v>
      </c>
      <c r="AL57" s="184">
        <f t="shared" si="27"/>
        <v>644.14403190845633</v>
      </c>
      <c r="AM57" s="181">
        <f t="shared" si="28"/>
        <v>23</v>
      </c>
      <c r="AN57" s="587"/>
      <c r="AO57" s="187">
        <v>5</v>
      </c>
      <c r="AP57" s="187">
        <v>3221.0801595422813</v>
      </c>
      <c r="AQ57" s="184">
        <f t="shared" si="29"/>
        <v>644.21603190845622</v>
      </c>
      <c r="AR57" s="181">
        <f t="shared" si="30"/>
        <v>24</v>
      </c>
      <c r="AS57" s="587"/>
      <c r="AT57" s="187">
        <v>5</v>
      </c>
      <c r="AU57" s="187">
        <v>3222.1601595422808</v>
      </c>
      <c r="AV57" s="184">
        <f t="shared" si="31"/>
        <v>644.43203190845611</v>
      </c>
      <c r="AW57" s="181">
        <f t="shared" si="32"/>
        <v>23</v>
      </c>
      <c r="AX57" s="587"/>
    </row>
    <row r="58" spans="2:50" ht="14.25" customHeight="1">
      <c r="B58" s="586"/>
      <c r="C58" s="179">
        <v>10</v>
      </c>
      <c r="D58" s="182" t="s">
        <v>211</v>
      </c>
      <c r="E58" s="183">
        <v>3</v>
      </c>
      <c r="F58" s="179">
        <v>3000</v>
      </c>
      <c r="G58" s="184">
        <f t="shared" si="18"/>
        <v>1000</v>
      </c>
      <c r="H58" s="588"/>
      <c r="I58" s="185">
        <f t="shared" si="19"/>
        <v>3</v>
      </c>
      <c r="J58" s="185">
        <f t="shared" si="19"/>
        <v>2742.5589717595985</v>
      </c>
      <c r="K58" s="186">
        <f t="shared" si="19"/>
        <v>914.18632391986625</v>
      </c>
      <c r="L58" s="589"/>
      <c r="M58" s="185">
        <f>RANK(K58, K$49:$K$85)</f>
        <v>11</v>
      </c>
      <c r="N58" s="590"/>
      <c r="O58" s="591"/>
      <c r="P58" s="187">
        <v>3</v>
      </c>
      <c r="Q58" s="187">
        <v>2738.3161146167413</v>
      </c>
      <c r="R58" s="184">
        <f t="shared" si="20"/>
        <v>912.77203820558043</v>
      </c>
      <c r="S58" s="181">
        <f t="shared" si="21"/>
        <v>12</v>
      </c>
      <c r="T58" s="587"/>
      <c r="U58" s="187">
        <v>3</v>
      </c>
      <c r="V58" s="187">
        <v>2740.1161146167415</v>
      </c>
      <c r="W58" s="184">
        <f t="shared" si="17"/>
        <v>913.37203820558045</v>
      </c>
      <c r="X58" s="181">
        <f t="shared" si="22"/>
        <v>11</v>
      </c>
      <c r="Y58" s="587"/>
      <c r="Z58" s="187">
        <v>3</v>
      </c>
      <c r="AA58" s="187">
        <v>2741.9161146167417</v>
      </c>
      <c r="AB58" s="184">
        <f t="shared" si="23"/>
        <v>913.97203820558059</v>
      </c>
      <c r="AC58" s="181">
        <f t="shared" si="24"/>
        <v>11</v>
      </c>
      <c r="AD58" s="587"/>
      <c r="AE58" s="187">
        <v>3</v>
      </c>
      <c r="AF58" s="187">
        <v>2741.9161146167417</v>
      </c>
      <c r="AG58" s="184">
        <f t="shared" si="25"/>
        <v>913.97203820558059</v>
      </c>
      <c r="AH58" s="181">
        <f t="shared" si="26"/>
        <v>11</v>
      </c>
      <c r="AI58" s="587"/>
      <c r="AJ58" s="187">
        <v>3</v>
      </c>
      <c r="AK58" s="187">
        <v>2743.7161146167418</v>
      </c>
      <c r="AL58" s="184">
        <f t="shared" si="27"/>
        <v>914.57203820558061</v>
      </c>
      <c r="AM58" s="181">
        <f t="shared" si="28"/>
        <v>11</v>
      </c>
      <c r="AN58" s="587"/>
      <c r="AO58" s="187">
        <v>3</v>
      </c>
      <c r="AP58" s="187">
        <v>2745.516114616742</v>
      </c>
      <c r="AQ58" s="184">
        <f t="shared" si="29"/>
        <v>915.17203820558063</v>
      </c>
      <c r="AR58" s="181">
        <f t="shared" si="30"/>
        <v>11</v>
      </c>
      <c r="AS58" s="587"/>
      <c r="AT58" s="187">
        <v>3</v>
      </c>
      <c r="AU58" s="187">
        <v>2746.4161146167421</v>
      </c>
      <c r="AV58" s="184">
        <f t="shared" si="31"/>
        <v>915.4720382055807</v>
      </c>
      <c r="AW58" s="181">
        <f t="shared" si="32"/>
        <v>12</v>
      </c>
      <c r="AX58" s="587"/>
    </row>
    <row r="59" spans="2:50" ht="14.25" customHeight="1">
      <c r="B59" s="586"/>
      <c r="C59" s="179">
        <v>11</v>
      </c>
      <c r="D59" s="182" t="s">
        <v>416</v>
      </c>
      <c r="E59" s="183">
        <v>12</v>
      </c>
      <c r="F59" s="179">
        <v>3600</v>
      </c>
      <c r="G59" s="184">
        <f t="shared" si="18"/>
        <v>300</v>
      </c>
      <c r="H59" s="588"/>
      <c r="I59" s="185">
        <f t="shared" si="19"/>
        <v>12</v>
      </c>
      <c r="J59" s="185">
        <f t="shared" si="19"/>
        <v>3121.2659796529219</v>
      </c>
      <c r="K59" s="186">
        <f t="shared" si="19"/>
        <v>260.1054983044101</v>
      </c>
      <c r="L59" s="589"/>
      <c r="M59" s="185">
        <f>RANK(K59, K$49:$K$85)</f>
        <v>34</v>
      </c>
      <c r="N59" s="590"/>
      <c r="O59" s="591"/>
      <c r="P59" s="187">
        <v>12</v>
      </c>
      <c r="Q59" s="187">
        <v>3122.9023123706702</v>
      </c>
      <c r="R59" s="184">
        <f t="shared" si="20"/>
        <v>260.24185936422253</v>
      </c>
      <c r="S59" s="181">
        <f t="shared" si="21"/>
        <v>35</v>
      </c>
      <c r="T59" s="587"/>
      <c r="U59" s="187">
        <v>12</v>
      </c>
      <c r="V59" s="187">
        <v>3121.8223123706707</v>
      </c>
      <c r="W59" s="184">
        <f t="shared" si="17"/>
        <v>260.15185936422256</v>
      </c>
      <c r="X59" s="181">
        <f t="shared" si="22"/>
        <v>34</v>
      </c>
      <c r="Y59" s="587"/>
      <c r="Z59" s="187">
        <v>12</v>
      </c>
      <c r="AA59" s="187">
        <v>3120.022312370671</v>
      </c>
      <c r="AB59" s="184">
        <f t="shared" si="23"/>
        <v>260.00185936422258</v>
      </c>
      <c r="AC59" s="181">
        <f t="shared" si="24"/>
        <v>35</v>
      </c>
      <c r="AD59" s="587"/>
      <c r="AE59" s="187">
        <v>12</v>
      </c>
      <c r="AF59" s="187">
        <v>3121.1023123706709</v>
      </c>
      <c r="AG59" s="184">
        <f t="shared" si="25"/>
        <v>260.09185936422256</v>
      </c>
      <c r="AH59" s="181">
        <f t="shared" si="26"/>
        <v>34</v>
      </c>
      <c r="AI59" s="587"/>
      <c r="AJ59" s="187">
        <v>12</v>
      </c>
      <c r="AK59" s="187">
        <v>3121.8223123706707</v>
      </c>
      <c r="AL59" s="184">
        <f t="shared" si="27"/>
        <v>260.15185936422256</v>
      </c>
      <c r="AM59" s="181">
        <f t="shared" si="28"/>
        <v>34</v>
      </c>
      <c r="AN59" s="587"/>
      <c r="AO59" s="187">
        <v>12</v>
      </c>
      <c r="AP59" s="187">
        <v>3120.7423123706708</v>
      </c>
      <c r="AQ59" s="184">
        <f t="shared" si="29"/>
        <v>260.06185936422258</v>
      </c>
      <c r="AR59" s="181">
        <f t="shared" si="30"/>
        <v>34</v>
      </c>
      <c r="AS59" s="587"/>
      <c r="AT59" s="187">
        <v>12</v>
      </c>
      <c r="AU59" s="187">
        <v>3120.4479833464293</v>
      </c>
      <c r="AV59" s="184">
        <f t="shared" si="31"/>
        <v>260.03733194553575</v>
      </c>
      <c r="AW59" s="181">
        <f t="shared" si="32"/>
        <v>33</v>
      </c>
      <c r="AX59" s="587"/>
    </row>
    <row r="60" spans="2:50" ht="14.25" customHeight="1">
      <c r="B60" s="586"/>
      <c r="C60" s="179">
        <v>12</v>
      </c>
      <c r="D60" s="182" t="s">
        <v>432</v>
      </c>
      <c r="E60" s="183">
        <v>3</v>
      </c>
      <c r="F60" s="179">
        <v>3300</v>
      </c>
      <c r="G60" s="184">
        <f t="shared" si="18"/>
        <v>1100</v>
      </c>
      <c r="H60" s="588"/>
      <c r="I60" s="185">
        <f t="shared" si="19"/>
        <v>3</v>
      </c>
      <c r="J60" s="185">
        <f t="shared" si="19"/>
        <v>3012.5277262840341</v>
      </c>
      <c r="K60" s="186">
        <f t="shared" si="19"/>
        <v>1004.1759087613445</v>
      </c>
      <c r="L60" s="589"/>
      <c r="M60" s="185">
        <f>RANK(K60, K$49:$K$85)</f>
        <v>10</v>
      </c>
      <c r="N60" s="590"/>
      <c r="O60" s="591"/>
      <c r="P60" s="187">
        <v>3</v>
      </c>
      <c r="Q60" s="187">
        <v>3010.1234405697478</v>
      </c>
      <c r="R60" s="184">
        <f t="shared" si="20"/>
        <v>1003.374480189916</v>
      </c>
      <c r="S60" s="181">
        <f t="shared" si="21"/>
        <v>10</v>
      </c>
      <c r="T60" s="587"/>
      <c r="U60" s="187">
        <v>3</v>
      </c>
      <c r="V60" s="187">
        <v>3010.1234405697478</v>
      </c>
      <c r="W60" s="184">
        <f t="shared" si="17"/>
        <v>1003.374480189916</v>
      </c>
      <c r="X60" s="181">
        <f t="shared" si="22"/>
        <v>10</v>
      </c>
      <c r="Y60" s="587"/>
      <c r="Z60" s="187">
        <v>3</v>
      </c>
      <c r="AA60" s="187">
        <v>3011.113440569748</v>
      </c>
      <c r="AB60" s="184">
        <f t="shared" si="23"/>
        <v>1003.704480189916</v>
      </c>
      <c r="AC60" s="181">
        <f t="shared" si="24"/>
        <v>10</v>
      </c>
      <c r="AD60" s="587"/>
      <c r="AE60" s="187">
        <v>3</v>
      </c>
      <c r="AF60" s="187">
        <v>3012.4334405697477</v>
      </c>
      <c r="AG60" s="184">
        <f t="shared" si="25"/>
        <v>1004.144480189916</v>
      </c>
      <c r="AH60" s="181">
        <f t="shared" si="26"/>
        <v>10</v>
      </c>
      <c r="AI60" s="587"/>
      <c r="AJ60" s="187">
        <v>3</v>
      </c>
      <c r="AK60" s="187">
        <v>3013.0934405697476</v>
      </c>
      <c r="AL60" s="184">
        <f t="shared" si="27"/>
        <v>1004.3644801899159</v>
      </c>
      <c r="AM60" s="181">
        <f t="shared" si="28"/>
        <v>10</v>
      </c>
      <c r="AN60" s="587"/>
      <c r="AO60" s="187">
        <v>3</v>
      </c>
      <c r="AP60" s="187">
        <v>3015.0734405697481</v>
      </c>
      <c r="AQ60" s="184">
        <f t="shared" si="29"/>
        <v>1005.0244801899161</v>
      </c>
      <c r="AR60" s="181">
        <f t="shared" si="30"/>
        <v>10</v>
      </c>
      <c r="AS60" s="587"/>
      <c r="AT60" s="187">
        <v>3</v>
      </c>
      <c r="AU60" s="187">
        <v>3015.7334405697479</v>
      </c>
      <c r="AV60" s="184">
        <f t="shared" si="31"/>
        <v>1005.244480189916</v>
      </c>
      <c r="AW60" s="181">
        <f t="shared" si="32"/>
        <v>10</v>
      </c>
      <c r="AX60" s="587"/>
    </row>
    <row r="61" spans="2:50" ht="14.25" customHeight="1">
      <c r="B61" s="586"/>
      <c r="C61" s="179">
        <v>13</v>
      </c>
      <c r="D61" s="182" t="s">
        <v>491</v>
      </c>
      <c r="E61" s="183">
        <v>5</v>
      </c>
      <c r="F61" s="179">
        <v>3600</v>
      </c>
      <c r="G61" s="184">
        <f t="shared" si="18"/>
        <v>720</v>
      </c>
      <c r="H61" s="588"/>
      <c r="I61" s="185">
        <f t="shared" si="19"/>
        <v>5</v>
      </c>
      <c r="J61" s="185">
        <f t="shared" si="19"/>
        <v>3216.851149484939</v>
      </c>
      <c r="K61" s="186">
        <f t="shared" si="19"/>
        <v>643.37022989698789</v>
      </c>
      <c r="L61" s="589"/>
      <c r="M61" s="185">
        <f>RANK(K61, K$49:$K$85)</f>
        <v>28</v>
      </c>
      <c r="N61" s="590"/>
      <c r="O61" s="591"/>
      <c r="P61" s="187">
        <v>5</v>
      </c>
      <c r="Q61" s="187">
        <v>3213.9111494849394</v>
      </c>
      <c r="R61" s="184">
        <f t="shared" si="20"/>
        <v>642.78222989698793</v>
      </c>
      <c r="S61" s="181">
        <f t="shared" si="21"/>
        <v>27</v>
      </c>
      <c r="T61" s="587"/>
      <c r="U61" s="187">
        <v>5</v>
      </c>
      <c r="V61" s="187">
        <v>3216.0711494849397</v>
      </c>
      <c r="W61" s="184">
        <f t="shared" si="17"/>
        <v>643.21422989698794</v>
      </c>
      <c r="X61" s="181">
        <f t="shared" si="22"/>
        <v>25</v>
      </c>
      <c r="Y61" s="587"/>
      <c r="Z61" s="187">
        <v>5</v>
      </c>
      <c r="AA61" s="187">
        <v>3216.4311494849394</v>
      </c>
      <c r="AB61" s="184">
        <f t="shared" si="23"/>
        <v>643.28622989698783</v>
      </c>
      <c r="AC61" s="181">
        <f t="shared" si="24"/>
        <v>26</v>
      </c>
      <c r="AD61" s="587"/>
      <c r="AE61" s="187">
        <v>5</v>
      </c>
      <c r="AF61" s="187">
        <v>3217.5111494849384</v>
      </c>
      <c r="AG61" s="184">
        <f t="shared" si="25"/>
        <v>643.50222989698773</v>
      </c>
      <c r="AH61" s="181">
        <f t="shared" si="26"/>
        <v>26</v>
      </c>
      <c r="AI61" s="587"/>
      <c r="AJ61" s="187">
        <v>5</v>
      </c>
      <c r="AK61" s="187">
        <v>3217.5111494849389</v>
      </c>
      <c r="AL61" s="184">
        <f t="shared" si="27"/>
        <v>643.50222989698773</v>
      </c>
      <c r="AM61" s="181">
        <f t="shared" si="28"/>
        <v>29</v>
      </c>
      <c r="AN61" s="587"/>
      <c r="AO61" s="187">
        <v>5</v>
      </c>
      <c r="AP61" s="187">
        <v>3219.6711494849387</v>
      </c>
      <c r="AQ61" s="184">
        <f t="shared" si="29"/>
        <v>643.93422989698774</v>
      </c>
      <c r="AR61" s="181">
        <f t="shared" si="30"/>
        <v>28</v>
      </c>
      <c r="AS61" s="587"/>
      <c r="AT61" s="187"/>
      <c r="AU61" s="187"/>
      <c r="AV61" s="184"/>
      <c r="AW61" s="181"/>
      <c r="AX61" s="587"/>
    </row>
    <row r="62" spans="2:50" ht="14.25" customHeight="1">
      <c r="B62" s="586"/>
      <c r="C62" s="179">
        <v>14</v>
      </c>
      <c r="D62" s="182" t="s">
        <v>529</v>
      </c>
      <c r="E62" s="183">
        <v>3</v>
      </c>
      <c r="F62" s="179">
        <v>3600</v>
      </c>
      <c r="G62" s="184">
        <f t="shared" si="18"/>
        <v>1200</v>
      </c>
      <c r="H62" s="588"/>
      <c r="I62" s="185">
        <f t="shared" si="19"/>
        <v>3</v>
      </c>
      <c r="J62" s="185">
        <f t="shared" si="19"/>
        <v>3217.9469292880249</v>
      </c>
      <c r="K62" s="186">
        <f t="shared" si="19"/>
        <v>1072.6489764293417</v>
      </c>
      <c r="L62" s="589"/>
      <c r="M62" s="185">
        <f>RANK(K62, K$49:$K$85)</f>
        <v>3</v>
      </c>
      <c r="N62" s="590"/>
      <c r="O62" s="591"/>
      <c r="P62" s="187">
        <v>3</v>
      </c>
      <c r="Q62" s="187">
        <v>3214.7583578594536</v>
      </c>
      <c r="R62" s="184">
        <f t="shared" si="20"/>
        <v>1071.5861192864845</v>
      </c>
      <c r="S62" s="181">
        <f t="shared" si="21"/>
        <v>2</v>
      </c>
      <c r="T62" s="587"/>
      <c r="U62" s="187">
        <v>3</v>
      </c>
      <c r="V62" s="187">
        <v>3216.5583578594533</v>
      </c>
      <c r="W62" s="184">
        <f t="shared" si="17"/>
        <v>1072.1861192864844</v>
      </c>
      <c r="X62" s="181">
        <f t="shared" si="22"/>
        <v>2</v>
      </c>
      <c r="Y62" s="587"/>
      <c r="Z62" s="187">
        <v>3</v>
      </c>
      <c r="AA62" s="187">
        <v>3217.2783578594535</v>
      </c>
      <c r="AB62" s="184">
        <f t="shared" si="23"/>
        <v>1072.4261192864844</v>
      </c>
      <c r="AC62" s="181">
        <f t="shared" si="24"/>
        <v>3</v>
      </c>
      <c r="AD62" s="587"/>
      <c r="AE62" s="187">
        <v>3</v>
      </c>
      <c r="AF62" s="187">
        <v>3217.6383578594537</v>
      </c>
      <c r="AG62" s="184">
        <f t="shared" si="25"/>
        <v>1072.5461192864846</v>
      </c>
      <c r="AH62" s="181">
        <f t="shared" si="26"/>
        <v>5</v>
      </c>
      <c r="AI62" s="587"/>
      <c r="AJ62" s="187">
        <v>3</v>
      </c>
      <c r="AK62" s="187">
        <v>3218.7183578594536</v>
      </c>
      <c r="AL62" s="184">
        <f t="shared" si="27"/>
        <v>1072.9061192864845</v>
      </c>
      <c r="AM62" s="181">
        <f t="shared" si="28"/>
        <v>4</v>
      </c>
      <c r="AN62" s="587"/>
      <c r="AO62" s="187">
        <v>3</v>
      </c>
      <c r="AP62" s="187">
        <v>3219.4383578594534</v>
      </c>
      <c r="AQ62" s="184">
        <f t="shared" si="29"/>
        <v>1073.1461192864845</v>
      </c>
      <c r="AR62" s="181">
        <f t="shared" si="30"/>
        <v>4</v>
      </c>
      <c r="AS62" s="587"/>
      <c r="AT62" s="187">
        <v>3</v>
      </c>
      <c r="AU62" s="187">
        <v>3221.2383578594531</v>
      </c>
      <c r="AV62" s="184">
        <f t="shared" si="31"/>
        <v>1073.7461192864844</v>
      </c>
      <c r="AW62" s="181">
        <f t="shared" si="32"/>
        <v>3</v>
      </c>
      <c r="AX62" s="587"/>
    </row>
    <row r="63" spans="2:50" ht="14.25" customHeight="1">
      <c r="B63" s="586"/>
      <c r="C63" s="179">
        <v>15</v>
      </c>
      <c r="D63" s="182" t="s">
        <v>522</v>
      </c>
      <c r="E63" s="183">
        <v>3</v>
      </c>
      <c r="F63" s="179">
        <v>3300</v>
      </c>
      <c r="G63" s="184">
        <f t="shared" si="18"/>
        <v>1100</v>
      </c>
      <c r="H63" s="588"/>
      <c r="I63" s="185">
        <f t="shared" si="19"/>
        <v>3</v>
      </c>
      <c r="J63" s="185">
        <f t="shared" si="19"/>
        <v>3017.7076895265245</v>
      </c>
      <c r="K63" s="186">
        <f t="shared" si="19"/>
        <v>1005.9025631755082</v>
      </c>
      <c r="L63" s="589"/>
      <c r="M63" s="185">
        <f>RANK(K63, K$49:$K$85)</f>
        <v>9</v>
      </c>
      <c r="N63" s="590"/>
      <c r="O63" s="591"/>
      <c r="P63" s="187">
        <v>3</v>
      </c>
      <c r="Q63" s="187">
        <v>3013.6871831917838</v>
      </c>
      <c r="R63" s="184">
        <f t="shared" si="20"/>
        <v>1004.5623943972613</v>
      </c>
      <c r="S63" s="181">
        <f t="shared" si="21"/>
        <v>9</v>
      </c>
      <c r="T63" s="587"/>
      <c r="U63" s="187">
        <v>3</v>
      </c>
      <c r="V63" s="187">
        <v>3015.0071831917835</v>
      </c>
      <c r="W63" s="184">
        <f t="shared" si="17"/>
        <v>1005.0023943972611</v>
      </c>
      <c r="X63" s="181">
        <f t="shared" si="22"/>
        <v>9</v>
      </c>
      <c r="Y63" s="587"/>
      <c r="Z63" s="187">
        <v>3</v>
      </c>
      <c r="AA63" s="187">
        <v>3015.6671831917834</v>
      </c>
      <c r="AB63" s="184">
        <f t="shared" si="23"/>
        <v>1005.2223943972612</v>
      </c>
      <c r="AC63" s="181">
        <f t="shared" si="24"/>
        <v>9</v>
      </c>
      <c r="AD63" s="587"/>
      <c r="AE63" s="187">
        <v>3</v>
      </c>
      <c r="AF63" s="187">
        <v>3015.6671831917834</v>
      </c>
      <c r="AG63" s="184">
        <f t="shared" si="25"/>
        <v>1005.2223943972612</v>
      </c>
      <c r="AH63" s="181">
        <f t="shared" si="26"/>
        <v>9</v>
      </c>
      <c r="AI63" s="587"/>
      <c r="AJ63" s="187">
        <v>3</v>
      </c>
      <c r="AK63" s="187">
        <v>3019.7683646395126</v>
      </c>
      <c r="AL63" s="184">
        <f t="shared" si="27"/>
        <v>1006.5894548798375</v>
      </c>
      <c r="AM63" s="181">
        <f t="shared" si="28"/>
        <v>9</v>
      </c>
      <c r="AN63" s="587"/>
      <c r="AO63" s="187">
        <v>3</v>
      </c>
      <c r="AP63" s="187">
        <v>3021.4183646395122</v>
      </c>
      <c r="AQ63" s="184">
        <f t="shared" si="29"/>
        <v>1007.1394548798374</v>
      </c>
      <c r="AR63" s="181">
        <f t="shared" si="30"/>
        <v>9</v>
      </c>
      <c r="AS63" s="587"/>
      <c r="AT63" s="187">
        <v>3</v>
      </c>
      <c r="AU63" s="187">
        <v>3022.7383646395124</v>
      </c>
      <c r="AV63" s="184">
        <f t="shared" si="31"/>
        <v>1007.5794548798375</v>
      </c>
      <c r="AW63" s="181">
        <f t="shared" si="32"/>
        <v>9</v>
      </c>
      <c r="AX63" s="587"/>
    </row>
    <row r="64" spans="2:50" ht="14.25" customHeight="1">
      <c r="B64" s="586"/>
      <c r="C64" s="179">
        <v>16</v>
      </c>
      <c r="D64" s="182" t="s">
        <v>597</v>
      </c>
      <c r="E64" s="183">
        <v>4</v>
      </c>
      <c r="F64" s="179">
        <v>3300</v>
      </c>
      <c r="G64" s="184">
        <f t="shared" si="18"/>
        <v>825</v>
      </c>
      <c r="H64" s="588"/>
      <c r="I64" s="185">
        <f t="shared" si="19"/>
        <v>4</v>
      </c>
      <c r="J64" s="185">
        <f t="shared" si="19"/>
        <v>3018.220075648173</v>
      </c>
      <c r="K64" s="186">
        <f t="shared" si="19"/>
        <v>754.55501891204324</v>
      </c>
      <c r="L64" s="589"/>
      <c r="M64" s="185">
        <f>RANK(K64, K$49:$K$85)</f>
        <v>16</v>
      </c>
      <c r="N64" s="590"/>
      <c r="O64" s="591"/>
      <c r="P64" s="187">
        <v>4</v>
      </c>
      <c r="Q64" s="187">
        <v>3012.0651217523928</v>
      </c>
      <c r="R64" s="184">
        <f t="shared" si="20"/>
        <v>753.01628043809819</v>
      </c>
      <c r="S64" s="181">
        <f t="shared" si="21"/>
        <v>16</v>
      </c>
      <c r="T64" s="587"/>
      <c r="U64" s="187">
        <v>4</v>
      </c>
      <c r="V64" s="187">
        <v>3015.7809012974694</v>
      </c>
      <c r="W64" s="184">
        <f t="shared" si="17"/>
        <v>753.94522532436736</v>
      </c>
      <c r="X64" s="181">
        <f t="shared" si="22"/>
        <v>16</v>
      </c>
      <c r="Y64" s="587"/>
      <c r="Z64" s="187">
        <v>4</v>
      </c>
      <c r="AA64" s="187">
        <v>3016.4409012974693</v>
      </c>
      <c r="AB64" s="184">
        <f t="shared" si="23"/>
        <v>754.11022532436732</v>
      </c>
      <c r="AC64" s="181">
        <f t="shared" si="24"/>
        <v>16</v>
      </c>
      <c r="AD64" s="587"/>
      <c r="AE64" s="187">
        <v>4</v>
      </c>
      <c r="AF64" s="187">
        <v>3018.0909012974694</v>
      </c>
      <c r="AG64" s="184">
        <f t="shared" si="25"/>
        <v>754.52272532436734</v>
      </c>
      <c r="AH64" s="181">
        <f t="shared" si="26"/>
        <v>16</v>
      </c>
      <c r="AI64" s="587"/>
      <c r="AJ64" s="187">
        <v>4</v>
      </c>
      <c r="AK64" s="187">
        <v>3020.0709012974698</v>
      </c>
      <c r="AL64" s="184">
        <f t="shared" si="27"/>
        <v>755.01772532436746</v>
      </c>
      <c r="AM64" s="181">
        <f t="shared" si="28"/>
        <v>16</v>
      </c>
      <c r="AN64" s="587"/>
      <c r="AO64" s="187">
        <v>4</v>
      </c>
      <c r="AP64" s="187">
        <v>3022.0509012974708</v>
      </c>
      <c r="AQ64" s="184">
        <f t="shared" si="29"/>
        <v>755.51272532436769</v>
      </c>
      <c r="AR64" s="181">
        <f t="shared" si="30"/>
        <v>16</v>
      </c>
      <c r="AS64" s="587"/>
      <c r="AT64" s="187">
        <v>4</v>
      </c>
      <c r="AU64" s="187">
        <v>3023.040901297471</v>
      </c>
      <c r="AV64" s="184">
        <f t="shared" si="31"/>
        <v>755.76022532436775</v>
      </c>
      <c r="AW64" s="181">
        <f t="shared" si="32"/>
        <v>16</v>
      </c>
      <c r="AX64" s="587"/>
    </row>
    <row r="65" spans="2:50" ht="14.25" customHeight="1">
      <c r="B65" s="586"/>
      <c r="C65" s="179">
        <v>17</v>
      </c>
      <c r="D65" s="182" t="s">
        <v>612</v>
      </c>
      <c r="E65" s="183">
        <v>5</v>
      </c>
      <c r="F65" s="179">
        <v>3600</v>
      </c>
      <c r="G65" s="184">
        <f t="shared" si="18"/>
        <v>720</v>
      </c>
      <c r="H65" s="588"/>
      <c r="I65" s="185">
        <f t="shared" si="19"/>
        <v>5</v>
      </c>
      <c r="J65" s="185">
        <f t="shared" si="19"/>
        <v>3218.6115908773054</v>
      </c>
      <c r="K65" s="186">
        <f t="shared" si="19"/>
        <v>643.72231817546106</v>
      </c>
      <c r="L65" s="589"/>
      <c r="M65" s="185">
        <f>RANK(K65, K$49:$K$85)</f>
        <v>24</v>
      </c>
      <c r="N65" s="590"/>
      <c r="O65" s="591"/>
      <c r="P65" s="187">
        <v>5</v>
      </c>
      <c r="Q65" s="187">
        <v>3214.8058765915907</v>
      </c>
      <c r="R65" s="184">
        <f t="shared" si="20"/>
        <v>642.96117531831817</v>
      </c>
      <c r="S65" s="181">
        <f t="shared" si="21"/>
        <v>25</v>
      </c>
      <c r="T65" s="587"/>
      <c r="U65" s="187">
        <v>5</v>
      </c>
      <c r="V65" s="187">
        <v>3215.8858765915911</v>
      </c>
      <c r="W65" s="184">
        <f t="shared" si="17"/>
        <v>643.17717531831818</v>
      </c>
      <c r="X65" s="181">
        <f t="shared" si="22"/>
        <v>26</v>
      </c>
      <c r="Y65" s="587"/>
      <c r="Z65" s="187">
        <v>5</v>
      </c>
      <c r="AA65" s="187">
        <v>3216.9658765915901</v>
      </c>
      <c r="AB65" s="184">
        <f t="shared" si="23"/>
        <v>643.39317531831807</v>
      </c>
      <c r="AC65" s="181">
        <f t="shared" si="24"/>
        <v>25</v>
      </c>
      <c r="AD65" s="587"/>
      <c r="AE65" s="187">
        <v>5</v>
      </c>
      <c r="AF65" s="187">
        <v>3218.7658765915908</v>
      </c>
      <c r="AG65" s="184">
        <f t="shared" si="25"/>
        <v>643.7531753183182</v>
      </c>
      <c r="AH65" s="181">
        <f t="shared" si="26"/>
        <v>24</v>
      </c>
      <c r="AI65" s="587"/>
      <c r="AJ65" s="187">
        <v>5</v>
      </c>
      <c r="AK65" s="187">
        <v>3220.2058765915908</v>
      </c>
      <c r="AL65" s="184">
        <f t="shared" si="27"/>
        <v>644.04117531831821</v>
      </c>
      <c r="AM65" s="181">
        <f t="shared" si="28"/>
        <v>24</v>
      </c>
      <c r="AN65" s="587"/>
      <c r="AO65" s="187">
        <v>5</v>
      </c>
      <c r="AP65" s="187">
        <v>3221.6458765915909</v>
      </c>
      <c r="AQ65" s="184">
        <f t="shared" si="29"/>
        <v>644.32917531831822</v>
      </c>
      <c r="AR65" s="181">
        <f t="shared" si="30"/>
        <v>23</v>
      </c>
      <c r="AS65" s="587"/>
      <c r="AT65" s="187">
        <v>5</v>
      </c>
      <c r="AU65" s="187">
        <v>3222.005876591591</v>
      </c>
      <c r="AV65" s="184">
        <f t="shared" si="31"/>
        <v>644.40117531831822</v>
      </c>
      <c r="AW65" s="181">
        <f t="shared" si="32"/>
        <v>25</v>
      </c>
      <c r="AX65" s="587"/>
    </row>
    <row r="66" spans="2:50" ht="14.25" customHeight="1">
      <c r="B66" s="586"/>
      <c r="C66" s="179">
        <v>18</v>
      </c>
      <c r="D66" s="182" t="s">
        <v>378</v>
      </c>
      <c r="E66" s="183">
        <v>5</v>
      </c>
      <c r="F66" s="179">
        <v>3600</v>
      </c>
      <c r="G66" s="184">
        <f t="shared" si="18"/>
        <v>720</v>
      </c>
      <c r="H66" s="588"/>
      <c r="I66" s="185">
        <f t="shared" si="19"/>
        <v>5</v>
      </c>
      <c r="J66" s="185">
        <f t="shared" si="19"/>
        <v>3217.9820511909625</v>
      </c>
      <c r="K66" s="186">
        <f t="shared" si="19"/>
        <v>643.59641023819245</v>
      </c>
      <c r="L66" s="589"/>
      <c r="M66" s="185">
        <f>RANK(K66, K$49:$K$85)</f>
        <v>26</v>
      </c>
      <c r="N66" s="590"/>
      <c r="O66" s="591"/>
      <c r="P66" s="187">
        <v>5</v>
      </c>
      <c r="Q66" s="187">
        <v>3214.5478723519909</v>
      </c>
      <c r="R66" s="184">
        <f t="shared" si="20"/>
        <v>642.90957447039818</v>
      </c>
      <c r="S66" s="181">
        <f t="shared" si="21"/>
        <v>26</v>
      </c>
      <c r="T66" s="587"/>
      <c r="U66" s="187">
        <v>5</v>
      </c>
      <c r="V66" s="187">
        <v>3215.6278723519899</v>
      </c>
      <c r="W66" s="184">
        <f t="shared" si="17"/>
        <v>643.12557447039796</v>
      </c>
      <c r="X66" s="181">
        <f t="shared" si="22"/>
        <v>27</v>
      </c>
      <c r="Y66" s="587"/>
      <c r="Z66" s="187">
        <v>5</v>
      </c>
      <c r="AA66" s="187">
        <v>3216.2671242247948</v>
      </c>
      <c r="AB66" s="184">
        <f t="shared" si="23"/>
        <v>643.253424844959</v>
      </c>
      <c r="AC66" s="181">
        <f t="shared" si="24"/>
        <v>27</v>
      </c>
      <c r="AD66" s="587"/>
      <c r="AE66" s="187">
        <v>5</v>
      </c>
      <c r="AF66" s="187">
        <v>3217.4278723519901</v>
      </c>
      <c r="AG66" s="184">
        <f t="shared" si="25"/>
        <v>643.48557447039798</v>
      </c>
      <c r="AH66" s="181">
        <f t="shared" si="26"/>
        <v>27</v>
      </c>
      <c r="AI66" s="587"/>
      <c r="AJ66" s="187">
        <v>5</v>
      </c>
      <c r="AK66" s="187">
        <v>3219.2278723519903</v>
      </c>
      <c r="AL66" s="184">
        <f t="shared" si="27"/>
        <v>643.84557447039811</v>
      </c>
      <c r="AM66" s="181">
        <f t="shared" si="28"/>
        <v>26</v>
      </c>
      <c r="AN66" s="587"/>
      <c r="AO66" s="187">
        <v>5</v>
      </c>
      <c r="AP66" s="187">
        <v>3220.6678723519899</v>
      </c>
      <c r="AQ66" s="184">
        <f t="shared" si="29"/>
        <v>644.133574470398</v>
      </c>
      <c r="AR66" s="181">
        <f t="shared" si="30"/>
        <v>25</v>
      </c>
      <c r="AS66" s="587"/>
      <c r="AT66" s="187">
        <v>5</v>
      </c>
      <c r="AU66" s="187">
        <v>3222.1078723519904</v>
      </c>
      <c r="AV66" s="184">
        <f t="shared" si="31"/>
        <v>644.42157447039813</v>
      </c>
      <c r="AW66" s="181">
        <f t="shared" si="32"/>
        <v>24</v>
      </c>
      <c r="AX66" s="587"/>
    </row>
    <row r="67" spans="2:50" ht="14.25" customHeight="1">
      <c r="B67" s="586"/>
      <c r="C67" s="179">
        <v>19</v>
      </c>
      <c r="D67" s="182" t="s">
        <v>377</v>
      </c>
      <c r="E67" s="183">
        <v>3</v>
      </c>
      <c r="F67" s="179">
        <v>3600</v>
      </c>
      <c r="G67" s="184">
        <f t="shared" si="18"/>
        <v>1200</v>
      </c>
      <c r="H67" s="588"/>
      <c r="I67" s="185">
        <f t="shared" si="19"/>
        <v>3</v>
      </c>
      <c r="J67" s="185">
        <f t="shared" si="19"/>
        <v>3218.3562006841071</v>
      </c>
      <c r="K67" s="186">
        <f t="shared" si="19"/>
        <v>1072.7854002280358</v>
      </c>
      <c r="L67" s="589"/>
      <c r="M67" s="185">
        <f>RANK(K67, K$49:$K$85)</f>
        <v>2</v>
      </c>
      <c r="N67" s="590"/>
      <c r="O67" s="591"/>
      <c r="P67" s="187">
        <v>3</v>
      </c>
      <c r="Q67" s="187">
        <v>3213.8847664220634</v>
      </c>
      <c r="R67" s="184">
        <f t="shared" si="20"/>
        <v>1071.2949221406877</v>
      </c>
      <c r="S67" s="181">
        <f t="shared" si="21"/>
        <v>5</v>
      </c>
      <c r="T67" s="587"/>
      <c r="U67" s="187">
        <v>3</v>
      </c>
      <c r="V67" s="187">
        <v>3213.884766422063</v>
      </c>
      <c r="W67" s="184">
        <f t="shared" si="17"/>
        <v>1071.2949221406877</v>
      </c>
      <c r="X67" s="181">
        <f t="shared" si="22"/>
        <v>5</v>
      </c>
      <c r="Y67" s="587"/>
      <c r="Z67" s="187">
        <v>3</v>
      </c>
      <c r="AA67" s="187">
        <v>3216.3625486258752</v>
      </c>
      <c r="AB67" s="184">
        <f t="shared" si="23"/>
        <v>1072.1208495419585</v>
      </c>
      <c r="AC67" s="181">
        <f t="shared" si="24"/>
        <v>4</v>
      </c>
      <c r="AD67" s="587"/>
      <c r="AE67" s="187">
        <v>3</v>
      </c>
      <c r="AF67" s="187">
        <v>3218.1203308296872</v>
      </c>
      <c r="AG67" s="184">
        <f t="shared" si="25"/>
        <v>1072.706776943229</v>
      </c>
      <c r="AH67" s="181">
        <f t="shared" si="26"/>
        <v>3</v>
      </c>
      <c r="AI67" s="587"/>
      <c r="AJ67" s="187">
        <v>3</v>
      </c>
      <c r="AK67" s="187">
        <v>3219.9203308296869</v>
      </c>
      <c r="AL67" s="184">
        <f t="shared" si="27"/>
        <v>1073.3067769432289</v>
      </c>
      <c r="AM67" s="181">
        <f t="shared" si="28"/>
        <v>3</v>
      </c>
      <c r="AN67" s="587"/>
      <c r="AO67" s="187">
        <v>3</v>
      </c>
      <c r="AP67" s="187">
        <v>3222.0803308296872</v>
      </c>
      <c r="AQ67" s="184">
        <f t="shared" si="29"/>
        <v>1074.0267769432292</v>
      </c>
      <c r="AR67" s="181">
        <f t="shared" si="30"/>
        <v>1</v>
      </c>
      <c r="AS67" s="587"/>
      <c r="AT67" s="187">
        <v>3</v>
      </c>
      <c r="AU67" s="187">
        <v>3224.2403308296875</v>
      </c>
      <c r="AV67" s="184">
        <f t="shared" si="31"/>
        <v>1074.7467769432292</v>
      </c>
      <c r="AW67" s="181">
        <f t="shared" si="32"/>
        <v>1</v>
      </c>
      <c r="AX67" s="587"/>
    </row>
    <row r="68" spans="2:50" ht="14.25" customHeight="1">
      <c r="B68" s="586"/>
      <c r="C68" s="179">
        <v>20</v>
      </c>
      <c r="D68" s="182" t="s">
        <v>379</v>
      </c>
      <c r="E68" s="183">
        <v>4</v>
      </c>
      <c r="F68" s="179">
        <v>3300</v>
      </c>
      <c r="G68" s="184">
        <f t="shared" si="18"/>
        <v>825</v>
      </c>
      <c r="H68" s="588"/>
      <c r="I68" s="185">
        <f t="shared" si="19"/>
        <v>4</v>
      </c>
      <c r="J68" s="185">
        <f t="shared" si="19"/>
        <v>3013.0295057891631</v>
      </c>
      <c r="K68" s="186">
        <f t="shared" si="19"/>
        <v>753.25737644729077</v>
      </c>
      <c r="L68" s="589"/>
      <c r="M68" s="185">
        <f>RANK(K68, K$49:$K$85)</f>
        <v>18</v>
      </c>
      <c r="N68" s="590"/>
      <c r="O68" s="591"/>
      <c r="P68" s="187">
        <v>4</v>
      </c>
      <c r="Q68" s="187">
        <v>3009.5880772177352</v>
      </c>
      <c r="R68" s="184">
        <f t="shared" si="20"/>
        <v>752.3970193044338</v>
      </c>
      <c r="S68" s="181">
        <f t="shared" si="21"/>
        <v>18</v>
      </c>
      <c r="T68" s="587"/>
      <c r="U68" s="187">
        <v>4</v>
      </c>
      <c r="V68" s="187">
        <v>3010.248077217735</v>
      </c>
      <c r="W68" s="184">
        <f t="shared" si="17"/>
        <v>752.56201930443376</v>
      </c>
      <c r="X68" s="181">
        <f t="shared" si="22"/>
        <v>18</v>
      </c>
      <c r="Y68" s="587"/>
      <c r="Z68" s="187">
        <v>4</v>
      </c>
      <c r="AA68" s="187">
        <v>3011.2380772177348</v>
      </c>
      <c r="AB68" s="184">
        <f t="shared" si="23"/>
        <v>752.80951930443371</v>
      </c>
      <c r="AC68" s="181">
        <f t="shared" si="24"/>
        <v>18</v>
      </c>
      <c r="AD68" s="587"/>
      <c r="AE68" s="187">
        <v>4</v>
      </c>
      <c r="AF68" s="187">
        <v>3012.8880772177349</v>
      </c>
      <c r="AG68" s="184">
        <f t="shared" si="25"/>
        <v>753.22201930443373</v>
      </c>
      <c r="AH68" s="181">
        <f t="shared" si="26"/>
        <v>17</v>
      </c>
      <c r="AI68" s="587"/>
      <c r="AJ68" s="187">
        <v>4</v>
      </c>
      <c r="AK68" s="187">
        <v>3014.5380772177346</v>
      </c>
      <c r="AL68" s="184">
        <f t="shared" si="27"/>
        <v>753.63451930443364</v>
      </c>
      <c r="AM68" s="181">
        <f t="shared" si="28"/>
        <v>17</v>
      </c>
      <c r="AN68" s="587"/>
      <c r="AO68" s="187">
        <v>4</v>
      </c>
      <c r="AP68" s="187">
        <v>3016.1880772177346</v>
      </c>
      <c r="AQ68" s="184">
        <f t="shared" si="29"/>
        <v>754.04701930443366</v>
      </c>
      <c r="AR68" s="181">
        <f t="shared" si="30"/>
        <v>17</v>
      </c>
      <c r="AS68" s="587"/>
      <c r="AT68" s="187">
        <v>4</v>
      </c>
      <c r="AU68" s="187">
        <v>3016.5180772177346</v>
      </c>
      <c r="AV68" s="184">
        <f t="shared" si="31"/>
        <v>754.12951930443364</v>
      </c>
      <c r="AW68" s="181">
        <f t="shared" si="32"/>
        <v>18</v>
      </c>
      <c r="AX68" s="587"/>
    </row>
    <row r="69" spans="2:50" ht="14.25" customHeight="1">
      <c r="B69" s="586"/>
      <c r="C69" s="179">
        <v>21</v>
      </c>
      <c r="D69" s="182" t="s">
        <v>323</v>
      </c>
      <c r="E69" s="183">
        <v>5</v>
      </c>
      <c r="F69" s="179">
        <v>3300</v>
      </c>
      <c r="G69" s="184">
        <f t="shared" si="18"/>
        <v>660</v>
      </c>
      <c r="H69" s="588"/>
      <c r="I69" s="185">
        <f t="shared" si="19"/>
        <v>5</v>
      </c>
      <c r="J69" s="185">
        <f t="shared" si="19"/>
        <v>3011.5716315333198</v>
      </c>
      <c r="K69" s="186">
        <f t="shared" si="19"/>
        <v>602.31432630666393</v>
      </c>
      <c r="L69" s="589"/>
      <c r="M69" s="185">
        <f>RANK(K69, K$49:$K$85)</f>
        <v>32</v>
      </c>
      <c r="N69" s="590"/>
      <c r="O69" s="591"/>
      <c r="P69" s="187">
        <v>5</v>
      </c>
      <c r="Q69" s="187">
        <v>3009.6387743904629</v>
      </c>
      <c r="R69" s="184">
        <f t="shared" si="20"/>
        <v>601.92775487809263</v>
      </c>
      <c r="S69" s="181">
        <f t="shared" si="21"/>
        <v>32</v>
      </c>
      <c r="T69" s="587"/>
      <c r="U69" s="187">
        <v>5</v>
      </c>
      <c r="V69" s="187">
        <v>3009.9687743904633</v>
      </c>
      <c r="W69" s="184">
        <f t="shared" si="17"/>
        <v>601.99375487809266</v>
      </c>
      <c r="X69" s="181">
        <f t="shared" si="22"/>
        <v>32</v>
      </c>
      <c r="Y69" s="587"/>
      <c r="Z69" s="187">
        <v>5</v>
      </c>
      <c r="AA69" s="187">
        <v>3011.288774390463</v>
      </c>
      <c r="AB69" s="184">
        <f t="shared" si="23"/>
        <v>602.25775487809256</v>
      </c>
      <c r="AC69" s="181">
        <f t="shared" si="24"/>
        <v>32</v>
      </c>
      <c r="AD69" s="587"/>
      <c r="AE69" s="187">
        <v>5</v>
      </c>
      <c r="AF69" s="187">
        <v>3011.2887743904625</v>
      </c>
      <c r="AG69" s="184">
        <f t="shared" si="25"/>
        <v>602.25775487809256</v>
      </c>
      <c r="AH69" s="181">
        <f t="shared" si="26"/>
        <v>32</v>
      </c>
      <c r="AI69" s="587"/>
      <c r="AJ69" s="187">
        <v>5</v>
      </c>
      <c r="AK69" s="187">
        <v>3011.618774390462</v>
      </c>
      <c r="AL69" s="184">
        <f t="shared" si="27"/>
        <v>602.32375487809236</v>
      </c>
      <c r="AM69" s="181">
        <f t="shared" si="28"/>
        <v>32</v>
      </c>
      <c r="AN69" s="587"/>
      <c r="AO69" s="187">
        <v>5</v>
      </c>
      <c r="AP69" s="187">
        <v>3012.9387743904617</v>
      </c>
      <c r="AQ69" s="184">
        <f t="shared" si="29"/>
        <v>602.58775487809237</v>
      </c>
      <c r="AR69" s="181">
        <f t="shared" si="30"/>
        <v>32</v>
      </c>
      <c r="AS69" s="587"/>
      <c r="AT69" s="187">
        <v>5</v>
      </c>
      <c r="AU69" s="187">
        <v>3014.258774390461</v>
      </c>
      <c r="AV69" s="184">
        <f t="shared" si="31"/>
        <v>602.85175487809215</v>
      </c>
      <c r="AW69" s="181">
        <f t="shared" si="32"/>
        <v>31</v>
      </c>
      <c r="AX69" s="587"/>
    </row>
    <row r="70" spans="2:50" ht="14.25" customHeight="1">
      <c r="B70" s="586"/>
      <c r="C70" s="179">
        <v>22</v>
      </c>
      <c r="D70" s="182" t="s">
        <v>373</v>
      </c>
      <c r="E70" s="183">
        <v>3</v>
      </c>
      <c r="F70" s="179">
        <v>3600</v>
      </c>
      <c r="G70" s="184">
        <f t="shared" si="18"/>
        <v>1200</v>
      </c>
      <c r="H70" s="588"/>
      <c r="I70" s="185">
        <f t="shared" si="19"/>
        <v>3</v>
      </c>
      <c r="J70" s="185">
        <f t="shared" si="19"/>
        <v>3216.4434114390851</v>
      </c>
      <c r="K70" s="186">
        <f t="shared" si="19"/>
        <v>1072.1478038130283</v>
      </c>
      <c r="L70" s="589"/>
      <c r="M70" s="185">
        <f>RANK(K70, K$49:$K$85)</f>
        <v>6</v>
      </c>
      <c r="N70" s="590"/>
      <c r="O70" s="591"/>
      <c r="P70" s="187">
        <v>3</v>
      </c>
      <c r="Q70" s="187">
        <v>3213.9234114390852</v>
      </c>
      <c r="R70" s="184">
        <f t="shared" si="20"/>
        <v>1071.3078038130284</v>
      </c>
      <c r="S70" s="181">
        <f t="shared" si="21"/>
        <v>4</v>
      </c>
      <c r="T70" s="587"/>
      <c r="U70" s="187">
        <v>3</v>
      </c>
      <c r="V70" s="187">
        <v>3214.2834114390853</v>
      </c>
      <c r="W70" s="184">
        <f t="shared" si="17"/>
        <v>1071.4278038130285</v>
      </c>
      <c r="X70" s="181">
        <f t="shared" si="22"/>
        <v>4</v>
      </c>
      <c r="Y70" s="587"/>
      <c r="Z70" s="187">
        <v>3</v>
      </c>
      <c r="AA70" s="187">
        <v>3215.0034114390855</v>
      </c>
      <c r="AB70" s="184">
        <f t="shared" si="23"/>
        <v>1071.6678038130285</v>
      </c>
      <c r="AC70" s="181">
        <f t="shared" si="24"/>
        <v>6</v>
      </c>
      <c r="AD70" s="587"/>
      <c r="AE70" s="187">
        <v>3</v>
      </c>
      <c r="AF70" s="187">
        <v>3216.0834114390855</v>
      </c>
      <c r="AG70" s="184">
        <f t="shared" si="25"/>
        <v>1072.0278038130284</v>
      </c>
      <c r="AH70" s="181">
        <f t="shared" si="26"/>
        <v>6</v>
      </c>
      <c r="AI70" s="587"/>
      <c r="AJ70" s="187">
        <v>3</v>
      </c>
      <c r="AK70" s="187">
        <v>3216.8034114390848</v>
      </c>
      <c r="AL70" s="184">
        <f t="shared" si="27"/>
        <v>1072.2678038130282</v>
      </c>
      <c r="AM70" s="181">
        <f t="shared" si="28"/>
        <v>7</v>
      </c>
      <c r="AN70" s="587"/>
      <c r="AO70" s="187">
        <v>3</v>
      </c>
      <c r="AP70" s="187">
        <v>3218.603411439085</v>
      </c>
      <c r="AQ70" s="184">
        <f t="shared" si="29"/>
        <v>1072.8678038130283</v>
      </c>
      <c r="AR70" s="181">
        <f t="shared" si="30"/>
        <v>6</v>
      </c>
      <c r="AS70" s="587"/>
      <c r="AT70" s="187">
        <v>3</v>
      </c>
      <c r="AU70" s="187">
        <v>3220.4034114390847</v>
      </c>
      <c r="AV70" s="184">
        <f t="shared" si="31"/>
        <v>1073.4678038130282</v>
      </c>
      <c r="AW70" s="181">
        <f t="shared" si="32"/>
        <v>6</v>
      </c>
      <c r="AX70" s="587"/>
    </row>
    <row r="71" spans="2:50" ht="14.25" customHeight="1">
      <c r="B71" s="586"/>
      <c r="C71" s="179">
        <v>23</v>
      </c>
      <c r="D71" s="182" t="s">
        <v>482</v>
      </c>
      <c r="E71" s="183">
        <v>4</v>
      </c>
      <c r="F71" s="179">
        <v>3600</v>
      </c>
      <c r="G71" s="184">
        <f t="shared" si="18"/>
        <v>900</v>
      </c>
      <c r="H71" s="588"/>
      <c r="I71" s="185">
        <f t="shared" si="19"/>
        <v>4</v>
      </c>
      <c r="J71" s="185">
        <f t="shared" si="19"/>
        <v>3214.2514595544621</v>
      </c>
      <c r="K71" s="186">
        <f t="shared" si="19"/>
        <v>803.56286488861554</v>
      </c>
      <c r="L71" s="589"/>
      <c r="M71" s="185">
        <f>RANK(K71, K$49:$K$85)</f>
        <v>15</v>
      </c>
      <c r="N71" s="590"/>
      <c r="O71" s="591"/>
      <c r="P71" s="187">
        <v>4</v>
      </c>
      <c r="Q71" s="187">
        <v>3210.9600309830334</v>
      </c>
      <c r="R71" s="184">
        <f t="shared" si="20"/>
        <v>802.74000774575836</v>
      </c>
      <c r="S71" s="181">
        <f t="shared" si="21"/>
        <v>15</v>
      </c>
      <c r="T71" s="587"/>
      <c r="U71" s="187">
        <v>4</v>
      </c>
      <c r="V71" s="187">
        <v>3212.0400309830334</v>
      </c>
      <c r="W71" s="184">
        <f t="shared" si="17"/>
        <v>803.01000774575834</v>
      </c>
      <c r="X71" s="181">
        <f t="shared" si="22"/>
        <v>15</v>
      </c>
      <c r="Y71" s="587"/>
      <c r="Z71" s="187">
        <v>4</v>
      </c>
      <c r="AA71" s="187">
        <v>3213.4800309830325</v>
      </c>
      <c r="AB71" s="184">
        <f t="shared" si="23"/>
        <v>803.37000774575813</v>
      </c>
      <c r="AC71" s="181">
        <f t="shared" si="24"/>
        <v>15</v>
      </c>
      <c r="AD71" s="587"/>
      <c r="AE71" s="187">
        <v>4</v>
      </c>
      <c r="AF71" s="187">
        <v>3214.5600309830334</v>
      </c>
      <c r="AG71" s="184">
        <f t="shared" si="25"/>
        <v>803.64000774575834</v>
      </c>
      <c r="AH71" s="181">
        <f t="shared" si="26"/>
        <v>15</v>
      </c>
      <c r="AI71" s="587"/>
      <c r="AJ71" s="187">
        <v>4</v>
      </c>
      <c r="AK71" s="187">
        <v>3215.2800309830336</v>
      </c>
      <c r="AL71" s="184">
        <f t="shared" si="27"/>
        <v>803.8200077457584</v>
      </c>
      <c r="AM71" s="181">
        <f t="shared" si="28"/>
        <v>15</v>
      </c>
      <c r="AN71" s="587"/>
      <c r="AO71" s="187">
        <v>4</v>
      </c>
      <c r="AP71" s="187">
        <v>3216.3600309830331</v>
      </c>
      <c r="AQ71" s="184">
        <f t="shared" si="29"/>
        <v>804.09000774575827</v>
      </c>
      <c r="AR71" s="181">
        <f t="shared" si="30"/>
        <v>15</v>
      </c>
      <c r="AS71" s="587"/>
      <c r="AT71" s="187">
        <v>4</v>
      </c>
      <c r="AU71" s="187">
        <v>3217.0800309830338</v>
      </c>
      <c r="AV71" s="184">
        <f t="shared" si="31"/>
        <v>804.27000774575845</v>
      </c>
      <c r="AW71" s="181">
        <f t="shared" si="32"/>
        <v>15</v>
      </c>
      <c r="AX71" s="587"/>
    </row>
    <row r="72" spans="2:50" ht="14.25" customHeight="1">
      <c r="B72" s="586"/>
      <c r="C72" s="179">
        <v>24</v>
      </c>
      <c r="D72" s="182" t="s">
        <v>376</v>
      </c>
      <c r="E72" s="183">
        <v>3</v>
      </c>
      <c r="F72" s="179">
        <v>3600</v>
      </c>
      <c r="G72" s="184">
        <f t="shared" si="18"/>
        <v>1200</v>
      </c>
      <c r="H72" s="588"/>
      <c r="I72" s="185">
        <f t="shared" si="19"/>
        <v>3</v>
      </c>
      <c r="J72" s="185">
        <f t="shared" si="19"/>
        <v>3217.6441385785415</v>
      </c>
      <c r="K72" s="186">
        <f t="shared" si="19"/>
        <v>1072.5480461928471</v>
      </c>
      <c r="L72" s="589"/>
      <c r="M72" s="185">
        <f>RANK(K72, K$49:$K$85)</f>
        <v>4</v>
      </c>
      <c r="N72" s="590"/>
      <c r="O72" s="591"/>
      <c r="P72" s="187">
        <v>3</v>
      </c>
      <c r="Q72" s="187">
        <v>3211.0829425386705</v>
      </c>
      <c r="R72" s="184">
        <f t="shared" si="20"/>
        <v>1070.3609808462236</v>
      </c>
      <c r="S72" s="181">
        <f t="shared" si="21"/>
        <v>8</v>
      </c>
      <c r="T72" s="587"/>
      <c r="U72" s="187">
        <v>3</v>
      </c>
      <c r="V72" s="187">
        <v>3212.8829425386702</v>
      </c>
      <c r="W72" s="184">
        <f t="shared" si="17"/>
        <v>1070.9609808462235</v>
      </c>
      <c r="X72" s="181">
        <f t="shared" si="22"/>
        <v>7</v>
      </c>
      <c r="Y72" s="587"/>
      <c r="Z72" s="187">
        <v>3</v>
      </c>
      <c r="AA72" s="187">
        <v>3218.6846169944897</v>
      </c>
      <c r="AB72" s="184">
        <f t="shared" si="23"/>
        <v>1072.8948723314966</v>
      </c>
      <c r="AC72" s="181">
        <f t="shared" si="24"/>
        <v>1</v>
      </c>
      <c r="AD72" s="587"/>
      <c r="AE72" s="187">
        <v>3</v>
      </c>
      <c r="AF72" s="187">
        <v>3219.0446169944898</v>
      </c>
      <c r="AG72" s="184">
        <f t="shared" si="25"/>
        <v>1073.0148723314967</v>
      </c>
      <c r="AH72" s="181">
        <f t="shared" si="26"/>
        <v>2</v>
      </c>
      <c r="AI72" s="587"/>
      <c r="AJ72" s="187">
        <v>3</v>
      </c>
      <c r="AK72" s="187">
        <v>3220.1246169944902</v>
      </c>
      <c r="AL72" s="184">
        <f t="shared" si="27"/>
        <v>1073.3748723314968</v>
      </c>
      <c r="AM72" s="181">
        <f t="shared" si="28"/>
        <v>2</v>
      </c>
      <c r="AN72" s="587"/>
      <c r="AO72" s="187">
        <v>3</v>
      </c>
      <c r="AP72" s="187">
        <v>3220.4846169944904</v>
      </c>
      <c r="AQ72" s="184">
        <f t="shared" si="29"/>
        <v>1073.4948723314967</v>
      </c>
      <c r="AR72" s="181">
        <f t="shared" si="30"/>
        <v>3</v>
      </c>
      <c r="AS72" s="587"/>
      <c r="AT72" s="187">
        <v>3</v>
      </c>
      <c r="AU72" s="187">
        <v>3221.2046169944906</v>
      </c>
      <c r="AV72" s="184">
        <f t="shared" si="31"/>
        <v>1073.7348723314969</v>
      </c>
      <c r="AW72" s="181">
        <f t="shared" si="32"/>
        <v>4</v>
      </c>
      <c r="AX72" s="587"/>
    </row>
    <row r="73" spans="2:50" ht="14.25" customHeight="1">
      <c r="B73" s="586"/>
      <c r="C73" s="179">
        <v>25</v>
      </c>
      <c r="D73" s="182" t="s">
        <v>375</v>
      </c>
      <c r="E73" s="183">
        <v>5</v>
      </c>
      <c r="F73" s="179">
        <v>3600</v>
      </c>
      <c r="G73" s="184">
        <f t="shared" si="18"/>
        <v>720</v>
      </c>
      <c r="H73" s="588"/>
      <c r="I73" s="185">
        <f t="shared" si="19"/>
        <v>5</v>
      </c>
      <c r="J73" s="185">
        <f t="shared" si="19"/>
        <v>3216.6058865571022</v>
      </c>
      <c r="K73" s="186">
        <f t="shared" si="19"/>
        <v>643.32117731142057</v>
      </c>
      <c r="L73" s="589"/>
      <c r="M73" s="185">
        <f>RANK(K73, K$49:$K$85)</f>
        <v>29</v>
      </c>
      <c r="N73" s="590"/>
      <c r="O73" s="591"/>
      <c r="P73" s="187">
        <v>5</v>
      </c>
      <c r="Q73" s="187">
        <v>3213.4687436999593</v>
      </c>
      <c r="R73" s="184">
        <f t="shared" si="20"/>
        <v>642.69374873999186</v>
      </c>
      <c r="S73" s="181">
        <f t="shared" si="21"/>
        <v>28</v>
      </c>
      <c r="T73" s="587"/>
      <c r="U73" s="187">
        <v>5</v>
      </c>
      <c r="V73" s="187">
        <v>3213.4687436999593</v>
      </c>
      <c r="W73" s="184">
        <f t="shared" si="17"/>
        <v>642.69374873999186</v>
      </c>
      <c r="X73" s="181">
        <f t="shared" si="22"/>
        <v>29</v>
      </c>
      <c r="Y73" s="587"/>
      <c r="Z73" s="187">
        <v>5</v>
      </c>
      <c r="AA73" s="187">
        <v>3215.6287436999592</v>
      </c>
      <c r="AB73" s="184">
        <f t="shared" si="23"/>
        <v>643.12574873999188</v>
      </c>
      <c r="AC73" s="181">
        <f t="shared" si="24"/>
        <v>29</v>
      </c>
      <c r="AD73" s="587"/>
      <c r="AE73" s="187">
        <v>5</v>
      </c>
      <c r="AF73" s="187">
        <v>3217.0687436999588</v>
      </c>
      <c r="AG73" s="184">
        <f t="shared" si="25"/>
        <v>643.41374873999177</v>
      </c>
      <c r="AH73" s="181">
        <f t="shared" si="26"/>
        <v>29</v>
      </c>
      <c r="AI73" s="587"/>
      <c r="AJ73" s="187">
        <v>5</v>
      </c>
      <c r="AK73" s="187">
        <v>3217.788743699959</v>
      </c>
      <c r="AL73" s="184">
        <f t="shared" si="27"/>
        <v>643.55774873999178</v>
      </c>
      <c r="AM73" s="181">
        <f t="shared" si="28"/>
        <v>28</v>
      </c>
      <c r="AN73" s="587"/>
      <c r="AO73" s="187">
        <v>5</v>
      </c>
      <c r="AP73" s="187">
        <v>3218.5087436999593</v>
      </c>
      <c r="AQ73" s="184">
        <f t="shared" si="29"/>
        <v>643.7017487399919</v>
      </c>
      <c r="AR73" s="181">
        <f t="shared" si="30"/>
        <v>29</v>
      </c>
      <c r="AS73" s="587"/>
      <c r="AT73" s="187">
        <v>5</v>
      </c>
      <c r="AU73" s="187">
        <v>3220.3087436999595</v>
      </c>
      <c r="AV73" s="184">
        <f t="shared" si="31"/>
        <v>644.06174873999191</v>
      </c>
      <c r="AW73" s="181">
        <f t="shared" si="32"/>
        <v>28</v>
      </c>
      <c r="AX73" s="587"/>
    </row>
    <row r="74" spans="2:50" ht="14.25" customHeight="1">
      <c r="B74" s="586"/>
      <c r="C74" s="179">
        <v>26</v>
      </c>
      <c r="D74" s="182" t="s">
        <v>372</v>
      </c>
      <c r="E74" s="183">
        <v>5</v>
      </c>
      <c r="F74" s="179">
        <v>3600</v>
      </c>
      <c r="G74" s="184">
        <f t="shared" si="18"/>
        <v>720</v>
      </c>
      <c r="H74" s="588"/>
      <c r="I74" s="185">
        <f t="shared" si="19"/>
        <v>5</v>
      </c>
      <c r="J74" s="185">
        <f t="shared" si="19"/>
        <v>3217.1474363873426</v>
      </c>
      <c r="K74" s="186">
        <f t="shared" si="19"/>
        <v>643.42948727746864</v>
      </c>
      <c r="L74" s="589"/>
      <c r="M74" s="185">
        <f>RANK(K74, K$49:$K$85)</f>
        <v>27</v>
      </c>
      <c r="N74" s="590"/>
      <c r="O74" s="591"/>
      <c r="P74" s="187">
        <v>5</v>
      </c>
      <c r="Q74" s="187">
        <v>3212.673150673058</v>
      </c>
      <c r="R74" s="184">
        <f t="shared" si="20"/>
        <v>642.53463013461158</v>
      </c>
      <c r="S74" s="181">
        <f t="shared" si="21"/>
        <v>29</v>
      </c>
      <c r="T74" s="587"/>
      <c r="U74" s="187">
        <v>5</v>
      </c>
      <c r="V74" s="187">
        <v>3214.1131506730576</v>
      </c>
      <c r="W74" s="184">
        <f t="shared" si="17"/>
        <v>642.82263013461147</v>
      </c>
      <c r="X74" s="181">
        <f t="shared" si="22"/>
        <v>28</v>
      </c>
      <c r="Y74" s="587"/>
      <c r="Z74" s="187">
        <v>5</v>
      </c>
      <c r="AA74" s="187">
        <v>3215.9131506730569</v>
      </c>
      <c r="AB74" s="184">
        <f t="shared" si="23"/>
        <v>643.18263013461137</v>
      </c>
      <c r="AC74" s="181">
        <f t="shared" si="24"/>
        <v>28</v>
      </c>
      <c r="AD74" s="587"/>
      <c r="AE74" s="187">
        <v>5</v>
      </c>
      <c r="AF74" s="187">
        <v>3217.3531506730569</v>
      </c>
      <c r="AG74" s="184">
        <f t="shared" si="25"/>
        <v>643.47063013461138</v>
      </c>
      <c r="AH74" s="181">
        <f t="shared" si="26"/>
        <v>28</v>
      </c>
      <c r="AI74" s="587"/>
      <c r="AJ74" s="187">
        <v>5</v>
      </c>
      <c r="AK74" s="187">
        <v>3218.7931506730574</v>
      </c>
      <c r="AL74" s="184">
        <f t="shared" si="27"/>
        <v>643.75863013461151</v>
      </c>
      <c r="AM74" s="181">
        <f t="shared" si="28"/>
        <v>27</v>
      </c>
      <c r="AN74" s="587"/>
      <c r="AO74" s="187">
        <v>5</v>
      </c>
      <c r="AP74" s="187">
        <v>3220.5931506730572</v>
      </c>
      <c r="AQ74" s="184">
        <f t="shared" si="29"/>
        <v>644.11863013461141</v>
      </c>
      <c r="AR74" s="181">
        <f t="shared" si="30"/>
        <v>26</v>
      </c>
      <c r="AS74" s="587"/>
      <c r="AT74" s="187">
        <v>5</v>
      </c>
      <c r="AU74" s="187">
        <v>3220.5931506730567</v>
      </c>
      <c r="AV74" s="184">
        <f t="shared" si="31"/>
        <v>644.11863013461129</v>
      </c>
      <c r="AW74" s="181">
        <f t="shared" si="32"/>
        <v>27</v>
      </c>
      <c r="AX74" s="587"/>
    </row>
    <row r="75" spans="2:50" ht="14.25" customHeight="1">
      <c r="B75" s="586"/>
      <c r="C75" s="179">
        <v>27</v>
      </c>
      <c r="D75" s="182" t="s">
        <v>374</v>
      </c>
      <c r="E75" s="183">
        <v>3</v>
      </c>
      <c r="F75" s="179">
        <v>3000</v>
      </c>
      <c r="G75" s="184">
        <f t="shared" si="18"/>
        <v>1000</v>
      </c>
      <c r="H75" s="588"/>
      <c r="I75" s="185">
        <f t="shared" si="19"/>
        <v>3</v>
      </c>
      <c r="J75" s="185">
        <f t="shared" si="19"/>
        <v>2741.896974012493</v>
      </c>
      <c r="K75" s="186">
        <f t="shared" si="19"/>
        <v>913.96565800416442</v>
      </c>
      <c r="L75" s="589"/>
      <c r="M75" s="185">
        <f>RANK(K75, K$49:$K$85)</f>
        <v>13</v>
      </c>
      <c r="N75" s="590"/>
      <c r="O75" s="591"/>
      <c r="P75" s="187">
        <v>3</v>
      </c>
      <c r="Q75" s="187">
        <v>2739.7541168696371</v>
      </c>
      <c r="R75" s="184">
        <f t="shared" si="20"/>
        <v>913.25137228987899</v>
      </c>
      <c r="S75" s="181">
        <f t="shared" si="21"/>
        <v>11</v>
      </c>
      <c r="T75" s="587"/>
      <c r="U75" s="187">
        <v>3</v>
      </c>
      <c r="V75" s="187">
        <v>2740.0541168696368</v>
      </c>
      <c r="W75" s="184">
        <f t="shared" si="17"/>
        <v>913.3513722898789</v>
      </c>
      <c r="X75" s="181">
        <f t="shared" si="22"/>
        <v>12</v>
      </c>
      <c r="Y75" s="587"/>
      <c r="Z75" s="187">
        <v>3</v>
      </c>
      <c r="AA75" s="187">
        <v>2740.6541168696367</v>
      </c>
      <c r="AB75" s="184">
        <f t="shared" si="23"/>
        <v>913.55137228987894</v>
      </c>
      <c r="AC75" s="181">
        <f t="shared" si="24"/>
        <v>12</v>
      </c>
      <c r="AD75" s="587"/>
      <c r="AE75" s="187">
        <v>3</v>
      </c>
      <c r="AF75" s="187">
        <v>2741.5541168696368</v>
      </c>
      <c r="AG75" s="184">
        <f t="shared" si="25"/>
        <v>913.8513722898789</v>
      </c>
      <c r="AH75" s="181">
        <f t="shared" si="26"/>
        <v>13</v>
      </c>
      <c r="AI75" s="587"/>
      <c r="AJ75" s="187">
        <v>3</v>
      </c>
      <c r="AK75" s="187">
        <v>2743.0541168696363</v>
      </c>
      <c r="AL75" s="184">
        <f t="shared" si="27"/>
        <v>914.35137228987878</v>
      </c>
      <c r="AM75" s="181">
        <f t="shared" si="28"/>
        <v>13</v>
      </c>
      <c r="AN75" s="587"/>
      <c r="AO75" s="187">
        <v>3</v>
      </c>
      <c r="AP75" s="187">
        <v>2743.3541168696356</v>
      </c>
      <c r="AQ75" s="184">
        <f t="shared" si="29"/>
        <v>914.45137228987858</v>
      </c>
      <c r="AR75" s="181">
        <f t="shared" si="30"/>
        <v>13</v>
      </c>
      <c r="AS75" s="587"/>
      <c r="AT75" s="187">
        <v>3</v>
      </c>
      <c r="AU75" s="187">
        <v>2744.8541168696356</v>
      </c>
      <c r="AV75" s="184">
        <f t="shared" si="31"/>
        <v>914.95137228987858</v>
      </c>
      <c r="AW75" s="181">
        <f t="shared" si="32"/>
        <v>13</v>
      </c>
      <c r="AX75" s="587"/>
    </row>
    <row r="76" spans="2:50" ht="14.25" customHeight="1">
      <c r="B76" s="586"/>
      <c r="C76" s="179">
        <v>28</v>
      </c>
      <c r="D76" s="182" t="s">
        <v>412</v>
      </c>
      <c r="E76" s="183">
        <v>3</v>
      </c>
      <c r="F76" s="179">
        <v>3600</v>
      </c>
      <c r="G76" s="184">
        <f t="shared" si="18"/>
        <v>1200</v>
      </c>
      <c r="H76" s="588"/>
      <c r="I76" s="185">
        <f t="shared" si="19"/>
        <v>3</v>
      </c>
      <c r="J76" s="185">
        <f t="shared" si="19"/>
        <v>3219.7010282849733</v>
      </c>
      <c r="K76" s="186">
        <f t="shared" si="19"/>
        <v>1073.2336760949911</v>
      </c>
      <c r="L76" s="589"/>
      <c r="M76" s="185">
        <f>RANK(K76, K$49:$K$85)</f>
        <v>1</v>
      </c>
      <c r="N76" s="590"/>
      <c r="O76" s="591"/>
      <c r="P76" s="187">
        <v>3</v>
      </c>
      <c r="Q76" s="187">
        <v>3217.6438854278304</v>
      </c>
      <c r="R76" s="184">
        <f t="shared" si="20"/>
        <v>1072.5479618092768</v>
      </c>
      <c r="S76" s="181">
        <f t="shared" si="21"/>
        <v>1</v>
      </c>
      <c r="T76" s="587"/>
      <c r="U76" s="187">
        <v>3</v>
      </c>
      <c r="V76" s="187">
        <v>3217.6438854278294</v>
      </c>
      <c r="W76" s="184">
        <f t="shared" si="17"/>
        <v>1072.5479618092766</v>
      </c>
      <c r="X76" s="181">
        <f t="shared" si="22"/>
        <v>1</v>
      </c>
      <c r="Y76" s="587"/>
      <c r="Z76" s="187">
        <v>3</v>
      </c>
      <c r="AA76" s="187">
        <v>3217.6438854278294</v>
      </c>
      <c r="AB76" s="184">
        <f t="shared" si="23"/>
        <v>1072.5479618092766</v>
      </c>
      <c r="AC76" s="181">
        <f t="shared" si="24"/>
        <v>2</v>
      </c>
      <c r="AD76" s="587"/>
      <c r="AE76" s="187">
        <v>3</v>
      </c>
      <c r="AF76" s="187">
        <v>3219.8038854278302</v>
      </c>
      <c r="AG76" s="184">
        <f t="shared" si="25"/>
        <v>1073.2679618092768</v>
      </c>
      <c r="AH76" s="181">
        <f t="shared" si="26"/>
        <v>1</v>
      </c>
      <c r="AI76" s="587"/>
      <c r="AJ76" s="187">
        <v>3</v>
      </c>
      <c r="AK76" s="187">
        <v>3220.1638854278308</v>
      </c>
      <c r="AL76" s="184">
        <f t="shared" si="27"/>
        <v>1073.3879618092769</v>
      </c>
      <c r="AM76" s="181">
        <f t="shared" si="28"/>
        <v>1</v>
      </c>
      <c r="AN76" s="587"/>
      <c r="AO76" s="187">
        <v>3</v>
      </c>
      <c r="AP76" s="187">
        <v>3221.9638854278305</v>
      </c>
      <c r="AQ76" s="184">
        <f t="shared" si="29"/>
        <v>1073.9879618092768</v>
      </c>
      <c r="AR76" s="181">
        <f t="shared" si="30"/>
        <v>2</v>
      </c>
      <c r="AS76" s="587"/>
      <c r="AT76" s="187">
        <v>3</v>
      </c>
      <c r="AU76" s="187">
        <v>3223.0438854278304</v>
      </c>
      <c r="AV76" s="184">
        <f t="shared" si="31"/>
        <v>1074.3479618092767</v>
      </c>
      <c r="AW76" s="181">
        <f t="shared" si="32"/>
        <v>2</v>
      </c>
      <c r="AX76" s="587"/>
    </row>
    <row r="77" spans="2:50" ht="14.25" customHeight="1">
      <c r="B77" s="586"/>
      <c r="C77" s="179">
        <v>29</v>
      </c>
      <c r="D77" s="182" t="s">
        <v>417</v>
      </c>
      <c r="E77" s="183">
        <v>4</v>
      </c>
      <c r="F77" s="179">
        <v>3000</v>
      </c>
      <c r="G77" s="184">
        <f t="shared" si="18"/>
        <v>750</v>
      </c>
      <c r="H77" s="588"/>
      <c r="I77" s="185">
        <f t="shared" si="19"/>
        <v>4</v>
      </c>
      <c r="J77" s="185">
        <f t="shared" si="19"/>
        <v>2740.5439101590855</v>
      </c>
      <c r="K77" s="186">
        <f t="shared" si="19"/>
        <v>685.13597753977137</v>
      </c>
      <c r="L77" s="589"/>
      <c r="M77" s="185">
        <f>RANK(K77, K$49:$K$85)</f>
        <v>19</v>
      </c>
      <c r="N77" s="590"/>
      <c r="O77" s="591"/>
      <c r="P77" s="187">
        <v>4</v>
      </c>
      <c r="Q77" s="187">
        <v>2740.4479127777176</v>
      </c>
      <c r="R77" s="184">
        <f t="shared" si="20"/>
        <v>685.11197819442941</v>
      </c>
      <c r="S77" s="181">
        <f t="shared" si="21"/>
        <v>19</v>
      </c>
      <c r="T77" s="587"/>
      <c r="U77" s="187">
        <v>4</v>
      </c>
      <c r="V77" s="187">
        <v>2738.7099097226474</v>
      </c>
      <c r="W77" s="184">
        <f t="shared" si="17"/>
        <v>684.67747743066184</v>
      </c>
      <c r="X77" s="181">
        <f t="shared" si="22"/>
        <v>19</v>
      </c>
      <c r="Y77" s="587"/>
      <c r="Z77" s="187">
        <v>4</v>
      </c>
      <c r="AA77" s="187">
        <v>2739.3099097226473</v>
      </c>
      <c r="AB77" s="184">
        <f t="shared" si="23"/>
        <v>684.82747743066182</v>
      </c>
      <c r="AC77" s="181">
        <f t="shared" si="24"/>
        <v>19</v>
      </c>
      <c r="AD77" s="587"/>
      <c r="AE77" s="187">
        <v>4</v>
      </c>
      <c r="AF77" s="187">
        <v>2739.9099097226472</v>
      </c>
      <c r="AG77" s="184">
        <f t="shared" si="25"/>
        <v>684.97747743066179</v>
      </c>
      <c r="AH77" s="181">
        <f t="shared" si="26"/>
        <v>19</v>
      </c>
      <c r="AI77" s="587"/>
      <c r="AJ77" s="187">
        <v>4</v>
      </c>
      <c r="AK77" s="187">
        <v>2740.8099097226473</v>
      </c>
      <c r="AL77" s="184">
        <f t="shared" si="27"/>
        <v>685.20247743066182</v>
      </c>
      <c r="AM77" s="181">
        <f t="shared" si="28"/>
        <v>20</v>
      </c>
      <c r="AN77" s="587"/>
      <c r="AO77" s="187">
        <v>4</v>
      </c>
      <c r="AP77" s="187">
        <v>2741.7099097226474</v>
      </c>
      <c r="AQ77" s="184">
        <f t="shared" si="29"/>
        <v>685.42747743066184</v>
      </c>
      <c r="AR77" s="181">
        <f t="shared" si="30"/>
        <v>19</v>
      </c>
      <c r="AS77" s="587"/>
      <c r="AT77" s="187">
        <v>4</v>
      </c>
      <c r="AU77" s="187">
        <v>2742.9099097226472</v>
      </c>
      <c r="AV77" s="184">
        <f t="shared" si="31"/>
        <v>685.72747743066179</v>
      </c>
      <c r="AW77" s="181">
        <f t="shared" si="32"/>
        <v>19</v>
      </c>
      <c r="AX77" s="587"/>
    </row>
    <row r="78" spans="2:50" ht="14.25" customHeight="1">
      <c r="B78" s="586"/>
      <c r="C78" s="179">
        <v>30</v>
      </c>
      <c r="D78" s="182" t="s">
        <v>470</v>
      </c>
      <c r="E78" s="183">
        <v>5</v>
      </c>
      <c r="F78" s="179">
        <v>3000</v>
      </c>
      <c r="G78" s="184">
        <f t="shared" si="18"/>
        <v>600</v>
      </c>
      <c r="H78" s="588"/>
      <c r="I78" s="185">
        <f t="shared" si="19"/>
        <v>5</v>
      </c>
      <c r="J78" s="185">
        <f t="shared" si="19"/>
        <v>2739.9342839582418</v>
      </c>
      <c r="K78" s="186">
        <f t="shared" si="19"/>
        <v>547.98685679164839</v>
      </c>
      <c r="L78" s="589"/>
      <c r="M78" s="185">
        <f>RANK(K78, K$49:$K$85)</f>
        <v>33</v>
      </c>
      <c r="N78" s="590"/>
      <c r="O78" s="591"/>
      <c r="P78" s="187">
        <v>5</v>
      </c>
      <c r="Q78" s="187">
        <v>2737.5771411010992</v>
      </c>
      <c r="R78" s="184">
        <f t="shared" si="20"/>
        <v>547.51542822021986</v>
      </c>
      <c r="S78" s="181">
        <f t="shared" si="21"/>
        <v>33</v>
      </c>
      <c r="T78" s="587"/>
      <c r="U78" s="187">
        <v>5</v>
      </c>
      <c r="V78" s="187">
        <v>2737.5771411010992</v>
      </c>
      <c r="W78" s="184">
        <f t="shared" si="17"/>
        <v>547.51542822021986</v>
      </c>
      <c r="X78" s="181">
        <f t="shared" si="22"/>
        <v>33</v>
      </c>
      <c r="Y78" s="587"/>
      <c r="Z78" s="187">
        <v>5</v>
      </c>
      <c r="AA78" s="187">
        <v>2739.0771411010992</v>
      </c>
      <c r="AB78" s="184">
        <f t="shared" si="23"/>
        <v>547.81542822021981</v>
      </c>
      <c r="AC78" s="181">
        <f t="shared" si="24"/>
        <v>33</v>
      </c>
      <c r="AD78" s="587"/>
      <c r="AE78" s="187">
        <v>5</v>
      </c>
      <c r="AF78" s="187">
        <v>2740.8771411010994</v>
      </c>
      <c r="AG78" s="184">
        <f t="shared" si="25"/>
        <v>548.17542822021983</v>
      </c>
      <c r="AH78" s="181">
        <f t="shared" si="26"/>
        <v>33</v>
      </c>
      <c r="AI78" s="587"/>
      <c r="AJ78" s="187">
        <v>5</v>
      </c>
      <c r="AK78" s="187">
        <v>2740.8771411010994</v>
      </c>
      <c r="AL78" s="184">
        <f t="shared" si="27"/>
        <v>548.17542822021983</v>
      </c>
      <c r="AM78" s="181">
        <f t="shared" si="28"/>
        <v>33</v>
      </c>
      <c r="AN78" s="587"/>
      <c r="AO78" s="187">
        <v>5</v>
      </c>
      <c r="AP78" s="187">
        <v>2741.4771411010993</v>
      </c>
      <c r="AQ78" s="184">
        <f t="shared" si="29"/>
        <v>548.29542822021983</v>
      </c>
      <c r="AR78" s="181">
        <f t="shared" si="30"/>
        <v>33</v>
      </c>
      <c r="AS78" s="587"/>
      <c r="AT78" s="187">
        <v>5</v>
      </c>
      <c r="AU78" s="187">
        <v>2742.0771411010992</v>
      </c>
      <c r="AV78" s="184">
        <f t="shared" si="31"/>
        <v>548.41542822021984</v>
      </c>
      <c r="AW78" s="181">
        <f t="shared" si="32"/>
        <v>32</v>
      </c>
      <c r="AX78" s="587"/>
    </row>
    <row r="79" spans="2:50" ht="14.25" customHeight="1">
      <c r="B79" s="586"/>
      <c r="C79" s="179">
        <v>31</v>
      </c>
      <c r="D79" s="182" t="s">
        <v>553</v>
      </c>
      <c r="E79" s="179">
        <v>5</v>
      </c>
      <c r="F79" s="179">
        <v>3600</v>
      </c>
      <c r="G79" s="184">
        <f t="shared" si="18"/>
        <v>720</v>
      </c>
      <c r="H79" s="588"/>
      <c r="I79" s="185">
        <f t="shared" si="19"/>
        <v>5</v>
      </c>
      <c r="J79" s="185">
        <f t="shared" si="19"/>
        <v>3264.408306331426</v>
      </c>
      <c r="K79" s="186">
        <f t="shared" si="19"/>
        <v>652.88166126628516</v>
      </c>
      <c r="L79" s="589"/>
      <c r="M79" s="185">
        <f>RANK(K79, K$49:$K$85)</f>
        <v>22</v>
      </c>
      <c r="N79" s="590"/>
      <c r="O79" s="591"/>
      <c r="P79" s="187">
        <v>5</v>
      </c>
      <c r="Q79" s="187">
        <v>3264.1897652792809</v>
      </c>
      <c r="R79" s="184">
        <f t="shared" si="20"/>
        <v>652.83795305585613</v>
      </c>
      <c r="S79" s="181">
        <f t="shared" si="21"/>
        <v>22</v>
      </c>
      <c r="T79" s="587"/>
      <c r="U79" s="187">
        <v>5</v>
      </c>
      <c r="V79" s="187">
        <v>3264.1897652792809</v>
      </c>
      <c r="W79" s="184">
        <f t="shared" si="17"/>
        <v>652.83795305585613</v>
      </c>
      <c r="X79" s="181">
        <f t="shared" si="22"/>
        <v>22</v>
      </c>
      <c r="Y79" s="587"/>
      <c r="Z79" s="187">
        <v>5</v>
      </c>
      <c r="AA79" s="187">
        <v>3265.2697652792804</v>
      </c>
      <c r="AB79" s="184">
        <f t="shared" si="23"/>
        <v>653.05395305585603</v>
      </c>
      <c r="AC79" s="181">
        <f t="shared" si="24"/>
        <v>22</v>
      </c>
      <c r="AD79" s="587"/>
      <c r="AE79" s="187">
        <v>5</v>
      </c>
      <c r="AF79" s="187">
        <v>3264.9097652792798</v>
      </c>
      <c r="AG79" s="184">
        <f t="shared" si="25"/>
        <v>652.98195305585591</v>
      </c>
      <c r="AH79" s="181">
        <f t="shared" si="26"/>
        <v>21</v>
      </c>
      <c r="AI79" s="587"/>
      <c r="AJ79" s="187">
        <v>5</v>
      </c>
      <c r="AK79" s="187">
        <v>3263.4697652792797</v>
      </c>
      <c r="AL79" s="184">
        <f t="shared" si="27"/>
        <v>652.6939530558559</v>
      </c>
      <c r="AM79" s="181">
        <f t="shared" si="28"/>
        <v>22</v>
      </c>
      <c r="AN79" s="587"/>
      <c r="AO79" s="187">
        <v>5</v>
      </c>
      <c r="AP79" s="187">
        <v>3264.4146589617917</v>
      </c>
      <c r="AQ79" s="184">
        <f t="shared" si="29"/>
        <v>652.88293179235836</v>
      </c>
      <c r="AR79" s="181">
        <f t="shared" si="30"/>
        <v>22</v>
      </c>
      <c r="AS79" s="587"/>
      <c r="AT79" s="187">
        <v>5</v>
      </c>
      <c r="AU79" s="187">
        <v>3264.4146589617917</v>
      </c>
      <c r="AV79" s="184">
        <f t="shared" si="31"/>
        <v>652.88293179235836</v>
      </c>
      <c r="AW79" s="181">
        <f t="shared" si="32"/>
        <v>22</v>
      </c>
      <c r="AX79" s="587"/>
    </row>
    <row r="80" spans="2:50" ht="14.25" customHeight="1">
      <c r="B80" s="586"/>
      <c r="C80" s="179">
        <v>32</v>
      </c>
      <c r="D80" s="182" t="s">
        <v>559</v>
      </c>
      <c r="E80" s="179">
        <v>4</v>
      </c>
      <c r="F80" s="179">
        <v>3000</v>
      </c>
      <c r="G80" s="184">
        <f t="shared" si="18"/>
        <v>750</v>
      </c>
      <c r="H80" s="588"/>
      <c r="I80" s="185">
        <f t="shared" ref="I80:K83" si="33">AVERAGE(P80,U80,Z80,AE80,AJ80,AO80,AT80)</f>
        <v>4</v>
      </c>
      <c r="J80" s="185">
        <f t="shared" si="33"/>
        <v>2738.9302334663175</v>
      </c>
      <c r="K80" s="186">
        <f t="shared" si="33"/>
        <v>684.73255836657938</v>
      </c>
      <c r="L80" s="589"/>
      <c r="M80" s="185">
        <f>RANK(K80, K$49:$K$85)</f>
        <v>20</v>
      </c>
      <c r="N80" s="590"/>
      <c r="O80" s="591"/>
      <c r="P80" s="187">
        <v>4</v>
      </c>
      <c r="Q80" s="187">
        <v>2736.3850913032716</v>
      </c>
      <c r="R80" s="184">
        <f t="shared" si="20"/>
        <v>684.09627282581789</v>
      </c>
      <c r="S80" s="181">
        <f t="shared" si="21"/>
        <v>20</v>
      </c>
      <c r="T80" s="587"/>
      <c r="U80" s="187">
        <v>4</v>
      </c>
      <c r="V80" s="187">
        <v>2736.6850913032717</v>
      </c>
      <c r="W80" s="184">
        <f t="shared" si="17"/>
        <v>684.17127282581794</v>
      </c>
      <c r="X80" s="181">
        <f t="shared" si="22"/>
        <v>20</v>
      </c>
      <c r="Y80" s="587"/>
      <c r="Z80" s="187">
        <v>4</v>
      </c>
      <c r="AA80" s="187">
        <v>2737.2850913032712</v>
      </c>
      <c r="AB80" s="184">
        <f t="shared" si="23"/>
        <v>684.3212728258178</v>
      </c>
      <c r="AC80" s="181">
        <f t="shared" si="24"/>
        <v>20</v>
      </c>
      <c r="AD80" s="587"/>
      <c r="AE80" s="187">
        <v>4</v>
      </c>
      <c r="AF80" s="187">
        <v>2737.5850913032709</v>
      </c>
      <c r="AG80" s="184">
        <f t="shared" si="25"/>
        <v>684.39627282581773</v>
      </c>
      <c r="AH80" s="181">
        <f t="shared" si="26"/>
        <v>20</v>
      </c>
      <c r="AI80" s="587"/>
      <c r="AJ80" s="187">
        <v>4</v>
      </c>
      <c r="AK80" s="187">
        <v>2741.0237563503788</v>
      </c>
      <c r="AL80" s="184">
        <f t="shared" si="27"/>
        <v>685.2559390875947</v>
      </c>
      <c r="AM80" s="181">
        <f t="shared" si="28"/>
        <v>19</v>
      </c>
      <c r="AN80" s="587"/>
      <c r="AO80" s="187">
        <v>4</v>
      </c>
      <c r="AP80" s="187">
        <v>2741.3237563503785</v>
      </c>
      <c r="AQ80" s="184">
        <f t="shared" si="29"/>
        <v>685.33093908759463</v>
      </c>
      <c r="AR80" s="181">
        <f t="shared" si="30"/>
        <v>20</v>
      </c>
      <c r="AS80" s="587"/>
      <c r="AT80" s="187">
        <v>4</v>
      </c>
      <c r="AU80" s="187">
        <v>2742.2237563503782</v>
      </c>
      <c r="AV80" s="184">
        <f t="shared" si="31"/>
        <v>685.55593908759454</v>
      </c>
      <c r="AW80" s="181">
        <f t="shared" si="32"/>
        <v>20</v>
      </c>
      <c r="AX80" s="587"/>
    </row>
    <row r="81" spans="1:50" ht="14.25" customHeight="1">
      <c r="B81" s="586"/>
      <c r="C81" s="179">
        <v>33</v>
      </c>
      <c r="D81" s="182" t="s">
        <v>560</v>
      </c>
      <c r="E81" s="179">
        <v>5</v>
      </c>
      <c r="F81" s="179">
        <v>3600</v>
      </c>
      <c r="G81" s="184">
        <f t="shared" si="18"/>
        <v>720</v>
      </c>
      <c r="H81" s="588"/>
      <c r="I81" s="185">
        <f t="shared" si="33"/>
        <v>5</v>
      </c>
      <c r="J81" s="185">
        <f t="shared" si="33"/>
        <v>3265.2733728110934</v>
      </c>
      <c r="K81" s="186">
        <f t="shared" si="33"/>
        <v>653.05467456221857</v>
      </c>
      <c r="L81" s="589"/>
      <c r="M81" s="185">
        <f>RANK(K81, K$49:$K$85)</f>
        <v>21</v>
      </c>
      <c r="N81" s="590"/>
      <c r="O81" s="591"/>
      <c r="P81" s="187">
        <v>5</v>
      </c>
      <c r="Q81" s="187">
        <v>3264.9813009844211</v>
      </c>
      <c r="R81" s="184">
        <f t="shared" si="20"/>
        <v>652.99626019688424</v>
      </c>
      <c r="S81" s="181">
        <f t="shared" si="21"/>
        <v>21</v>
      </c>
      <c r="T81" s="587"/>
      <c r="U81" s="187">
        <v>5</v>
      </c>
      <c r="V81" s="187">
        <v>3265.3413009844212</v>
      </c>
      <c r="W81" s="184">
        <f t="shared" si="17"/>
        <v>653.06826019688424</v>
      </c>
      <c r="X81" s="181">
        <f t="shared" si="22"/>
        <v>21</v>
      </c>
      <c r="Y81" s="587"/>
      <c r="Z81" s="187">
        <v>5</v>
      </c>
      <c r="AA81" s="187">
        <v>3266.7813009844222</v>
      </c>
      <c r="AB81" s="184">
        <f t="shared" si="23"/>
        <v>653.35626019688448</v>
      </c>
      <c r="AC81" s="181">
        <f t="shared" si="24"/>
        <v>21</v>
      </c>
      <c r="AD81" s="587"/>
      <c r="AE81" s="187">
        <v>5</v>
      </c>
      <c r="AF81" s="187">
        <v>3263.7177978418799</v>
      </c>
      <c r="AG81" s="184">
        <f t="shared" si="25"/>
        <v>652.74355956837599</v>
      </c>
      <c r="AH81" s="181">
        <f t="shared" si="26"/>
        <v>22</v>
      </c>
      <c r="AI81" s="587"/>
      <c r="AJ81" s="187">
        <v>5</v>
      </c>
      <c r="AK81" s="187">
        <v>3265.7323134124822</v>
      </c>
      <c r="AL81" s="184">
        <f t="shared" si="27"/>
        <v>653.14646268249646</v>
      </c>
      <c r="AM81" s="181">
        <f t="shared" si="28"/>
        <v>21</v>
      </c>
      <c r="AN81" s="587"/>
      <c r="AO81" s="187">
        <v>5</v>
      </c>
      <c r="AP81" s="187">
        <v>3265.7323134124822</v>
      </c>
      <c r="AQ81" s="184">
        <f t="shared" si="29"/>
        <v>653.14646268249646</v>
      </c>
      <c r="AR81" s="181">
        <f t="shared" si="30"/>
        <v>21</v>
      </c>
      <c r="AS81" s="587"/>
      <c r="AT81" s="187">
        <v>5</v>
      </c>
      <c r="AU81" s="187">
        <v>3264.6272820575418</v>
      </c>
      <c r="AV81" s="184">
        <f t="shared" si="31"/>
        <v>652.92545641150832</v>
      </c>
      <c r="AW81" s="181">
        <f t="shared" si="32"/>
        <v>21</v>
      </c>
      <c r="AX81" s="587"/>
    </row>
    <row r="82" spans="1:50" ht="14.25" customHeight="1">
      <c r="B82" s="586"/>
      <c r="C82" s="179">
        <v>34</v>
      </c>
      <c r="D82" s="182" t="s">
        <v>324</v>
      </c>
      <c r="E82" s="179">
        <v>3</v>
      </c>
      <c r="F82" s="179">
        <v>3000</v>
      </c>
      <c r="G82" s="184">
        <f t="shared" si="18"/>
        <v>1000</v>
      </c>
      <c r="H82" s="588"/>
      <c r="I82" s="185">
        <f t="shared" si="33"/>
        <v>3</v>
      </c>
      <c r="J82" s="185">
        <f t="shared" si="33"/>
        <v>2742.2258146724962</v>
      </c>
      <c r="K82" s="186">
        <f t="shared" si="33"/>
        <v>914.07527155749881</v>
      </c>
      <c r="L82" s="589"/>
      <c r="M82" s="185">
        <f>RANK(K82, K$49:$K$85)</f>
        <v>12</v>
      </c>
      <c r="N82" s="590"/>
      <c r="O82" s="591"/>
      <c r="P82" s="187">
        <v>3</v>
      </c>
      <c r="Q82" s="187">
        <v>2738.2401003867817</v>
      </c>
      <c r="R82" s="184">
        <f t="shared" si="20"/>
        <v>912.74670012892727</v>
      </c>
      <c r="S82" s="181">
        <f t="shared" si="21"/>
        <v>13</v>
      </c>
      <c r="T82" s="587"/>
      <c r="U82" s="187">
        <v>3</v>
      </c>
      <c r="V82" s="187">
        <v>2739.1401003867818</v>
      </c>
      <c r="W82" s="184">
        <f t="shared" si="17"/>
        <v>913.04670012892723</v>
      </c>
      <c r="X82" s="181">
        <f t="shared" si="22"/>
        <v>13</v>
      </c>
      <c r="Y82" s="587"/>
      <c r="Z82" s="187">
        <v>3</v>
      </c>
      <c r="AA82" s="187">
        <v>2740.0401003867814</v>
      </c>
      <c r="AB82" s="184">
        <f t="shared" si="23"/>
        <v>913.34670012892718</v>
      </c>
      <c r="AC82" s="181">
        <f t="shared" si="24"/>
        <v>13</v>
      </c>
      <c r="AD82" s="587"/>
      <c r="AE82" s="187">
        <v>3</v>
      </c>
      <c r="AF82" s="187">
        <v>2741.8401003867821</v>
      </c>
      <c r="AG82" s="184">
        <f t="shared" si="25"/>
        <v>913.94670012892732</v>
      </c>
      <c r="AH82" s="181">
        <f t="shared" si="26"/>
        <v>12</v>
      </c>
      <c r="AI82" s="587"/>
      <c r="AJ82" s="187">
        <v>3</v>
      </c>
      <c r="AK82" s="187">
        <v>2743.6401003867823</v>
      </c>
      <c r="AL82" s="184">
        <f t="shared" si="27"/>
        <v>914.54670012892745</v>
      </c>
      <c r="AM82" s="181">
        <f t="shared" si="28"/>
        <v>12</v>
      </c>
      <c r="AN82" s="587"/>
      <c r="AO82" s="187">
        <v>3</v>
      </c>
      <c r="AP82" s="187">
        <v>2745.4401003867824</v>
      </c>
      <c r="AQ82" s="184">
        <f t="shared" si="29"/>
        <v>915.14670012892748</v>
      </c>
      <c r="AR82" s="181">
        <f t="shared" si="30"/>
        <v>12</v>
      </c>
      <c r="AS82" s="587"/>
      <c r="AT82" s="187">
        <v>3</v>
      </c>
      <c r="AU82" s="187">
        <v>2747.2401003867826</v>
      </c>
      <c r="AV82" s="184">
        <f t="shared" si="31"/>
        <v>915.7467001289275</v>
      </c>
      <c r="AW82" s="181">
        <f t="shared" si="32"/>
        <v>11</v>
      </c>
      <c r="AX82" s="587"/>
    </row>
    <row r="83" spans="1:50" ht="14.25" customHeight="1">
      <c r="B83" s="586"/>
      <c r="C83" s="179">
        <v>35</v>
      </c>
      <c r="D83" s="182" t="s">
        <v>414</v>
      </c>
      <c r="E83" s="179">
        <v>12</v>
      </c>
      <c r="F83" s="179">
        <v>3600</v>
      </c>
      <c r="G83" s="184">
        <f t="shared" si="18"/>
        <v>300</v>
      </c>
      <c r="H83" s="588"/>
      <c r="I83" s="185">
        <f t="shared" si="33"/>
        <v>12</v>
      </c>
      <c r="J83" s="185">
        <f t="shared" si="33"/>
        <v>3120.8083842199399</v>
      </c>
      <c r="K83" s="186">
        <f t="shared" si="33"/>
        <v>260.06736535166164</v>
      </c>
      <c r="L83" s="589"/>
      <c r="M83" s="185">
        <f>RANK(K83, K$49:$K$85)</f>
        <v>35</v>
      </c>
      <c r="N83" s="590"/>
      <c r="O83" s="591"/>
      <c r="P83" s="187">
        <v>12</v>
      </c>
      <c r="Q83" s="187">
        <v>3123.5794291820803</v>
      </c>
      <c r="R83" s="184">
        <f t="shared" si="20"/>
        <v>260.29828576517338</v>
      </c>
      <c r="S83" s="181">
        <f t="shared" si="21"/>
        <v>34</v>
      </c>
      <c r="T83" s="587"/>
      <c r="U83" s="187">
        <v>12</v>
      </c>
      <c r="V83" s="187">
        <v>3121.5940871335451</v>
      </c>
      <c r="W83" s="184">
        <f t="shared" si="17"/>
        <v>260.1328405944621</v>
      </c>
      <c r="X83" s="181">
        <f t="shared" si="22"/>
        <v>35</v>
      </c>
      <c r="Y83" s="587"/>
      <c r="Z83" s="187">
        <v>12</v>
      </c>
      <c r="AA83" s="187">
        <v>3120.1540871335455</v>
      </c>
      <c r="AB83" s="184">
        <f t="shared" si="23"/>
        <v>260.01284059446215</v>
      </c>
      <c r="AC83" s="181">
        <f t="shared" si="24"/>
        <v>34</v>
      </c>
      <c r="AD83" s="587"/>
      <c r="AE83" s="187">
        <v>12</v>
      </c>
      <c r="AF83" s="187">
        <v>3120.1540871335465</v>
      </c>
      <c r="AG83" s="184">
        <f t="shared" si="25"/>
        <v>260.0128405944622</v>
      </c>
      <c r="AH83" s="181">
        <f t="shared" si="26"/>
        <v>35</v>
      </c>
      <c r="AI83" s="587"/>
      <c r="AJ83" s="187">
        <v>12</v>
      </c>
      <c r="AK83" s="187">
        <v>3120.1789996522871</v>
      </c>
      <c r="AL83" s="184">
        <f t="shared" si="27"/>
        <v>260.01491663769059</v>
      </c>
      <c r="AM83" s="181">
        <f t="shared" si="28"/>
        <v>35</v>
      </c>
      <c r="AN83" s="587"/>
      <c r="AO83" s="187">
        <v>12</v>
      </c>
      <c r="AP83" s="187">
        <v>3119.8189996522869</v>
      </c>
      <c r="AQ83" s="184">
        <f t="shared" si="29"/>
        <v>259.98491663769056</v>
      </c>
      <c r="AR83" s="181">
        <f t="shared" si="30"/>
        <v>35</v>
      </c>
      <c r="AS83" s="587"/>
      <c r="AT83" s="187">
        <v>12</v>
      </c>
      <c r="AU83" s="187">
        <v>3120.1789996522862</v>
      </c>
      <c r="AV83" s="184">
        <f t="shared" si="31"/>
        <v>260.01491663769053</v>
      </c>
      <c r="AW83" s="181">
        <f t="shared" si="32"/>
        <v>34</v>
      </c>
      <c r="AX83" s="587"/>
    </row>
    <row r="84" spans="1:50" ht="14.25" customHeight="1">
      <c r="B84" s="586"/>
      <c r="C84" s="179">
        <v>36</v>
      </c>
      <c r="D84" s="182"/>
      <c r="E84" s="179"/>
      <c r="F84" s="179"/>
      <c r="G84" s="184"/>
      <c r="H84" s="588"/>
      <c r="I84" s="185"/>
      <c r="J84" s="185"/>
      <c r="K84" s="186"/>
      <c r="L84" s="589"/>
      <c r="M84" s="185"/>
      <c r="N84" s="590"/>
      <c r="O84" s="591"/>
      <c r="P84" s="187"/>
      <c r="Q84" s="187"/>
      <c r="R84" s="184"/>
      <c r="S84" s="181"/>
      <c r="T84" s="587"/>
      <c r="U84" s="187"/>
      <c r="V84" s="187"/>
      <c r="W84" s="184"/>
      <c r="X84" s="181"/>
      <c r="Y84" s="587"/>
      <c r="Z84" s="187"/>
      <c r="AA84" s="187"/>
      <c r="AB84" s="184"/>
      <c r="AC84" s="181"/>
      <c r="AD84" s="587"/>
      <c r="AE84" s="187"/>
      <c r="AF84" s="187"/>
      <c r="AG84" s="184"/>
      <c r="AH84" s="181"/>
      <c r="AI84" s="587"/>
      <c r="AJ84" s="187"/>
      <c r="AK84" s="187"/>
      <c r="AL84" s="184"/>
      <c r="AM84" s="181"/>
      <c r="AN84" s="587"/>
      <c r="AO84" s="187"/>
      <c r="AP84" s="187"/>
      <c r="AQ84" s="184"/>
      <c r="AR84" s="181"/>
      <c r="AS84" s="587"/>
      <c r="AT84" s="187"/>
      <c r="AU84" s="187"/>
      <c r="AV84" s="184"/>
      <c r="AW84" s="181"/>
      <c r="AX84" s="587"/>
    </row>
    <row r="85" spans="1:50" ht="14.25" customHeight="1">
      <c r="B85" s="586"/>
      <c r="C85" s="179">
        <v>37</v>
      </c>
      <c r="D85" s="182"/>
      <c r="E85" s="179"/>
      <c r="F85" s="179"/>
      <c r="G85" s="184"/>
      <c r="H85" s="588"/>
      <c r="I85" s="185"/>
      <c r="J85" s="185"/>
      <c r="K85" s="186"/>
      <c r="L85" s="589"/>
      <c r="M85" s="185"/>
      <c r="N85" s="590"/>
      <c r="O85" s="591"/>
      <c r="P85" s="187"/>
      <c r="Q85" s="187"/>
      <c r="R85" s="184"/>
      <c r="S85" s="181"/>
      <c r="T85" s="587"/>
      <c r="U85" s="187"/>
      <c r="V85" s="187"/>
      <c r="W85" s="184"/>
      <c r="X85" s="181"/>
      <c r="Y85" s="587"/>
      <c r="Z85" s="187"/>
      <c r="AA85" s="187"/>
      <c r="AB85" s="184"/>
      <c r="AC85" s="181"/>
      <c r="AD85" s="587"/>
      <c r="AE85" s="187"/>
      <c r="AF85" s="187"/>
      <c r="AG85" s="184"/>
      <c r="AH85" s="181"/>
      <c r="AI85" s="587"/>
      <c r="AJ85" s="187"/>
      <c r="AK85" s="187"/>
      <c r="AL85" s="184"/>
      <c r="AM85" s="181"/>
      <c r="AN85" s="587"/>
      <c r="AO85" s="187"/>
      <c r="AP85" s="187"/>
      <c r="AQ85" s="184"/>
      <c r="AR85" s="181"/>
      <c r="AS85" s="587"/>
      <c r="AT85" s="187"/>
      <c r="AU85" s="187"/>
      <c r="AV85" s="184"/>
      <c r="AW85" s="181"/>
      <c r="AX85" s="587"/>
    </row>
    <row r="86" spans="1:50" ht="14.25" customHeight="1">
      <c r="B86" s="593" t="s">
        <v>711</v>
      </c>
      <c r="C86" s="594"/>
      <c r="D86" s="594"/>
      <c r="E86" s="594"/>
      <c r="F86" s="594"/>
      <c r="G86" s="594"/>
      <c r="H86" s="594"/>
      <c r="I86" s="594"/>
      <c r="J86" s="594"/>
      <c r="K86" s="594"/>
      <c r="L86" s="594"/>
      <c r="M86" s="595"/>
      <c r="N86" s="598" t="s">
        <v>341</v>
      </c>
      <c r="O86" s="598" t="s">
        <v>105</v>
      </c>
      <c r="P86" s="600">
        <v>46245</v>
      </c>
      <c r="Q86" s="601"/>
      <c r="R86" s="601"/>
      <c r="S86" s="601"/>
      <c r="T86" s="601"/>
      <c r="U86" s="602">
        <v>46246</v>
      </c>
      <c r="V86" s="603"/>
      <c r="W86" s="603"/>
      <c r="X86" s="603"/>
      <c r="Y86" s="603"/>
      <c r="Z86" s="600">
        <v>46247</v>
      </c>
      <c r="AA86" s="601"/>
      <c r="AB86" s="601"/>
      <c r="AC86" s="601"/>
      <c r="AD86" s="601"/>
      <c r="AE86" s="602">
        <v>46248</v>
      </c>
      <c r="AF86" s="603"/>
      <c r="AG86" s="603"/>
      <c r="AH86" s="603"/>
      <c r="AI86" s="603"/>
      <c r="AJ86" s="609">
        <v>46249</v>
      </c>
      <c r="AK86" s="610"/>
      <c r="AL86" s="610"/>
      <c r="AM86" s="610"/>
      <c r="AN86" s="611"/>
      <c r="AO86" s="602">
        <v>46250</v>
      </c>
      <c r="AP86" s="603"/>
      <c r="AQ86" s="603"/>
      <c r="AR86" s="603"/>
      <c r="AS86" s="603"/>
      <c r="AT86" s="609">
        <v>46251</v>
      </c>
      <c r="AU86" s="610"/>
      <c r="AV86" s="610"/>
      <c r="AW86" s="610"/>
      <c r="AX86" s="611"/>
    </row>
    <row r="87" spans="1:50" ht="14.25" customHeight="1">
      <c r="B87" s="596"/>
      <c r="C87" s="596"/>
      <c r="D87" s="596"/>
      <c r="E87" s="596"/>
      <c r="F87" s="596"/>
      <c r="G87" s="596"/>
      <c r="H87" s="596"/>
      <c r="I87" s="596"/>
      <c r="J87" s="596"/>
      <c r="K87" s="596"/>
      <c r="L87" s="596"/>
      <c r="M87" s="597"/>
      <c r="N87" s="599"/>
      <c r="O87" s="599"/>
      <c r="P87" s="604">
        <v>46196</v>
      </c>
      <c r="Q87" s="604"/>
      <c r="R87" s="604"/>
      <c r="S87" s="604"/>
      <c r="T87" s="604"/>
      <c r="U87" s="605">
        <v>46197</v>
      </c>
      <c r="V87" s="605"/>
      <c r="W87" s="605"/>
      <c r="X87" s="605"/>
      <c r="Y87" s="605"/>
      <c r="Z87" s="604">
        <v>46198</v>
      </c>
      <c r="AA87" s="604"/>
      <c r="AB87" s="604"/>
      <c r="AC87" s="604"/>
      <c r="AD87" s="604"/>
      <c r="AE87" s="605">
        <v>46199</v>
      </c>
      <c r="AF87" s="605"/>
      <c r="AG87" s="605"/>
      <c r="AH87" s="605"/>
      <c r="AI87" s="605"/>
      <c r="AJ87" s="606">
        <v>46200</v>
      </c>
      <c r="AK87" s="607"/>
      <c r="AL87" s="607"/>
      <c r="AM87" s="607"/>
      <c r="AN87" s="608"/>
      <c r="AO87" s="605">
        <v>46201</v>
      </c>
      <c r="AP87" s="605"/>
      <c r="AQ87" s="605"/>
      <c r="AR87" s="605"/>
      <c r="AS87" s="605"/>
      <c r="AT87" s="606">
        <v>46202</v>
      </c>
      <c r="AU87" s="607"/>
      <c r="AV87" s="607"/>
      <c r="AW87" s="607"/>
      <c r="AX87" s="608"/>
    </row>
    <row r="88" spans="1:50" ht="14.25" customHeight="1">
      <c r="B88" s="586" t="s">
        <v>162</v>
      </c>
      <c r="C88" s="586" t="s">
        <v>157</v>
      </c>
      <c r="D88" s="586"/>
      <c r="E88" s="586" t="s">
        <v>158</v>
      </c>
      <c r="F88" s="586"/>
      <c r="G88" s="586"/>
      <c r="H88" s="586" t="s">
        <v>163</v>
      </c>
      <c r="I88" s="592" t="s">
        <v>342</v>
      </c>
      <c r="J88" s="592"/>
      <c r="K88" s="592"/>
      <c r="L88" s="592" t="s">
        <v>163</v>
      </c>
      <c r="M88" s="592" t="s">
        <v>165</v>
      </c>
      <c r="N88" s="590"/>
      <c r="O88" s="591" t="s">
        <v>164</v>
      </c>
      <c r="P88" s="591" t="s">
        <v>160</v>
      </c>
      <c r="Q88" s="591"/>
      <c r="R88" s="591"/>
      <c r="S88" s="591"/>
      <c r="T88" s="591" t="s">
        <v>163</v>
      </c>
      <c r="U88" s="591" t="s">
        <v>160</v>
      </c>
      <c r="V88" s="591"/>
      <c r="W88" s="591"/>
      <c r="X88" s="591"/>
      <c r="Y88" s="591" t="s">
        <v>163</v>
      </c>
      <c r="Z88" s="591" t="s">
        <v>160</v>
      </c>
      <c r="AA88" s="591"/>
      <c r="AB88" s="591"/>
      <c r="AC88" s="591"/>
      <c r="AD88" s="591" t="s">
        <v>163</v>
      </c>
      <c r="AE88" s="591" t="s">
        <v>160</v>
      </c>
      <c r="AF88" s="591"/>
      <c r="AG88" s="591"/>
      <c r="AH88" s="591"/>
      <c r="AI88" s="591" t="s">
        <v>163</v>
      </c>
      <c r="AJ88" s="591" t="s">
        <v>160</v>
      </c>
      <c r="AK88" s="591"/>
      <c r="AL88" s="591"/>
      <c r="AM88" s="591"/>
      <c r="AN88" s="591" t="s">
        <v>163</v>
      </c>
      <c r="AO88" s="591" t="s">
        <v>160</v>
      </c>
      <c r="AP88" s="591"/>
      <c r="AQ88" s="591"/>
      <c r="AR88" s="591"/>
      <c r="AS88" s="591" t="s">
        <v>163</v>
      </c>
      <c r="AT88" s="591" t="s">
        <v>160</v>
      </c>
      <c r="AU88" s="591"/>
      <c r="AV88" s="591"/>
      <c r="AW88" s="591"/>
      <c r="AX88" s="591" t="s">
        <v>163</v>
      </c>
    </row>
    <row r="89" spans="1:50" ht="14.25" customHeight="1">
      <c r="B89" s="586"/>
      <c r="C89" s="586"/>
      <c r="D89" s="586"/>
      <c r="E89" s="586" t="s">
        <v>343</v>
      </c>
      <c r="F89" s="586"/>
      <c r="G89" s="586"/>
      <c r="H89" s="586"/>
      <c r="I89" s="592" t="s">
        <v>343</v>
      </c>
      <c r="J89" s="592"/>
      <c r="K89" s="592"/>
      <c r="L89" s="592"/>
      <c r="M89" s="592"/>
      <c r="N89" s="590"/>
      <c r="O89" s="591"/>
      <c r="P89" s="591" t="s">
        <v>344</v>
      </c>
      <c r="Q89" s="591"/>
      <c r="R89" s="591"/>
      <c r="S89" s="591"/>
      <c r="T89" s="591"/>
      <c r="U89" s="591" t="s">
        <v>344</v>
      </c>
      <c r="V89" s="591"/>
      <c r="W89" s="591"/>
      <c r="X89" s="591"/>
      <c r="Y89" s="591"/>
      <c r="Z89" s="591" t="s">
        <v>344</v>
      </c>
      <c r="AA89" s="591"/>
      <c r="AB89" s="591"/>
      <c r="AC89" s="591"/>
      <c r="AD89" s="591"/>
      <c r="AE89" s="591" t="s">
        <v>344</v>
      </c>
      <c r="AF89" s="591"/>
      <c r="AG89" s="591"/>
      <c r="AH89" s="591"/>
      <c r="AI89" s="591"/>
      <c r="AJ89" s="591" t="s">
        <v>344</v>
      </c>
      <c r="AK89" s="591"/>
      <c r="AL89" s="591"/>
      <c r="AM89" s="591"/>
      <c r="AN89" s="591"/>
      <c r="AO89" s="591" t="s">
        <v>344</v>
      </c>
      <c r="AP89" s="591"/>
      <c r="AQ89" s="591"/>
      <c r="AR89" s="591"/>
      <c r="AS89" s="591"/>
      <c r="AT89" s="591" t="s">
        <v>344</v>
      </c>
      <c r="AU89" s="591"/>
      <c r="AV89" s="591"/>
      <c r="AW89" s="591"/>
      <c r="AX89" s="591"/>
    </row>
    <row r="90" spans="1:50" ht="14.25" customHeight="1">
      <c r="A90" s="176"/>
      <c r="B90" s="586"/>
      <c r="C90" s="586"/>
      <c r="D90" s="586"/>
      <c r="E90" s="179" t="s">
        <v>159</v>
      </c>
      <c r="F90" s="179" t="s">
        <v>345</v>
      </c>
      <c r="G90" s="179" t="s">
        <v>161</v>
      </c>
      <c r="H90" s="586"/>
      <c r="I90" s="180" t="s">
        <v>159</v>
      </c>
      <c r="J90" s="180" t="s">
        <v>345</v>
      </c>
      <c r="K90" s="180" t="s">
        <v>161</v>
      </c>
      <c r="L90" s="592"/>
      <c r="M90" s="592"/>
      <c r="N90" s="590"/>
      <c r="O90" s="591"/>
      <c r="P90" s="181" t="s">
        <v>159</v>
      </c>
      <c r="Q90" s="181" t="s">
        <v>345</v>
      </c>
      <c r="R90" s="181" t="s">
        <v>161</v>
      </c>
      <c r="S90" s="181" t="s">
        <v>165</v>
      </c>
      <c r="T90" s="591"/>
      <c r="U90" s="181" t="s">
        <v>159</v>
      </c>
      <c r="V90" s="181" t="s">
        <v>345</v>
      </c>
      <c r="W90" s="181" t="s">
        <v>161</v>
      </c>
      <c r="X90" s="181" t="s">
        <v>165</v>
      </c>
      <c r="Y90" s="591"/>
      <c r="Z90" s="181" t="s">
        <v>159</v>
      </c>
      <c r="AA90" s="181" t="s">
        <v>345</v>
      </c>
      <c r="AB90" s="181" t="s">
        <v>161</v>
      </c>
      <c r="AC90" s="181" t="s">
        <v>165</v>
      </c>
      <c r="AD90" s="591"/>
      <c r="AE90" s="181" t="s">
        <v>159</v>
      </c>
      <c r="AF90" s="181" t="s">
        <v>345</v>
      </c>
      <c r="AG90" s="181" t="s">
        <v>161</v>
      </c>
      <c r="AH90" s="181" t="s">
        <v>165</v>
      </c>
      <c r="AI90" s="591"/>
      <c r="AJ90" s="181" t="s">
        <v>159</v>
      </c>
      <c r="AK90" s="181" t="s">
        <v>345</v>
      </c>
      <c r="AL90" s="181" t="s">
        <v>161</v>
      </c>
      <c r="AM90" s="181" t="s">
        <v>165</v>
      </c>
      <c r="AN90" s="591"/>
      <c r="AO90" s="181" t="s">
        <v>159</v>
      </c>
      <c r="AP90" s="181" t="s">
        <v>345</v>
      </c>
      <c r="AQ90" s="181" t="s">
        <v>161</v>
      </c>
      <c r="AR90" s="181" t="s">
        <v>165</v>
      </c>
      <c r="AS90" s="591"/>
      <c r="AT90" s="181" t="s">
        <v>159</v>
      </c>
      <c r="AU90" s="181" t="s">
        <v>345</v>
      </c>
      <c r="AV90" s="181" t="s">
        <v>161</v>
      </c>
      <c r="AW90" s="181" t="s">
        <v>165</v>
      </c>
      <c r="AX90" s="591"/>
    </row>
    <row r="91" spans="1:50" ht="14.25" customHeight="1">
      <c r="B91" s="586" t="s">
        <v>346</v>
      </c>
      <c r="C91" s="179">
        <v>1</v>
      </c>
      <c r="D91" s="182" t="s">
        <v>371</v>
      </c>
      <c r="E91" s="183">
        <v>4</v>
      </c>
      <c r="F91" s="179">
        <v>3300</v>
      </c>
      <c r="G91" s="184">
        <f>IFERROR(F91/E91,"")</f>
        <v>825</v>
      </c>
      <c r="H91" s="588">
        <f>AVERAGE(G91:G127)</f>
        <v>869.85294117647061</v>
      </c>
      <c r="I91" s="185">
        <f>AVERAGE(P91,U91,Z91,AE91,AJ91,AO91,AT91)</f>
        <v>4</v>
      </c>
      <c r="J91" s="185">
        <f>AVERAGE(Q91,V91,AA91,AF91,AK91,AP91,AU91)</f>
        <v>3020.7126116670865</v>
      </c>
      <c r="K91" s="186">
        <f>AVERAGE(R91,W91,AB91,AG91,AL91,AQ91,AV91)</f>
        <v>755.17815291677164</v>
      </c>
      <c r="L91" s="589">
        <f>IFERROR(AVERAGE(K91:K127),"-")</f>
        <v>785.80801145408623</v>
      </c>
      <c r="M91" s="185">
        <f>RANK(K91, K$91:$K$127)</f>
        <v>17</v>
      </c>
      <c r="N91" s="590"/>
      <c r="O91" s="591"/>
      <c r="P91" s="187">
        <v>4</v>
      </c>
      <c r="Q91" s="187">
        <v>3016.75295764166</v>
      </c>
      <c r="R91" s="184">
        <f>IFERROR(Q91/P91,"")</f>
        <v>754.18823941041501</v>
      </c>
      <c r="S91" s="181">
        <f>RANK(R91, R$91:R$127)</f>
        <v>18</v>
      </c>
      <c r="T91" s="587">
        <f>AVERAGE(R91:R127)</f>
        <v>784.97644706373353</v>
      </c>
      <c r="U91" s="187">
        <v>4</v>
      </c>
      <c r="V91" s="187">
        <v>3018.787554004658</v>
      </c>
      <c r="W91" s="184">
        <f t="shared" ref="W91:W124" si="34">IFERROR(V91/U91,"")</f>
        <v>754.69688850116449</v>
      </c>
      <c r="X91" s="181">
        <f>RANK(W91, W$91:W$127)</f>
        <v>17</v>
      </c>
      <c r="Y91" s="587">
        <f>AVERAGE(W91:W127)</f>
        <v>785.23837607748294</v>
      </c>
      <c r="Z91" s="187">
        <v>4</v>
      </c>
      <c r="AA91" s="187">
        <v>3019.7775540046582</v>
      </c>
      <c r="AB91" s="184">
        <f>IFERROR(AA91/Z91,"")</f>
        <v>754.94438850116455</v>
      </c>
      <c r="AC91" s="181">
        <f>RANK(AB91, AB$91:AB$127)</f>
        <v>17</v>
      </c>
      <c r="AD91" s="587">
        <f>AVERAGE(AB91:AB127)</f>
        <v>785.5230127720622</v>
      </c>
      <c r="AE91" s="187">
        <v>4</v>
      </c>
      <c r="AF91" s="187">
        <v>3021.4275540046574</v>
      </c>
      <c r="AG91" s="184">
        <f>IFERROR(AF91/AE91,"")</f>
        <v>755.35688850116435</v>
      </c>
      <c r="AH91" s="181">
        <f>RANK(AG91, AG$91:AG$127)</f>
        <v>17</v>
      </c>
      <c r="AI91" s="587">
        <f>AVERAGE(AG91:AG127)</f>
        <v>785.79962909799372</v>
      </c>
      <c r="AJ91" s="187">
        <v>4</v>
      </c>
      <c r="AK91" s="187">
        <v>3022.0875540046572</v>
      </c>
      <c r="AL91" s="184">
        <f>IFERROR(AK91/AJ91,"")</f>
        <v>755.52188850116431</v>
      </c>
      <c r="AM91" s="181">
        <f>RANK(AL91, AL$91:AL$127)</f>
        <v>17</v>
      </c>
      <c r="AN91" s="587">
        <f>AVERAGE(AL91:AL127)</f>
        <v>786.09709678955892</v>
      </c>
      <c r="AO91" s="187">
        <v>4</v>
      </c>
      <c r="AP91" s="187">
        <v>3022.4175540046572</v>
      </c>
      <c r="AQ91" s="184">
        <f>IFERROR(AP91/AO91,"")</f>
        <v>755.60438850116429</v>
      </c>
      <c r="AR91" s="181">
        <f>RANK(AQ91, AQ$91:AQ$127)</f>
        <v>18</v>
      </c>
      <c r="AS91" s="587">
        <f>AVERAGE(AQ91:AQ127)</f>
        <v>786.38512292696259</v>
      </c>
      <c r="AT91" s="187">
        <v>4</v>
      </c>
      <c r="AU91" s="187">
        <v>3023.7375540046569</v>
      </c>
      <c r="AV91" s="184">
        <f>IFERROR(AU91/AT91,"")</f>
        <v>755.93438850116422</v>
      </c>
      <c r="AW91" s="181">
        <f>RANK(AV91, AV$91:AV$127)</f>
        <v>18</v>
      </c>
      <c r="AX91" s="587">
        <f>AVERAGE(AV91:AV127)</f>
        <v>786.63639545080912</v>
      </c>
    </row>
    <row r="92" spans="1:50" ht="14.25" customHeight="1">
      <c r="B92" s="586"/>
      <c r="C92" s="179">
        <v>2</v>
      </c>
      <c r="D92" s="182" t="s">
        <v>369</v>
      </c>
      <c r="E92" s="183">
        <v>3</v>
      </c>
      <c r="F92" s="179">
        <v>3600</v>
      </c>
      <c r="G92" s="184">
        <f t="shared" ref="G92:G124" si="35">IFERROR(F92/E92,"")</f>
        <v>1200</v>
      </c>
      <c r="H92" s="588"/>
      <c r="I92" s="185">
        <f t="shared" ref="I92:K121" si="36">AVERAGE(P92,U92,Z92,AE92,AJ92,AO92,AT92)</f>
        <v>3</v>
      </c>
      <c r="J92" s="185">
        <f t="shared" si="36"/>
        <v>3227.4080940334056</v>
      </c>
      <c r="K92" s="186">
        <f t="shared" si="36"/>
        <v>1075.8026980111354</v>
      </c>
      <c r="L92" s="589"/>
      <c r="M92" s="185">
        <f>RANK(K92, K$91:$K$127)</f>
        <v>1</v>
      </c>
      <c r="N92" s="590"/>
      <c r="O92" s="591"/>
      <c r="P92" s="187">
        <v>3</v>
      </c>
      <c r="Q92" s="187">
        <v>3222.6252368905489</v>
      </c>
      <c r="R92" s="184">
        <f t="shared" ref="R92:R124" si="37">IFERROR(Q92/P92,"")</f>
        <v>1074.2084122968497</v>
      </c>
      <c r="S92" s="181">
        <f t="shared" ref="S92:S124" si="38">RANK(R92, R$91:R$127)</f>
        <v>3</v>
      </c>
      <c r="T92" s="587"/>
      <c r="U92" s="187">
        <v>3</v>
      </c>
      <c r="V92" s="187">
        <v>3224.0652368905489</v>
      </c>
      <c r="W92" s="184">
        <f t="shared" si="34"/>
        <v>1074.6884122968497</v>
      </c>
      <c r="X92" s="181">
        <f t="shared" ref="X92:X124" si="39">RANK(W92, W$91:W$127)</f>
        <v>3</v>
      </c>
      <c r="Y92" s="587"/>
      <c r="Z92" s="187">
        <v>3</v>
      </c>
      <c r="AA92" s="187">
        <v>3225.505236890549</v>
      </c>
      <c r="AB92" s="184">
        <f t="shared" ref="AB92:AB124" si="40">IFERROR(AA92/Z92,"")</f>
        <v>1075.1684122968497</v>
      </c>
      <c r="AC92" s="181">
        <f t="shared" ref="AC92:AC124" si="41">RANK(AB92, AB$91:AB$127)</f>
        <v>3</v>
      </c>
      <c r="AD92" s="587"/>
      <c r="AE92" s="187">
        <v>3</v>
      </c>
      <c r="AF92" s="187">
        <v>3227.3052368905487</v>
      </c>
      <c r="AG92" s="184">
        <f t="shared" ref="AG92:AG124" si="42">IFERROR(AF92/AE92,"")</f>
        <v>1075.7684122968496</v>
      </c>
      <c r="AH92" s="181">
        <f t="shared" ref="AH92:AH124" si="43">RANK(AG92, AG$91:AG$127)</f>
        <v>1</v>
      </c>
      <c r="AI92" s="587"/>
      <c r="AJ92" s="187">
        <v>3</v>
      </c>
      <c r="AK92" s="187">
        <v>3229.4652368905486</v>
      </c>
      <c r="AL92" s="184">
        <f t="shared" ref="AL92:AL124" si="44">IFERROR(AK92/AJ92,"")</f>
        <v>1076.4884122968494</v>
      </c>
      <c r="AM92" s="181">
        <f t="shared" ref="AM92:AM124" si="45">RANK(AL92, AL$91:AL$127)</f>
        <v>1</v>
      </c>
      <c r="AN92" s="587"/>
      <c r="AO92" s="187">
        <v>3</v>
      </c>
      <c r="AP92" s="187">
        <v>3231.2652368905483</v>
      </c>
      <c r="AQ92" s="184">
        <f t="shared" ref="AQ92:AQ124" si="46">IFERROR(AP92/AO92,"")</f>
        <v>1077.0884122968494</v>
      </c>
      <c r="AR92" s="181">
        <f t="shared" ref="AR92:AR124" si="47">RANK(AQ92, AQ$91:AQ$127)</f>
        <v>1</v>
      </c>
      <c r="AS92" s="587"/>
      <c r="AT92" s="187">
        <v>3</v>
      </c>
      <c r="AU92" s="187">
        <v>3231.6252368905484</v>
      </c>
      <c r="AV92" s="184">
        <f t="shared" ref="AV92:AV124" si="48">IFERROR(AU92/AT92,"")</f>
        <v>1077.2084122968495</v>
      </c>
      <c r="AW92" s="181">
        <f t="shared" ref="AW92:AW124" si="49">RANK(AV92, AV$91:AV$127)</f>
        <v>1</v>
      </c>
      <c r="AX92" s="587"/>
    </row>
    <row r="93" spans="1:50" ht="14.25" customHeight="1">
      <c r="B93" s="586"/>
      <c r="C93" s="179">
        <v>3</v>
      </c>
      <c r="D93" s="182" t="s">
        <v>370</v>
      </c>
      <c r="E93" s="183">
        <v>5</v>
      </c>
      <c r="F93" s="179">
        <v>3600</v>
      </c>
      <c r="G93" s="184">
        <f t="shared" si="35"/>
        <v>720</v>
      </c>
      <c r="H93" s="588"/>
      <c r="I93" s="185">
        <f t="shared" si="36"/>
        <v>5</v>
      </c>
      <c r="J93" s="185">
        <f t="shared" si="36"/>
        <v>3222.5416525083574</v>
      </c>
      <c r="K93" s="186">
        <f t="shared" si="36"/>
        <v>644.50833050167148</v>
      </c>
      <c r="L93" s="589"/>
      <c r="M93" s="185">
        <f>RANK(K93, K$91:$K$127)</f>
        <v>29</v>
      </c>
      <c r="N93" s="590"/>
      <c r="O93" s="591"/>
      <c r="P93" s="187">
        <v>5</v>
      </c>
      <c r="Q93" s="187">
        <v>3218.4273667940724</v>
      </c>
      <c r="R93" s="184">
        <f t="shared" si="37"/>
        <v>643.68547335881453</v>
      </c>
      <c r="S93" s="181">
        <f t="shared" si="38"/>
        <v>29</v>
      </c>
      <c r="T93" s="587"/>
      <c r="U93" s="187">
        <v>5</v>
      </c>
      <c r="V93" s="187">
        <v>3219.8673667940725</v>
      </c>
      <c r="W93" s="184">
        <f t="shared" si="34"/>
        <v>643.97347335881454</v>
      </c>
      <c r="X93" s="181">
        <f t="shared" si="39"/>
        <v>29</v>
      </c>
      <c r="Y93" s="587"/>
      <c r="Z93" s="187">
        <v>5</v>
      </c>
      <c r="AA93" s="187">
        <v>3221.3073667940721</v>
      </c>
      <c r="AB93" s="184">
        <f t="shared" si="40"/>
        <v>644.26147335881444</v>
      </c>
      <c r="AC93" s="181">
        <f t="shared" si="41"/>
        <v>29</v>
      </c>
      <c r="AD93" s="587"/>
      <c r="AE93" s="187">
        <v>5</v>
      </c>
      <c r="AF93" s="187">
        <v>3222.7473667940717</v>
      </c>
      <c r="AG93" s="184">
        <f t="shared" si="42"/>
        <v>644.54947335881434</v>
      </c>
      <c r="AH93" s="181">
        <f t="shared" si="43"/>
        <v>29</v>
      </c>
      <c r="AI93" s="587"/>
      <c r="AJ93" s="187">
        <v>5</v>
      </c>
      <c r="AK93" s="187">
        <v>3224.5473667940714</v>
      </c>
      <c r="AL93" s="184">
        <f t="shared" si="44"/>
        <v>644.90947335881424</v>
      </c>
      <c r="AM93" s="181">
        <f t="shared" si="45"/>
        <v>29</v>
      </c>
      <c r="AN93" s="587"/>
      <c r="AO93" s="187">
        <v>5</v>
      </c>
      <c r="AP93" s="187">
        <v>3224.9073667940711</v>
      </c>
      <c r="AQ93" s="184">
        <f t="shared" si="46"/>
        <v>644.98147335881424</v>
      </c>
      <c r="AR93" s="181">
        <f t="shared" si="47"/>
        <v>29</v>
      </c>
      <c r="AS93" s="587"/>
      <c r="AT93" s="187">
        <v>5</v>
      </c>
      <c r="AU93" s="187">
        <v>3225.9873667940715</v>
      </c>
      <c r="AV93" s="184">
        <f t="shared" si="48"/>
        <v>645.19747335881425</v>
      </c>
      <c r="AW93" s="181">
        <f t="shared" si="49"/>
        <v>29</v>
      </c>
      <c r="AX93" s="587"/>
    </row>
    <row r="94" spans="1:50" ht="14.25" customHeight="1">
      <c r="B94" s="586"/>
      <c r="C94" s="179">
        <v>4</v>
      </c>
      <c r="D94" s="182" t="s">
        <v>212</v>
      </c>
      <c r="E94" s="183">
        <v>5</v>
      </c>
      <c r="F94" s="179">
        <v>3300</v>
      </c>
      <c r="G94" s="184">
        <f t="shared" si="35"/>
        <v>660</v>
      </c>
      <c r="H94" s="588"/>
      <c r="I94" s="185">
        <f t="shared" si="36"/>
        <v>5</v>
      </c>
      <c r="J94" s="185">
        <f t="shared" si="36"/>
        <v>3022.9698070850159</v>
      </c>
      <c r="K94" s="186">
        <f t="shared" si="36"/>
        <v>604.59396141700313</v>
      </c>
      <c r="L94" s="589"/>
      <c r="M94" s="185">
        <f>RANK(K94, K$91:$K$127)</f>
        <v>30</v>
      </c>
      <c r="N94" s="590"/>
      <c r="O94" s="591"/>
      <c r="P94" s="187">
        <v>5</v>
      </c>
      <c r="Q94" s="187">
        <v>3019.3398070850158</v>
      </c>
      <c r="R94" s="184">
        <f t="shared" si="37"/>
        <v>603.86796141700313</v>
      </c>
      <c r="S94" s="181">
        <f t="shared" si="38"/>
        <v>30</v>
      </c>
      <c r="T94" s="587"/>
      <c r="U94" s="187">
        <v>5</v>
      </c>
      <c r="V94" s="187">
        <v>3021.3198070850158</v>
      </c>
      <c r="W94" s="184">
        <f t="shared" si="34"/>
        <v>604.2639614170032</v>
      </c>
      <c r="X94" s="181">
        <f t="shared" si="39"/>
        <v>30</v>
      </c>
      <c r="Y94" s="587"/>
      <c r="Z94" s="187">
        <v>5</v>
      </c>
      <c r="AA94" s="187">
        <v>3022.309807085016</v>
      </c>
      <c r="AB94" s="184">
        <f t="shared" si="40"/>
        <v>604.46196141700318</v>
      </c>
      <c r="AC94" s="181">
        <f t="shared" si="41"/>
        <v>30</v>
      </c>
      <c r="AD94" s="587"/>
      <c r="AE94" s="187">
        <v>5</v>
      </c>
      <c r="AF94" s="187">
        <v>3023.6298070850162</v>
      </c>
      <c r="AG94" s="184">
        <f t="shared" si="42"/>
        <v>604.72596141700319</v>
      </c>
      <c r="AH94" s="181">
        <f t="shared" si="43"/>
        <v>30</v>
      </c>
      <c r="AI94" s="587"/>
      <c r="AJ94" s="187">
        <v>5</v>
      </c>
      <c r="AK94" s="187">
        <v>3023.9598070850152</v>
      </c>
      <c r="AL94" s="184">
        <f t="shared" si="44"/>
        <v>604.79196141700299</v>
      </c>
      <c r="AM94" s="181">
        <f t="shared" si="45"/>
        <v>30</v>
      </c>
      <c r="AN94" s="587"/>
      <c r="AO94" s="187">
        <v>5</v>
      </c>
      <c r="AP94" s="187">
        <v>3024.2898070850151</v>
      </c>
      <c r="AQ94" s="184">
        <f t="shared" si="46"/>
        <v>604.85796141700303</v>
      </c>
      <c r="AR94" s="181">
        <f t="shared" si="47"/>
        <v>30</v>
      </c>
      <c r="AS94" s="587"/>
      <c r="AT94" s="187">
        <v>5</v>
      </c>
      <c r="AU94" s="187">
        <v>3025.9398070850148</v>
      </c>
      <c r="AV94" s="184">
        <f t="shared" si="48"/>
        <v>605.18796141700295</v>
      </c>
      <c r="AW94" s="181">
        <f t="shared" si="49"/>
        <v>30</v>
      </c>
      <c r="AX94" s="587"/>
    </row>
    <row r="95" spans="1:50" ht="14.25" customHeight="1">
      <c r="B95" s="586"/>
      <c r="C95" s="179">
        <v>5</v>
      </c>
      <c r="D95" s="182" t="s">
        <v>366</v>
      </c>
      <c r="E95" s="183">
        <v>3</v>
      </c>
      <c r="F95" s="179">
        <v>3600</v>
      </c>
      <c r="G95" s="184">
        <f t="shared" si="35"/>
        <v>1200</v>
      </c>
      <c r="H95" s="588"/>
      <c r="I95" s="185">
        <f t="shared" si="36"/>
        <v>3</v>
      </c>
      <c r="J95" s="185">
        <f t="shared" si="36"/>
        <v>3220.0005664671562</v>
      </c>
      <c r="K95" s="186">
        <f t="shared" si="36"/>
        <v>1073.3335221557186</v>
      </c>
      <c r="L95" s="589"/>
      <c r="M95" s="185">
        <f>RANK(K95, K$91:$K$127)</f>
        <v>8</v>
      </c>
      <c r="N95" s="590"/>
      <c r="O95" s="591"/>
      <c r="P95" s="187">
        <v>3</v>
      </c>
      <c r="Q95" s="187">
        <v>3216.606280752871</v>
      </c>
      <c r="R95" s="184">
        <f t="shared" si="37"/>
        <v>1072.2020935842904</v>
      </c>
      <c r="S95" s="181">
        <f t="shared" si="38"/>
        <v>8</v>
      </c>
      <c r="T95" s="587"/>
      <c r="U95" s="187">
        <v>3</v>
      </c>
      <c r="V95" s="187">
        <v>3216.9662807528712</v>
      </c>
      <c r="W95" s="184">
        <f t="shared" si="34"/>
        <v>1072.3220935842903</v>
      </c>
      <c r="X95" s="181">
        <f t="shared" si="39"/>
        <v>8</v>
      </c>
      <c r="Y95" s="587"/>
      <c r="Z95" s="187">
        <v>3</v>
      </c>
      <c r="AA95" s="187">
        <v>3218.0462807528706</v>
      </c>
      <c r="AB95" s="184">
        <f t="shared" si="40"/>
        <v>1072.6820935842902</v>
      </c>
      <c r="AC95" s="181">
        <f t="shared" si="41"/>
        <v>8</v>
      </c>
      <c r="AD95" s="587"/>
      <c r="AE95" s="187">
        <v>3</v>
      </c>
      <c r="AF95" s="187">
        <v>3219.8462807528704</v>
      </c>
      <c r="AG95" s="184">
        <f t="shared" si="42"/>
        <v>1073.2820935842901</v>
      </c>
      <c r="AH95" s="181">
        <f t="shared" si="43"/>
        <v>8</v>
      </c>
      <c r="AI95" s="587"/>
      <c r="AJ95" s="187">
        <v>3</v>
      </c>
      <c r="AK95" s="187">
        <v>3221.2862807528704</v>
      </c>
      <c r="AL95" s="184">
        <f t="shared" si="44"/>
        <v>1073.7620935842901</v>
      </c>
      <c r="AM95" s="181">
        <f t="shared" si="45"/>
        <v>8</v>
      </c>
      <c r="AN95" s="587"/>
      <c r="AO95" s="187">
        <v>3</v>
      </c>
      <c r="AP95" s="187">
        <v>3222.72628075287</v>
      </c>
      <c r="AQ95" s="184">
        <f t="shared" si="46"/>
        <v>1074.2420935842899</v>
      </c>
      <c r="AR95" s="181">
        <f t="shared" si="47"/>
        <v>8</v>
      </c>
      <c r="AS95" s="587"/>
      <c r="AT95" s="187">
        <v>3</v>
      </c>
      <c r="AU95" s="187">
        <v>3224.5262807528698</v>
      </c>
      <c r="AV95" s="184">
        <f t="shared" si="48"/>
        <v>1074.8420935842898</v>
      </c>
      <c r="AW95" s="181">
        <f t="shared" si="49"/>
        <v>8</v>
      </c>
      <c r="AX95" s="587"/>
    </row>
    <row r="96" spans="1:50" ht="14.25" customHeight="1">
      <c r="B96" s="586"/>
      <c r="C96" s="179">
        <v>6</v>
      </c>
      <c r="D96" s="182" t="s">
        <v>318</v>
      </c>
      <c r="E96" s="183">
        <v>4</v>
      </c>
      <c r="F96" s="179">
        <v>3600</v>
      </c>
      <c r="G96" s="184">
        <f t="shared" si="35"/>
        <v>900</v>
      </c>
      <c r="H96" s="588"/>
      <c r="I96" s="185">
        <f t="shared" si="36"/>
        <v>4</v>
      </c>
      <c r="J96" s="185">
        <f t="shared" si="36"/>
        <v>3227.0363886558775</v>
      </c>
      <c r="K96" s="186">
        <f t="shared" si="36"/>
        <v>806.75909716396939</v>
      </c>
      <c r="L96" s="589"/>
      <c r="M96" s="185">
        <f>RANK(K96, K$91:$K$127)</f>
        <v>14</v>
      </c>
      <c r="N96" s="590"/>
      <c r="O96" s="591"/>
      <c r="P96" s="187">
        <v>4</v>
      </c>
      <c r="Q96" s="187">
        <v>3223.9506743701636</v>
      </c>
      <c r="R96" s="184">
        <f t="shared" si="37"/>
        <v>805.9876685925409</v>
      </c>
      <c r="S96" s="181">
        <f t="shared" si="38"/>
        <v>14</v>
      </c>
      <c r="T96" s="587"/>
      <c r="U96" s="187">
        <v>4</v>
      </c>
      <c r="V96" s="187">
        <v>3225.0306743701631</v>
      </c>
      <c r="W96" s="184">
        <f t="shared" si="34"/>
        <v>806.25766859254077</v>
      </c>
      <c r="X96" s="181">
        <f t="shared" si="39"/>
        <v>14</v>
      </c>
      <c r="Y96" s="587"/>
      <c r="Z96" s="187">
        <v>4</v>
      </c>
      <c r="AA96" s="187">
        <v>3225.3906743701632</v>
      </c>
      <c r="AB96" s="184">
        <f t="shared" si="40"/>
        <v>806.3476685925408</v>
      </c>
      <c r="AC96" s="181">
        <f t="shared" si="41"/>
        <v>14</v>
      </c>
      <c r="AD96" s="587"/>
      <c r="AE96" s="187">
        <v>4</v>
      </c>
      <c r="AF96" s="187">
        <v>3226.4706743701627</v>
      </c>
      <c r="AG96" s="184">
        <f t="shared" si="42"/>
        <v>806.61766859254067</v>
      </c>
      <c r="AH96" s="181">
        <f t="shared" si="43"/>
        <v>15</v>
      </c>
      <c r="AI96" s="587"/>
      <c r="AJ96" s="187">
        <v>4</v>
      </c>
      <c r="AK96" s="187">
        <v>3227.9106743701632</v>
      </c>
      <c r="AL96" s="184">
        <f t="shared" si="44"/>
        <v>806.97766859254079</v>
      </c>
      <c r="AM96" s="181">
        <f t="shared" si="45"/>
        <v>14</v>
      </c>
      <c r="AN96" s="587"/>
      <c r="AO96" s="187">
        <v>4</v>
      </c>
      <c r="AP96" s="187">
        <v>3230.0706743701635</v>
      </c>
      <c r="AQ96" s="184">
        <f t="shared" si="46"/>
        <v>807.51766859254087</v>
      </c>
      <c r="AR96" s="181">
        <f t="shared" si="47"/>
        <v>14</v>
      </c>
      <c r="AS96" s="587"/>
      <c r="AT96" s="187">
        <v>4</v>
      </c>
      <c r="AU96" s="187">
        <v>3230.4306743701636</v>
      </c>
      <c r="AV96" s="184">
        <f t="shared" si="48"/>
        <v>807.6076685925409</v>
      </c>
      <c r="AW96" s="181">
        <f t="shared" si="49"/>
        <v>14</v>
      </c>
      <c r="AX96" s="587"/>
    </row>
    <row r="97" spans="2:50" ht="14.25" customHeight="1">
      <c r="B97" s="586"/>
      <c r="C97" s="179">
        <v>7</v>
      </c>
      <c r="D97" s="182" t="s">
        <v>368</v>
      </c>
      <c r="E97" s="183">
        <v>3</v>
      </c>
      <c r="F97" s="179">
        <v>3600</v>
      </c>
      <c r="G97" s="184">
        <f t="shared" si="35"/>
        <v>1200</v>
      </c>
      <c r="H97" s="588"/>
      <c r="I97" s="185">
        <f t="shared" si="36"/>
        <v>3</v>
      </c>
      <c r="J97" s="185">
        <f t="shared" si="36"/>
        <v>3223.4589502372592</v>
      </c>
      <c r="K97" s="186">
        <f t="shared" si="36"/>
        <v>1074.4863167457531</v>
      </c>
      <c r="L97" s="589"/>
      <c r="M97" s="185">
        <f>RANK(K97, K$91:$K$127)</f>
        <v>7</v>
      </c>
      <c r="N97" s="590"/>
      <c r="O97" s="591"/>
      <c r="P97" s="187">
        <v>3</v>
      </c>
      <c r="Q97" s="187">
        <v>3219.6018073801165</v>
      </c>
      <c r="R97" s="184">
        <f t="shared" si="37"/>
        <v>1073.2006024600389</v>
      </c>
      <c r="S97" s="181">
        <f t="shared" si="38"/>
        <v>7</v>
      </c>
      <c r="T97" s="587"/>
      <c r="U97" s="187">
        <v>3</v>
      </c>
      <c r="V97" s="187">
        <v>3221.0418073801166</v>
      </c>
      <c r="W97" s="184">
        <f t="shared" si="34"/>
        <v>1073.6806024600389</v>
      </c>
      <c r="X97" s="181">
        <f t="shared" si="39"/>
        <v>7</v>
      </c>
      <c r="Y97" s="587"/>
      <c r="Z97" s="187">
        <v>3</v>
      </c>
      <c r="AA97" s="187">
        <v>3222.1218073801169</v>
      </c>
      <c r="AB97" s="184">
        <f t="shared" si="40"/>
        <v>1074.0406024600391</v>
      </c>
      <c r="AC97" s="181">
        <f t="shared" si="41"/>
        <v>7</v>
      </c>
      <c r="AD97" s="587"/>
      <c r="AE97" s="187">
        <v>3</v>
      </c>
      <c r="AF97" s="187">
        <v>3223.9218073801167</v>
      </c>
      <c r="AG97" s="184">
        <f t="shared" si="42"/>
        <v>1074.640602460039</v>
      </c>
      <c r="AH97" s="181">
        <f t="shared" si="43"/>
        <v>6</v>
      </c>
      <c r="AI97" s="587"/>
      <c r="AJ97" s="187">
        <v>3</v>
      </c>
      <c r="AK97" s="187">
        <v>3223.9218073801167</v>
      </c>
      <c r="AL97" s="184">
        <f t="shared" si="44"/>
        <v>1074.640602460039</v>
      </c>
      <c r="AM97" s="181">
        <f t="shared" si="45"/>
        <v>7</v>
      </c>
      <c r="AN97" s="587"/>
      <c r="AO97" s="187">
        <v>3</v>
      </c>
      <c r="AP97" s="187">
        <v>3225.7218073801164</v>
      </c>
      <c r="AQ97" s="184">
        <f t="shared" si="46"/>
        <v>1075.2406024600389</v>
      </c>
      <c r="AR97" s="181">
        <f t="shared" si="47"/>
        <v>6</v>
      </c>
      <c r="AS97" s="587"/>
      <c r="AT97" s="187">
        <v>3</v>
      </c>
      <c r="AU97" s="187">
        <v>3227.8818073801167</v>
      </c>
      <c r="AV97" s="184">
        <f t="shared" si="48"/>
        <v>1075.9606024600389</v>
      </c>
      <c r="AW97" s="181">
        <f t="shared" si="49"/>
        <v>6</v>
      </c>
      <c r="AX97" s="587"/>
    </row>
    <row r="98" spans="2:50" ht="14.25" customHeight="1">
      <c r="B98" s="586"/>
      <c r="C98" s="179">
        <v>8</v>
      </c>
      <c r="D98" s="182" t="s">
        <v>367</v>
      </c>
      <c r="E98" s="183">
        <v>5</v>
      </c>
      <c r="F98" s="179">
        <v>3600</v>
      </c>
      <c r="G98" s="184">
        <f t="shared" si="35"/>
        <v>720</v>
      </c>
      <c r="H98" s="588"/>
      <c r="I98" s="185">
        <f t="shared" si="36"/>
        <v>5</v>
      </c>
      <c r="J98" s="185">
        <f t="shared" si="36"/>
        <v>3223.9095508629143</v>
      </c>
      <c r="K98" s="186">
        <f t="shared" si="36"/>
        <v>644.78191017258291</v>
      </c>
      <c r="L98" s="589"/>
      <c r="M98" s="185">
        <f>RANK(K98, K$91:$K$127)</f>
        <v>28</v>
      </c>
      <c r="N98" s="590"/>
      <c r="O98" s="591"/>
      <c r="P98" s="187">
        <v>5</v>
      </c>
      <c r="Q98" s="187">
        <v>3221.3895508629143</v>
      </c>
      <c r="R98" s="184">
        <f t="shared" si="37"/>
        <v>644.27791017258289</v>
      </c>
      <c r="S98" s="181">
        <f t="shared" si="38"/>
        <v>27</v>
      </c>
      <c r="T98" s="587"/>
      <c r="U98" s="187">
        <v>5</v>
      </c>
      <c r="V98" s="187">
        <v>3222.4695508629143</v>
      </c>
      <c r="W98" s="184">
        <f t="shared" si="34"/>
        <v>644.4939101725829</v>
      </c>
      <c r="X98" s="181">
        <f t="shared" si="39"/>
        <v>28</v>
      </c>
      <c r="Y98" s="587"/>
      <c r="Z98" s="187">
        <v>5</v>
      </c>
      <c r="AA98" s="187">
        <v>3223.1895508629145</v>
      </c>
      <c r="AB98" s="184">
        <f t="shared" si="40"/>
        <v>644.63791017258291</v>
      </c>
      <c r="AC98" s="181">
        <f t="shared" si="41"/>
        <v>28</v>
      </c>
      <c r="AD98" s="587"/>
      <c r="AE98" s="187">
        <v>5</v>
      </c>
      <c r="AF98" s="187">
        <v>3223.9095508629143</v>
      </c>
      <c r="AG98" s="184">
        <f t="shared" si="42"/>
        <v>644.78191017258291</v>
      </c>
      <c r="AH98" s="181">
        <f t="shared" si="43"/>
        <v>28</v>
      </c>
      <c r="AI98" s="587"/>
      <c r="AJ98" s="187">
        <v>5</v>
      </c>
      <c r="AK98" s="187">
        <v>3224.6295508629146</v>
      </c>
      <c r="AL98" s="184">
        <f t="shared" si="44"/>
        <v>644.92591017258292</v>
      </c>
      <c r="AM98" s="181">
        <f t="shared" si="45"/>
        <v>28</v>
      </c>
      <c r="AN98" s="587"/>
      <c r="AO98" s="187">
        <v>5</v>
      </c>
      <c r="AP98" s="187">
        <v>3225.7095508629145</v>
      </c>
      <c r="AQ98" s="184">
        <f t="shared" si="46"/>
        <v>645.14191017258293</v>
      </c>
      <c r="AR98" s="181">
        <f t="shared" si="47"/>
        <v>28</v>
      </c>
      <c r="AS98" s="587"/>
      <c r="AT98" s="187">
        <v>5</v>
      </c>
      <c r="AU98" s="187">
        <v>3226.0695508629146</v>
      </c>
      <c r="AV98" s="184">
        <f t="shared" si="48"/>
        <v>645.21391017258293</v>
      </c>
      <c r="AW98" s="181">
        <f t="shared" si="49"/>
        <v>28</v>
      </c>
      <c r="AX98" s="587"/>
    </row>
    <row r="99" spans="2:50" ht="14.25" customHeight="1">
      <c r="B99" s="586"/>
      <c r="C99" s="179">
        <v>9</v>
      </c>
      <c r="D99" s="182" t="s">
        <v>365</v>
      </c>
      <c r="E99" s="183">
        <v>5</v>
      </c>
      <c r="F99" s="179">
        <v>3600</v>
      </c>
      <c r="G99" s="184">
        <f t="shared" si="35"/>
        <v>720</v>
      </c>
      <c r="H99" s="588"/>
      <c r="I99" s="185">
        <f t="shared" si="36"/>
        <v>5</v>
      </c>
      <c r="J99" s="185">
        <f t="shared" si="36"/>
        <v>3224.6287309708518</v>
      </c>
      <c r="K99" s="186">
        <f t="shared" si="36"/>
        <v>644.92574619417042</v>
      </c>
      <c r="L99" s="589"/>
      <c r="M99" s="185">
        <f>RANK(K99, K$91:$K$127)</f>
        <v>27</v>
      </c>
      <c r="N99" s="590"/>
      <c r="O99" s="591"/>
      <c r="P99" s="187">
        <v>5</v>
      </c>
      <c r="Q99" s="187">
        <v>3222.8801595422806</v>
      </c>
      <c r="R99" s="184">
        <f t="shared" si="37"/>
        <v>644.57603190845612</v>
      </c>
      <c r="S99" s="181">
        <f t="shared" si="38"/>
        <v>23</v>
      </c>
      <c r="T99" s="587"/>
      <c r="U99" s="187">
        <v>5</v>
      </c>
      <c r="V99" s="187">
        <v>3223.2401595422803</v>
      </c>
      <c r="W99" s="184">
        <f t="shared" si="34"/>
        <v>644.64803190845601</v>
      </c>
      <c r="X99" s="181">
        <f t="shared" si="39"/>
        <v>24</v>
      </c>
      <c r="Y99" s="587"/>
      <c r="Z99" s="187">
        <v>5</v>
      </c>
      <c r="AA99" s="187">
        <v>3223.2401595422798</v>
      </c>
      <c r="AB99" s="184">
        <f t="shared" si="40"/>
        <v>644.64803190845601</v>
      </c>
      <c r="AC99" s="181">
        <f t="shared" si="41"/>
        <v>27</v>
      </c>
      <c r="AD99" s="587"/>
      <c r="AE99" s="187">
        <v>5</v>
      </c>
      <c r="AF99" s="187">
        <v>3224.6801595422803</v>
      </c>
      <c r="AG99" s="184">
        <f t="shared" si="42"/>
        <v>644.93603190845602</v>
      </c>
      <c r="AH99" s="181">
        <f t="shared" si="43"/>
        <v>26</v>
      </c>
      <c r="AI99" s="587"/>
      <c r="AJ99" s="187">
        <v>5</v>
      </c>
      <c r="AK99" s="187">
        <v>3224.6801595422803</v>
      </c>
      <c r="AL99" s="184">
        <f t="shared" si="44"/>
        <v>644.93603190845602</v>
      </c>
      <c r="AM99" s="181">
        <f t="shared" si="45"/>
        <v>27</v>
      </c>
      <c r="AN99" s="587"/>
      <c r="AO99" s="187">
        <v>5</v>
      </c>
      <c r="AP99" s="187">
        <v>3226.1201595422804</v>
      </c>
      <c r="AQ99" s="184">
        <f t="shared" si="46"/>
        <v>645.22403190845603</v>
      </c>
      <c r="AR99" s="181">
        <f t="shared" si="47"/>
        <v>27</v>
      </c>
      <c r="AS99" s="587"/>
      <c r="AT99" s="187">
        <v>5</v>
      </c>
      <c r="AU99" s="187">
        <v>3227.5601595422804</v>
      </c>
      <c r="AV99" s="184">
        <f t="shared" si="48"/>
        <v>645.51203190845604</v>
      </c>
      <c r="AW99" s="181">
        <f t="shared" si="49"/>
        <v>27</v>
      </c>
      <c r="AX99" s="587"/>
    </row>
    <row r="100" spans="2:50" ht="14.25" customHeight="1">
      <c r="B100" s="586"/>
      <c r="C100" s="179">
        <v>10</v>
      </c>
      <c r="D100" s="182" t="s">
        <v>211</v>
      </c>
      <c r="E100" s="183">
        <v>3</v>
      </c>
      <c r="F100" s="179">
        <v>3000</v>
      </c>
      <c r="G100" s="184">
        <f t="shared" si="35"/>
        <v>1000</v>
      </c>
      <c r="H100" s="588"/>
      <c r="I100" s="185">
        <f t="shared" si="36"/>
        <v>3</v>
      </c>
      <c r="J100" s="185">
        <f t="shared" si="36"/>
        <v>2749.8875431881711</v>
      </c>
      <c r="K100" s="186">
        <f t="shared" si="36"/>
        <v>916.62918106272377</v>
      </c>
      <c r="L100" s="589"/>
      <c r="M100" s="185">
        <f>RANK(K100, K$91:$K$127)</f>
        <v>12</v>
      </c>
      <c r="N100" s="590"/>
      <c r="O100" s="591"/>
      <c r="P100" s="187">
        <v>3</v>
      </c>
      <c r="Q100" s="187">
        <v>2747.3161146167417</v>
      </c>
      <c r="R100" s="184">
        <f t="shared" si="37"/>
        <v>915.77203820558054</v>
      </c>
      <c r="S100" s="181">
        <f t="shared" si="38"/>
        <v>12</v>
      </c>
      <c r="T100" s="587"/>
      <c r="U100" s="187">
        <v>3</v>
      </c>
      <c r="V100" s="187">
        <v>2747.3161146167422</v>
      </c>
      <c r="W100" s="184">
        <f t="shared" si="34"/>
        <v>915.77203820558077</v>
      </c>
      <c r="X100" s="181">
        <f t="shared" si="39"/>
        <v>12</v>
      </c>
      <c r="Y100" s="587"/>
      <c r="Z100" s="187">
        <v>3</v>
      </c>
      <c r="AA100" s="187">
        <v>2748.2161146167427</v>
      </c>
      <c r="AB100" s="184">
        <f t="shared" si="40"/>
        <v>916.07203820558095</v>
      </c>
      <c r="AC100" s="181">
        <f t="shared" si="41"/>
        <v>12</v>
      </c>
      <c r="AD100" s="587"/>
      <c r="AE100" s="187">
        <v>3</v>
      </c>
      <c r="AF100" s="187">
        <v>2749.7161146167427</v>
      </c>
      <c r="AG100" s="184">
        <f t="shared" si="42"/>
        <v>916.57203820558095</v>
      </c>
      <c r="AH100" s="181">
        <f t="shared" si="43"/>
        <v>12</v>
      </c>
      <c r="AI100" s="587"/>
      <c r="AJ100" s="187">
        <v>3</v>
      </c>
      <c r="AK100" s="187">
        <v>2750.916114616743</v>
      </c>
      <c r="AL100" s="184">
        <f t="shared" si="44"/>
        <v>916.97203820558104</v>
      </c>
      <c r="AM100" s="181">
        <f t="shared" si="45"/>
        <v>13</v>
      </c>
      <c r="AN100" s="587"/>
      <c r="AO100" s="187">
        <v>3</v>
      </c>
      <c r="AP100" s="187">
        <v>2752.416114616743</v>
      </c>
      <c r="AQ100" s="184">
        <f t="shared" si="46"/>
        <v>917.47203820558104</v>
      </c>
      <c r="AR100" s="181">
        <f t="shared" si="47"/>
        <v>13</v>
      </c>
      <c r="AS100" s="587"/>
      <c r="AT100" s="187">
        <v>3</v>
      </c>
      <c r="AU100" s="187">
        <v>2753.3161146167431</v>
      </c>
      <c r="AV100" s="184">
        <f t="shared" si="48"/>
        <v>917.772038205581</v>
      </c>
      <c r="AW100" s="181">
        <f t="shared" si="49"/>
        <v>13</v>
      </c>
      <c r="AX100" s="587"/>
    </row>
    <row r="101" spans="2:50" ht="14.25" customHeight="1">
      <c r="B101" s="586"/>
      <c r="C101" s="179">
        <v>11</v>
      </c>
      <c r="D101" s="182" t="s">
        <v>416</v>
      </c>
      <c r="E101" s="183">
        <v>12</v>
      </c>
      <c r="F101" s="179">
        <v>3600</v>
      </c>
      <c r="G101" s="184">
        <f t="shared" si="35"/>
        <v>300</v>
      </c>
      <c r="H101" s="588"/>
      <c r="I101" s="185">
        <f t="shared" si="36"/>
        <v>12</v>
      </c>
      <c r="J101" s="185">
        <f t="shared" si="36"/>
        <v>3121.239428269439</v>
      </c>
      <c r="K101" s="186">
        <f t="shared" si="36"/>
        <v>260.1032856891199</v>
      </c>
      <c r="L101" s="589"/>
      <c r="M101" s="185">
        <f>RANK(K101, K$91:$K$127)</f>
        <v>33</v>
      </c>
      <c r="N101" s="590"/>
      <c r="O101" s="591"/>
      <c r="P101" s="187">
        <v>12</v>
      </c>
      <c r="Q101" s="187">
        <v>3120.0879833464292</v>
      </c>
      <c r="R101" s="184">
        <f t="shared" si="37"/>
        <v>260.00733194553578</v>
      </c>
      <c r="S101" s="181">
        <f t="shared" si="38"/>
        <v>34</v>
      </c>
      <c r="T101" s="587"/>
      <c r="U101" s="187">
        <v>12</v>
      </c>
      <c r="V101" s="187">
        <v>3119.0079833464297</v>
      </c>
      <c r="W101" s="184">
        <f t="shared" si="34"/>
        <v>259.91733194553581</v>
      </c>
      <c r="X101" s="181">
        <f t="shared" si="39"/>
        <v>34</v>
      </c>
      <c r="Y101" s="587"/>
      <c r="Z101" s="187">
        <v>12</v>
      </c>
      <c r="AA101" s="187">
        <v>3121.8152017875232</v>
      </c>
      <c r="AB101" s="184">
        <f t="shared" si="40"/>
        <v>260.15126681562691</v>
      </c>
      <c r="AC101" s="181">
        <f t="shared" si="41"/>
        <v>33</v>
      </c>
      <c r="AD101" s="587"/>
      <c r="AE101" s="187">
        <v>12</v>
      </c>
      <c r="AF101" s="187">
        <v>3121.4552017875235</v>
      </c>
      <c r="AG101" s="184">
        <f t="shared" si="42"/>
        <v>260.12126681562694</v>
      </c>
      <c r="AH101" s="181">
        <f t="shared" si="43"/>
        <v>33</v>
      </c>
      <c r="AI101" s="587"/>
      <c r="AJ101" s="187">
        <v>12</v>
      </c>
      <c r="AK101" s="187">
        <v>3121.8152017875232</v>
      </c>
      <c r="AL101" s="184">
        <f t="shared" si="44"/>
        <v>260.15126681562691</v>
      </c>
      <c r="AM101" s="181">
        <f t="shared" si="45"/>
        <v>34</v>
      </c>
      <c r="AN101" s="587"/>
      <c r="AO101" s="187">
        <v>12</v>
      </c>
      <c r="AP101" s="187">
        <v>3122.0672129153199</v>
      </c>
      <c r="AQ101" s="184">
        <f t="shared" si="46"/>
        <v>260.17226774294335</v>
      </c>
      <c r="AR101" s="181">
        <f t="shared" si="47"/>
        <v>33</v>
      </c>
      <c r="AS101" s="587"/>
      <c r="AT101" s="187">
        <v>12</v>
      </c>
      <c r="AU101" s="187">
        <v>3122.4272129153201</v>
      </c>
      <c r="AV101" s="184">
        <f t="shared" si="48"/>
        <v>260.20226774294332</v>
      </c>
      <c r="AW101" s="181">
        <f t="shared" si="49"/>
        <v>33</v>
      </c>
      <c r="AX101" s="587"/>
    </row>
    <row r="102" spans="2:50" ht="14.25" customHeight="1">
      <c r="B102" s="586"/>
      <c r="C102" s="179">
        <v>12</v>
      </c>
      <c r="D102" s="182" t="s">
        <v>432</v>
      </c>
      <c r="E102" s="183">
        <v>3</v>
      </c>
      <c r="F102" s="179">
        <v>3300</v>
      </c>
      <c r="G102" s="184">
        <f t="shared" si="35"/>
        <v>1100</v>
      </c>
      <c r="H102" s="588"/>
      <c r="I102" s="185">
        <f t="shared" si="36"/>
        <v>3</v>
      </c>
      <c r="J102" s="185">
        <f t="shared" si="36"/>
        <v>3020.1763380363554</v>
      </c>
      <c r="K102" s="186">
        <f t="shared" si="36"/>
        <v>1006.7254460121186</v>
      </c>
      <c r="L102" s="589"/>
      <c r="M102" s="185">
        <f>RANK(K102, K$91:$K$127)</f>
        <v>10</v>
      </c>
      <c r="N102" s="590"/>
      <c r="O102" s="591"/>
      <c r="P102" s="187">
        <v>3</v>
      </c>
      <c r="Q102" s="187">
        <v>3016.0634405697474</v>
      </c>
      <c r="R102" s="184">
        <f t="shared" si="37"/>
        <v>1005.3544801899158</v>
      </c>
      <c r="S102" s="181">
        <f t="shared" si="38"/>
        <v>10</v>
      </c>
      <c r="T102" s="587"/>
      <c r="U102" s="187">
        <v>3</v>
      </c>
      <c r="V102" s="187">
        <v>3018.6618209474573</v>
      </c>
      <c r="W102" s="184">
        <f t="shared" si="34"/>
        <v>1006.2206069824857</v>
      </c>
      <c r="X102" s="181">
        <f t="shared" si="39"/>
        <v>10</v>
      </c>
      <c r="Y102" s="587"/>
      <c r="Z102" s="187">
        <v>3</v>
      </c>
      <c r="AA102" s="187">
        <v>3019.3218209474571</v>
      </c>
      <c r="AB102" s="184">
        <f t="shared" si="40"/>
        <v>1006.4406069824857</v>
      </c>
      <c r="AC102" s="181">
        <f t="shared" si="41"/>
        <v>10</v>
      </c>
      <c r="AD102" s="587"/>
      <c r="AE102" s="187">
        <v>3</v>
      </c>
      <c r="AF102" s="187">
        <v>3020.3118209474574</v>
      </c>
      <c r="AG102" s="184">
        <f t="shared" si="42"/>
        <v>1006.7706069824858</v>
      </c>
      <c r="AH102" s="181">
        <f t="shared" si="43"/>
        <v>10</v>
      </c>
      <c r="AI102" s="587"/>
      <c r="AJ102" s="187">
        <v>3</v>
      </c>
      <c r="AK102" s="187">
        <v>3021.3018209474571</v>
      </c>
      <c r="AL102" s="184">
        <f t="shared" si="44"/>
        <v>1007.1006069824857</v>
      </c>
      <c r="AM102" s="181">
        <f t="shared" si="45"/>
        <v>10</v>
      </c>
      <c r="AN102" s="587"/>
      <c r="AO102" s="187">
        <v>3</v>
      </c>
      <c r="AP102" s="187">
        <v>3022.6218209474573</v>
      </c>
      <c r="AQ102" s="184">
        <f t="shared" si="46"/>
        <v>1007.5406069824858</v>
      </c>
      <c r="AR102" s="181">
        <f t="shared" si="47"/>
        <v>10</v>
      </c>
      <c r="AS102" s="587"/>
      <c r="AT102" s="187">
        <v>3</v>
      </c>
      <c r="AU102" s="187">
        <v>3022.9518209474572</v>
      </c>
      <c r="AV102" s="184">
        <f t="shared" si="48"/>
        <v>1007.6506069824858</v>
      </c>
      <c r="AW102" s="181">
        <f t="shared" si="49"/>
        <v>10</v>
      </c>
      <c r="AX102" s="587"/>
    </row>
    <row r="103" spans="2:50" ht="14.25" customHeight="1">
      <c r="B103" s="586"/>
      <c r="C103" s="179">
        <v>13</v>
      </c>
      <c r="D103" s="182" t="s">
        <v>529</v>
      </c>
      <c r="E103" s="183">
        <v>3</v>
      </c>
      <c r="F103" s="179">
        <v>3600</v>
      </c>
      <c r="G103" s="184">
        <f t="shared" si="35"/>
        <v>1200</v>
      </c>
      <c r="H103" s="588"/>
      <c r="I103" s="185">
        <f t="shared" si="36"/>
        <v>3</v>
      </c>
      <c r="J103" s="185">
        <f t="shared" si="36"/>
        <v>3224.8897864308819</v>
      </c>
      <c r="K103" s="186">
        <f t="shared" si="36"/>
        <v>1074.9632621436272</v>
      </c>
      <c r="L103" s="589"/>
      <c r="M103" s="185">
        <f>RANK(K103, K$91:$K$127)</f>
        <v>5</v>
      </c>
      <c r="N103" s="590"/>
      <c r="O103" s="591"/>
      <c r="P103" s="187">
        <v>3</v>
      </c>
      <c r="Q103" s="187">
        <v>3222.3183578594526</v>
      </c>
      <c r="R103" s="184">
        <f t="shared" si="37"/>
        <v>1074.1061192864843</v>
      </c>
      <c r="S103" s="181">
        <f t="shared" si="38"/>
        <v>4</v>
      </c>
      <c r="T103" s="587"/>
      <c r="U103" s="187">
        <v>3</v>
      </c>
      <c r="V103" s="187">
        <v>3222.6783578594527</v>
      </c>
      <c r="W103" s="184">
        <f t="shared" si="34"/>
        <v>1074.2261192864842</v>
      </c>
      <c r="X103" s="181">
        <f t="shared" si="39"/>
        <v>6</v>
      </c>
      <c r="Y103" s="587"/>
      <c r="Z103" s="187">
        <v>3</v>
      </c>
      <c r="AA103" s="187">
        <v>3223.7583578594531</v>
      </c>
      <c r="AB103" s="184">
        <f t="shared" si="40"/>
        <v>1074.5861192864843</v>
      </c>
      <c r="AC103" s="181">
        <f t="shared" si="41"/>
        <v>5</v>
      </c>
      <c r="AD103" s="587"/>
      <c r="AE103" s="187">
        <v>3</v>
      </c>
      <c r="AF103" s="187">
        <v>3224.1183578594532</v>
      </c>
      <c r="AG103" s="184">
        <f t="shared" si="42"/>
        <v>1074.7061192864844</v>
      </c>
      <c r="AH103" s="181">
        <f t="shared" si="43"/>
        <v>5</v>
      </c>
      <c r="AI103" s="587"/>
      <c r="AJ103" s="187">
        <v>3</v>
      </c>
      <c r="AK103" s="187">
        <v>3225.1983578594532</v>
      </c>
      <c r="AL103" s="184">
        <f t="shared" si="44"/>
        <v>1075.0661192864843</v>
      </c>
      <c r="AM103" s="181">
        <f t="shared" si="45"/>
        <v>5</v>
      </c>
      <c r="AN103" s="587"/>
      <c r="AO103" s="187">
        <v>3</v>
      </c>
      <c r="AP103" s="187">
        <v>3226.9983578594529</v>
      </c>
      <c r="AQ103" s="184">
        <f t="shared" si="46"/>
        <v>1075.6661192864842</v>
      </c>
      <c r="AR103" s="181">
        <f t="shared" si="47"/>
        <v>5</v>
      </c>
      <c r="AS103" s="587"/>
      <c r="AT103" s="187">
        <v>3</v>
      </c>
      <c r="AU103" s="187">
        <v>3229.1583578594527</v>
      </c>
      <c r="AV103" s="184">
        <f t="shared" si="48"/>
        <v>1076.3861192864842</v>
      </c>
      <c r="AW103" s="181">
        <f t="shared" si="49"/>
        <v>3</v>
      </c>
      <c r="AX103" s="587"/>
    </row>
    <row r="104" spans="2:50" ht="14.25" customHeight="1">
      <c r="B104" s="586"/>
      <c r="C104" s="179">
        <v>14</v>
      </c>
      <c r="D104" s="182" t="s">
        <v>522</v>
      </c>
      <c r="E104" s="183">
        <v>3</v>
      </c>
      <c r="F104" s="179">
        <v>3300</v>
      </c>
      <c r="G104" s="184">
        <f t="shared" si="35"/>
        <v>1100</v>
      </c>
      <c r="H104" s="588"/>
      <c r="I104" s="185">
        <f t="shared" si="36"/>
        <v>3</v>
      </c>
      <c r="J104" s="185">
        <f t="shared" si="36"/>
        <v>3026.3060999974355</v>
      </c>
      <c r="K104" s="186">
        <f t="shared" si="36"/>
        <v>1008.7686999991453</v>
      </c>
      <c r="L104" s="589"/>
      <c r="M104" s="185">
        <f>RANK(K104, K$91:$K$127)</f>
        <v>9</v>
      </c>
      <c r="N104" s="590"/>
      <c r="O104" s="591"/>
      <c r="P104" s="187">
        <v>3</v>
      </c>
      <c r="Q104" s="187">
        <v>3024.0583646395125</v>
      </c>
      <c r="R104" s="184">
        <f t="shared" si="37"/>
        <v>1008.0194548798376</v>
      </c>
      <c r="S104" s="181">
        <f t="shared" si="38"/>
        <v>9</v>
      </c>
      <c r="T104" s="587"/>
      <c r="U104" s="187">
        <v>3</v>
      </c>
      <c r="V104" s="187">
        <v>3025.7083646395126</v>
      </c>
      <c r="W104" s="184">
        <f t="shared" si="34"/>
        <v>1008.5694548798375</v>
      </c>
      <c r="X104" s="181">
        <f t="shared" si="39"/>
        <v>9</v>
      </c>
      <c r="Y104" s="587"/>
      <c r="Z104" s="187">
        <v>3</v>
      </c>
      <c r="AA104" s="187">
        <v>3026.698364639512</v>
      </c>
      <c r="AB104" s="184">
        <f t="shared" si="40"/>
        <v>1008.8994548798373</v>
      </c>
      <c r="AC104" s="181">
        <f t="shared" si="41"/>
        <v>9</v>
      </c>
      <c r="AD104" s="587"/>
      <c r="AE104" s="187">
        <v>3</v>
      </c>
      <c r="AF104" s="187">
        <v>3027.3583646395123</v>
      </c>
      <c r="AG104" s="184">
        <f t="shared" si="42"/>
        <v>1009.1194548798375</v>
      </c>
      <c r="AH104" s="181">
        <f t="shared" si="43"/>
        <v>9</v>
      </c>
      <c r="AI104" s="587"/>
      <c r="AJ104" s="187">
        <v>3</v>
      </c>
      <c r="AK104" s="187">
        <v>3025.5630804746661</v>
      </c>
      <c r="AL104" s="184">
        <f t="shared" si="44"/>
        <v>1008.5210268248887</v>
      </c>
      <c r="AM104" s="181">
        <f t="shared" si="45"/>
        <v>9</v>
      </c>
      <c r="AN104" s="587"/>
      <c r="AO104" s="187">
        <v>3</v>
      </c>
      <c r="AP104" s="187">
        <v>3026.5530804746663</v>
      </c>
      <c r="AQ104" s="184">
        <f t="shared" si="46"/>
        <v>1008.8510268248888</v>
      </c>
      <c r="AR104" s="181">
        <f t="shared" si="47"/>
        <v>9</v>
      </c>
      <c r="AS104" s="587"/>
      <c r="AT104" s="187">
        <v>3</v>
      </c>
      <c r="AU104" s="187">
        <v>3028.203080474666</v>
      </c>
      <c r="AV104" s="184">
        <f t="shared" si="48"/>
        <v>1009.4010268248886</v>
      </c>
      <c r="AW104" s="181">
        <f t="shared" si="49"/>
        <v>9</v>
      </c>
      <c r="AX104" s="587"/>
    </row>
    <row r="105" spans="2:50" ht="14.25" customHeight="1">
      <c r="B105" s="586"/>
      <c r="C105" s="179">
        <v>15</v>
      </c>
      <c r="D105" s="182" t="s">
        <v>597</v>
      </c>
      <c r="E105" s="183">
        <v>4</v>
      </c>
      <c r="F105" s="179">
        <v>3300</v>
      </c>
      <c r="G105" s="184">
        <f t="shared" si="35"/>
        <v>825</v>
      </c>
      <c r="H105" s="588"/>
      <c r="I105" s="185">
        <f t="shared" si="36"/>
        <v>4</v>
      </c>
      <c r="J105" s="185">
        <f t="shared" si="36"/>
        <v>3025.3238431001705</v>
      </c>
      <c r="K105" s="186">
        <f t="shared" si="36"/>
        <v>756.33096077504263</v>
      </c>
      <c r="L105" s="589"/>
      <c r="M105" s="185">
        <f>RANK(K105, K$91:$K$127)</f>
        <v>16</v>
      </c>
      <c r="N105" s="590"/>
      <c r="O105" s="591"/>
      <c r="P105" s="187">
        <v>4</v>
      </c>
      <c r="Q105" s="187">
        <v>3023.0609859573146</v>
      </c>
      <c r="R105" s="184">
        <f t="shared" si="37"/>
        <v>755.76524648932866</v>
      </c>
      <c r="S105" s="181">
        <f t="shared" si="38"/>
        <v>16</v>
      </c>
      <c r="T105" s="587"/>
      <c r="U105" s="187">
        <v>4</v>
      </c>
      <c r="V105" s="187">
        <v>3023.0609859573146</v>
      </c>
      <c r="W105" s="184">
        <f t="shared" si="34"/>
        <v>755.76524648932866</v>
      </c>
      <c r="X105" s="181">
        <f t="shared" si="39"/>
        <v>16</v>
      </c>
      <c r="Y105" s="587"/>
      <c r="Z105" s="187">
        <v>4</v>
      </c>
      <c r="AA105" s="187">
        <v>3024.7109859573138</v>
      </c>
      <c r="AB105" s="184">
        <f t="shared" si="40"/>
        <v>756.17774648932846</v>
      </c>
      <c r="AC105" s="181">
        <f t="shared" si="41"/>
        <v>16</v>
      </c>
      <c r="AD105" s="587"/>
      <c r="AE105" s="187">
        <v>4</v>
      </c>
      <c r="AF105" s="187">
        <v>3025.7009859573136</v>
      </c>
      <c r="AG105" s="184">
        <f t="shared" si="42"/>
        <v>756.4252464893284</v>
      </c>
      <c r="AH105" s="181">
        <f t="shared" si="43"/>
        <v>16</v>
      </c>
      <c r="AI105" s="587"/>
      <c r="AJ105" s="187">
        <v>4</v>
      </c>
      <c r="AK105" s="187">
        <v>3026.3609859573135</v>
      </c>
      <c r="AL105" s="184">
        <f t="shared" si="44"/>
        <v>756.59024648932836</v>
      </c>
      <c r="AM105" s="181">
        <f t="shared" si="45"/>
        <v>16</v>
      </c>
      <c r="AN105" s="587"/>
      <c r="AO105" s="187">
        <v>4</v>
      </c>
      <c r="AP105" s="187">
        <v>3026.3609859573135</v>
      </c>
      <c r="AQ105" s="184">
        <f t="shared" si="46"/>
        <v>756.59024648932836</v>
      </c>
      <c r="AR105" s="181">
        <f t="shared" si="47"/>
        <v>16</v>
      </c>
      <c r="AS105" s="587"/>
      <c r="AT105" s="187">
        <v>4</v>
      </c>
      <c r="AU105" s="187">
        <v>3028.010985957314</v>
      </c>
      <c r="AV105" s="184">
        <f t="shared" si="48"/>
        <v>757.0027464893285</v>
      </c>
      <c r="AW105" s="181">
        <f t="shared" si="49"/>
        <v>16</v>
      </c>
      <c r="AX105" s="587"/>
    </row>
    <row r="106" spans="2:50" ht="14.25" customHeight="1">
      <c r="B106" s="586"/>
      <c r="C106" s="179">
        <v>16</v>
      </c>
      <c r="D106" s="182" t="s">
        <v>612</v>
      </c>
      <c r="E106" s="183">
        <v>5</v>
      </c>
      <c r="F106" s="179">
        <v>3600</v>
      </c>
      <c r="G106" s="184">
        <f t="shared" si="35"/>
        <v>720</v>
      </c>
      <c r="H106" s="588"/>
      <c r="I106" s="185">
        <f t="shared" si="36"/>
        <v>5</v>
      </c>
      <c r="J106" s="185">
        <f t="shared" si="36"/>
        <v>3226.5830194487339</v>
      </c>
      <c r="K106" s="186">
        <f t="shared" si="36"/>
        <v>645.31660388974672</v>
      </c>
      <c r="L106" s="589"/>
      <c r="M106" s="185">
        <f>RANK(K106, K$91:$K$127)</f>
        <v>23</v>
      </c>
      <c r="N106" s="590"/>
      <c r="O106" s="591"/>
      <c r="P106" s="187">
        <v>5</v>
      </c>
      <c r="Q106" s="187">
        <v>3222.005876591591</v>
      </c>
      <c r="R106" s="184">
        <f t="shared" si="37"/>
        <v>644.40117531831822</v>
      </c>
      <c r="S106" s="181">
        <f t="shared" si="38"/>
        <v>26</v>
      </c>
      <c r="T106" s="587"/>
      <c r="U106" s="187">
        <v>5</v>
      </c>
      <c r="V106" s="187">
        <v>3223.8058765915903</v>
      </c>
      <c r="W106" s="184">
        <f t="shared" si="34"/>
        <v>644.76117531831801</v>
      </c>
      <c r="X106" s="181">
        <f t="shared" si="39"/>
        <v>23</v>
      </c>
      <c r="Y106" s="587"/>
      <c r="Z106" s="187">
        <v>5</v>
      </c>
      <c r="AA106" s="187">
        <v>3225.2458765915899</v>
      </c>
      <c r="AB106" s="184">
        <f t="shared" si="40"/>
        <v>645.04917531831802</v>
      </c>
      <c r="AC106" s="181">
        <f t="shared" si="41"/>
        <v>23</v>
      </c>
      <c r="AD106" s="587"/>
      <c r="AE106" s="187">
        <v>5</v>
      </c>
      <c r="AF106" s="187">
        <v>3226.6858765915899</v>
      </c>
      <c r="AG106" s="184">
        <f t="shared" si="42"/>
        <v>645.33717531831803</v>
      </c>
      <c r="AH106" s="181">
        <f t="shared" si="43"/>
        <v>24</v>
      </c>
      <c r="AI106" s="587"/>
      <c r="AJ106" s="187">
        <v>5</v>
      </c>
      <c r="AK106" s="187">
        <v>3228.8458765915907</v>
      </c>
      <c r="AL106" s="184">
        <f t="shared" si="44"/>
        <v>645.76917531831816</v>
      </c>
      <c r="AM106" s="181">
        <f t="shared" si="45"/>
        <v>24</v>
      </c>
      <c r="AN106" s="587"/>
      <c r="AO106" s="187">
        <v>5</v>
      </c>
      <c r="AP106" s="187">
        <v>3229.5658765915905</v>
      </c>
      <c r="AQ106" s="184">
        <f t="shared" si="46"/>
        <v>645.91317531831805</v>
      </c>
      <c r="AR106" s="181">
        <f t="shared" si="47"/>
        <v>23</v>
      </c>
      <c r="AS106" s="587"/>
      <c r="AT106" s="187">
        <v>5</v>
      </c>
      <c r="AU106" s="187">
        <v>3229.9258765915902</v>
      </c>
      <c r="AV106" s="184">
        <f t="shared" si="48"/>
        <v>645.98517531831806</v>
      </c>
      <c r="AW106" s="181">
        <f t="shared" si="49"/>
        <v>24</v>
      </c>
      <c r="AX106" s="587"/>
    </row>
    <row r="107" spans="2:50" ht="14.25" customHeight="1">
      <c r="B107" s="586"/>
      <c r="C107" s="179">
        <v>17</v>
      </c>
      <c r="D107" s="182" t="s">
        <v>378</v>
      </c>
      <c r="E107" s="183">
        <v>5</v>
      </c>
      <c r="F107" s="179">
        <v>3600</v>
      </c>
      <c r="G107" s="184">
        <f t="shared" si="35"/>
        <v>720</v>
      </c>
      <c r="H107" s="588"/>
      <c r="I107" s="185">
        <f t="shared" si="36"/>
        <v>5</v>
      </c>
      <c r="J107" s="185">
        <f t="shared" si="36"/>
        <v>3226.4278723519924</v>
      </c>
      <c r="K107" s="186">
        <f t="shared" si="36"/>
        <v>645.28557447039839</v>
      </c>
      <c r="L107" s="589"/>
      <c r="M107" s="185">
        <f>RANK(K107, K$91:$K$127)</f>
        <v>24</v>
      </c>
      <c r="N107" s="590"/>
      <c r="O107" s="591"/>
      <c r="P107" s="187">
        <v>5</v>
      </c>
      <c r="Q107" s="187">
        <v>3222.8278723519907</v>
      </c>
      <c r="R107" s="184">
        <f t="shared" si="37"/>
        <v>644.56557447039813</v>
      </c>
      <c r="S107" s="181">
        <f t="shared" si="38"/>
        <v>24</v>
      </c>
      <c r="T107" s="587"/>
      <c r="U107" s="187">
        <v>5</v>
      </c>
      <c r="V107" s="187">
        <v>3222.8278723519916</v>
      </c>
      <c r="W107" s="184">
        <f t="shared" si="34"/>
        <v>644.56557447039836</v>
      </c>
      <c r="X107" s="181">
        <f t="shared" si="39"/>
        <v>27</v>
      </c>
      <c r="Y107" s="587"/>
      <c r="Z107" s="187">
        <v>5</v>
      </c>
      <c r="AA107" s="187">
        <v>3224.6278723519918</v>
      </c>
      <c r="AB107" s="184">
        <f t="shared" si="40"/>
        <v>644.92557447039837</v>
      </c>
      <c r="AC107" s="181">
        <f t="shared" si="41"/>
        <v>24</v>
      </c>
      <c r="AD107" s="587"/>
      <c r="AE107" s="187">
        <v>5</v>
      </c>
      <c r="AF107" s="187">
        <v>3226.7878723519925</v>
      </c>
      <c r="AG107" s="184">
        <f t="shared" si="42"/>
        <v>645.3575744703985</v>
      </c>
      <c r="AH107" s="181">
        <f t="shared" si="43"/>
        <v>23</v>
      </c>
      <c r="AI107" s="587"/>
      <c r="AJ107" s="187">
        <v>5</v>
      </c>
      <c r="AK107" s="187">
        <v>3228.9478723519924</v>
      </c>
      <c r="AL107" s="184">
        <f t="shared" si="44"/>
        <v>645.78957447039852</v>
      </c>
      <c r="AM107" s="181">
        <f t="shared" si="45"/>
        <v>23</v>
      </c>
      <c r="AN107" s="587"/>
      <c r="AO107" s="187">
        <v>5</v>
      </c>
      <c r="AP107" s="187">
        <v>3229.3078723519925</v>
      </c>
      <c r="AQ107" s="184">
        <f t="shared" si="46"/>
        <v>645.86157447039852</v>
      </c>
      <c r="AR107" s="181">
        <f t="shared" si="47"/>
        <v>25</v>
      </c>
      <c r="AS107" s="587"/>
      <c r="AT107" s="187">
        <v>5</v>
      </c>
      <c r="AU107" s="187">
        <v>3229.6678723519926</v>
      </c>
      <c r="AV107" s="184">
        <f t="shared" si="48"/>
        <v>645.93357447039853</v>
      </c>
      <c r="AW107" s="181">
        <f t="shared" si="49"/>
        <v>25</v>
      </c>
      <c r="AX107" s="587"/>
    </row>
    <row r="108" spans="2:50" ht="14.25" customHeight="1">
      <c r="B108" s="586"/>
      <c r="C108" s="179">
        <v>18</v>
      </c>
      <c r="D108" s="182" t="s">
        <v>377</v>
      </c>
      <c r="E108" s="183">
        <v>3</v>
      </c>
      <c r="F108" s="179">
        <v>3600</v>
      </c>
      <c r="G108" s="184">
        <f t="shared" si="35"/>
        <v>1200</v>
      </c>
      <c r="H108" s="588"/>
      <c r="I108" s="185">
        <f t="shared" si="36"/>
        <v>3</v>
      </c>
      <c r="J108" s="185">
        <f t="shared" si="36"/>
        <v>3227.1203308296863</v>
      </c>
      <c r="K108" s="186">
        <f t="shared" si="36"/>
        <v>1075.706776943229</v>
      </c>
      <c r="L108" s="589"/>
      <c r="M108" s="185">
        <f>RANK(K108, K$91:$K$127)</f>
        <v>2</v>
      </c>
      <c r="N108" s="590"/>
      <c r="O108" s="591"/>
      <c r="P108" s="187">
        <v>3</v>
      </c>
      <c r="Q108" s="187">
        <v>3225.320330829687</v>
      </c>
      <c r="R108" s="184">
        <f t="shared" si="37"/>
        <v>1075.1067769432291</v>
      </c>
      <c r="S108" s="181">
        <f t="shared" si="38"/>
        <v>1</v>
      </c>
      <c r="T108" s="587"/>
      <c r="U108" s="187">
        <v>3</v>
      </c>
      <c r="V108" s="187">
        <v>3226.0403308296868</v>
      </c>
      <c r="W108" s="184">
        <f t="shared" si="34"/>
        <v>1075.3467769432289</v>
      </c>
      <c r="X108" s="181">
        <f t="shared" si="39"/>
        <v>1</v>
      </c>
      <c r="Y108" s="587"/>
      <c r="Z108" s="187">
        <v>3</v>
      </c>
      <c r="AA108" s="187">
        <v>3226.4003308296865</v>
      </c>
      <c r="AB108" s="184">
        <f t="shared" si="40"/>
        <v>1075.4667769432288</v>
      </c>
      <c r="AC108" s="181">
        <f t="shared" si="41"/>
        <v>1</v>
      </c>
      <c r="AD108" s="587"/>
      <c r="AE108" s="187">
        <v>3</v>
      </c>
      <c r="AF108" s="187">
        <v>3226.400330829686</v>
      </c>
      <c r="AG108" s="184">
        <f t="shared" si="42"/>
        <v>1075.4667769432288</v>
      </c>
      <c r="AH108" s="181">
        <f t="shared" si="43"/>
        <v>2</v>
      </c>
      <c r="AI108" s="587"/>
      <c r="AJ108" s="187">
        <v>3</v>
      </c>
      <c r="AK108" s="187">
        <v>3227.8403308296865</v>
      </c>
      <c r="AL108" s="184">
        <f t="shared" si="44"/>
        <v>1075.9467769432288</v>
      </c>
      <c r="AM108" s="181">
        <f t="shared" si="45"/>
        <v>2</v>
      </c>
      <c r="AN108" s="587"/>
      <c r="AO108" s="187">
        <v>3</v>
      </c>
      <c r="AP108" s="187">
        <v>3228.9203308296865</v>
      </c>
      <c r="AQ108" s="184">
        <f t="shared" si="46"/>
        <v>1076.3067769432289</v>
      </c>
      <c r="AR108" s="181">
        <f t="shared" si="47"/>
        <v>3</v>
      </c>
      <c r="AS108" s="587"/>
      <c r="AT108" s="187">
        <v>3</v>
      </c>
      <c r="AU108" s="187">
        <v>3228.9203308296865</v>
      </c>
      <c r="AV108" s="184">
        <f t="shared" si="48"/>
        <v>1076.3067769432289</v>
      </c>
      <c r="AW108" s="181">
        <f t="shared" si="49"/>
        <v>4</v>
      </c>
      <c r="AX108" s="587"/>
    </row>
    <row r="109" spans="2:50" ht="14.25" customHeight="1">
      <c r="B109" s="586"/>
      <c r="C109" s="179">
        <v>19</v>
      </c>
      <c r="D109" s="182" t="s">
        <v>379</v>
      </c>
      <c r="E109" s="183">
        <v>4</v>
      </c>
      <c r="F109" s="179">
        <v>3300</v>
      </c>
      <c r="G109" s="184">
        <f t="shared" si="35"/>
        <v>825</v>
      </c>
      <c r="H109" s="588"/>
      <c r="I109" s="185">
        <f t="shared" si="36"/>
        <v>4</v>
      </c>
      <c r="J109" s="185">
        <f t="shared" si="36"/>
        <v>3020.6562159380269</v>
      </c>
      <c r="K109" s="186">
        <f t="shared" si="36"/>
        <v>755.16405398450672</v>
      </c>
      <c r="L109" s="589"/>
      <c r="M109" s="185">
        <f>RANK(K109, K$91:$K$127)</f>
        <v>18</v>
      </c>
      <c r="N109" s="590"/>
      <c r="O109" s="591"/>
      <c r="P109" s="187">
        <v>4</v>
      </c>
      <c r="Q109" s="187">
        <v>3017.8380772177347</v>
      </c>
      <c r="R109" s="184">
        <f t="shared" si="37"/>
        <v>754.45951930443368</v>
      </c>
      <c r="S109" s="181">
        <f t="shared" si="38"/>
        <v>17</v>
      </c>
      <c r="T109" s="587"/>
      <c r="U109" s="187">
        <v>4</v>
      </c>
      <c r="V109" s="187">
        <v>3018.4980772177346</v>
      </c>
      <c r="W109" s="184">
        <f t="shared" si="34"/>
        <v>754.62451930443365</v>
      </c>
      <c r="X109" s="181">
        <f t="shared" si="39"/>
        <v>18</v>
      </c>
      <c r="Y109" s="587"/>
      <c r="Z109" s="187">
        <v>4</v>
      </c>
      <c r="AA109" s="187">
        <v>3019.4880772177344</v>
      </c>
      <c r="AB109" s="184">
        <f t="shared" si="40"/>
        <v>754.87201930443359</v>
      </c>
      <c r="AC109" s="181">
        <f t="shared" si="41"/>
        <v>18</v>
      </c>
      <c r="AD109" s="587"/>
      <c r="AE109" s="187">
        <v>4</v>
      </c>
      <c r="AF109" s="187">
        <v>3019.8180772177343</v>
      </c>
      <c r="AG109" s="184">
        <f t="shared" si="42"/>
        <v>754.95451930443357</v>
      </c>
      <c r="AH109" s="181">
        <f t="shared" si="43"/>
        <v>18</v>
      </c>
      <c r="AI109" s="587"/>
      <c r="AJ109" s="187">
        <v>4</v>
      </c>
      <c r="AK109" s="187">
        <v>3021.9937342317503</v>
      </c>
      <c r="AL109" s="184">
        <f t="shared" si="44"/>
        <v>755.49843355793757</v>
      </c>
      <c r="AM109" s="181">
        <f t="shared" si="45"/>
        <v>18</v>
      </c>
      <c r="AN109" s="587"/>
      <c r="AO109" s="187">
        <v>4</v>
      </c>
      <c r="AP109" s="187">
        <v>3022.6537342317497</v>
      </c>
      <c r="AQ109" s="184">
        <f t="shared" si="46"/>
        <v>755.66343355793742</v>
      </c>
      <c r="AR109" s="181">
        <f t="shared" si="47"/>
        <v>17</v>
      </c>
      <c r="AS109" s="587"/>
      <c r="AT109" s="187">
        <v>4</v>
      </c>
      <c r="AU109" s="187">
        <v>3024.3037342317498</v>
      </c>
      <c r="AV109" s="184">
        <f t="shared" si="48"/>
        <v>756.07593355793745</v>
      </c>
      <c r="AW109" s="181">
        <f t="shared" si="49"/>
        <v>17</v>
      </c>
      <c r="AX109" s="587"/>
    </row>
    <row r="110" spans="2:50" ht="14.25" customHeight="1">
      <c r="B110" s="586"/>
      <c r="C110" s="179">
        <v>20</v>
      </c>
      <c r="D110" s="182" t="s">
        <v>323</v>
      </c>
      <c r="E110" s="183">
        <v>5</v>
      </c>
      <c r="F110" s="179">
        <v>3300</v>
      </c>
      <c r="G110" s="184">
        <f t="shared" si="35"/>
        <v>660</v>
      </c>
      <c r="H110" s="588"/>
      <c r="I110" s="185">
        <f t="shared" si="36"/>
        <v>5</v>
      </c>
      <c r="J110" s="185">
        <f t="shared" si="36"/>
        <v>3020.5157603009652</v>
      </c>
      <c r="K110" s="186">
        <f t="shared" si="36"/>
        <v>604.103152060193</v>
      </c>
      <c r="L110" s="589"/>
      <c r="M110" s="185">
        <f>RANK(K110, K$91:$K$127)</f>
        <v>31</v>
      </c>
      <c r="N110" s="590"/>
      <c r="O110" s="591"/>
      <c r="P110" s="187">
        <v>5</v>
      </c>
      <c r="Q110" s="187">
        <v>3015.5787743904607</v>
      </c>
      <c r="R110" s="184">
        <f t="shared" si="37"/>
        <v>603.11575487809216</v>
      </c>
      <c r="S110" s="181">
        <f t="shared" si="38"/>
        <v>31</v>
      </c>
      <c r="T110" s="587"/>
      <c r="U110" s="187">
        <v>5</v>
      </c>
      <c r="V110" s="187">
        <v>3018.4921984106254</v>
      </c>
      <c r="W110" s="184">
        <f t="shared" si="34"/>
        <v>603.69843968212513</v>
      </c>
      <c r="X110" s="181">
        <f t="shared" si="39"/>
        <v>31</v>
      </c>
      <c r="Y110" s="587"/>
      <c r="Z110" s="187">
        <v>5</v>
      </c>
      <c r="AA110" s="187">
        <v>3020.1421984106255</v>
      </c>
      <c r="AB110" s="184">
        <f t="shared" si="40"/>
        <v>604.02843968212505</v>
      </c>
      <c r="AC110" s="181">
        <f t="shared" si="41"/>
        <v>31</v>
      </c>
      <c r="AD110" s="587"/>
      <c r="AE110" s="187">
        <v>5</v>
      </c>
      <c r="AF110" s="187">
        <v>3020.1421984106255</v>
      </c>
      <c r="AG110" s="184">
        <f t="shared" si="42"/>
        <v>604.02843968212505</v>
      </c>
      <c r="AH110" s="181">
        <f t="shared" si="43"/>
        <v>31</v>
      </c>
      <c r="AI110" s="587"/>
      <c r="AJ110" s="187">
        <v>5</v>
      </c>
      <c r="AK110" s="187">
        <v>3022.0949841614729</v>
      </c>
      <c r="AL110" s="184">
        <f t="shared" si="44"/>
        <v>604.41899683229462</v>
      </c>
      <c r="AM110" s="181">
        <f t="shared" si="45"/>
        <v>31</v>
      </c>
      <c r="AN110" s="587"/>
      <c r="AO110" s="187">
        <v>5</v>
      </c>
      <c r="AP110" s="187">
        <v>3023.4149841614731</v>
      </c>
      <c r="AQ110" s="184">
        <f t="shared" si="46"/>
        <v>604.68299683229463</v>
      </c>
      <c r="AR110" s="181">
        <f t="shared" si="47"/>
        <v>31</v>
      </c>
      <c r="AS110" s="587"/>
      <c r="AT110" s="187">
        <v>5</v>
      </c>
      <c r="AU110" s="187">
        <v>3023.7449841614734</v>
      </c>
      <c r="AV110" s="184">
        <f t="shared" si="48"/>
        <v>604.74899683229467</v>
      </c>
      <c r="AW110" s="181">
        <f t="shared" si="49"/>
        <v>31</v>
      </c>
      <c r="AX110" s="587"/>
    </row>
    <row r="111" spans="2:50" ht="14.25" customHeight="1">
      <c r="B111" s="586"/>
      <c r="C111" s="179">
        <v>21</v>
      </c>
      <c r="D111" s="182" t="s">
        <v>373</v>
      </c>
      <c r="E111" s="183">
        <v>3</v>
      </c>
      <c r="F111" s="179">
        <v>3600</v>
      </c>
      <c r="G111" s="184">
        <f t="shared" si="35"/>
        <v>1200</v>
      </c>
      <c r="H111" s="588"/>
      <c r="I111" s="185">
        <f t="shared" si="36"/>
        <v>3</v>
      </c>
      <c r="J111" s="185">
        <f t="shared" si="36"/>
        <v>3224.3119828676568</v>
      </c>
      <c r="K111" s="186">
        <f t="shared" si="36"/>
        <v>1074.7706609558854</v>
      </c>
      <c r="L111" s="589"/>
      <c r="M111" s="185">
        <f>RANK(K111, K$91:$K$127)</f>
        <v>6</v>
      </c>
      <c r="N111" s="590"/>
      <c r="O111" s="591"/>
      <c r="P111" s="187">
        <v>3</v>
      </c>
      <c r="Q111" s="187">
        <v>3222.2034114390844</v>
      </c>
      <c r="R111" s="184">
        <f t="shared" si="37"/>
        <v>1074.0678038130281</v>
      </c>
      <c r="S111" s="181">
        <f t="shared" si="38"/>
        <v>5</v>
      </c>
      <c r="T111" s="587"/>
      <c r="U111" s="187">
        <v>3</v>
      </c>
      <c r="V111" s="187">
        <v>3223.2834114390844</v>
      </c>
      <c r="W111" s="184">
        <f t="shared" si="34"/>
        <v>1074.427803813028</v>
      </c>
      <c r="X111" s="181">
        <f t="shared" si="39"/>
        <v>5</v>
      </c>
      <c r="Y111" s="587"/>
      <c r="Z111" s="187">
        <v>3</v>
      </c>
      <c r="AA111" s="187">
        <v>3223.2834114390853</v>
      </c>
      <c r="AB111" s="184">
        <f t="shared" si="40"/>
        <v>1074.4278038130285</v>
      </c>
      <c r="AC111" s="181">
        <f t="shared" si="41"/>
        <v>6</v>
      </c>
      <c r="AD111" s="587"/>
      <c r="AE111" s="187">
        <v>3</v>
      </c>
      <c r="AF111" s="187">
        <v>3223.2834114390857</v>
      </c>
      <c r="AG111" s="184">
        <f t="shared" si="42"/>
        <v>1074.4278038130285</v>
      </c>
      <c r="AH111" s="181">
        <f t="shared" si="43"/>
        <v>7</v>
      </c>
      <c r="AI111" s="587"/>
      <c r="AJ111" s="187">
        <v>3</v>
      </c>
      <c r="AK111" s="187">
        <v>3225.0834114390855</v>
      </c>
      <c r="AL111" s="184">
        <f t="shared" si="44"/>
        <v>1075.0278038130284</v>
      </c>
      <c r="AM111" s="181">
        <f t="shared" si="45"/>
        <v>6</v>
      </c>
      <c r="AN111" s="587"/>
      <c r="AO111" s="187">
        <v>3</v>
      </c>
      <c r="AP111" s="187">
        <v>3225.4434114390847</v>
      </c>
      <c r="AQ111" s="184">
        <f t="shared" si="46"/>
        <v>1075.1478038130283</v>
      </c>
      <c r="AR111" s="181">
        <f t="shared" si="47"/>
        <v>7</v>
      </c>
      <c r="AS111" s="587"/>
      <c r="AT111" s="187">
        <v>3</v>
      </c>
      <c r="AU111" s="187">
        <v>3227.603411439085</v>
      </c>
      <c r="AV111" s="184">
        <f t="shared" si="48"/>
        <v>1075.8678038130283</v>
      </c>
      <c r="AW111" s="181">
        <f t="shared" si="49"/>
        <v>7</v>
      </c>
      <c r="AX111" s="587"/>
    </row>
    <row r="112" spans="2:50" ht="14.25" customHeight="1">
      <c r="B112" s="586"/>
      <c r="C112" s="179">
        <v>22</v>
      </c>
      <c r="D112" s="182" t="s">
        <v>482</v>
      </c>
      <c r="E112" s="183">
        <v>4</v>
      </c>
      <c r="F112" s="179">
        <v>3600</v>
      </c>
      <c r="G112" s="184">
        <f t="shared" si="35"/>
        <v>900</v>
      </c>
      <c r="H112" s="588"/>
      <c r="I112" s="185">
        <f t="shared" si="36"/>
        <v>4</v>
      </c>
      <c r="J112" s="185">
        <f t="shared" si="36"/>
        <v>3224.4331075857017</v>
      </c>
      <c r="K112" s="186">
        <f t="shared" si="36"/>
        <v>806.10827689642542</v>
      </c>
      <c r="L112" s="589"/>
      <c r="M112" s="185">
        <f>RANK(K112, K$91:$K$127)</f>
        <v>15</v>
      </c>
      <c r="N112" s="590"/>
      <c r="O112" s="591"/>
      <c r="P112" s="187">
        <v>4</v>
      </c>
      <c r="Q112" s="187">
        <v>3217.0800309830338</v>
      </c>
      <c r="R112" s="184">
        <f t="shared" si="37"/>
        <v>804.27000774575845</v>
      </c>
      <c r="S112" s="181">
        <f t="shared" si="38"/>
        <v>15</v>
      </c>
      <c r="T112" s="587"/>
      <c r="U112" s="187">
        <v>4</v>
      </c>
      <c r="V112" s="187">
        <v>3217.4400309830339</v>
      </c>
      <c r="W112" s="184">
        <f t="shared" si="34"/>
        <v>804.36000774575848</v>
      </c>
      <c r="X112" s="181">
        <f t="shared" si="39"/>
        <v>15</v>
      </c>
      <c r="Y112" s="587"/>
      <c r="Z112" s="187">
        <v>4</v>
      </c>
      <c r="AA112" s="187">
        <v>3223.5008819654358</v>
      </c>
      <c r="AB112" s="184">
        <f t="shared" si="40"/>
        <v>805.87522049135896</v>
      </c>
      <c r="AC112" s="181">
        <f t="shared" si="41"/>
        <v>15</v>
      </c>
      <c r="AD112" s="587"/>
      <c r="AE112" s="187">
        <v>4</v>
      </c>
      <c r="AF112" s="187">
        <v>3226.5427022921012</v>
      </c>
      <c r="AG112" s="184">
        <f t="shared" si="42"/>
        <v>806.63567557302531</v>
      </c>
      <c r="AH112" s="181">
        <f t="shared" si="43"/>
        <v>14</v>
      </c>
      <c r="AI112" s="587"/>
      <c r="AJ112" s="187">
        <v>4</v>
      </c>
      <c r="AK112" s="187">
        <v>3227.6227022921021</v>
      </c>
      <c r="AL112" s="184">
        <f t="shared" si="44"/>
        <v>806.90567557302552</v>
      </c>
      <c r="AM112" s="181">
        <f t="shared" si="45"/>
        <v>15</v>
      </c>
      <c r="AN112" s="587"/>
      <c r="AO112" s="187">
        <v>4</v>
      </c>
      <c r="AP112" s="187">
        <v>3228.702702292102</v>
      </c>
      <c r="AQ112" s="184">
        <f t="shared" si="46"/>
        <v>807.1756755730255</v>
      </c>
      <c r="AR112" s="181">
        <f t="shared" si="47"/>
        <v>15</v>
      </c>
      <c r="AS112" s="587"/>
      <c r="AT112" s="187">
        <v>4</v>
      </c>
      <c r="AU112" s="187">
        <v>3230.1427022921021</v>
      </c>
      <c r="AV112" s="184">
        <f t="shared" si="48"/>
        <v>807.53567557302551</v>
      </c>
      <c r="AW112" s="181">
        <f t="shared" si="49"/>
        <v>15</v>
      </c>
      <c r="AX112" s="587"/>
    </row>
    <row r="113" spans="2:50" ht="14.25" customHeight="1">
      <c r="B113" s="586"/>
      <c r="C113" s="179">
        <v>23</v>
      </c>
      <c r="D113" s="182" t="s">
        <v>376</v>
      </c>
      <c r="E113" s="183">
        <v>3</v>
      </c>
      <c r="F113" s="179">
        <v>3600</v>
      </c>
      <c r="G113" s="184">
        <f t="shared" si="35"/>
        <v>1200</v>
      </c>
      <c r="H113" s="588"/>
      <c r="I113" s="185">
        <f t="shared" si="36"/>
        <v>3</v>
      </c>
      <c r="J113" s="185">
        <f t="shared" si="36"/>
        <v>3226.0903312802052</v>
      </c>
      <c r="K113" s="186">
        <f t="shared" si="36"/>
        <v>1075.3634437600685</v>
      </c>
      <c r="L113" s="589"/>
      <c r="M113" s="185">
        <f>RANK(K113, K$91:$K$127)</f>
        <v>3</v>
      </c>
      <c r="N113" s="590"/>
      <c r="O113" s="591"/>
      <c r="P113" s="187">
        <v>3</v>
      </c>
      <c r="Q113" s="187">
        <v>3221.5646169944903</v>
      </c>
      <c r="R113" s="184">
        <f t="shared" si="37"/>
        <v>1073.8548723314968</v>
      </c>
      <c r="S113" s="181">
        <f t="shared" si="38"/>
        <v>6</v>
      </c>
      <c r="T113" s="587"/>
      <c r="U113" s="187">
        <v>3</v>
      </c>
      <c r="V113" s="187">
        <v>3223.724616994491</v>
      </c>
      <c r="W113" s="184">
        <f t="shared" si="34"/>
        <v>1074.5748723314971</v>
      </c>
      <c r="X113" s="181">
        <f t="shared" si="39"/>
        <v>4</v>
      </c>
      <c r="Y113" s="587"/>
      <c r="Z113" s="187">
        <v>3</v>
      </c>
      <c r="AA113" s="187">
        <v>3224.8046169944914</v>
      </c>
      <c r="AB113" s="184">
        <f t="shared" si="40"/>
        <v>1074.9348723314972</v>
      </c>
      <c r="AC113" s="181">
        <f t="shared" si="41"/>
        <v>4</v>
      </c>
      <c r="AD113" s="587"/>
      <c r="AE113" s="187">
        <v>3</v>
      </c>
      <c r="AF113" s="187">
        <v>3225.8846169944914</v>
      </c>
      <c r="AG113" s="184">
        <f t="shared" si="42"/>
        <v>1075.2948723314971</v>
      </c>
      <c r="AH113" s="181">
        <f t="shared" si="43"/>
        <v>4</v>
      </c>
      <c r="AI113" s="587"/>
      <c r="AJ113" s="187">
        <v>3</v>
      </c>
      <c r="AK113" s="187">
        <v>3227.6846169944911</v>
      </c>
      <c r="AL113" s="184">
        <f t="shared" si="44"/>
        <v>1075.894872331497</v>
      </c>
      <c r="AM113" s="181">
        <f t="shared" si="45"/>
        <v>3</v>
      </c>
      <c r="AN113" s="587"/>
      <c r="AO113" s="187">
        <v>3</v>
      </c>
      <c r="AP113" s="187">
        <v>3229.1246169944916</v>
      </c>
      <c r="AQ113" s="184">
        <f t="shared" si="46"/>
        <v>1076.3748723314973</v>
      </c>
      <c r="AR113" s="181">
        <f t="shared" si="47"/>
        <v>2</v>
      </c>
      <c r="AS113" s="587"/>
      <c r="AT113" s="187">
        <v>3</v>
      </c>
      <c r="AU113" s="187">
        <v>3229.8446169944918</v>
      </c>
      <c r="AV113" s="184">
        <f t="shared" si="48"/>
        <v>1076.6148723314973</v>
      </c>
      <c r="AW113" s="181">
        <f t="shared" si="49"/>
        <v>2</v>
      </c>
      <c r="AX113" s="587"/>
    </row>
    <row r="114" spans="2:50" ht="14.25" customHeight="1">
      <c r="B114" s="586"/>
      <c r="C114" s="179">
        <v>24</v>
      </c>
      <c r="D114" s="182" t="s">
        <v>375</v>
      </c>
      <c r="E114" s="183">
        <v>5</v>
      </c>
      <c r="F114" s="179">
        <v>3600</v>
      </c>
      <c r="G114" s="184">
        <f t="shared" si="35"/>
        <v>720</v>
      </c>
      <c r="H114" s="588"/>
      <c r="I114" s="185">
        <f t="shared" si="36"/>
        <v>5</v>
      </c>
      <c r="J114" s="185">
        <f t="shared" si="36"/>
        <v>3226.1716008428166</v>
      </c>
      <c r="K114" s="186">
        <f t="shared" si="36"/>
        <v>645.23432016856339</v>
      </c>
      <c r="L114" s="589"/>
      <c r="M114" s="185">
        <f>RANK(K114, K$91:$K$127)</f>
        <v>25</v>
      </c>
      <c r="N114" s="590"/>
      <c r="O114" s="591"/>
      <c r="P114" s="187">
        <v>5</v>
      </c>
      <c r="Q114" s="187">
        <v>3222.4687436999602</v>
      </c>
      <c r="R114" s="184">
        <f t="shared" si="37"/>
        <v>644.49374873999204</v>
      </c>
      <c r="S114" s="181">
        <f t="shared" si="38"/>
        <v>25</v>
      </c>
      <c r="T114" s="587"/>
      <c r="U114" s="187">
        <v>5</v>
      </c>
      <c r="V114" s="187">
        <v>3222.8287436999608</v>
      </c>
      <c r="W114" s="184">
        <f t="shared" si="34"/>
        <v>644.56574873999216</v>
      </c>
      <c r="X114" s="181">
        <f t="shared" si="39"/>
        <v>26</v>
      </c>
      <c r="Y114" s="587"/>
      <c r="Z114" s="187">
        <v>5</v>
      </c>
      <c r="AA114" s="187">
        <v>3224.2687436999604</v>
      </c>
      <c r="AB114" s="184">
        <f t="shared" si="40"/>
        <v>644.85374873999206</v>
      </c>
      <c r="AC114" s="181">
        <f t="shared" si="41"/>
        <v>25</v>
      </c>
      <c r="AD114" s="587"/>
      <c r="AE114" s="187">
        <v>5</v>
      </c>
      <c r="AF114" s="187">
        <v>3225.7087436999595</v>
      </c>
      <c r="AG114" s="184">
        <f t="shared" si="42"/>
        <v>645.14174873999195</v>
      </c>
      <c r="AH114" s="181">
        <f t="shared" si="43"/>
        <v>25</v>
      </c>
      <c r="AI114" s="587"/>
      <c r="AJ114" s="187">
        <v>5</v>
      </c>
      <c r="AK114" s="187">
        <v>3227.8687436999599</v>
      </c>
      <c r="AL114" s="184">
        <f t="shared" si="44"/>
        <v>645.57374873999197</v>
      </c>
      <c r="AM114" s="181">
        <f t="shared" si="45"/>
        <v>25</v>
      </c>
      <c r="AN114" s="587"/>
      <c r="AO114" s="187">
        <v>5</v>
      </c>
      <c r="AP114" s="187">
        <v>3229.308743699959</v>
      </c>
      <c r="AQ114" s="184">
        <f t="shared" si="46"/>
        <v>645.86174873999175</v>
      </c>
      <c r="AR114" s="181">
        <f t="shared" si="47"/>
        <v>24</v>
      </c>
      <c r="AS114" s="587"/>
      <c r="AT114" s="187">
        <v>5</v>
      </c>
      <c r="AU114" s="187">
        <v>3230.748743699959</v>
      </c>
      <c r="AV114" s="184">
        <f t="shared" si="48"/>
        <v>646.14974873999176</v>
      </c>
      <c r="AW114" s="181">
        <f t="shared" si="49"/>
        <v>23</v>
      </c>
      <c r="AX114" s="587"/>
    </row>
    <row r="115" spans="2:50" ht="14.25" customHeight="1">
      <c r="B115" s="586"/>
      <c r="C115" s="179">
        <v>25</v>
      </c>
      <c r="D115" s="182" t="s">
        <v>372</v>
      </c>
      <c r="E115" s="183">
        <v>5</v>
      </c>
      <c r="F115" s="179">
        <v>3600</v>
      </c>
      <c r="G115" s="184">
        <f t="shared" si="35"/>
        <v>720</v>
      </c>
      <c r="H115" s="588"/>
      <c r="I115" s="185">
        <f t="shared" si="36"/>
        <v>5</v>
      </c>
      <c r="J115" s="185">
        <f t="shared" si="36"/>
        <v>3224.8617221016284</v>
      </c>
      <c r="K115" s="186">
        <f t="shared" si="36"/>
        <v>644.97234442032561</v>
      </c>
      <c r="L115" s="589"/>
      <c r="M115" s="185">
        <f>RANK(K115, K$91:$K$127)</f>
        <v>26</v>
      </c>
      <c r="N115" s="590"/>
      <c r="O115" s="591"/>
      <c r="P115" s="187">
        <v>5</v>
      </c>
      <c r="Q115" s="187">
        <v>3220.9531506730564</v>
      </c>
      <c r="R115" s="184">
        <f t="shared" si="37"/>
        <v>644.1906301346113</v>
      </c>
      <c r="S115" s="181">
        <f t="shared" si="38"/>
        <v>28</v>
      </c>
      <c r="T115" s="587"/>
      <c r="U115" s="187">
        <v>5</v>
      </c>
      <c r="V115" s="187">
        <v>3223.1131506730571</v>
      </c>
      <c r="W115" s="184">
        <f t="shared" si="34"/>
        <v>644.62263013461143</v>
      </c>
      <c r="X115" s="181">
        <f t="shared" si="39"/>
        <v>25</v>
      </c>
      <c r="Y115" s="587"/>
      <c r="Z115" s="187">
        <v>5</v>
      </c>
      <c r="AA115" s="187">
        <v>3223.8331506730565</v>
      </c>
      <c r="AB115" s="184">
        <f t="shared" si="40"/>
        <v>644.76663013461132</v>
      </c>
      <c r="AC115" s="181">
        <f t="shared" si="41"/>
        <v>26</v>
      </c>
      <c r="AD115" s="587"/>
      <c r="AE115" s="187">
        <v>5</v>
      </c>
      <c r="AF115" s="187">
        <v>3224.1931506730566</v>
      </c>
      <c r="AG115" s="184">
        <f t="shared" si="42"/>
        <v>644.83863013461132</v>
      </c>
      <c r="AH115" s="181">
        <f t="shared" si="43"/>
        <v>27</v>
      </c>
      <c r="AI115" s="587"/>
      <c r="AJ115" s="187">
        <v>5</v>
      </c>
      <c r="AK115" s="187">
        <v>3225.9931506730572</v>
      </c>
      <c r="AL115" s="184">
        <f t="shared" si="44"/>
        <v>645.19863013461145</v>
      </c>
      <c r="AM115" s="181">
        <f t="shared" si="45"/>
        <v>26</v>
      </c>
      <c r="AN115" s="587"/>
      <c r="AO115" s="187">
        <v>5</v>
      </c>
      <c r="AP115" s="187">
        <v>3227.7931506730565</v>
      </c>
      <c r="AQ115" s="184">
        <f t="shared" si="46"/>
        <v>645.55863013461135</v>
      </c>
      <c r="AR115" s="181">
        <f t="shared" si="47"/>
        <v>26</v>
      </c>
      <c r="AS115" s="587"/>
      <c r="AT115" s="187">
        <v>5</v>
      </c>
      <c r="AU115" s="187">
        <v>3228.1531506730566</v>
      </c>
      <c r="AV115" s="184">
        <f t="shared" si="48"/>
        <v>645.63063013461135</v>
      </c>
      <c r="AW115" s="181">
        <f t="shared" si="49"/>
        <v>26</v>
      </c>
      <c r="AX115" s="587"/>
    </row>
    <row r="116" spans="2:50" ht="14.25" customHeight="1">
      <c r="B116" s="586"/>
      <c r="C116" s="179">
        <v>26</v>
      </c>
      <c r="D116" s="182" t="s">
        <v>374</v>
      </c>
      <c r="E116" s="183">
        <v>3</v>
      </c>
      <c r="F116" s="179">
        <v>3000</v>
      </c>
      <c r="G116" s="184">
        <f t="shared" si="35"/>
        <v>1000</v>
      </c>
      <c r="H116" s="588"/>
      <c r="I116" s="185">
        <f t="shared" si="36"/>
        <v>3</v>
      </c>
      <c r="J116" s="185">
        <f t="shared" si="36"/>
        <v>2749.7313120102626</v>
      </c>
      <c r="K116" s="186">
        <f t="shared" si="36"/>
        <v>916.57710400342069</v>
      </c>
      <c r="L116" s="589"/>
      <c r="M116" s="185">
        <f>RANK(K116, K$91:$K$127)</f>
        <v>13</v>
      </c>
      <c r="N116" s="590"/>
      <c r="O116" s="591"/>
      <c r="P116" s="187">
        <v>3</v>
      </c>
      <c r="Q116" s="187">
        <v>2746.0541168696354</v>
      </c>
      <c r="R116" s="184">
        <f t="shared" si="37"/>
        <v>915.35137228987844</v>
      </c>
      <c r="S116" s="181">
        <f t="shared" si="38"/>
        <v>13</v>
      </c>
      <c r="T116" s="587"/>
      <c r="U116" s="187">
        <v>3</v>
      </c>
      <c r="V116" s="187">
        <v>2746.3541168696352</v>
      </c>
      <c r="W116" s="184">
        <f t="shared" si="34"/>
        <v>915.45137228987835</v>
      </c>
      <c r="X116" s="181">
        <f t="shared" si="39"/>
        <v>13</v>
      </c>
      <c r="Y116" s="587"/>
      <c r="Z116" s="187">
        <v>3</v>
      </c>
      <c r="AA116" s="187">
        <v>2746.9541168696351</v>
      </c>
      <c r="AB116" s="184">
        <f t="shared" si="40"/>
        <v>915.6513722898784</v>
      </c>
      <c r="AC116" s="181">
        <f t="shared" si="41"/>
        <v>13</v>
      </c>
      <c r="AD116" s="587"/>
      <c r="AE116" s="187">
        <v>3</v>
      </c>
      <c r="AF116" s="187">
        <v>2748.7541168696353</v>
      </c>
      <c r="AG116" s="184">
        <f t="shared" si="42"/>
        <v>916.25137228987842</v>
      </c>
      <c r="AH116" s="181">
        <f t="shared" si="43"/>
        <v>13</v>
      </c>
      <c r="AI116" s="587"/>
      <c r="AJ116" s="187">
        <v>3</v>
      </c>
      <c r="AK116" s="187">
        <v>2752.0954633756055</v>
      </c>
      <c r="AL116" s="184">
        <f t="shared" si="44"/>
        <v>917.36515445853513</v>
      </c>
      <c r="AM116" s="181">
        <f t="shared" si="45"/>
        <v>12</v>
      </c>
      <c r="AN116" s="587"/>
      <c r="AO116" s="187">
        <v>3</v>
      </c>
      <c r="AP116" s="187">
        <v>2753.8036266088448</v>
      </c>
      <c r="AQ116" s="184">
        <f t="shared" si="46"/>
        <v>917.93454220294825</v>
      </c>
      <c r="AR116" s="181">
        <f t="shared" si="47"/>
        <v>12</v>
      </c>
      <c r="AS116" s="587"/>
      <c r="AT116" s="187">
        <v>3</v>
      </c>
      <c r="AU116" s="187">
        <v>2754.1036266088445</v>
      </c>
      <c r="AV116" s="184">
        <f t="shared" si="48"/>
        <v>918.03454220294816</v>
      </c>
      <c r="AW116" s="181">
        <f t="shared" si="49"/>
        <v>12</v>
      </c>
      <c r="AX116" s="587"/>
    </row>
    <row r="117" spans="2:50" ht="14.25" customHeight="1">
      <c r="B117" s="586"/>
      <c r="C117" s="179">
        <v>27</v>
      </c>
      <c r="D117" s="182" t="s">
        <v>412</v>
      </c>
      <c r="E117" s="183">
        <v>3</v>
      </c>
      <c r="F117" s="179">
        <v>3600</v>
      </c>
      <c r="G117" s="184">
        <f t="shared" si="35"/>
        <v>1200</v>
      </c>
      <c r="H117" s="588"/>
      <c r="I117" s="185">
        <f t="shared" si="36"/>
        <v>3</v>
      </c>
      <c r="J117" s="185">
        <f t="shared" si="36"/>
        <v>3225.9238854278292</v>
      </c>
      <c r="K117" s="186">
        <f t="shared" si="36"/>
        <v>1075.3079618092763</v>
      </c>
      <c r="L117" s="589"/>
      <c r="M117" s="185">
        <f>RANK(K117, K$91:$K$127)</f>
        <v>4</v>
      </c>
      <c r="N117" s="590"/>
      <c r="O117" s="591"/>
      <c r="P117" s="187">
        <v>3</v>
      </c>
      <c r="Q117" s="187">
        <v>3223.4038854278297</v>
      </c>
      <c r="R117" s="184">
        <f t="shared" si="37"/>
        <v>1074.4679618092766</v>
      </c>
      <c r="S117" s="181">
        <f t="shared" si="38"/>
        <v>2</v>
      </c>
      <c r="T117" s="587"/>
      <c r="U117" s="187">
        <v>3</v>
      </c>
      <c r="V117" s="187">
        <v>3224.4838854278296</v>
      </c>
      <c r="W117" s="184">
        <f t="shared" si="34"/>
        <v>1074.8279618092765</v>
      </c>
      <c r="X117" s="181">
        <f t="shared" si="39"/>
        <v>2</v>
      </c>
      <c r="Y117" s="587"/>
      <c r="Z117" s="187">
        <v>3</v>
      </c>
      <c r="AA117" s="187">
        <v>3225.5638854278286</v>
      </c>
      <c r="AB117" s="184">
        <f t="shared" si="40"/>
        <v>1075.1879618092762</v>
      </c>
      <c r="AC117" s="181">
        <f t="shared" si="41"/>
        <v>2</v>
      </c>
      <c r="AD117" s="587"/>
      <c r="AE117" s="187">
        <v>3</v>
      </c>
      <c r="AF117" s="187">
        <v>3225.9238854278292</v>
      </c>
      <c r="AG117" s="184">
        <f t="shared" si="42"/>
        <v>1075.3079618092763</v>
      </c>
      <c r="AH117" s="181">
        <f t="shared" si="43"/>
        <v>3</v>
      </c>
      <c r="AI117" s="587"/>
      <c r="AJ117" s="187">
        <v>3</v>
      </c>
      <c r="AK117" s="187">
        <v>3226.2838854278289</v>
      </c>
      <c r="AL117" s="184">
        <f t="shared" si="44"/>
        <v>1075.4279618092762</v>
      </c>
      <c r="AM117" s="181">
        <f t="shared" si="45"/>
        <v>4</v>
      </c>
      <c r="AN117" s="587"/>
      <c r="AO117" s="187">
        <v>3</v>
      </c>
      <c r="AP117" s="187">
        <v>3227.7238854278289</v>
      </c>
      <c r="AQ117" s="184">
        <f t="shared" si="46"/>
        <v>1075.9079618092762</v>
      </c>
      <c r="AR117" s="181">
        <f t="shared" si="47"/>
        <v>4</v>
      </c>
      <c r="AS117" s="587"/>
      <c r="AT117" s="187">
        <v>3</v>
      </c>
      <c r="AU117" s="187">
        <v>3228.0838854278286</v>
      </c>
      <c r="AV117" s="184">
        <f t="shared" si="48"/>
        <v>1076.0279618092761</v>
      </c>
      <c r="AW117" s="181">
        <f t="shared" si="49"/>
        <v>5</v>
      </c>
      <c r="AX117" s="587"/>
    </row>
    <row r="118" spans="2:50" ht="14.25" customHeight="1">
      <c r="B118" s="586"/>
      <c r="C118" s="179">
        <v>28</v>
      </c>
      <c r="D118" s="182" t="s">
        <v>417</v>
      </c>
      <c r="E118" s="183">
        <v>4</v>
      </c>
      <c r="F118" s="179">
        <v>3000</v>
      </c>
      <c r="G118" s="184">
        <f t="shared" si="35"/>
        <v>750</v>
      </c>
      <c r="H118" s="588"/>
      <c r="I118" s="185">
        <f t="shared" si="36"/>
        <v>4</v>
      </c>
      <c r="J118" s="185">
        <f t="shared" si="36"/>
        <v>2746.9813382940761</v>
      </c>
      <c r="K118" s="186">
        <f t="shared" si="36"/>
        <v>686.74533457351902</v>
      </c>
      <c r="L118" s="589"/>
      <c r="M118" s="185">
        <f>RANK(K118, K$91:$K$127)</f>
        <v>20</v>
      </c>
      <c r="N118" s="590"/>
      <c r="O118" s="591"/>
      <c r="P118" s="187">
        <v>4</v>
      </c>
      <c r="Q118" s="187">
        <v>2744.109909722647</v>
      </c>
      <c r="R118" s="184">
        <f t="shared" si="37"/>
        <v>686.02747743066175</v>
      </c>
      <c r="S118" s="181">
        <f t="shared" si="38"/>
        <v>19</v>
      </c>
      <c r="T118" s="587"/>
      <c r="U118" s="187">
        <v>4</v>
      </c>
      <c r="V118" s="187">
        <v>2745.6099097226474</v>
      </c>
      <c r="W118" s="184">
        <f t="shared" si="34"/>
        <v>686.40247743066186</v>
      </c>
      <c r="X118" s="181">
        <f t="shared" si="39"/>
        <v>19</v>
      </c>
      <c r="Y118" s="587"/>
      <c r="Z118" s="187">
        <v>4</v>
      </c>
      <c r="AA118" s="187">
        <v>2746.8099097226473</v>
      </c>
      <c r="AB118" s="184">
        <f t="shared" si="40"/>
        <v>686.70247743066182</v>
      </c>
      <c r="AC118" s="181">
        <f t="shared" si="41"/>
        <v>19</v>
      </c>
      <c r="AD118" s="587"/>
      <c r="AE118" s="187">
        <v>4</v>
      </c>
      <c r="AF118" s="187">
        <v>2747.4099097226472</v>
      </c>
      <c r="AG118" s="184">
        <f t="shared" si="42"/>
        <v>686.85247743066179</v>
      </c>
      <c r="AH118" s="181">
        <f t="shared" si="43"/>
        <v>20</v>
      </c>
      <c r="AI118" s="587"/>
      <c r="AJ118" s="187">
        <v>4</v>
      </c>
      <c r="AK118" s="187">
        <v>2748.3099097226473</v>
      </c>
      <c r="AL118" s="184">
        <f t="shared" si="44"/>
        <v>687.07747743066182</v>
      </c>
      <c r="AM118" s="181">
        <f t="shared" si="45"/>
        <v>20</v>
      </c>
      <c r="AN118" s="587"/>
      <c r="AO118" s="187">
        <v>4</v>
      </c>
      <c r="AP118" s="187">
        <v>2748.3099097226477</v>
      </c>
      <c r="AQ118" s="184">
        <f t="shared" si="46"/>
        <v>687.07747743066193</v>
      </c>
      <c r="AR118" s="181">
        <f t="shared" si="47"/>
        <v>20</v>
      </c>
      <c r="AS118" s="587"/>
      <c r="AT118" s="187">
        <v>4</v>
      </c>
      <c r="AU118" s="187">
        <v>2748.3099097226482</v>
      </c>
      <c r="AV118" s="184">
        <f t="shared" si="48"/>
        <v>687.07747743066204</v>
      </c>
      <c r="AW118" s="181">
        <f t="shared" si="49"/>
        <v>20</v>
      </c>
      <c r="AX118" s="587"/>
    </row>
    <row r="119" spans="2:50" ht="14.25" customHeight="1">
      <c r="B119" s="586"/>
      <c r="C119" s="179">
        <v>29</v>
      </c>
      <c r="D119" s="182" t="s">
        <v>470</v>
      </c>
      <c r="E119" s="183">
        <v>5</v>
      </c>
      <c r="F119" s="179">
        <v>3000</v>
      </c>
      <c r="G119" s="184">
        <f t="shared" si="35"/>
        <v>600</v>
      </c>
      <c r="H119" s="588"/>
      <c r="I119" s="185">
        <f t="shared" si="36"/>
        <v>5</v>
      </c>
      <c r="J119" s="185">
        <f t="shared" si="36"/>
        <v>2747.383394444515</v>
      </c>
      <c r="K119" s="186">
        <f t="shared" si="36"/>
        <v>549.47667888890305</v>
      </c>
      <c r="L119" s="589"/>
      <c r="M119" s="185">
        <f>RANK(K119, K$91:$K$127)</f>
        <v>32</v>
      </c>
      <c r="N119" s="590"/>
      <c r="O119" s="591"/>
      <c r="P119" s="187">
        <v>5</v>
      </c>
      <c r="Q119" s="187">
        <v>2742.3771411010994</v>
      </c>
      <c r="R119" s="184">
        <f t="shared" si="37"/>
        <v>548.4754282202199</v>
      </c>
      <c r="S119" s="181">
        <f t="shared" si="38"/>
        <v>32</v>
      </c>
      <c r="T119" s="587"/>
      <c r="U119" s="187">
        <v>5</v>
      </c>
      <c r="V119" s="187">
        <v>2745.3677700017515</v>
      </c>
      <c r="W119" s="184">
        <f t="shared" si="34"/>
        <v>549.07355400035033</v>
      </c>
      <c r="X119" s="181">
        <f t="shared" si="39"/>
        <v>32</v>
      </c>
      <c r="Y119" s="587"/>
      <c r="Z119" s="187">
        <v>5</v>
      </c>
      <c r="AA119" s="187">
        <v>2746.2677700017512</v>
      </c>
      <c r="AB119" s="184">
        <f t="shared" si="40"/>
        <v>549.25355400035028</v>
      </c>
      <c r="AC119" s="181">
        <f t="shared" si="41"/>
        <v>32</v>
      </c>
      <c r="AD119" s="587"/>
      <c r="AE119" s="187">
        <v>5</v>
      </c>
      <c r="AF119" s="187">
        <v>2747.1677700017513</v>
      </c>
      <c r="AG119" s="184">
        <f t="shared" si="42"/>
        <v>549.43355400035023</v>
      </c>
      <c r="AH119" s="181">
        <f t="shared" si="43"/>
        <v>32</v>
      </c>
      <c r="AI119" s="587"/>
      <c r="AJ119" s="187">
        <v>5</v>
      </c>
      <c r="AK119" s="187">
        <v>2748.6677700017513</v>
      </c>
      <c r="AL119" s="184">
        <f t="shared" si="44"/>
        <v>549.7335540003503</v>
      </c>
      <c r="AM119" s="181">
        <f t="shared" si="45"/>
        <v>32</v>
      </c>
      <c r="AN119" s="587"/>
      <c r="AO119" s="187">
        <v>5</v>
      </c>
      <c r="AP119" s="187">
        <v>2750.1677700017513</v>
      </c>
      <c r="AQ119" s="184">
        <f t="shared" si="46"/>
        <v>550.03355400035025</v>
      </c>
      <c r="AR119" s="181">
        <f t="shared" si="47"/>
        <v>32</v>
      </c>
      <c r="AS119" s="587"/>
      <c r="AT119" s="187">
        <v>5</v>
      </c>
      <c r="AU119" s="187">
        <v>2751.6677700017513</v>
      </c>
      <c r="AV119" s="184">
        <f t="shared" si="48"/>
        <v>550.3335540003502</v>
      </c>
      <c r="AW119" s="181">
        <f t="shared" si="49"/>
        <v>32</v>
      </c>
      <c r="AX119" s="587"/>
    </row>
    <row r="120" spans="2:50" ht="14.25" customHeight="1">
      <c r="B120" s="586"/>
      <c r="C120" s="179">
        <v>30</v>
      </c>
      <c r="D120" s="182" t="s">
        <v>553</v>
      </c>
      <c r="E120" s="183">
        <v>5</v>
      </c>
      <c r="F120" s="179">
        <v>3600</v>
      </c>
      <c r="G120" s="184">
        <f t="shared" si="35"/>
        <v>720</v>
      </c>
      <c r="H120" s="588"/>
      <c r="I120" s="185">
        <f t="shared" si="36"/>
        <v>5</v>
      </c>
      <c r="J120" s="185">
        <f t="shared" si="36"/>
        <v>3262.8277059694879</v>
      </c>
      <c r="K120" s="186">
        <f t="shared" si="36"/>
        <v>652.56554119389762</v>
      </c>
      <c r="L120" s="589"/>
      <c r="M120" s="185">
        <f>RANK(K120, K$91:$K$127)</f>
        <v>22</v>
      </c>
      <c r="N120" s="590"/>
      <c r="O120" s="591"/>
      <c r="P120" s="187">
        <v>5</v>
      </c>
      <c r="Q120" s="187">
        <v>3262.9746589617916</v>
      </c>
      <c r="R120" s="184">
        <f t="shared" si="37"/>
        <v>652.59493179235835</v>
      </c>
      <c r="S120" s="181">
        <f t="shared" si="38"/>
        <v>21</v>
      </c>
      <c r="T120" s="587"/>
      <c r="U120" s="187">
        <v>5</v>
      </c>
      <c r="V120" s="187">
        <v>3261.8946589617922</v>
      </c>
      <c r="W120" s="184">
        <f t="shared" si="34"/>
        <v>652.37893179235846</v>
      </c>
      <c r="X120" s="181">
        <f t="shared" si="39"/>
        <v>22</v>
      </c>
      <c r="Y120" s="587"/>
      <c r="Z120" s="187">
        <v>5</v>
      </c>
      <c r="AA120" s="187">
        <v>3262.6146589617924</v>
      </c>
      <c r="AB120" s="184">
        <f t="shared" si="40"/>
        <v>652.52293179235846</v>
      </c>
      <c r="AC120" s="181">
        <f t="shared" si="41"/>
        <v>22</v>
      </c>
      <c r="AD120" s="587"/>
      <c r="AE120" s="187">
        <v>5</v>
      </c>
      <c r="AF120" s="187">
        <v>3262.9746589617921</v>
      </c>
      <c r="AG120" s="184">
        <f t="shared" si="42"/>
        <v>652.59493179235847</v>
      </c>
      <c r="AH120" s="181">
        <f t="shared" si="43"/>
        <v>22</v>
      </c>
      <c r="AI120" s="587"/>
      <c r="AJ120" s="187">
        <v>5</v>
      </c>
      <c r="AK120" s="187">
        <v>3262.2546589617928</v>
      </c>
      <c r="AL120" s="184">
        <f t="shared" si="44"/>
        <v>652.45093179235857</v>
      </c>
      <c r="AM120" s="181">
        <f t="shared" si="45"/>
        <v>22</v>
      </c>
      <c r="AN120" s="587"/>
      <c r="AO120" s="187">
        <v>5</v>
      </c>
      <c r="AP120" s="187">
        <v>3262.25465896179</v>
      </c>
      <c r="AQ120" s="184">
        <f t="shared" si="46"/>
        <v>652.45093179235801</v>
      </c>
      <c r="AR120" s="181">
        <f t="shared" si="47"/>
        <v>22</v>
      </c>
      <c r="AS120" s="587"/>
      <c r="AT120" s="187">
        <v>5</v>
      </c>
      <c r="AU120" s="187">
        <v>3264.8259880156643</v>
      </c>
      <c r="AV120" s="184">
        <f t="shared" si="48"/>
        <v>652.96519760313288</v>
      </c>
      <c r="AW120" s="181">
        <f t="shared" si="49"/>
        <v>22</v>
      </c>
      <c r="AX120" s="587"/>
    </row>
    <row r="121" spans="2:50" ht="14.25" customHeight="1">
      <c r="B121" s="586"/>
      <c r="C121" s="179">
        <v>31</v>
      </c>
      <c r="D121" s="182" t="s">
        <v>559</v>
      </c>
      <c r="E121" s="179">
        <v>4</v>
      </c>
      <c r="F121" s="179">
        <v>3000</v>
      </c>
      <c r="G121" s="184">
        <f t="shared" si="35"/>
        <v>750</v>
      </c>
      <c r="H121" s="588"/>
      <c r="I121" s="185">
        <f t="shared" si="36"/>
        <v>4</v>
      </c>
      <c r="J121" s="185">
        <f t="shared" si="36"/>
        <v>2747.5380420646638</v>
      </c>
      <c r="K121" s="186">
        <f t="shared" si="36"/>
        <v>686.88451051616596</v>
      </c>
      <c r="L121" s="589"/>
      <c r="M121" s="185">
        <f>RANK(K121, K$91:$K$127)</f>
        <v>19</v>
      </c>
      <c r="N121" s="590"/>
      <c r="O121" s="591"/>
      <c r="P121" s="187">
        <v>4</v>
      </c>
      <c r="Q121" s="187">
        <v>2743.7237563503782</v>
      </c>
      <c r="R121" s="184">
        <f t="shared" si="37"/>
        <v>685.93093908759454</v>
      </c>
      <c r="S121" s="181">
        <f t="shared" si="38"/>
        <v>20</v>
      </c>
      <c r="T121" s="587"/>
      <c r="U121" s="187">
        <v>4</v>
      </c>
      <c r="V121" s="187">
        <v>2744.3237563503781</v>
      </c>
      <c r="W121" s="184">
        <f t="shared" si="34"/>
        <v>686.08093908759452</v>
      </c>
      <c r="X121" s="181">
        <f t="shared" si="39"/>
        <v>20</v>
      </c>
      <c r="Y121" s="587"/>
      <c r="Z121" s="187">
        <v>4</v>
      </c>
      <c r="AA121" s="187">
        <v>2745.8237563503776</v>
      </c>
      <c r="AB121" s="184">
        <f t="shared" si="40"/>
        <v>686.4559390875944</v>
      </c>
      <c r="AC121" s="181">
        <f t="shared" si="41"/>
        <v>20</v>
      </c>
      <c r="AD121" s="587"/>
      <c r="AE121" s="187">
        <v>4</v>
      </c>
      <c r="AF121" s="187">
        <v>2747.6237563503778</v>
      </c>
      <c r="AG121" s="184">
        <f t="shared" si="42"/>
        <v>686.90593908759445</v>
      </c>
      <c r="AH121" s="181">
        <f t="shared" si="43"/>
        <v>19</v>
      </c>
      <c r="AI121" s="587"/>
      <c r="AJ121" s="187">
        <v>4</v>
      </c>
      <c r="AK121" s="187">
        <v>2748.8237563503776</v>
      </c>
      <c r="AL121" s="184">
        <f t="shared" si="44"/>
        <v>687.2059390875944</v>
      </c>
      <c r="AM121" s="181">
        <f t="shared" si="45"/>
        <v>19</v>
      </c>
      <c r="AN121" s="587"/>
      <c r="AO121" s="187">
        <v>4</v>
      </c>
      <c r="AP121" s="187">
        <v>2750.3237563503776</v>
      </c>
      <c r="AQ121" s="184">
        <f t="shared" si="46"/>
        <v>687.5809390875944</v>
      </c>
      <c r="AR121" s="181">
        <f t="shared" si="47"/>
        <v>19</v>
      </c>
      <c r="AS121" s="587"/>
      <c r="AT121" s="187">
        <v>4</v>
      </c>
      <c r="AU121" s="187">
        <v>2752.1237563503778</v>
      </c>
      <c r="AV121" s="184">
        <f t="shared" si="48"/>
        <v>688.03093908759445</v>
      </c>
      <c r="AW121" s="181">
        <f t="shared" si="49"/>
        <v>19</v>
      </c>
      <c r="AX121" s="587"/>
    </row>
    <row r="122" spans="2:50" ht="14.25" customHeight="1">
      <c r="B122" s="586"/>
      <c r="C122" s="179">
        <v>32</v>
      </c>
      <c r="D122" s="182" t="s">
        <v>560</v>
      </c>
      <c r="E122" s="179">
        <v>5</v>
      </c>
      <c r="F122" s="179">
        <v>3600</v>
      </c>
      <c r="G122" s="184">
        <f t="shared" si="35"/>
        <v>720</v>
      </c>
      <c r="H122" s="588"/>
      <c r="I122" s="185">
        <f t="shared" ref="I122:K124" si="50">AVERAGE(P122,U122,Z122,AE122,AJ122,AO122,AT122)</f>
        <v>5</v>
      </c>
      <c r="J122" s="185">
        <f t="shared" si="50"/>
        <v>3264.3187106289697</v>
      </c>
      <c r="K122" s="186">
        <f t="shared" si="50"/>
        <v>652.86374212579381</v>
      </c>
      <c r="L122" s="589"/>
      <c r="M122" s="185">
        <f>RANK(K122, K$91:$K$127)</f>
        <v>21</v>
      </c>
      <c r="N122" s="590"/>
      <c r="O122" s="591"/>
      <c r="P122" s="187">
        <v>5</v>
      </c>
      <c r="Q122" s="187">
        <v>3262.8272820575421</v>
      </c>
      <c r="R122" s="184">
        <f t="shared" si="37"/>
        <v>652.56545641150842</v>
      </c>
      <c r="S122" s="181">
        <f t="shared" si="38"/>
        <v>22</v>
      </c>
      <c r="T122" s="587"/>
      <c r="U122" s="187">
        <v>5</v>
      </c>
      <c r="V122" s="187">
        <v>3262.8272820575417</v>
      </c>
      <c r="W122" s="184">
        <f t="shared" si="34"/>
        <v>652.56545641150831</v>
      </c>
      <c r="X122" s="181">
        <f t="shared" si="39"/>
        <v>21</v>
      </c>
      <c r="Y122" s="587"/>
      <c r="Z122" s="187">
        <v>5</v>
      </c>
      <c r="AA122" s="187">
        <v>3263.1872820575409</v>
      </c>
      <c r="AB122" s="184">
        <f t="shared" si="40"/>
        <v>652.6374564115082</v>
      </c>
      <c r="AC122" s="181">
        <f t="shared" si="41"/>
        <v>21</v>
      </c>
      <c r="AD122" s="587"/>
      <c r="AE122" s="187">
        <v>5</v>
      </c>
      <c r="AF122" s="187">
        <v>3264.2672820575408</v>
      </c>
      <c r="AG122" s="184">
        <f t="shared" si="42"/>
        <v>652.8534564115082</v>
      </c>
      <c r="AH122" s="181">
        <f t="shared" si="43"/>
        <v>21</v>
      </c>
      <c r="AI122" s="587"/>
      <c r="AJ122" s="187">
        <v>5</v>
      </c>
      <c r="AK122" s="187">
        <v>3264.6272820575409</v>
      </c>
      <c r="AL122" s="184">
        <f t="shared" si="44"/>
        <v>652.92545641150821</v>
      </c>
      <c r="AM122" s="181">
        <f t="shared" si="45"/>
        <v>21</v>
      </c>
      <c r="AN122" s="587"/>
      <c r="AO122" s="187">
        <v>5</v>
      </c>
      <c r="AP122" s="187">
        <v>3266.4272820575402</v>
      </c>
      <c r="AQ122" s="184">
        <f t="shared" si="46"/>
        <v>653.28545641150799</v>
      </c>
      <c r="AR122" s="181">
        <f t="shared" si="47"/>
        <v>21</v>
      </c>
      <c r="AS122" s="587"/>
      <c r="AT122" s="187">
        <v>5</v>
      </c>
      <c r="AU122" s="187">
        <v>3266.0672820575401</v>
      </c>
      <c r="AV122" s="184">
        <f t="shared" si="48"/>
        <v>653.21345641150799</v>
      </c>
      <c r="AW122" s="181">
        <f t="shared" si="49"/>
        <v>21</v>
      </c>
      <c r="AX122" s="587"/>
    </row>
    <row r="123" spans="2:50" ht="14.25" customHeight="1">
      <c r="B123" s="586"/>
      <c r="C123" s="179">
        <v>33</v>
      </c>
      <c r="D123" s="182" t="s">
        <v>324</v>
      </c>
      <c r="E123" s="179">
        <v>3</v>
      </c>
      <c r="F123" s="179">
        <v>3000</v>
      </c>
      <c r="G123" s="184">
        <f t="shared" si="35"/>
        <v>1000</v>
      </c>
      <c r="H123" s="588"/>
      <c r="I123" s="185">
        <f t="shared" si="50"/>
        <v>3</v>
      </c>
      <c r="J123" s="185">
        <f t="shared" si="50"/>
        <v>2751.1401003867827</v>
      </c>
      <c r="K123" s="186">
        <f t="shared" si="50"/>
        <v>917.04670012892734</v>
      </c>
      <c r="L123" s="589"/>
      <c r="M123" s="185">
        <f>RANK(K123, K$91:$K$127)</f>
        <v>11</v>
      </c>
      <c r="N123" s="590"/>
      <c r="O123" s="591"/>
      <c r="P123" s="187">
        <v>3</v>
      </c>
      <c r="Q123" s="187">
        <v>2747.5401003867819</v>
      </c>
      <c r="R123" s="184">
        <f t="shared" si="37"/>
        <v>915.8467001289273</v>
      </c>
      <c r="S123" s="181">
        <f t="shared" si="38"/>
        <v>11</v>
      </c>
      <c r="T123" s="587"/>
      <c r="U123" s="187">
        <v>3</v>
      </c>
      <c r="V123" s="187">
        <v>2748.4401003867824</v>
      </c>
      <c r="W123" s="184">
        <f t="shared" si="34"/>
        <v>916.14670012892748</v>
      </c>
      <c r="X123" s="181">
        <f t="shared" si="39"/>
        <v>11</v>
      </c>
      <c r="Y123" s="587"/>
      <c r="Z123" s="187">
        <v>3</v>
      </c>
      <c r="AA123" s="187">
        <v>2749.6401003867823</v>
      </c>
      <c r="AB123" s="184">
        <f t="shared" si="40"/>
        <v>916.54670012892745</v>
      </c>
      <c r="AC123" s="181">
        <f t="shared" si="41"/>
        <v>11</v>
      </c>
      <c r="AD123" s="587"/>
      <c r="AE123" s="187">
        <v>3</v>
      </c>
      <c r="AF123" s="187">
        <v>2751.4401003867824</v>
      </c>
      <c r="AG123" s="184">
        <f t="shared" si="42"/>
        <v>917.14670012892748</v>
      </c>
      <c r="AH123" s="181">
        <f t="shared" si="43"/>
        <v>11</v>
      </c>
      <c r="AI123" s="587"/>
      <c r="AJ123" s="187">
        <v>3</v>
      </c>
      <c r="AK123" s="187">
        <v>2752.6401003867823</v>
      </c>
      <c r="AL123" s="184">
        <f t="shared" si="44"/>
        <v>917.54670012892745</v>
      </c>
      <c r="AM123" s="181">
        <f t="shared" si="45"/>
        <v>11</v>
      </c>
      <c r="AN123" s="587"/>
      <c r="AO123" s="187">
        <v>3</v>
      </c>
      <c r="AP123" s="187">
        <v>2754.1401003867823</v>
      </c>
      <c r="AQ123" s="184">
        <f t="shared" si="46"/>
        <v>918.04670012892745</v>
      </c>
      <c r="AR123" s="181">
        <f t="shared" si="47"/>
        <v>11</v>
      </c>
      <c r="AS123" s="587"/>
      <c r="AT123" s="187">
        <v>3</v>
      </c>
      <c r="AU123" s="187">
        <v>2754.1401003867823</v>
      </c>
      <c r="AV123" s="184">
        <f t="shared" si="48"/>
        <v>918.04670012892745</v>
      </c>
      <c r="AW123" s="181">
        <f t="shared" si="49"/>
        <v>11</v>
      </c>
      <c r="AX123" s="587"/>
    </row>
    <row r="124" spans="2:50" ht="14.25" customHeight="1">
      <c r="B124" s="586"/>
      <c r="C124" s="179">
        <v>34</v>
      </c>
      <c r="D124" s="182" t="s">
        <v>414</v>
      </c>
      <c r="E124" s="179">
        <v>12</v>
      </c>
      <c r="F124" s="179">
        <v>3600</v>
      </c>
      <c r="G124" s="184">
        <f t="shared" si="35"/>
        <v>300</v>
      </c>
      <c r="H124" s="588"/>
      <c r="I124" s="185">
        <f t="shared" si="50"/>
        <v>12</v>
      </c>
      <c r="J124" s="185">
        <f t="shared" si="50"/>
        <v>3121.0684522695251</v>
      </c>
      <c r="K124" s="186">
        <f t="shared" si="50"/>
        <v>260.08903768912705</v>
      </c>
      <c r="L124" s="589"/>
      <c r="M124" s="185">
        <f>RANK(K124, K$91:$K$127)</f>
        <v>34</v>
      </c>
      <c r="N124" s="590"/>
      <c r="O124" s="591"/>
      <c r="P124" s="187">
        <v>12</v>
      </c>
      <c r="Q124" s="187">
        <v>3122.32806143379</v>
      </c>
      <c r="R124" s="184">
        <f t="shared" si="37"/>
        <v>260.19400511948248</v>
      </c>
      <c r="S124" s="181">
        <f t="shared" si="38"/>
        <v>33</v>
      </c>
      <c r="T124" s="587"/>
      <c r="U124" s="187">
        <v>12</v>
      </c>
      <c r="V124" s="187">
        <v>3121.6080614337898</v>
      </c>
      <c r="W124" s="184">
        <f t="shared" si="34"/>
        <v>260.13400511948248</v>
      </c>
      <c r="X124" s="181">
        <f t="shared" si="39"/>
        <v>33</v>
      </c>
      <c r="Y124" s="587"/>
      <c r="Z124" s="187">
        <v>12</v>
      </c>
      <c r="AA124" s="187">
        <v>3121.2480614337901</v>
      </c>
      <c r="AB124" s="184">
        <f t="shared" si="40"/>
        <v>260.10400511948251</v>
      </c>
      <c r="AC124" s="181">
        <f t="shared" si="41"/>
        <v>34</v>
      </c>
      <c r="AD124" s="587"/>
      <c r="AE124" s="187">
        <v>12</v>
      </c>
      <c r="AF124" s="187">
        <v>3119.80806143379</v>
      </c>
      <c r="AG124" s="184">
        <f t="shared" si="42"/>
        <v>259.9840051194825</v>
      </c>
      <c r="AH124" s="181">
        <f t="shared" si="43"/>
        <v>34</v>
      </c>
      <c r="AI124" s="587"/>
      <c r="AJ124" s="187">
        <v>12</v>
      </c>
      <c r="AK124" s="187">
        <v>3122.2689733838379</v>
      </c>
      <c r="AL124" s="184">
        <f t="shared" si="44"/>
        <v>260.18908111531982</v>
      </c>
      <c r="AM124" s="181">
        <f t="shared" si="45"/>
        <v>33</v>
      </c>
      <c r="AN124" s="587"/>
      <c r="AO124" s="187">
        <v>12</v>
      </c>
      <c r="AP124" s="187">
        <v>3120.4689733838381</v>
      </c>
      <c r="AQ124" s="184">
        <f t="shared" si="46"/>
        <v>260.03908111531985</v>
      </c>
      <c r="AR124" s="181">
        <f t="shared" si="47"/>
        <v>34</v>
      </c>
      <c r="AS124" s="587"/>
      <c r="AT124" s="187">
        <v>12</v>
      </c>
      <c r="AU124" s="187">
        <v>3119.7489733838383</v>
      </c>
      <c r="AV124" s="184">
        <f t="shared" si="48"/>
        <v>259.97908111531984</v>
      </c>
      <c r="AW124" s="181">
        <f t="shared" si="49"/>
        <v>34</v>
      </c>
      <c r="AX124" s="587"/>
    </row>
    <row r="125" spans="2:50" ht="14.25" customHeight="1">
      <c r="B125" s="586"/>
      <c r="C125" s="179">
        <v>35</v>
      </c>
      <c r="D125" s="182"/>
      <c r="E125" s="179"/>
      <c r="F125" s="179"/>
      <c r="G125" s="184"/>
      <c r="H125" s="588"/>
      <c r="I125" s="185"/>
      <c r="J125" s="185"/>
      <c r="K125" s="186"/>
      <c r="L125" s="589"/>
      <c r="M125" s="185"/>
      <c r="N125" s="590"/>
      <c r="O125" s="591"/>
      <c r="P125" s="187"/>
      <c r="Q125" s="187"/>
      <c r="R125" s="184"/>
      <c r="S125" s="181"/>
      <c r="T125" s="587"/>
      <c r="U125" s="187"/>
      <c r="V125" s="187"/>
      <c r="W125" s="184"/>
      <c r="X125" s="181"/>
      <c r="Y125" s="587"/>
      <c r="Z125" s="187"/>
      <c r="AA125" s="187"/>
      <c r="AB125" s="184"/>
      <c r="AC125" s="181"/>
      <c r="AD125" s="587"/>
      <c r="AE125" s="187"/>
      <c r="AF125" s="187"/>
      <c r="AG125" s="184"/>
      <c r="AH125" s="181"/>
      <c r="AI125" s="587"/>
      <c r="AJ125" s="187"/>
      <c r="AK125" s="187"/>
      <c r="AL125" s="184"/>
      <c r="AM125" s="181"/>
      <c r="AN125" s="587"/>
      <c r="AO125" s="187"/>
      <c r="AP125" s="187"/>
      <c r="AQ125" s="184"/>
      <c r="AR125" s="181"/>
      <c r="AS125" s="587"/>
      <c r="AT125" s="187"/>
      <c r="AU125" s="187"/>
      <c r="AV125" s="184"/>
      <c r="AW125" s="181"/>
      <c r="AX125" s="587"/>
    </row>
    <row r="126" spans="2:50" ht="14.25" customHeight="1">
      <c r="B126" s="586"/>
      <c r="C126" s="179">
        <v>36</v>
      </c>
      <c r="D126" s="182"/>
      <c r="E126" s="179"/>
      <c r="F126" s="179"/>
      <c r="G126" s="184"/>
      <c r="H126" s="588"/>
      <c r="I126" s="185"/>
      <c r="J126" s="185"/>
      <c r="K126" s="186"/>
      <c r="L126" s="589"/>
      <c r="M126" s="185"/>
      <c r="N126" s="590"/>
      <c r="O126" s="591"/>
      <c r="P126" s="187"/>
      <c r="Q126" s="187"/>
      <c r="R126" s="184"/>
      <c r="S126" s="181"/>
      <c r="T126" s="587"/>
      <c r="U126" s="187"/>
      <c r="V126" s="187"/>
      <c r="W126" s="184"/>
      <c r="X126" s="181"/>
      <c r="Y126" s="587"/>
      <c r="Z126" s="187"/>
      <c r="AA126" s="187"/>
      <c r="AB126" s="184"/>
      <c r="AC126" s="181"/>
      <c r="AD126" s="587"/>
      <c r="AE126" s="187"/>
      <c r="AF126" s="187"/>
      <c r="AG126" s="184"/>
      <c r="AH126" s="181"/>
      <c r="AI126" s="587"/>
      <c r="AJ126" s="187"/>
      <c r="AK126" s="187"/>
      <c r="AL126" s="184"/>
      <c r="AM126" s="181"/>
      <c r="AN126" s="587"/>
      <c r="AO126" s="187"/>
      <c r="AP126" s="187"/>
      <c r="AQ126" s="184"/>
      <c r="AR126" s="181"/>
      <c r="AS126" s="587"/>
      <c r="AT126" s="187"/>
      <c r="AU126" s="187"/>
      <c r="AV126" s="184"/>
      <c r="AW126" s="181"/>
      <c r="AX126" s="587"/>
    </row>
    <row r="127" spans="2:50" ht="14.25" customHeight="1">
      <c r="B127" s="586"/>
      <c r="C127" s="179">
        <v>37</v>
      </c>
      <c r="D127" s="182"/>
      <c r="E127" s="179"/>
      <c r="F127" s="179"/>
      <c r="G127" s="184"/>
      <c r="H127" s="588"/>
      <c r="I127" s="185"/>
      <c r="J127" s="185"/>
      <c r="K127" s="186"/>
      <c r="L127" s="589"/>
      <c r="M127" s="185"/>
      <c r="N127" s="590"/>
      <c r="O127" s="591"/>
      <c r="P127" s="187"/>
      <c r="Q127" s="187"/>
      <c r="R127" s="184"/>
      <c r="S127" s="181"/>
      <c r="T127" s="587"/>
      <c r="U127" s="187"/>
      <c r="V127" s="187"/>
      <c r="W127" s="184"/>
      <c r="X127" s="181"/>
      <c r="Y127" s="587"/>
      <c r="Z127" s="187"/>
      <c r="AA127" s="187"/>
      <c r="AB127" s="184"/>
      <c r="AC127" s="181"/>
      <c r="AD127" s="587"/>
      <c r="AE127" s="187"/>
      <c r="AF127" s="187"/>
      <c r="AG127" s="184"/>
      <c r="AH127" s="181"/>
      <c r="AI127" s="587"/>
      <c r="AJ127" s="187"/>
      <c r="AK127" s="187"/>
      <c r="AL127" s="184"/>
      <c r="AM127" s="181"/>
      <c r="AN127" s="587"/>
      <c r="AO127" s="187"/>
      <c r="AP127" s="187"/>
      <c r="AQ127" s="184"/>
      <c r="AR127" s="181"/>
      <c r="AS127" s="587"/>
      <c r="AT127" s="187"/>
      <c r="AU127" s="187"/>
      <c r="AV127" s="184"/>
      <c r="AW127" s="181"/>
      <c r="AX127" s="587"/>
    </row>
  </sheetData>
  <mergeCells count="177">
    <mergeCell ref="AX91:AX127"/>
    <mergeCell ref="B91:B127"/>
    <mergeCell ref="H91:H127"/>
    <mergeCell ref="L91:L127"/>
    <mergeCell ref="T91:T127"/>
    <mergeCell ref="Y91:Y127"/>
    <mergeCell ref="AD91:AD127"/>
    <mergeCell ref="AI91:AI127"/>
    <mergeCell ref="AN91:AN127"/>
    <mergeCell ref="AS91:AS127"/>
    <mergeCell ref="AI88:AI90"/>
    <mergeCell ref="AJ88:AM88"/>
    <mergeCell ref="AN88:AN90"/>
    <mergeCell ref="AO88:AR88"/>
    <mergeCell ref="AS88:AS90"/>
    <mergeCell ref="AT88:AW88"/>
    <mergeCell ref="AX88:AX90"/>
    <mergeCell ref="E89:G89"/>
    <mergeCell ref="I89:K89"/>
    <mergeCell ref="P89:S89"/>
    <mergeCell ref="U89:X89"/>
    <mergeCell ref="Z89:AC89"/>
    <mergeCell ref="AE89:AH89"/>
    <mergeCell ref="AJ89:AM89"/>
    <mergeCell ref="AO89:AR89"/>
    <mergeCell ref="AT89:AW89"/>
    <mergeCell ref="AT86:AX86"/>
    <mergeCell ref="P87:T87"/>
    <mergeCell ref="U87:Y87"/>
    <mergeCell ref="Z87:AD87"/>
    <mergeCell ref="AE87:AI87"/>
    <mergeCell ref="AJ87:AN87"/>
    <mergeCell ref="AO87:AS87"/>
    <mergeCell ref="AT87:AX87"/>
    <mergeCell ref="B88:B90"/>
    <mergeCell ref="C88:D90"/>
    <mergeCell ref="E88:G88"/>
    <mergeCell ref="H88:H90"/>
    <mergeCell ref="I88:K88"/>
    <mergeCell ref="L88:L90"/>
    <mergeCell ref="M88:M90"/>
    <mergeCell ref="N88:N127"/>
    <mergeCell ref="O88:O127"/>
    <mergeCell ref="P88:S88"/>
    <mergeCell ref="T88:T90"/>
    <mergeCell ref="U88:X88"/>
    <mergeCell ref="Y88:Y90"/>
    <mergeCell ref="Z88:AC88"/>
    <mergeCell ref="AD88:AD90"/>
    <mergeCell ref="AE88:AH88"/>
    <mergeCell ref="B86:M87"/>
    <mergeCell ref="N86:N87"/>
    <mergeCell ref="O86:O87"/>
    <mergeCell ref="P86:T86"/>
    <mergeCell ref="U86:Y86"/>
    <mergeCell ref="Z86:AD86"/>
    <mergeCell ref="AE86:AI86"/>
    <mergeCell ref="AJ86:AN86"/>
    <mergeCell ref="AO86:AS86"/>
    <mergeCell ref="AX7:AX43"/>
    <mergeCell ref="B7:B43"/>
    <mergeCell ref="H7:H43"/>
    <mergeCell ref="L7:L43"/>
    <mergeCell ref="T7:T43"/>
    <mergeCell ref="Y7:Y43"/>
    <mergeCell ref="AD7:AD43"/>
    <mergeCell ref="AI7:AI43"/>
    <mergeCell ref="AN7:AN43"/>
    <mergeCell ref="AS7:AS43"/>
    <mergeCell ref="P4:S4"/>
    <mergeCell ref="AI4:AI6"/>
    <mergeCell ref="AJ4:AM4"/>
    <mergeCell ref="AN4:AN6"/>
    <mergeCell ref="AO4:AR4"/>
    <mergeCell ref="AS4:AS6"/>
    <mergeCell ref="AT4:AW4"/>
    <mergeCell ref="T4:T6"/>
    <mergeCell ref="U4:X4"/>
    <mergeCell ref="Y4:Y6"/>
    <mergeCell ref="Z4:AC4"/>
    <mergeCell ref="AD4:AD6"/>
    <mergeCell ref="AT44:AX44"/>
    <mergeCell ref="E5:G5"/>
    <mergeCell ref="I5:K5"/>
    <mergeCell ref="P5:S5"/>
    <mergeCell ref="U5:X5"/>
    <mergeCell ref="Z5:AC5"/>
    <mergeCell ref="AT2:AX2"/>
    <mergeCell ref="P3:T3"/>
    <mergeCell ref="U3:Y3"/>
    <mergeCell ref="Z3:AD3"/>
    <mergeCell ref="AE3:AI3"/>
    <mergeCell ref="AJ3:AN3"/>
    <mergeCell ref="AO3:AS3"/>
    <mergeCell ref="AT3:AX3"/>
    <mergeCell ref="AJ2:AN2"/>
    <mergeCell ref="AO2:AS2"/>
    <mergeCell ref="AE2:AI2"/>
    <mergeCell ref="AJ5:AM5"/>
    <mergeCell ref="AO5:AR5"/>
    <mergeCell ref="AT5:AW5"/>
    <mergeCell ref="L4:L6"/>
    <mergeCell ref="M4:M6"/>
    <mergeCell ref="N4:N43"/>
    <mergeCell ref="O4:O43"/>
    <mergeCell ref="U46:X46"/>
    <mergeCell ref="Y46:Y48"/>
    <mergeCell ref="Z46:AC46"/>
    <mergeCell ref="AD46:AD48"/>
    <mergeCell ref="L46:L48"/>
    <mergeCell ref="M46:M48"/>
    <mergeCell ref="AX4:AX6"/>
    <mergeCell ref="B44:M45"/>
    <mergeCell ref="N44:N45"/>
    <mergeCell ref="O44:O45"/>
    <mergeCell ref="P44:T44"/>
    <mergeCell ref="U44:Y44"/>
    <mergeCell ref="P45:T45"/>
    <mergeCell ref="U45:Y45"/>
    <mergeCell ref="AE4:AH4"/>
    <mergeCell ref="Z45:AD45"/>
    <mergeCell ref="AE45:AI45"/>
    <mergeCell ref="AJ45:AN45"/>
    <mergeCell ref="AO45:AS45"/>
    <mergeCell ref="AT45:AX45"/>
    <mergeCell ref="Z44:AD44"/>
    <mergeCell ref="AE44:AI44"/>
    <mergeCell ref="AJ44:AN44"/>
    <mergeCell ref="AO44:AS44"/>
    <mergeCell ref="AI46:AI48"/>
    <mergeCell ref="AJ46:AM46"/>
    <mergeCell ref="AN46:AN48"/>
    <mergeCell ref="AO46:AR46"/>
    <mergeCell ref="AD49:AD85"/>
    <mergeCell ref="AI49:AI85"/>
    <mergeCell ref="AN49:AN85"/>
    <mergeCell ref="AS49:AS85"/>
    <mergeCell ref="B2:M3"/>
    <mergeCell ref="N2:N3"/>
    <mergeCell ref="O2:O3"/>
    <mergeCell ref="P2:T2"/>
    <mergeCell ref="U2:Y2"/>
    <mergeCell ref="Z2:AD2"/>
    <mergeCell ref="U47:X47"/>
    <mergeCell ref="Z47:AC47"/>
    <mergeCell ref="AE47:AH47"/>
    <mergeCell ref="B4:B6"/>
    <mergeCell ref="C4:D6"/>
    <mergeCell ref="E4:G4"/>
    <mergeCell ref="H4:H6"/>
    <mergeCell ref="AE5:AH5"/>
    <mergeCell ref="I4:K4"/>
    <mergeCell ref="T46:T48"/>
    <mergeCell ref="AX49:AX85"/>
    <mergeCell ref="B49:B85"/>
    <mergeCell ref="H49:H85"/>
    <mergeCell ref="L49:L85"/>
    <mergeCell ref="T49:T85"/>
    <mergeCell ref="Y49:Y85"/>
    <mergeCell ref="N46:N85"/>
    <mergeCell ref="O46:O85"/>
    <mergeCell ref="P46:S46"/>
    <mergeCell ref="B46:B48"/>
    <mergeCell ref="C46:D48"/>
    <mergeCell ref="E46:G46"/>
    <mergeCell ref="H46:H48"/>
    <mergeCell ref="I46:K46"/>
    <mergeCell ref="AS46:AS48"/>
    <mergeCell ref="AT46:AW46"/>
    <mergeCell ref="AX46:AX48"/>
    <mergeCell ref="E47:G47"/>
    <mergeCell ref="I47:K47"/>
    <mergeCell ref="P47:S47"/>
    <mergeCell ref="AJ47:AM47"/>
    <mergeCell ref="AO47:AR47"/>
    <mergeCell ref="AT47:AW47"/>
    <mergeCell ref="AE46:AH46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9">
    <tabColor rgb="FFFFFFCC"/>
  </sheetPr>
  <dimension ref="A1:AX61"/>
  <sheetViews>
    <sheetView zoomScaleNormal="100" workbookViewId="0">
      <pane xSplit="13" ySplit="1" topLeftCell="N29" activePane="bottomRight" state="frozen"/>
      <selection activeCell="B86" sqref="B86:M87"/>
      <selection pane="topRight" activeCell="B86" sqref="B86:M87"/>
      <selection pane="bottomLeft" activeCell="B86" sqref="B86:M87"/>
      <selection pane="bottomRight" activeCell="C1" sqref="C1"/>
    </sheetView>
  </sheetViews>
  <sheetFormatPr defaultColWidth="8.85546875" defaultRowHeight="12"/>
  <cols>
    <col min="1" max="1" width="5.5703125" style="78" customWidth="1"/>
    <col min="2" max="2" width="12.42578125" style="78" customWidth="1"/>
    <col min="3" max="3" width="9.28515625" style="176" bestFit="1" customWidth="1"/>
    <col min="4" max="4" width="26.42578125" style="175" customWidth="1"/>
    <col min="5" max="5" width="7.7109375" style="176" customWidth="1"/>
    <col min="6" max="7" width="8.7109375" style="176" customWidth="1"/>
    <col min="8" max="8" width="10.7109375" style="176" customWidth="1"/>
    <col min="9" max="9" width="7.7109375" style="177" customWidth="1"/>
    <col min="10" max="11" width="8.7109375" style="177" customWidth="1"/>
    <col min="12" max="12" width="10.7109375" style="177" customWidth="1"/>
    <col min="13" max="13" width="5.7109375" style="177" customWidth="1"/>
    <col min="14" max="14" width="9.85546875" style="176" customWidth="1"/>
    <col min="15" max="15" width="7.140625" style="176" customWidth="1"/>
    <col min="16" max="16" width="7.7109375" style="176" customWidth="1"/>
    <col min="17" max="18" width="8.7109375" style="176" customWidth="1"/>
    <col min="19" max="19" width="5.7109375" style="177" customWidth="1"/>
    <col min="20" max="20" width="10.7109375" style="176" customWidth="1"/>
    <col min="21" max="21" width="7.7109375" style="78" customWidth="1"/>
    <col min="22" max="23" width="8.7109375" style="78" customWidth="1"/>
    <col min="24" max="24" width="5.42578125" style="177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77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77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77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78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78" customWidth="1"/>
    <col min="50" max="50" width="10.7109375" style="78" customWidth="1"/>
    <col min="51" max="16384" width="8.85546875" style="78"/>
  </cols>
  <sheetData>
    <row r="1" spans="1:50" ht="21">
      <c r="A1" s="74"/>
      <c r="B1" s="450" t="s">
        <v>672</v>
      </c>
      <c r="C1" s="174">
        <f>AVERAGE(L27,L47)</f>
        <v>295.70293769695468</v>
      </c>
    </row>
    <row r="2" spans="1:50" ht="14.25" customHeight="1">
      <c r="B2" s="612" t="s">
        <v>628</v>
      </c>
      <c r="C2" s="613"/>
      <c r="D2" s="613"/>
      <c r="E2" s="613"/>
      <c r="F2" s="613"/>
      <c r="G2" s="613"/>
      <c r="H2" s="613"/>
      <c r="I2" s="613"/>
      <c r="J2" s="613"/>
      <c r="K2" s="613"/>
      <c r="L2" s="613"/>
      <c r="M2" s="614"/>
      <c r="N2" s="617" t="s">
        <v>341</v>
      </c>
      <c r="O2" s="617" t="s">
        <v>105</v>
      </c>
      <c r="P2" s="600">
        <v>46231</v>
      </c>
      <c r="Q2" s="601"/>
      <c r="R2" s="601"/>
      <c r="S2" s="601"/>
      <c r="T2" s="601"/>
      <c r="U2" s="602">
        <v>46232</v>
      </c>
      <c r="V2" s="603"/>
      <c r="W2" s="603"/>
      <c r="X2" s="603"/>
      <c r="Y2" s="603"/>
      <c r="Z2" s="600">
        <v>46233</v>
      </c>
      <c r="AA2" s="601"/>
      <c r="AB2" s="601"/>
      <c r="AC2" s="601"/>
      <c r="AD2" s="601"/>
      <c r="AE2" s="602">
        <v>46234</v>
      </c>
      <c r="AF2" s="603"/>
      <c r="AG2" s="603"/>
      <c r="AH2" s="603"/>
      <c r="AI2" s="603"/>
      <c r="AJ2" s="609">
        <v>46235</v>
      </c>
      <c r="AK2" s="610"/>
      <c r="AL2" s="610"/>
      <c r="AM2" s="610"/>
      <c r="AN2" s="611"/>
      <c r="AO2" s="602">
        <v>46236</v>
      </c>
      <c r="AP2" s="603"/>
      <c r="AQ2" s="603"/>
      <c r="AR2" s="603"/>
      <c r="AS2" s="603"/>
      <c r="AT2" s="609">
        <v>46237</v>
      </c>
      <c r="AU2" s="610"/>
      <c r="AV2" s="610"/>
      <c r="AW2" s="610"/>
      <c r="AX2" s="611"/>
    </row>
    <row r="3" spans="1:50" ht="14.25" customHeight="1">
      <c r="B3" s="615"/>
      <c r="C3" s="615"/>
      <c r="D3" s="615"/>
      <c r="E3" s="615"/>
      <c r="F3" s="615"/>
      <c r="G3" s="615"/>
      <c r="H3" s="615"/>
      <c r="I3" s="615"/>
      <c r="J3" s="615"/>
      <c r="K3" s="615"/>
      <c r="L3" s="615"/>
      <c r="M3" s="616"/>
      <c r="N3" s="618"/>
      <c r="O3" s="618"/>
      <c r="P3" s="604">
        <v>46196</v>
      </c>
      <c r="Q3" s="604"/>
      <c r="R3" s="604"/>
      <c r="S3" s="604"/>
      <c r="T3" s="604"/>
      <c r="U3" s="605">
        <v>46197</v>
      </c>
      <c r="V3" s="605"/>
      <c r="W3" s="605"/>
      <c r="X3" s="605"/>
      <c r="Y3" s="605"/>
      <c r="Z3" s="604">
        <v>46198</v>
      </c>
      <c r="AA3" s="604"/>
      <c r="AB3" s="604"/>
      <c r="AC3" s="604"/>
      <c r="AD3" s="604"/>
      <c r="AE3" s="605">
        <v>46199</v>
      </c>
      <c r="AF3" s="605"/>
      <c r="AG3" s="605"/>
      <c r="AH3" s="605"/>
      <c r="AI3" s="605"/>
      <c r="AJ3" s="606">
        <v>46200</v>
      </c>
      <c r="AK3" s="607"/>
      <c r="AL3" s="607"/>
      <c r="AM3" s="607"/>
      <c r="AN3" s="608"/>
      <c r="AO3" s="605">
        <v>46201</v>
      </c>
      <c r="AP3" s="605"/>
      <c r="AQ3" s="605"/>
      <c r="AR3" s="605"/>
      <c r="AS3" s="605"/>
      <c r="AT3" s="606">
        <v>46202</v>
      </c>
      <c r="AU3" s="607"/>
      <c r="AV3" s="607"/>
      <c r="AW3" s="607"/>
      <c r="AX3" s="608"/>
    </row>
    <row r="4" spans="1:50" ht="14.25" customHeight="1">
      <c r="B4" s="586" t="s">
        <v>162</v>
      </c>
      <c r="C4" s="586" t="s">
        <v>157</v>
      </c>
      <c r="D4" s="586"/>
      <c r="E4" s="586" t="s">
        <v>158</v>
      </c>
      <c r="F4" s="586"/>
      <c r="G4" s="586"/>
      <c r="H4" s="586" t="s">
        <v>163</v>
      </c>
      <c r="I4" s="592" t="s">
        <v>342</v>
      </c>
      <c r="J4" s="592"/>
      <c r="K4" s="592"/>
      <c r="L4" s="592" t="s">
        <v>163</v>
      </c>
      <c r="M4" s="592" t="s">
        <v>165</v>
      </c>
      <c r="N4" s="586"/>
      <c r="O4" s="586" t="s">
        <v>164</v>
      </c>
      <c r="P4" s="586" t="s">
        <v>160</v>
      </c>
      <c r="Q4" s="586"/>
      <c r="R4" s="586"/>
      <c r="S4" s="586"/>
      <c r="T4" s="586" t="s">
        <v>163</v>
      </c>
      <c r="U4" s="586" t="s">
        <v>160</v>
      </c>
      <c r="V4" s="586"/>
      <c r="W4" s="586"/>
      <c r="X4" s="586"/>
      <c r="Y4" s="586" t="s">
        <v>163</v>
      </c>
      <c r="Z4" s="586" t="s">
        <v>160</v>
      </c>
      <c r="AA4" s="586"/>
      <c r="AB4" s="586"/>
      <c r="AC4" s="586"/>
      <c r="AD4" s="586" t="s">
        <v>163</v>
      </c>
      <c r="AE4" s="586" t="s">
        <v>160</v>
      </c>
      <c r="AF4" s="586"/>
      <c r="AG4" s="586"/>
      <c r="AH4" s="586"/>
      <c r="AI4" s="586" t="s">
        <v>163</v>
      </c>
      <c r="AJ4" s="586" t="s">
        <v>160</v>
      </c>
      <c r="AK4" s="586"/>
      <c r="AL4" s="586"/>
      <c r="AM4" s="586"/>
      <c r="AN4" s="586" t="s">
        <v>163</v>
      </c>
      <c r="AO4" s="586" t="s">
        <v>160</v>
      </c>
      <c r="AP4" s="586"/>
      <c r="AQ4" s="586"/>
      <c r="AR4" s="586"/>
      <c r="AS4" s="586" t="s">
        <v>163</v>
      </c>
      <c r="AT4" s="586" t="s">
        <v>160</v>
      </c>
      <c r="AU4" s="586"/>
      <c r="AV4" s="586"/>
      <c r="AW4" s="586"/>
      <c r="AX4" s="586" t="s">
        <v>163</v>
      </c>
    </row>
    <row r="5" spans="1:50" ht="14.25" customHeight="1">
      <c r="B5" s="586"/>
      <c r="C5" s="586"/>
      <c r="D5" s="586"/>
      <c r="E5" s="586" t="s">
        <v>343</v>
      </c>
      <c r="F5" s="586"/>
      <c r="G5" s="586"/>
      <c r="H5" s="586"/>
      <c r="I5" s="592" t="s">
        <v>343</v>
      </c>
      <c r="J5" s="592"/>
      <c r="K5" s="592"/>
      <c r="L5" s="592"/>
      <c r="M5" s="592"/>
      <c r="N5" s="586"/>
      <c r="O5" s="586"/>
      <c r="P5" s="586" t="s">
        <v>344</v>
      </c>
      <c r="Q5" s="586"/>
      <c r="R5" s="586"/>
      <c r="S5" s="586"/>
      <c r="T5" s="586"/>
      <c r="U5" s="586" t="s">
        <v>344</v>
      </c>
      <c r="V5" s="586"/>
      <c r="W5" s="586"/>
      <c r="X5" s="586"/>
      <c r="Y5" s="586"/>
      <c r="Z5" s="586" t="s">
        <v>344</v>
      </c>
      <c r="AA5" s="586"/>
      <c r="AB5" s="586"/>
      <c r="AC5" s="586"/>
      <c r="AD5" s="586"/>
      <c r="AE5" s="586" t="s">
        <v>344</v>
      </c>
      <c r="AF5" s="586"/>
      <c r="AG5" s="586"/>
      <c r="AH5" s="586"/>
      <c r="AI5" s="586"/>
      <c r="AJ5" s="586" t="s">
        <v>344</v>
      </c>
      <c r="AK5" s="586"/>
      <c r="AL5" s="586"/>
      <c r="AM5" s="586"/>
      <c r="AN5" s="586"/>
      <c r="AO5" s="586" t="s">
        <v>344</v>
      </c>
      <c r="AP5" s="586"/>
      <c r="AQ5" s="586"/>
      <c r="AR5" s="586"/>
      <c r="AS5" s="586"/>
      <c r="AT5" s="586" t="s">
        <v>344</v>
      </c>
      <c r="AU5" s="586"/>
      <c r="AV5" s="586"/>
      <c r="AW5" s="586"/>
      <c r="AX5" s="586"/>
    </row>
    <row r="6" spans="1:50" ht="14.25" customHeight="1">
      <c r="B6" s="586"/>
      <c r="C6" s="586"/>
      <c r="D6" s="586"/>
      <c r="E6" s="179" t="s">
        <v>159</v>
      </c>
      <c r="F6" s="179" t="s">
        <v>345</v>
      </c>
      <c r="G6" s="179" t="s">
        <v>161</v>
      </c>
      <c r="H6" s="586"/>
      <c r="I6" s="180" t="s">
        <v>159</v>
      </c>
      <c r="J6" s="180" t="s">
        <v>345</v>
      </c>
      <c r="K6" s="180" t="s">
        <v>161</v>
      </c>
      <c r="L6" s="592"/>
      <c r="M6" s="592"/>
      <c r="N6" s="586"/>
      <c r="O6" s="586"/>
      <c r="P6" s="179" t="s">
        <v>159</v>
      </c>
      <c r="Q6" s="179" t="s">
        <v>345</v>
      </c>
      <c r="R6" s="179" t="s">
        <v>161</v>
      </c>
      <c r="S6" s="181" t="s">
        <v>165</v>
      </c>
      <c r="T6" s="586"/>
      <c r="U6" s="179" t="s">
        <v>159</v>
      </c>
      <c r="V6" s="179" t="s">
        <v>345</v>
      </c>
      <c r="W6" s="179" t="s">
        <v>161</v>
      </c>
      <c r="X6" s="181" t="s">
        <v>165</v>
      </c>
      <c r="Y6" s="586"/>
      <c r="Z6" s="179" t="s">
        <v>159</v>
      </c>
      <c r="AA6" s="179" t="s">
        <v>345</v>
      </c>
      <c r="AB6" s="179" t="s">
        <v>161</v>
      </c>
      <c r="AC6" s="181" t="s">
        <v>165</v>
      </c>
      <c r="AD6" s="586"/>
      <c r="AE6" s="179" t="s">
        <v>159</v>
      </c>
      <c r="AF6" s="179" t="s">
        <v>345</v>
      </c>
      <c r="AG6" s="179" t="s">
        <v>161</v>
      </c>
      <c r="AH6" s="181" t="s">
        <v>165</v>
      </c>
      <c r="AI6" s="586"/>
      <c r="AJ6" s="179" t="s">
        <v>159</v>
      </c>
      <c r="AK6" s="179" t="s">
        <v>345</v>
      </c>
      <c r="AL6" s="179" t="s">
        <v>161</v>
      </c>
      <c r="AM6" s="181" t="s">
        <v>165</v>
      </c>
      <c r="AN6" s="586"/>
      <c r="AO6" s="179" t="s">
        <v>159</v>
      </c>
      <c r="AP6" s="179" t="s">
        <v>345</v>
      </c>
      <c r="AQ6" s="179" t="s">
        <v>161</v>
      </c>
      <c r="AR6" s="181" t="s">
        <v>165</v>
      </c>
      <c r="AS6" s="586"/>
      <c r="AT6" s="179" t="s">
        <v>159</v>
      </c>
      <c r="AU6" s="179" t="s">
        <v>345</v>
      </c>
      <c r="AV6" s="179" t="s">
        <v>161</v>
      </c>
      <c r="AW6" s="181" t="s">
        <v>165</v>
      </c>
      <c r="AX6" s="586"/>
    </row>
    <row r="7" spans="1:50" ht="14.25" customHeight="1">
      <c r="B7" s="586" t="s">
        <v>347</v>
      </c>
      <c r="C7" s="179">
        <v>1</v>
      </c>
      <c r="D7" s="182" t="s">
        <v>325</v>
      </c>
      <c r="E7" s="183">
        <v>10</v>
      </c>
      <c r="F7" s="179">
        <v>3600</v>
      </c>
      <c r="G7" s="184">
        <f t="shared" ref="G7:G10" si="0">IFERROR(F7/E7,"")</f>
        <v>360</v>
      </c>
      <c r="H7" s="588">
        <f>AVERAGE(G7:G21)</f>
        <v>335.45454545454544</v>
      </c>
      <c r="I7" s="185">
        <f>AVERAGE(P7,U7,Z7,AE7,AJ7,AO7,AT7)</f>
        <v>10</v>
      </c>
      <c r="J7" s="185">
        <f>AVERAGE(Q7,V7,AA7,AF7,AK7,AP7,AU7)</f>
        <v>3217.1466940103287</v>
      </c>
      <c r="K7" s="186">
        <f>AVERAGE(R7,W7,AB7,AG7,AL7,AQ7,AV7)</f>
        <v>321.71466940103295</v>
      </c>
      <c r="L7" s="589">
        <f>IFERROR(AVERAGE(K7:K21),"-")</f>
        <v>295.72171351408798</v>
      </c>
      <c r="M7" s="185">
        <f>RANK(K7, K$7:$K$21)</f>
        <v>1</v>
      </c>
      <c r="N7" s="586"/>
      <c r="O7" s="586"/>
      <c r="P7" s="187">
        <v>10</v>
      </c>
      <c r="Q7" s="187">
        <v>3217.2495511531861</v>
      </c>
      <c r="R7" s="184">
        <f>IFERROR(Q7/P7,"")</f>
        <v>321.72495511531861</v>
      </c>
      <c r="S7" s="181">
        <f>RANK(R7, R$7:R$21)</f>
        <v>1</v>
      </c>
      <c r="T7" s="588">
        <f>AVERAGE(R7:R21)</f>
        <v>295.75474708584306</v>
      </c>
      <c r="U7" s="187">
        <v>10</v>
      </c>
      <c r="V7" s="187">
        <v>3216.5295511531867</v>
      </c>
      <c r="W7" s="184">
        <f t="shared" ref="W7:W10" si="1">IFERROR(V7/U7,"")</f>
        <v>321.65295511531866</v>
      </c>
      <c r="X7" s="181">
        <f>RANK(W7, W$7:W$21)</f>
        <v>1</v>
      </c>
      <c r="Y7" s="588">
        <f>AVERAGE(W7:W21)</f>
        <v>295.72856526766128</v>
      </c>
      <c r="Z7" s="187">
        <v>10</v>
      </c>
      <c r="AA7" s="187">
        <v>3216.5295511531863</v>
      </c>
      <c r="AB7" s="184">
        <f>IFERROR(AA7/Z7,"")</f>
        <v>321.6529551153186</v>
      </c>
      <c r="AC7" s="181">
        <f>RANK(AB7, AB$7:AB$21)</f>
        <v>1</v>
      </c>
      <c r="AD7" s="588">
        <f>AVERAGE(AB7:AB21)</f>
        <v>295.68428190356769</v>
      </c>
      <c r="AE7" s="187">
        <v>10</v>
      </c>
      <c r="AF7" s="187">
        <v>3217.6095511531857</v>
      </c>
      <c r="AG7" s="184">
        <f>IFERROR(AF7/AE7,"")</f>
        <v>321.76095511531855</v>
      </c>
      <c r="AH7" s="181">
        <f>RANK(AG7, AG$7:AG$21)</f>
        <v>1</v>
      </c>
      <c r="AI7" s="588">
        <f>AVERAGE(AG7:AG21)</f>
        <v>295.74400917629504</v>
      </c>
      <c r="AJ7" s="187">
        <v>10</v>
      </c>
      <c r="AK7" s="187">
        <v>3216.5295511531858</v>
      </c>
      <c r="AL7" s="184">
        <f>IFERROR(AK7/AJ7,"")</f>
        <v>321.6529551153186</v>
      </c>
      <c r="AM7" s="181">
        <f>RANK(AL7, AL$7:AL$21)</f>
        <v>1</v>
      </c>
      <c r="AN7" s="588">
        <f>AVERAGE(AL7:AL21)</f>
        <v>295.676100085386</v>
      </c>
      <c r="AO7" s="187">
        <v>10</v>
      </c>
      <c r="AP7" s="187">
        <v>3217.9695511531859</v>
      </c>
      <c r="AQ7" s="184">
        <f>IFERROR(AP7/AO7,"")</f>
        <v>321.79695511531861</v>
      </c>
      <c r="AR7" s="181">
        <f>RANK(AQ7, AQ$7:AQ$21)</f>
        <v>1</v>
      </c>
      <c r="AS7" s="588">
        <f>AVERAGE(AQ7:AQ21)</f>
        <v>295.68755463084057</v>
      </c>
      <c r="AT7" s="187">
        <v>10</v>
      </c>
      <c r="AU7" s="187">
        <v>3217.6095511531857</v>
      </c>
      <c r="AV7" s="184">
        <f>IFERROR(AU7/AT7,"")</f>
        <v>321.76095511531855</v>
      </c>
      <c r="AW7" s="181">
        <f>RANK(AV7, AV$7:AV$21)</f>
        <v>1</v>
      </c>
      <c r="AX7" s="588">
        <f>AVERAGE(AV7:AV21)</f>
        <v>295.77673644902234</v>
      </c>
    </row>
    <row r="8" spans="1:50" ht="14.25" customHeight="1">
      <c r="B8" s="586"/>
      <c r="C8" s="179">
        <v>2</v>
      </c>
      <c r="D8" s="182" t="s">
        <v>483</v>
      </c>
      <c r="E8" s="179">
        <v>11</v>
      </c>
      <c r="F8" s="179">
        <v>3600</v>
      </c>
      <c r="G8" s="184">
        <f t="shared" si="0"/>
        <v>327.27272727272725</v>
      </c>
      <c r="H8" s="588"/>
      <c r="I8" s="185">
        <f t="shared" ref="I8:K10" si="2">AVERAGE(P8,U8,Z8,AE8,AJ8,AO8,AT8)</f>
        <v>11</v>
      </c>
      <c r="J8" s="185">
        <f t="shared" si="2"/>
        <v>3156.928454195679</v>
      </c>
      <c r="K8" s="186">
        <f t="shared" si="2"/>
        <v>286.99349583597075</v>
      </c>
      <c r="L8" s="589"/>
      <c r="M8" s="185">
        <f>RANK(K8, K$7:$K$21)</f>
        <v>4</v>
      </c>
      <c r="N8" s="586"/>
      <c r="O8" s="586"/>
      <c r="P8" s="187">
        <v>11</v>
      </c>
      <c r="Q8" s="187">
        <v>3157.8027399099628</v>
      </c>
      <c r="R8" s="184">
        <f t="shared" ref="R8:R10" si="3">IFERROR(Q8/P8,"")</f>
        <v>287.07297635545115</v>
      </c>
      <c r="S8" s="181">
        <f t="shared" ref="S8:S10" si="4">RANK(R8, R$7:R$21)</f>
        <v>4</v>
      </c>
      <c r="T8" s="588"/>
      <c r="U8" s="187">
        <v>11</v>
      </c>
      <c r="V8" s="187">
        <v>3157.4427399099627</v>
      </c>
      <c r="W8" s="184">
        <f t="shared" si="1"/>
        <v>287.0402490827239</v>
      </c>
      <c r="X8" s="181">
        <f t="shared" ref="X8:X10" si="5">RANK(W8, W$7:W$21)</f>
        <v>4</v>
      </c>
      <c r="Y8" s="588"/>
      <c r="Z8" s="187">
        <v>11</v>
      </c>
      <c r="AA8" s="187">
        <v>3156.0027399099636</v>
      </c>
      <c r="AB8" s="184">
        <f t="shared" ref="AB8:AB10" si="6">IFERROR(AA8/Z8,"")</f>
        <v>286.90933999181487</v>
      </c>
      <c r="AC8" s="181">
        <f t="shared" ref="AC8:AC10" si="7">RANK(AB8, AB$7:AB$21)</f>
        <v>4</v>
      </c>
      <c r="AD8" s="588"/>
      <c r="AE8" s="187">
        <v>11</v>
      </c>
      <c r="AF8" s="187">
        <v>3157.0827399099644</v>
      </c>
      <c r="AG8" s="184">
        <f t="shared" ref="AG8:AG10" si="8">IFERROR(AF8/AE8,"")</f>
        <v>287.00752180999677</v>
      </c>
      <c r="AH8" s="181">
        <f t="shared" ref="AH8:AH10" si="9">RANK(AG8, AG$7:AG$21)</f>
        <v>4</v>
      </c>
      <c r="AI8" s="588"/>
      <c r="AJ8" s="187">
        <v>11</v>
      </c>
      <c r="AK8" s="187">
        <v>3155.6427399099653</v>
      </c>
      <c r="AL8" s="184">
        <f t="shared" ref="AL8:AL10" si="10">IFERROR(AK8/AJ8,"")</f>
        <v>286.87661271908775</v>
      </c>
      <c r="AM8" s="181">
        <f t="shared" ref="AM8:AM10" si="11">RANK(AL8, AL$7:AL$21)</f>
        <v>4</v>
      </c>
      <c r="AN8" s="588"/>
      <c r="AO8" s="187">
        <v>11</v>
      </c>
      <c r="AP8" s="187">
        <v>3156.3627399099655</v>
      </c>
      <c r="AQ8" s="184">
        <f t="shared" ref="AQ8:AQ10" si="12">IFERROR(AP8/AO8,"")</f>
        <v>286.94206726454235</v>
      </c>
      <c r="AR8" s="181">
        <f t="shared" ref="AR8:AR10" si="13">RANK(AQ8, AQ$7:AQ$21)</f>
        <v>3</v>
      </c>
      <c r="AS8" s="588"/>
      <c r="AT8" s="187">
        <v>11</v>
      </c>
      <c r="AU8" s="187">
        <v>3158.1627399099657</v>
      </c>
      <c r="AV8" s="184">
        <f t="shared" ref="AV8:AV10" si="14">IFERROR(AU8/AT8,"")</f>
        <v>287.10570362817867</v>
      </c>
      <c r="AW8" s="181">
        <f t="shared" ref="AW8:AW10" si="15">RANK(AV8, AV$7:AV$21)</f>
        <v>3</v>
      </c>
      <c r="AX8" s="588"/>
    </row>
    <row r="9" spans="1:50" ht="14.25" customHeight="1">
      <c r="B9" s="586"/>
      <c r="C9" s="179">
        <v>3</v>
      </c>
      <c r="D9" s="182" t="s">
        <v>484</v>
      </c>
      <c r="E9" s="179">
        <v>11</v>
      </c>
      <c r="F9" s="179">
        <v>3600</v>
      </c>
      <c r="G9" s="184">
        <f t="shared" si="0"/>
        <v>327.27272727272725</v>
      </c>
      <c r="H9" s="588"/>
      <c r="I9" s="185">
        <f t="shared" si="2"/>
        <v>11</v>
      </c>
      <c r="J9" s="185">
        <f t="shared" si="2"/>
        <v>3157.7971817291823</v>
      </c>
      <c r="K9" s="186">
        <f t="shared" si="2"/>
        <v>287.07247106628927</v>
      </c>
      <c r="L9" s="589"/>
      <c r="M9" s="185">
        <f>RANK(K9, K$7:$K$21)</f>
        <v>3</v>
      </c>
      <c r="N9" s="586"/>
      <c r="O9" s="586"/>
      <c r="P9" s="187">
        <v>11</v>
      </c>
      <c r="Q9" s="187">
        <v>3158.5203731721199</v>
      </c>
      <c r="R9" s="184">
        <f t="shared" si="3"/>
        <v>287.13821574292001</v>
      </c>
      <c r="S9" s="181">
        <f t="shared" si="4"/>
        <v>2</v>
      </c>
      <c r="T9" s="588"/>
      <c r="U9" s="187">
        <v>11</v>
      </c>
      <c r="V9" s="187">
        <v>3158.1603731721202</v>
      </c>
      <c r="W9" s="184">
        <f t="shared" si="1"/>
        <v>287.10548847019277</v>
      </c>
      <c r="X9" s="181">
        <f t="shared" si="5"/>
        <v>3</v>
      </c>
      <c r="Y9" s="588"/>
      <c r="Z9" s="187">
        <v>11</v>
      </c>
      <c r="AA9" s="187">
        <v>3158.7319051520058</v>
      </c>
      <c r="AB9" s="184">
        <f t="shared" si="6"/>
        <v>287.15744592290963</v>
      </c>
      <c r="AC9" s="181">
        <f t="shared" si="7"/>
        <v>2</v>
      </c>
      <c r="AD9" s="588"/>
      <c r="AE9" s="187">
        <v>11</v>
      </c>
      <c r="AF9" s="187">
        <v>3157.6519051520067</v>
      </c>
      <c r="AG9" s="184">
        <f t="shared" si="8"/>
        <v>287.0592641047279</v>
      </c>
      <c r="AH9" s="181">
        <f t="shared" si="9"/>
        <v>3</v>
      </c>
      <c r="AI9" s="588"/>
      <c r="AJ9" s="187">
        <v>11</v>
      </c>
      <c r="AK9" s="187">
        <v>3157.6519051520072</v>
      </c>
      <c r="AL9" s="184">
        <f t="shared" si="10"/>
        <v>287.0592641047279</v>
      </c>
      <c r="AM9" s="181">
        <f t="shared" si="11"/>
        <v>3</v>
      </c>
      <c r="AN9" s="588"/>
      <c r="AO9" s="187">
        <v>11</v>
      </c>
      <c r="AP9" s="187">
        <v>3156.2119051520071</v>
      </c>
      <c r="AQ9" s="184">
        <f t="shared" si="12"/>
        <v>286.92835501381882</v>
      </c>
      <c r="AR9" s="181">
        <f t="shared" si="13"/>
        <v>4</v>
      </c>
      <c r="AS9" s="588"/>
      <c r="AT9" s="187">
        <v>11</v>
      </c>
      <c r="AU9" s="187">
        <v>3157.6519051520072</v>
      </c>
      <c r="AV9" s="184">
        <f t="shared" si="14"/>
        <v>287.0592641047279</v>
      </c>
      <c r="AW9" s="181">
        <f t="shared" si="15"/>
        <v>4</v>
      </c>
      <c r="AX9" s="588"/>
    </row>
    <row r="10" spans="1:50" ht="14.25" customHeight="1">
      <c r="B10" s="586"/>
      <c r="C10" s="179">
        <v>4</v>
      </c>
      <c r="D10" s="182" t="s">
        <v>613</v>
      </c>
      <c r="E10" s="179">
        <v>11</v>
      </c>
      <c r="F10" s="179">
        <v>3600</v>
      </c>
      <c r="G10" s="184">
        <f t="shared" si="0"/>
        <v>327.27272727272725</v>
      </c>
      <c r="H10" s="588"/>
      <c r="I10" s="185">
        <f t="shared" si="2"/>
        <v>11</v>
      </c>
      <c r="J10" s="185">
        <f t="shared" si="2"/>
        <v>3158.1683952836493</v>
      </c>
      <c r="K10" s="186">
        <f t="shared" si="2"/>
        <v>287.10621775305901</v>
      </c>
      <c r="L10" s="589"/>
      <c r="M10" s="185">
        <f>RANK(K10, K$7:$K$21)</f>
        <v>2</v>
      </c>
      <c r="N10" s="586"/>
      <c r="O10" s="586"/>
      <c r="P10" s="187">
        <v>11</v>
      </c>
      <c r="Q10" s="187">
        <v>3157.9112524265061</v>
      </c>
      <c r="R10" s="184">
        <f t="shared" si="3"/>
        <v>287.08284112968238</v>
      </c>
      <c r="S10" s="181">
        <f t="shared" si="4"/>
        <v>3</v>
      </c>
      <c r="T10" s="588"/>
      <c r="U10" s="187">
        <v>11</v>
      </c>
      <c r="V10" s="187">
        <v>3158.2712524265062</v>
      </c>
      <c r="W10" s="184">
        <f t="shared" si="1"/>
        <v>287.11556840240968</v>
      </c>
      <c r="X10" s="181">
        <f t="shared" si="5"/>
        <v>2</v>
      </c>
      <c r="Y10" s="588"/>
      <c r="Z10" s="187">
        <v>11</v>
      </c>
      <c r="AA10" s="187">
        <v>3157.1912524265067</v>
      </c>
      <c r="AB10" s="184">
        <f t="shared" si="6"/>
        <v>287.01738658422789</v>
      </c>
      <c r="AC10" s="181">
        <f t="shared" si="7"/>
        <v>3</v>
      </c>
      <c r="AD10" s="588"/>
      <c r="AE10" s="187">
        <v>11</v>
      </c>
      <c r="AF10" s="187">
        <v>3158.6312524265063</v>
      </c>
      <c r="AG10" s="184">
        <f t="shared" si="8"/>
        <v>287.14829567513692</v>
      </c>
      <c r="AH10" s="181">
        <f t="shared" si="9"/>
        <v>2</v>
      </c>
      <c r="AI10" s="588"/>
      <c r="AJ10" s="187">
        <v>11</v>
      </c>
      <c r="AK10" s="187">
        <v>3158.2712524265062</v>
      </c>
      <c r="AL10" s="184">
        <f t="shared" si="10"/>
        <v>287.11556840240968</v>
      </c>
      <c r="AM10" s="181">
        <f t="shared" si="11"/>
        <v>2</v>
      </c>
      <c r="AN10" s="588"/>
      <c r="AO10" s="187">
        <v>11</v>
      </c>
      <c r="AP10" s="187">
        <v>3157.9112524265074</v>
      </c>
      <c r="AQ10" s="184">
        <f t="shared" si="12"/>
        <v>287.08284112968249</v>
      </c>
      <c r="AR10" s="181">
        <f t="shared" si="13"/>
        <v>2</v>
      </c>
      <c r="AS10" s="588"/>
      <c r="AT10" s="187">
        <v>11</v>
      </c>
      <c r="AU10" s="187">
        <v>3158.9912524265069</v>
      </c>
      <c r="AV10" s="184">
        <f t="shared" si="14"/>
        <v>287.18102294786428</v>
      </c>
      <c r="AW10" s="181">
        <f t="shared" si="15"/>
        <v>2</v>
      </c>
      <c r="AX10" s="588"/>
    </row>
    <row r="11" spans="1:50" ht="14.25" customHeight="1">
      <c r="B11" s="586"/>
      <c r="C11" s="179">
        <v>5</v>
      </c>
      <c r="D11" s="182"/>
      <c r="E11" s="179"/>
      <c r="F11" s="179"/>
      <c r="G11" s="184"/>
      <c r="H11" s="588"/>
      <c r="I11" s="185"/>
      <c r="J11" s="185"/>
      <c r="K11" s="186"/>
      <c r="L11" s="589"/>
      <c r="M11" s="185"/>
      <c r="N11" s="586"/>
      <c r="O11" s="586"/>
      <c r="P11" s="187"/>
      <c r="Q11" s="187"/>
      <c r="R11" s="184"/>
      <c r="S11" s="181"/>
      <c r="T11" s="588"/>
      <c r="U11" s="187"/>
      <c r="V11" s="187"/>
      <c r="W11" s="184"/>
      <c r="X11" s="181"/>
      <c r="Y11" s="588"/>
      <c r="Z11" s="187"/>
      <c r="AA11" s="187"/>
      <c r="AB11" s="184"/>
      <c r="AC11" s="181"/>
      <c r="AD11" s="588"/>
      <c r="AE11" s="187"/>
      <c r="AF11" s="187"/>
      <c r="AG11" s="184"/>
      <c r="AH11" s="181"/>
      <c r="AI11" s="588"/>
      <c r="AJ11" s="187"/>
      <c r="AK11" s="187"/>
      <c r="AL11" s="184"/>
      <c r="AM11" s="181"/>
      <c r="AN11" s="588"/>
      <c r="AO11" s="187"/>
      <c r="AP11" s="187"/>
      <c r="AQ11" s="184"/>
      <c r="AR11" s="181"/>
      <c r="AS11" s="588"/>
      <c r="AT11" s="187"/>
      <c r="AU11" s="187"/>
      <c r="AV11" s="184"/>
      <c r="AW11" s="181"/>
      <c r="AX11" s="588"/>
    </row>
    <row r="12" spans="1:50" ht="14.25" customHeight="1">
      <c r="B12" s="586"/>
      <c r="C12" s="179">
        <v>6</v>
      </c>
      <c r="D12" s="182"/>
      <c r="E12" s="179"/>
      <c r="F12" s="179"/>
      <c r="G12" s="184"/>
      <c r="H12" s="588"/>
      <c r="I12" s="185"/>
      <c r="J12" s="185"/>
      <c r="K12" s="186"/>
      <c r="L12" s="589"/>
      <c r="M12" s="185"/>
      <c r="N12" s="586"/>
      <c r="O12" s="586"/>
      <c r="P12" s="187"/>
      <c r="Q12" s="187"/>
      <c r="R12" s="184"/>
      <c r="S12" s="181"/>
      <c r="T12" s="588"/>
      <c r="U12" s="187"/>
      <c r="V12" s="187"/>
      <c r="W12" s="184"/>
      <c r="X12" s="181"/>
      <c r="Y12" s="588"/>
      <c r="Z12" s="187"/>
      <c r="AA12" s="187"/>
      <c r="AB12" s="184"/>
      <c r="AC12" s="181"/>
      <c r="AD12" s="588"/>
      <c r="AE12" s="187"/>
      <c r="AF12" s="187"/>
      <c r="AG12" s="184"/>
      <c r="AH12" s="181"/>
      <c r="AI12" s="588"/>
      <c r="AJ12" s="187"/>
      <c r="AK12" s="187"/>
      <c r="AL12" s="184"/>
      <c r="AM12" s="181"/>
      <c r="AN12" s="588"/>
      <c r="AO12" s="187"/>
      <c r="AP12" s="187"/>
      <c r="AQ12" s="184"/>
      <c r="AR12" s="181"/>
      <c r="AS12" s="588"/>
      <c r="AT12" s="187"/>
      <c r="AU12" s="187"/>
      <c r="AV12" s="184"/>
      <c r="AW12" s="181"/>
      <c r="AX12" s="588"/>
    </row>
    <row r="13" spans="1:50" ht="14.25" customHeight="1">
      <c r="B13" s="586"/>
      <c r="C13" s="179">
        <v>7</v>
      </c>
      <c r="D13" s="182"/>
      <c r="E13" s="179"/>
      <c r="F13" s="179"/>
      <c r="G13" s="184"/>
      <c r="H13" s="588"/>
      <c r="I13" s="185"/>
      <c r="J13" s="185"/>
      <c r="K13" s="186"/>
      <c r="L13" s="589"/>
      <c r="M13" s="185"/>
      <c r="N13" s="586"/>
      <c r="O13" s="586"/>
      <c r="P13" s="187"/>
      <c r="Q13" s="187"/>
      <c r="R13" s="184"/>
      <c r="S13" s="181"/>
      <c r="T13" s="588"/>
      <c r="U13" s="187"/>
      <c r="V13" s="187"/>
      <c r="W13" s="184"/>
      <c r="X13" s="181"/>
      <c r="Y13" s="588"/>
      <c r="Z13" s="187"/>
      <c r="AA13" s="187"/>
      <c r="AB13" s="184"/>
      <c r="AC13" s="181"/>
      <c r="AD13" s="588"/>
      <c r="AE13" s="187"/>
      <c r="AF13" s="187"/>
      <c r="AG13" s="184"/>
      <c r="AH13" s="181"/>
      <c r="AI13" s="588"/>
      <c r="AJ13" s="187"/>
      <c r="AK13" s="187"/>
      <c r="AL13" s="184"/>
      <c r="AM13" s="181"/>
      <c r="AN13" s="588"/>
      <c r="AO13" s="187"/>
      <c r="AP13" s="187"/>
      <c r="AQ13" s="184"/>
      <c r="AR13" s="181"/>
      <c r="AS13" s="588"/>
      <c r="AT13" s="187"/>
      <c r="AU13" s="187"/>
      <c r="AV13" s="184"/>
      <c r="AW13" s="181"/>
      <c r="AX13" s="588"/>
    </row>
    <row r="14" spans="1:50" ht="14.25" customHeight="1">
      <c r="B14" s="586"/>
      <c r="C14" s="179">
        <v>8</v>
      </c>
      <c r="D14" s="182"/>
      <c r="E14" s="179"/>
      <c r="F14" s="179"/>
      <c r="G14" s="184"/>
      <c r="H14" s="588"/>
      <c r="I14" s="185"/>
      <c r="J14" s="185"/>
      <c r="K14" s="186"/>
      <c r="L14" s="589"/>
      <c r="M14" s="185"/>
      <c r="N14" s="586"/>
      <c r="O14" s="586"/>
      <c r="P14" s="187"/>
      <c r="Q14" s="187"/>
      <c r="R14" s="184"/>
      <c r="S14" s="181"/>
      <c r="T14" s="588"/>
      <c r="U14" s="187"/>
      <c r="V14" s="187"/>
      <c r="W14" s="184"/>
      <c r="X14" s="181"/>
      <c r="Y14" s="588"/>
      <c r="Z14" s="187"/>
      <c r="AA14" s="187"/>
      <c r="AB14" s="184"/>
      <c r="AC14" s="181"/>
      <c r="AD14" s="588"/>
      <c r="AE14" s="187"/>
      <c r="AF14" s="187"/>
      <c r="AG14" s="184"/>
      <c r="AH14" s="181"/>
      <c r="AI14" s="588"/>
      <c r="AJ14" s="187"/>
      <c r="AK14" s="187"/>
      <c r="AL14" s="184"/>
      <c r="AM14" s="181"/>
      <c r="AN14" s="588"/>
      <c r="AO14" s="187"/>
      <c r="AP14" s="187"/>
      <c r="AQ14" s="184"/>
      <c r="AR14" s="181"/>
      <c r="AS14" s="588"/>
      <c r="AT14" s="187"/>
      <c r="AU14" s="187"/>
      <c r="AV14" s="184"/>
      <c r="AW14" s="181"/>
      <c r="AX14" s="588"/>
    </row>
    <row r="15" spans="1:50" ht="14.25" customHeight="1">
      <c r="B15" s="586"/>
      <c r="C15" s="179">
        <v>9</v>
      </c>
      <c r="D15" s="182"/>
      <c r="E15" s="179"/>
      <c r="F15" s="179"/>
      <c r="G15" s="184"/>
      <c r="H15" s="588"/>
      <c r="I15" s="185"/>
      <c r="J15" s="185"/>
      <c r="K15" s="186"/>
      <c r="L15" s="589"/>
      <c r="M15" s="185"/>
      <c r="N15" s="586"/>
      <c r="O15" s="586"/>
      <c r="P15" s="187"/>
      <c r="Q15" s="187"/>
      <c r="R15" s="184"/>
      <c r="S15" s="181"/>
      <c r="T15" s="588"/>
      <c r="U15" s="187"/>
      <c r="V15" s="187"/>
      <c r="W15" s="184"/>
      <c r="X15" s="181"/>
      <c r="Y15" s="588"/>
      <c r="Z15" s="187"/>
      <c r="AA15" s="187"/>
      <c r="AB15" s="184"/>
      <c r="AC15" s="181"/>
      <c r="AD15" s="588"/>
      <c r="AE15" s="187"/>
      <c r="AF15" s="187"/>
      <c r="AG15" s="184"/>
      <c r="AH15" s="181"/>
      <c r="AI15" s="588"/>
      <c r="AJ15" s="187"/>
      <c r="AK15" s="187"/>
      <c r="AL15" s="184"/>
      <c r="AM15" s="181"/>
      <c r="AN15" s="588"/>
      <c r="AO15" s="187"/>
      <c r="AP15" s="187"/>
      <c r="AQ15" s="184"/>
      <c r="AR15" s="181"/>
      <c r="AS15" s="588"/>
      <c r="AT15" s="187"/>
      <c r="AU15" s="187"/>
      <c r="AV15" s="184"/>
      <c r="AW15" s="181"/>
      <c r="AX15" s="588"/>
    </row>
    <row r="16" spans="1:50" ht="14.25" customHeight="1">
      <c r="B16" s="586"/>
      <c r="C16" s="179">
        <v>10</v>
      </c>
      <c r="D16" s="182"/>
      <c r="E16" s="179"/>
      <c r="F16" s="179"/>
      <c r="G16" s="184"/>
      <c r="H16" s="588"/>
      <c r="I16" s="185"/>
      <c r="J16" s="185"/>
      <c r="K16" s="186"/>
      <c r="L16" s="589"/>
      <c r="M16" s="185"/>
      <c r="N16" s="586"/>
      <c r="O16" s="586"/>
      <c r="P16" s="187"/>
      <c r="Q16" s="187"/>
      <c r="R16" s="184"/>
      <c r="S16" s="181"/>
      <c r="T16" s="588"/>
      <c r="U16" s="187"/>
      <c r="V16" s="187"/>
      <c r="W16" s="184"/>
      <c r="X16" s="181"/>
      <c r="Y16" s="588"/>
      <c r="Z16" s="187"/>
      <c r="AA16" s="187"/>
      <c r="AB16" s="184"/>
      <c r="AC16" s="181"/>
      <c r="AD16" s="588"/>
      <c r="AE16" s="187"/>
      <c r="AF16" s="187"/>
      <c r="AG16" s="184"/>
      <c r="AH16" s="181"/>
      <c r="AI16" s="588"/>
      <c r="AJ16" s="187"/>
      <c r="AK16" s="187"/>
      <c r="AL16" s="184"/>
      <c r="AM16" s="181"/>
      <c r="AN16" s="588"/>
      <c r="AO16" s="187"/>
      <c r="AP16" s="187"/>
      <c r="AQ16" s="184"/>
      <c r="AR16" s="181"/>
      <c r="AS16" s="588"/>
      <c r="AT16" s="187"/>
      <c r="AU16" s="187"/>
      <c r="AV16" s="184"/>
      <c r="AW16" s="181"/>
      <c r="AX16" s="588"/>
    </row>
    <row r="17" spans="2:50" ht="14.25" customHeight="1">
      <c r="B17" s="586"/>
      <c r="C17" s="179">
        <v>11</v>
      </c>
      <c r="D17" s="182"/>
      <c r="E17" s="179"/>
      <c r="F17" s="179"/>
      <c r="G17" s="184"/>
      <c r="H17" s="588"/>
      <c r="I17" s="185"/>
      <c r="J17" s="185"/>
      <c r="K17" s="186"/>
      <c r="L17" s="589"/>
      <c r="M17" s="185"/>
      <c r="N17" s="586"/>
      <c r="O17" s="586"/>
      <c r="P17" s="187"/>
      <c r="Q17" s="187"/>
      <c r="R17" s="184"/>
      <c r="S17" s="181"/>
      <c r="T17" s="588"/>
      <c r="U17" s="187"/>
      <c r="V17" s="187"/>
      <c r="W17" s="184"/>
      <c r="X17" s="181"/>
      <c r="Y17" s="588"/>
      <c r="Z17" s="187"/>
      <c r="AA17" s="187"/>
      <c r="AB17" s="184"/>
      <c r="AC17" s="181"/>
      <c r="AD17" s="588"/>
      <c r="AE17" s="187"/>
      <c r="AF17" s="187"/>
      <c r="AG17" s="184"/>
      <c r="AH17" s="181"/>
      <c r="AI17" s="588"/>
      <c r="AJ17" s="187"/>
      <c r="AK17" s="187"/>
      <c r="AL17" s="184"/>
      <c r="AM17" s="181"/>
      <c r="AN17" s="588"/>
      <c r="AO17" s="187"/>
      <c r="AP17" s="187"/>
      <c r="AQ17" s="184"/>
      <c r="AR17" s="181"/>
      <c r="AS17" s="588"/>
      <c r="AT17" s="187"/>
      <c r="AU17" s="187"/>
      <c r="AV17" s="184"/>
      <c r="AW17" s="181"/>
      <c r="AX17" s="588"/>
    </row>
    <row r="18" spans="2:50" ht="14.25" customHeight="1">
      <c r="B18" s="586"/>
      <c r="C18" s="179">
        <v>12</v>
      </c>
      <c r="D18" s="182"/>
      <c r="E18" s="179"/>
      <c r="F18" s="179"/>
      <c r="G18" s="184"/>
      <c r="H18" s="588"/>
      <c r="I18" s="185"/>
      <c r="J18" s="185"/>
      <c r="K18" s="186"/>
      <c r="L18" s="589"/>
      <c r="M18" s="185"/>
      <c r="N18" s="586"/>
      <c r="O18" s="586"/>
      <c r="P18" s="187"/>
      <c r="Q18" s="187"/>
      <c r="R18" s="184"/>
      <c r="S18" s="181"/>
      <c r="T18" s="588"/>
      <c r="U18" s="187"/>
      <c r="V18" s="187"/>
      <c r="W18" s="184"/>
      <c r="X18" s="181"/>
      <c r="Y18" s="588"/>
      <c r="Z18" s="187"/>
      <c r="AA18" s="187"/>
      <c r="AB18" s="184"/>
      <c r="AC18" s="181"/>
      <c r="AD18" s="588"/>
      <c r="AE18" s="187"/>
      <c r="AF18" s="187"/>
      <c r="AG18" s="184"/>
      <c r="AH18" s="181"/>
      <c r="AI18" s="588"/>
      <c r="AJ18" s="187"/>
      <c r="AK18" s="187"/>
      <c r="AL18" s="184"/>
      <c r="AM18" s="181"/>
      <c r="AN18" s="588"/>
      <c r="AO18" s="187"/>
      <c r="AP18" s="187"/>
      <c r="AQ18" s="184"/>
      <c r="AR18" s="181"/>
      <c r="AS18" s="588"/>
      <c r="AT18" s="187"/>
      <c r="AU18" s="187"/>
      <c r="AV18" s="184"/>
      <c r="AW18" s="181"/>
      <c r="AX18" s="588"/>
    </row>
    <row r="19" spans="2:50" ht="14.25" customHeight="1">
      <c r="B19" s="586"/>
      <c r="C19" s="179">
        <v>13</v>
      </c>
      <c r="D19" s="182"/>
      <c r="E19" s="179"/>
      <c r="F19" s="179"/>
      <c r="G19" s="184"/>
      <c r="H19" s="588"/>
      <c r="I19" s="185"/>
      <c r="J19" s="185"/>
      <c r="K19" s="186"/>
      <c r="L19" s="589"/>
      <c r="M19" s="185"/>
      <c r="N19" s="586"/>
      <c r="O19" s="586"/>
      <c r="P19" s="187"/>
      <c r="Q19" s="187"/>
      <c r="R19" s="184"/>
      <c r="S19" s="181"/>
      <c r="T19" s="588"/>
      <c r="U19" s="187"/>
      <c r="V19" s="187"/>
      <c r="W19" s="184"/>
      <c r="X19" s="181"/>
      <c r="Y19" s="588"/>
      <c r="Z19" s="187"/>
      <c r="AA19" s="187"/>
      <c r="AB19" s="184"/>
      <c r="AC19" s="181"/>
      <c r="AD19" s="588"/>
      <c r="AE19" s="187"/>
      <c r="AF19" s="187"/>
      <c r="AG19" s="184"/>
      <c r="AH19" s="181"/>
      <c r="AI19" s="588"/>
      <c r="AJ19" s="187"/>
      <c r="AK19" s="187"/>
      <c r="AL19" s="184"/>
      <c r="AM19" s="181"/>
      <c r="AN19" s="588"/>
      <c r="AO19" s="187"/>
      <c r="AP19" s="187"/>
      <c r="AQ19" s="184"/>
      <c r="AR19" s="181"/>
      <c r="AS19" s="588"/>
      <c r="AT19" s="187"/>
      <c r="AU19" s="187"/>
      <c r="AV19" s="184"/>
      <c r="AW19" s="181"/>
      <c r="AX19" s="588"/>
    </row>
    <row r="20" spans="2:50" ht="14.25" customHeight="1">
      <c r="B20" s="586"/>
      <c r="C20" s="179">
        <v>14</v>
      </c>
      <c r="D20" s="182"/>
      <c r="E20" s="179"/>
      <c r="F20" s="179"/>
      <c r="G20" s="184"/>
      <c r="H20" s="588"/>
      <c r="I20" s="185"/>
      <c r="J20" s="185"/>
      <c r="K20" s="186"/>
      <c r="L20" s="589"/>
      <c r="M20" s="185"/>
      <c r="N20" s="586"/>
      <c r="O20" s="586"/>
      <c r="P20" s="187"/>
      <c r="Q20" s="187"/>
      <c r="R20" s="184"/>
      <c r="S20" s="181"/>
      <c r="T20" s="588"/>
      <c r="U20" s="187"/>
      <c r="V20" s="187"/>
      <c r="W20" s="184"/>
      <c r="X20" s="181"/>
      <c r="Y20" s="588"/>
      <c r="Z20" s="187"/>
      <c r="AA20" s="187"/>
      <c r="AB20" s="184"/>
      <c r="AC20" s="181"/>
      <c r="AD20" s="588"/>
      <c r="AE20" s="187"/>
      <c r="AF20" s="187"/>
      <c r="AG20" s="184"/>
      <c r="AH20" s="181"/>
      <c r="AI20" s="588"/>
      <c r="AJ20" s="187"/>
      <c r="AK20" s="187"/>
      <c r="AL20" s="184"/>
      <c r="AM20" s="181"/>
      <c r="AN20" s="588"/>
      <c r="AO20" s="187"/>
      <c r="AP20" s="187"/>
      <c r="AQ20" s="184"/>
      <c r="AR20" s="181"/>
      <c r="AS20" s="588"/>
      <c r="AT20" s="187"/>
      <c r="AU20" s="187"/>
      <c r="AV20" s="184"/>
      <c r="AW20" s="181"/>
      <c r="AX20" s="588"/>
    </row>
    <row r="21" spans="2:50" ht="14.25" customHeight="1">
      <c r="B21" s="586"/>
      <c r="C21" s="179">
        <v>15</v>
      </c>
      <c r="D21" s="182"/>
      <c r="E21" s="179"/>
      <c r="F21" s="179"/>
      <c r="G21" s="184"/>
      <c r="H21" s="588"/>
      <c r="I21" s="185"/>
      <c r="J21" s="185"/>
      <c r="K21" s="186"/>
      <c r="L21" s="589"/>
      <c r="M21" s="185"/>
      <c r="N21" s="586"/>
      <c r="O21" s="586"/>
      <c r="P21" s="187"/>
      <c r="Q21" s="187"/>
      <c r="R21" s="184"/>
      <c r="S21" s="181"/>
      <c r="T21" s="588"/>
      <c r="U21" s="187"/>
      <c r="V21" s="187"/>
      <c r="W21" s="184"/>
      <c r="X21" s="181"/>
      <c r="Y21" s="588"/>
      <c r="Z21" s="187"/>
      <c r="AA21" s="187"/>
      <c r="AB21" s="184"/>
      <c r="AC21" s="181"/>
      <c r="AD21" s="588"/>
      <c r="AE21" s="187"/>
      <c r="AF21" s="187"/>
      <c r="AG21" s="184"/>
      <c r="AH21" s="181"/>
      <c r="AI21" s="588"/>
      <c r="AJ21" s="187"/>
      <c r="AK21" s="187"/>
      <c r="AL21" s="184"/>
      <c r="AM21" s="181"/>
      <c r="AN21" s="588"/>
      <c r="AO21" s="187"/>
      <c r="AP21" s="187"/>
      <c r="AQ21" s="184"/>
      <c r="AR21" s="181"/>
      <c r="AS21" s="588"/>
      <c r="AT21" s="187"/>
      <c r="AU21" s="187"/>
      <c r="AV21" s="184"/>
      <c r="AW21" s="181"/>
      <c r="AX21" s="588"/>
    </row>
    <row r="22" spans="2:50" ht="14.25" customHeight="1">
      <c r="B22" s="612" t="s">
        <v>689</v>
      </c>
      <c r="C22" s="613"/>
      <c r="D22" s="613"/>
      <c r="E22" s="613"/>
      <c r="F22" s="613"/>
      <c r="G22" s="613"/>
      <c r="H22" s="613"/>
      <c r="I22" s="613"/>
      <c r="J22" s="613"/>
      <c r="K22" s="613"/>
      <c r="L22" s="613"/>
      <c r="M22" s="614"/>
      <c r="N22" s="617" t="s">
        <v>341</v>
      </c>
      <c r="O22" s="617" t="s">
        <v>105</v>
      </c>
      <c r="P22" s="600">
        <v>46238</v>
      </c>
      <c r="Q22" s="601"/>
      <c r="R22" s="601"/>
      <c r="S22" s="601"/>
      <c r="T22" s="601"/>
      <c r="U22" s="602">
        <v>46239</v>
      </c>
      <c r="V22" s="603"/>
      <c r="W22" s="603"/>
      <c r="X22" s="603"/>
      <c r="Y22" s="603"/>
      <c r="Z22" s="600">
        <v>46240</v>
      </c>
      <c r="AA22" s="601"/>
      <c r="AB22" s="601"/>
      <c r="AC22" s="601"/>
      <c r="AD22" s="601"/>
      <c r="AE22" s="602">
        <v>46241</v>
      </c>
      <c r="AF22" s="603"/>
      <c r="AG22" s="603"/>
      <c r="AH22" s="603"/>
      <c r="AI22" s="603"/>
      <c r="AJ22" s="609">
        <v>46242</v>
      </c>
      <c r="AK22" s="610"/>
      <c r="AL22" s="610"/>
      <c r="AM22" s="610"/>
      <c r="AN22" s="611"/>
      <c r="AO22" s="602">
        <v>46243</v>
      </c>
      <c r="AP22" s="603"/>
      <c r="AQ22" s="603"/>
      <c r="AR22" s="603"/>
      <c r="AS22" s="603"/>
      <c r="AT22" s="609">
        <v>46244</v>
      </c>
      <c r="AU22" s="610"/>
      <c r="AV22" s="610"/>
      <c r="AW22" s="610"/>
      <c r="AX22" s="611"/>
    </row>
    <row r="23" spans="2:50" ht="14.25" customHeight="1">
      <c r="B23" s="615"/>
      <c r="C23" s="615"/>
      <c r="D23" s="615"/>
      <c r="E23" s="615"/>
      <c r="F23" s="615"/>
      <c r="G23" s="615"/>
      <c r="H23" s="615"/>
      <c r="I23" s="615"/>
      <c r="J23" s="615"/>
      <c r="K23" s="615"/>
      <c r="L23" s="615"/>
      <c r="M23" s="616"/>
      <c r="N23" s="618"/>
      <c r="O23" s="618"/>
      <c r="P23" s="604">
        <v>46196</v>
      </c>
      <c r="Q23" s="604"/>
      <c r="R23" s="604"/>
      <c r="S23" s="604"/>
      <c r="T23" s="604"/>
      <c r="U23" s="605">
        <v>46197</v>
      </c>
      <c r="V23" s="605"/>
      <c r="W23" s="605"/>
      <c r="X23" s="605"/>
      <c r="Y23" s="605"/>
      <c r="Z23" s="604">
        <v>46198</v>
      </c>
      <c r="AA23" s="604"/>
      <c r="AB23" s="604"/>
      <c r="AC23" s="604"/>
      <c r="AD23" s="604"/>
      <c r="AE23" s="605">
        <v>46199</v>
      </c>
      <c r="AF23" s="605"/>
      <c r="AG23" s="605"/>
      <c r="AH23" s="605"/>
      <c r="AI23" s="605"/>
      <c r="AJ23" s="606">
        <v>46200</v>
      </c>
      <c r="AK23" s="607"/>
      <c r="AL23" s="607"/>
      <c r="AM23" s="607"/>
      <c r="AN23" s="608"/>
      <c r="AO23" s="605">
        <v>46201</v>
      </c>
      <c r="AP23" s="605"/>
      <c r="AQ23" s="605"/>
      <c r="AR23" s="605"/>
      <c r="AS23" s="605"/>
      <c r="AT23" s="606">
        <v>46202</v>
      </c>
      <c r="AU23" s="607"/>
      <c r="AV23" s="607"/>
      <c r="AW23" s="607"/>
      <c r="AX23" s="608"/>
    </row>
    <row r="24" spans="2:50" ht="14.25" customHeight="1">
      <c r="B24" s="586" t="s">
        <v>162</v>
      </c>
      <c r="C24" s="586" t="s">
        <v>157</v>
      </c>
      <c r="D24" s="586"/>
      <c r="E24" s="586" t="s">
        <v>158</v>
      </c>
      <c r="F24" s="586"/>
      <c r="G24" s="586"/>
      <c r="H24" s="586" t="s">
        <v>163</v>
      </c>
      <c r="I24" s="592" t="s">
        <v>342</v>
      </c>
      <c r="J24" s="592"/>
      <c r="K24" s="592"/>
      <c r="L24" s="592" t="s">
        <v>163</v>
      </c>
      <c r="M24" s="592" t="s">
        <v>165</v>
      </c>
      <c r="N24" s="586"/>
      <c r="O24" s="586" t="s">
        <v>164</v>
      </c>
      <c r="P24" s="586" t="s">
        <v>160</v>
      </c>
      <c r="Q24" s="586"/>
      <c r="R24" s="586"/>
      <c r="S24" s="586"/>
      <c r="T24" s="586" t="s">
        <v>163</v>
      </c>
      <c r="U24" s="586" t="s">
        <v>160</v>
      </c>
      <c r="V24" s="586"/>
      <c r="W24" s="586"/>
      <c r="X24" s="586"/>
      <c r="Y24" s="586" t="s">
        <v>163</v>
      </c>
      <c r="Z24" s="586" t="s">
        <v>160</v>
      </c>
      <c r="AA24" s="586"/>
      <c r="AB24" s="586"/>
      <c r="AC24" s="586"/>
      <c r="AD24" s="586" t="s">
        <v>163</v>
      </c>
      <c r="AE24" s="586" t="s">
        <v>160</v>
      </c>
      <c r="AF24" s="586"/>
      <c r="AG24" s="586"/>
      <c r="AH24" s="586"/>
      <c r="AI24" s="586" t="s">
        <v>163</v>
      </c>
      <c r="AJ24" s="586" t="s">
        <v>160</v>
      </c>
      <c r="AK24" s="586"/>
      <c r="AL24" s="586"/>
      <c r="AM24" s="586"/>
      <c r="AN24" s="586" t="s">
        <v>163</v>
      </c>
      <c r="AO24" s="586" t="s">
        <v>160</v>
      </c>
      <c r="AP24" s="586"/>
      <c r="AQ24" s="586"/>
      <c r="AR24" s="586"/>
      <c r="AS24" s="586" t="s">
        <v>163</v>
      </c>
      <c r="AT24" s="586" t="s">
        <v>160</v>
      </c>
      <c r="AU24" s="586"/>
      <c r="AV24" s="586"/>
      <c r="AW24" s="586"/>
      <c r="AX24" s="586" t="s">
        <v>163</v>
      </c>
    </row>
    <row r="25" spans="2:50" ht="14.25" customHeight="1">
      <c r="B25" s="586"/>
      <c r="C25" s="586"/>
      <c r="D25" s="586"/>
      <c r="E25" s="586" t="s">
        <v>343</v>
      </c>
      <c r="F25" s="586"/>
      <c r="G25" s="586"/>
      <c r="H25" s="586"/>
      <c r="I25" s="592" t="s">
        <v>343</v>
      </c>
      <c r="J25" s="592"/>
      <c r="K25" s="592"/>
      <c r="L25" s="592"/>
      <c r="M25" s="592"/>
      <c r="N25" s="586"/>
      <c r="O25" s="586"/>
      <c r="P25" s="586" t="s">
        <v>344</v>
      </c>
      <c r="Q25" s="586"/>
      <c r="R25" s="586"/>
      <c r="S25" s="586"/>
      <c r="T25" s="586"/>
      <c r="U25" s="586" t="s">
        <v>344</v>
      </c>
      <c r="V25" s="586"/>
      <c r="W25" s="586"/>
      <c r="X25" s="586"/>
      <c r="Y25" s="586"/>
      <c r="Z25" s="586" t="s">
        <v>344</v>
      </c>
      <c r="AA25" s="586"/>
      <c r="AB25" s="586"/>
      <c r="AC25" s="586"/>
      <c r="AD25" s="586"/>
      <c r="AE25" s="586" t="s">
        <v>344</v>
      </c>
      <c r="AF25" s="586"/>
      <c r="AG25" s="586"/>
      <c r="AH25" s="586"/>
      <c r="AI25" s="586"/>
      <c r="AJ25" s="586" t="s">
        <v>344</v>
      </c>
      <c r="AK25" s="586"/>
      <c r="AL25" s="586"/>
      <c r="AM25" s="586"/>
      <c r="AN25" s="586"/>
      <c r="AO25" s="586" t="s">
        <v>344</v>
      </c>
      <c r="AP25" s="586"/>
      <c r="AQ25" s="586"/>
      <c r="AR25" s="586"/>
      <c r="AS25" s="586"/>
      <c r="AT25" s="586" t="s">
        <v>344</v>
      </c>
      <c r="AU25" s="586"/>
      <c r="AV25" s="586"/>
      <c r="AW25" s="586"/>
      <c r="AX25" s="586"/>
    </row>
    <row r="26" spans="2:50" ht="14.25" customHeight="1">
      <c r="B26" s="586"/>
      <c r="C26" s="586"/>
      <c r="D26" s="586"/>
      <c r="E26" s="179" t="s">
        <v>159</v>
      </c>
      <c r="F26" s="179" t="s">
        <v>345</v>
      </c>
      <c r="G26" s="179" t="s">
        <v>161</v>
      </c>
      <c r="H26" s="586"/>
      <c r="I26" s="180" t="s">
        <v>159</v>
      </c>
      <c r="J26" s="180" t="s">
        <v>345</v>
      </c>
      <c r="K26" s="180" t="s">
        <v>161</v>
      </c>
      <c r="L26" s="592"/>
      <c r="M26" s="592"/>
      <c r="N26" s="586"/>
      <c r="O26" s="586"/>
      <c r="P26" s="179" t="s">
        <v>159</v>
      </c>
      <c r="Q26" s="179" t="s">
        <v>345</v>
      </c>
      <c r="R26" s="179" t="s">
        <v>161</v>
      </c>
      <c r="S26" s="181" t="s">
        <v>165</v>
      </c>
      <c r="T26" s="586"/>
      <c r="U26" s="179" t="s">
        <v>159</v>
      </c>
      <c r="V26" s="179" t="s">
        <v>345</v>
      </c>
      <c r="W26" s="179" t="s">
        <v>161</v>
      </c>
      <c r="X26" s="181" t="s">
        <v>165</v>
      </c>
      <c r="Y26" s="586"/>
      <c r="Z26" s="179" t="s">
        <v>159</v>
      </c>
      <c r="AA26" s="179" t="s">
        <v>345</v>
      </c>
      <c r="AB26" s="179" t="s">
        <v>161</v>
      </c>
      <c r="AC26" s="181" t="s">
        <v>165</v>
      </c>
      <c r="AD26" s="586"/>
      <c r="AE26" s="179" t="s">
        <v>159</v>
      </c>
      <c r="AF26" s="179" t="s">
        <v>345</v>
      </c>
      <c r="AG26" s="179" t="s">
        <v>161</v>
      </c>
      <c r="AH26" s="181" t="s">
        <v>165</v>
      </c>
      <c r="AI26" s="586"/>
      <c r="AJ26" s="179" t="s">
        <v>159</v>
      </c>
      <c r="AK26" s="179" t="s">
        <v>345</v>
      </c>
      <c r="AL26" s="179" t="s">
        <v>161</v>
      </c>
      <c r="AM26" s="181" t="s">
        <v>165</v>
      </c>
      <c r="AN26" s="586"/>
      <c r="AO26" s="179" t="s">
        <v>159</v>
      </c>
      <c r="AP26" s="179" t="s">
        <v>345</v>
      </c>
      <c r="AQ26" s="179" t="s">
        <v>161</v>
      </c>
      <c r="AR26" s="181" t="s">
        <v>165</v>
      </c>
      <c r="AS26" s="586"/>
      <c r="AT26" s="179" t="s">
        <v>159</v>
      </c>
      <c r="AU26" s="179" t="s">
        <v>345</v>
      </c>
      <c r="AV26" s="179" t="s">
        <v>161</v>
      </c>
      <c r="AW26" s="181" t="s">
        <v>165</v>
      </c>
      <c r="AX26" s="586"/>
    </row>
    <row r="27" spans="2:50" ht="14.25" customHeight="1">
      <c r="B27" s="586" t="s">
        <v>347</v>
      </c>
      <c r="C27" s="179">
        <v>1</v>
      </c>
      <c r="D27" s="182" t="s">
        <v>325</v>
      </c>
      <c r="E27" s="183">
        <v>10</v>
      </c>
      <c r="F27" s="179">
        <v>3600</v>
      </c>
      <c r="G27" s="184">
        <f t="shared" ref="G27:G30" si="16">IFERROR(F27/E27,"")</f>
        <v>360</v>
      </c>
      <c r="H27" s="588">
        <f>AVERAGE(G27:G41)</f>
        <v>335.45454545454544</v>
      </c>
      <c r="I27" s="185">
        <f>AVERAGE(P27,U27,Z27,AE27,AJ27,AO27,AT27)</f>
        <v>10</v>
      </c>
      <c r="J27" s="185">
        <f>AVERAGE(Q27,V27,AA27,AF27,AK27,AP27,AU27)</f>
        <v>3217.6609797246133</v>
      </c>
      <c r="K27" s="186">
        <f>AVERAGE(R27,W27,AB27,AG27,AL27,AQ27,AV27)</f>
        <v>321.76609797246135</v>
      </c>
      <c r="L27" s="589">
        <f>IFERROR(AVERAGE(K27:K41),"-")</f>
        <v>295.72143484122262</v>
      </c>
      <c r="M27" s="185">
        <f>RANK(K27, K$27:$K$41)</f>
        <v>1</v>
      </c>
      <c r="N27" s="586"/>
      <c r="O27" s="586"/>
      <c r="P27" s="187">
        <v>10</v>
      </c>
      <c r="Q27" s="187">
        <v>3217.969551153185</v>
      </c>
      <c r="R27" s="184">
        <f>IFERROR(Q27/P27,"")</f>
        <v>321.7969551153185</v>
      </c>
      <c r="S27" s="181">
        <f>RANK(R27, R$27:R$41)</f>
        <v>1</v>
      </c>
      <c r="T27" s="588">
        <f>AVERAGE(R27:R41)</f>
        <v>295.80210008538597</v>
      </c>
      <c r="U27" s="187">
        <v>10</v>
      </c>
      <c r="V27" s="187">
        <v>3219.0495511531849</v>
      </c>
      <c r="W27" s="184">
        <f t="shared" ref="W27:W30" si="17">IFERROR(V27/U27,"")</f>
        <v>321.9049551153185</v>
      </c>
      <c r="X27" s="181">
        <f>RANK(W27, W$27:W$41)</f>
        <v>1</v>
      </c>
      <c r="Y27" s="588">
        <f>AVERAGE(W27:W41)</f>
        <v>295.81774828486346</v>
      </c>
      <c r="Z27" s="187">
        <v>10</v>
      </c>
      <c r="AA27" s="187">
        <v>3219.0495511531844</v>
      </c>
      <c r="AB27" s="184">
        <f>IFERROR(AA27/Z27,"")</f>
        <v>321.90495511531844</v>
      </c>
      <c r="AC27" s="181">
        <f>RANK(AB27, AB$27:AB$41)</f>
        <v>1</v>
      </c>
      <c r="AD27" s="588">
        <f>AVERAGE(AB27:AB41)</f>
        <v>295.73593010304529</v>
      </c>
      <c r="AE27" s="187">
        <v>10</v>
      </c>
      <c r="AF27" s="187">
        <v>3217.9695511531841</v>
      </c>
      <c r="AG27" s="184">
        <f>IFERROR(AF27/AE27,"")</f>
        <v>321.79695511531838</v>
      </c>
      <c r="AH27" s="181">
        <f>RANK(AG27, AG$27:AG$41)</f>
        <v>1</v>
      </c>
      <c r="AI27" s="588">
        <f>AVERAGE(AG27:AG41)</f>
        <v>295.71711192122712</v>
      </c>
      <c r="AJ27" s="187">
        <v>10</v>
      </c>
      <c r="AK27" s="187">
        <v>3216.8895511531841</v>
      </c>
      <c r="AL27" s="184">
        <f>IFERROR(AK27/AJ27,"")</f>
        <v>321.68895511531844</v>
      </c>
      <c r="AM27" s="181">
        <f>RANK(AL27, AL$27:AL$41)</f>
        <v>1</v>
      </c>
      <c r="AN27" s="588">
        <f>AVERAGE(AL27:AL41)</f>
        <v>295.67374828486356</v>
      </c>
      <c r="AO27" s="187">
        <v>10</v>
      </c>
      <c r="AP27" s="187">
        <v>3216.1695511531843</v>
      </c>
      <c r="AQ27" s="184">
        <f>IFERROR(AP27/AO27,"")</f>
        <v>321.61695511531843</v>
      </c>
      <c r="AR27" s="181">
        <f>RANK(AQ27, AQ$27:AQ$41)</f>
        <v>1</v>
      </c>
      <c r="AS27" s="588">
        <f>AVERAGE(AQ27:AQ41)</f>
        <v>295.62674805913196</v>
      </c>
      <c r="AT27" s="187">
        <v>10</v>
      </c>
      <c r="AU27" s="187">
        <v>3216.5295511531845</v>
      </c>
      <c r="AV27" s="184">
        <f>IFERROR(AU27/AT27,"")</f>
        <v>321.65295511531843</v>
      </c>
      <c r="AW27" s="181">
        <f>RANK(AV27, AV$27:AV$41)</f>
        <v>1</v>
      </c>
      <c r="AX27" s="588">
        <f>AVERAGE(AV27:AV41)</f>
        <v>295.67665715004108</v>
      </c>
    </row>
    <row r="28" spans="2:50" ht="14.25" customHeight="1">
      <c r="B28" s="586"/>
      <c r="C28" s="179">
        <v>2</v>
      </c>
      <c r="D28" s="182" t="s">
        <v>483</v>
      </c>
      <c r="E28" s="179">
        <v>11</v>
      </c>
      <c r="F28" s="179">
        <v>3600</v>
      </c>
      <c r="G28" s="184">
        <f t="shared" si="16"/>
        <v>327.27272727272725</v>
      </c>
      <c r="H28" s="588"/>
      <c r="I28" s="185">
        <f t="shared" ref="I28:K30" si="18">AVERAGE(P28,U28,Z28,AE28,AJ28,AO28,AT28)</f>
        <v>11</v>
      </c>
      <c r="J28" s="185">
        <f t="shared" si="18"/>
        <v>3157.7861122766117</v>
      </c>
      <c r="K28" s="186">
        <f t="shared" si="18"/>
        <v>287.07146475241927</v>
      </c>
      <c r="L28" s="589"/>
      <c r="M28" s="185">
        <f>RANK(K28, K$27:$K$41)</f>
        <v>2</v>
      </c>
      <c r="N28" s="586"/>
      <c r="O28" s="586"/>
      <c r="P28" s="187">
        <v>11</v>
      </c>
      <c r="Q28" s="187">
        <v>3159.9627399099654</v>
      </c>
      <c r="R28" s="184">
        <f t="shared" ref="R28:R30" si="19">IFERROR(Q28/P28,"")</f>
        <v>287.26933999181506</v>
      </c>
      <c r="S28" s="181">
        <f t="shared" ref="S28:S30" si="20">RANK(R28, R$27:R$41)</f>
        <v>2</v>
      </c>
      <c r="T28" s="588"/>
      <c r="U28" s="187">
        <v>11</v>
      </c>
      <c r="V28" s="187">
        <v>3158.6233410043842</v>
      </c>
      <c r="W28" s="184">
        <f t="shared" si="17"/>
        <v>287.14757645494404</v>
      </c>
      <c r="X28" s="181">
        <f t="shared" ref="X28:X30" si="21">RANK(W28, W$27:W$41)</f>
        <v>3</v>
      </c>
      <c r="Y28" s="588"/>
      <c r="Z28" s="187">
        <v>11</v>
      </c>
      <c r="AA28" s="187">
        <v>3157.5433410043852</v>
      </c>
      <c r="AB28" s="184">
        <f t="shared" ref="AB28:AB30" si="22">IFERROR(AA28/Z28,"")</f>
        <v>287.04939463676232</v>
      </c>
      <c r="AC28" s="181">
        <f t="shared" ref="AC28:AC30" si="23">RANK(AB28, AB$27:AB$41)</f>
        <v>2</v>
      </c>
      <c r="AD28" s="588"/>
      <c r="AE28" s="187">
        <v>11</v>
      </c>
      <c r="AF28" s="187">
        <v>3157.9033410043858</v>
      </c>
      <c r="AG28" s="184">
        <f t="shared" ref="AG28:AG30" si="24">IFERROR(AF28/AE28,"")</f>
        <v>287.08212190948962</v>
      </c>
      <c r="AH28" s="181">
        <f t="shared" ref="AH28:AH30" si="25">RANK(AG28, AG$27:AG$41)</f>
        <v>2</v>
      </c>
      <c r="AI28" s="588"/>
      <c r="AJ28" s="187">
        <v>11</v>
      </c>
      <c r="AK28" s="187">
        <v>3157.1833410043864</v>
      </c>
      <c r="AL28" s="184">
        <f t="shared" ref="AL28:AL30" si="26">IFERROR(AK28/AJ28,"")</f>
        <v>287.01666736403513</v>
      </c>
      <c r="AM28" s="181">
        <f t="shared" ref="AM28:AM30" si="27">RANK(AL28, AL$27:AL$41)</f>
        <v>3</v>
      </c>
      <c r="AN28" s="588"/>
      <c r="AO28" s="187">
        <v>11</v>
      </c>
      <c r="AP28" s="187">
        <v>3156.4633410043862</v>
      </c>
      <c r="AQ28" s="184">
        <f t="shared" ref="AQ28:AQ30" si="28">IFERROR(AP28/AO28,"")</f>
        <v>286.95121281858059</v>
      </c>
      <c r="AR28" s="181">
        <f t="shared" ref="AR28:AR30" si="29">RANK(AQ28, AQ$27:AQ$41)</f>
        <v>3</v>
      </c>
      <c r="AS28" s="588"/>
      <c r="AT28" s="187">
        <v>11</v>
      </c>
      <c r="AU28" s="187">
        <v>3156.8233410043867</v>
      </c>
      <c r="AV28" s="184">
        <f t="shared" ref="AV28:AV30" si="30">IFERROR(AU28/AT28,"")</f>
        <v>286.98394009130789</v>
      </c>
      <c r="AW28" s="181">
        <f t="shared" ref="AW28:AW30" si="31">RANK(AV28, AV$27:AV$41)</f>
        <v>3</v>
      </c>
      <c r="AX28" s="588"/>
    </row>
    <row r="29" spans="2:50" ht="14.25" customHeight="1">
      <c r="B29" s="586"/>
      <c r="C29" s="179">
        <v>3</v>
      </c>
      <c r="D29" s="182" t="s">
        <v>484</v>
      </c>
      <c r="E29" s="179">
        <v>11</v>
      </c>
      <c r="F29" s="179">
        <v>3600</v>
      </c>
      <c r="G29" s="184">
        <f t="shared" si="16"/>
        <v>327.27272727272725</v>
      </c>
      <c r="H29" s="588"/>
      <c r="I29" s="185">
        <f t="shared" si="18"/>
        <v>11</v>
      </c>
      <c r="J29" s="185">
        <f t="shared" si="18"/>
        <v>3157.2404765805791</v>
      </c>
      <c r="K29" s="186">
        <f t="shared" si="18"/>
        <v>287.0218615073253</v>
      </c>
      <c r="L29" s="589"/>
      <c r="M29" s="185">
        <f>RANK(K29, K$27:$K$41)</f>
        <v>4</v>
      </c>
      <c r="N29" s="586"/>
      <c r="O29" s="586"/>
      <c r="P29" s="187">
        <v>11</v>
      </c>
      <c r="Q29" s="187">
        <v>3156.2119051520076</v>
      </c>
      <c r="R29" s="184">
        <f t="shared" si="19"/>
        <v>286.92835501381887</v>
      </c>
      <c r="S29" s="181">
        <f t="shared" si="20"/>
        <v>4</v>
      </c>
      <c r="T29" s="588"/>
      <c r="U29" s="187">
        <v>11</v>
      </c>
      <c r="V29" s="187">
        <v>3157.6519051520072</v>
      </c>
      <c r="W29" s="184">
        <f t="shared" si="17"/>
        <v>287.0592641047279</v>
      </c>
      <c r="X29" s="181">
        <f t="shared" si="21"/>
        <v>4</v>
      </c>
      <c r="Y29" s="588"/>
      <c r="Z29" s="187">
        <v>11</v>
      </c>
      <c r="AA29" s="187">
        <v>3156.5719051520073</v>
      </c>
      <c r="AB29" s="184">
        <f t="shared" si="22"/>
        <v>286.96108228654612</v>
      </c>
      <c r="AC29" s="181">
        <f t="shared" si="23"/>
        <v>4</v>
      </c>
      <c r="AD29" s="588"/>
      <c r="AE29" s="187">
        <v>11</v>
      </c>
      <c r="AF29" s="187">
        <v>3156.9319051520074</v>
      </c>
      <c r="AG29" s="184">
        <f t="shared" si="24"/>
        <v>286.99380955927342</v>
      </c>
      <c r="AH29" s="181">
        <f t="shared" si="25"/>
        <v>4</v>
      </c>
      <c r="AI29" s="588"/>
      <c r="AJ29" s="187">
        <v>11</v>
      </c>
      <c r="AK29" s="187">
        <v>3157.291905152008</v>
      </c>
      <c r="AL29" s="184">
        <f t="shared" si="26"/>
        <v>287.02653683200072</v>
      </c>
      <c r="AM29" s="181">
        <f t="shared" si="27"/>
        <v>2</v>
      </c>
      <c r="AN29" s="588"/>
      <c r="AO29" s="187">
        <v>11</v>
      </c>
      <c r="AP29" s="187">
        <v>3157.6519051520077</v>
      </c>
      <c r="AQ29" s="184">
        <f t="shared" si="28"/>
        <v>287.05926410472796</v>
      </c>
      <c r="AR29" s="181">
        <f t="shared" si="29"/>
        <v>2</v>
      </c>
      <c r="AS29" s="588"/>
      <c r="AT29" s="187">
        <v>11</v>
      </c>
      <c r="AU29" s="187">
        <v>3158.3719051520084</v>
      </c>
      <c r="AV29" s="184">
        <f t="shared" si="30"/>
        <v>287.12471865018256</v>
      </c>
      <c r="AW29" s="181">
        <f t="shared" si="31"/>
        <v>2</v>
      </c>
      <c r="AX29" s="588"/>
    </row>
    <row r="30" spans="2:50" ht="14.25" customHeight="1">
      <c r="B30" s="586"/>
      <c r="C30" s="179">
        <v>4</v>
      </c>
      <c r="D30" s="182" t="s">
        <v>613</v>
      </c>
      <c r="E30" s="179">
        <v>11</v>
      </c>
      <c r="F30" s="179">
        <v>3600</v>
      </c>
      <c r="G30" s="184">
        <f t="shared" si="16"/>
        <v>327.27272727272725</v>
      </c>
      <c r="H30" s="588"/>
      <c r="I30" s="185">
        <f t="shared" si="18"/>
        <v>11</v>
      </c>
      <c r="J30" s="185">
        <f t="shared" si="18"/>
        <v>3157.2894664595306</v>
      </c>
      <c r="K30" s="186">
        <f t="shared" si="18"/>
        <v>287.0263151326846</v>
      </c>
      <c r="L30" s="589"/>
      <c r="M30" s="185">
        <f>RANK(K30, K$27:$K$41)</f>
        <v>3</v>
      </c>
      <c r="N30" s="586"/>
      <c r="O30" s="586"/>
      <c r="P30" s="187">
        <v>11</v>
      </c>
      <c r="Q30" s="187">
        <v>3159.3512524265075</v>
      </c>
      <c r="R30" s="184">
        <f t="shared" si="19"/>
        <v>287.21375022059158</v>
      </c>
      <c r="S30" s="181">
        <f t="shared" si="20"/>
        <v>3</v>
      </c>
      <c r="T30" s="588"/>
      <c r="U30" s="187">
        <v>11</v>
      </c>
      <c r="V30" s="187">
        <v>3158.7511721090973</v>
      </c>
      <c r="W30" s="184">
        <f t="shared" si="17"/>
        <v>287.15919746446338</v>
      </c>
      <c r="X30" s="181">
        <f t="shared" si="21"/>
        <v>2</v>
      </c>
      <c r="Y30" s="588"/>
      <c r="Z30" s="187">
        <v>11</v>
      </c>
      <c r="AA30" s="187">
        <v>3157.3111721090972</v>
      </c>
      <c r="AB30" s="184">
        <f t="shared" si="22"/>
        <v>287.02828837355429</v>
      </c>
      <c r="AC30" s="181">
        <f t="shared" si="23"/>
        <v>3</v>
      </c>
      <c r="AD30" s="588"/>
      <c r="AE30" s="187">
        <v>11</v>
      </c>
      <c r="AF30" s="187">
        <v>3156.9511721090976</v>
      </c>
      <c r="AG30" s="184">
        <f t="shared" si="24"/>
        <v>286.99556110082705</v>
      </c>
      <c r="AH30" s="181">
        <f t="shared" si="25"/>
        <v>3</v>
      </c>
      <c r="AI30" s="588"/>
      <c r="AJ30" s="187">
        <v>11</v>
      </c>
      <c r="AK30" s="187">
        <v>3156.5911721090984</v>
      </c>
      <c r="AL30" s="184">
        <f t="shared" si="26"/>
        <v>286.96283382809986</v>
      </c>
      <c r="AM30" s="181">
        <f t="shared" si="27"/>
        <v>4</v>
      </c>
      <c r="AN30" s="588"/>
      <c r="AO30" s="187">
        <v>11</v>
      </c>
      <c r="AP30" s="187">
        <v>3155.6751621769085</v>
      </c>
      <c r="AQ30" s="184">
        <f t="shared" si="28"/>
        <v>286.87956019790079</v>
      </c>
      <c r="AR30" s="181">
        <f t="shared" si="29"/>
        <v>4</v>
      </c>
      <c r="AS30" s="588"/>
      <c r="AT30" s="187">
        <v>11</v>
      </c>
      <c r="AU30" s="187">
        <v>3156.3951621769088</v>
      </c>
      <c r="AV30" s="184">
        <f t="shared" si="30"/>
        <v>286.94501474335533</v>
      </c>
      <c r="AW30" s="181">
        <f t="shared" si="31"/>
        <v>4</v>
      </c>
      <c r="AX30" s="588"/>
    </row>
    <row r="31" spans="2:50" ht="14.25" customHeight="1">
      <c r="B31" s="586"/>
      <c r="C31" s="179">
        <v>5</v>
      </c>
      <c r="D31" s="182"/>
      <c r="E31" s="179"/>
      <c r="F31" s="179"/>
      <c r="G31" s="184"/>
      <c r="H31" s="588"/>
      <c r="I31" s="185"/>
      <c r="J31" s="185"/>
      <c r="K31" s="186"/>
      <c r="L31" s="589"/>
      <c r="M31" s="185"/>
      <c r="N31" s="586"/>
      <c r="O31" s="586"/>
      <c r="P31" s="187"/>
      <c r="Q31" s="187"/>
      <c r="R31" s="184"/>
      <c r="S31" s="181"/>
      <c r="T31" s="588"/>
      <c r="U31" s="187"/>
      <c r="V31" s="187"/>
      <c r="W31" s="184"/>
      <c r="X31" s="181"/>
      <c r="Y31" s="588"/>
      <c r="Z31" s="187"/>
      <c r="AA31" s="187"/>
      <c r="AB31" s="184"/>
      <c r="AC31" s="181"/>
      <c r="AD31" s="588"/>
      <c r="AE31" s="187"/>
      <c r="AF31" s="187"/>
      <c r="AG31" s="184"/>
      <c r="AH31" s="181"/>
      <c r="AI31" s="588"/>
      <c r="AJ31" s="187"/>
      <c r="AK31" s="187"/>
      <c r="AL31" s="184"/>
      <c r="AM31" s="181"/>
      <c r="AN31" s="588"/>
      <c r="AO31" s="187"/>
      <c r="AP31" s="187"/>
      <c r="AQ31" s="184"/>
      <c r="AR31" s="181"/>
      <c r="AS31" s="588"/>
      <c r="AT31" s="187"/>
      <c r="AU31" s="187"/>
      <c r="AV31" s="184"/>
      <c r="AW31" s="181"/>
      <c r="AX31" s="588"/>
    </row>
    <row r="32" spans="2:50" ht="14.25" customHeight="1">
      <c r="B32" s="586"/>
      <c r="C32" s="179">
        <v>6</v>
      </c>
      <c r="D32" s="182"/>
      <c r="E32" s="179"/>
      <c r="F32" s="179"/>
      <c r="G32" s="184"/>
      <c r="H32" s="588"/>
      <c r="I32" s="185"/>
      <c r="J32" s="185"/>
      <c r="K32" s="186"/>
      <c r="L32" s="589"/>
      <c r="M32" s="185"/>
      <c r="N32" s="586"/>
      <c r="O32" s="586"/>
      <c r="P32" s="187"/>
      <c r="Q32" s="187"/>
      <c r="R32" s="184"/>
      <c r="S32" s="181"/>
      <c r="T32" s="588"/>
      <c r="U32" s="187"/>
      <c r="V32" s="187"/>
      <c r="W32" s="184"/>
      <c r="X32" s="181"/>
      <c r="Y32" s="588"/>
      <c r="Z32" s="187"/>
      <c r="AA32" s="187"/>
      <c r="AB32" s="184"/>
      <c r="AC32" s="181"/>
      <c r="AD32" s="588"/>
      <c r="AE32" s="187"/>
      <c r="AF32" s="187"/>
      <c r="AG32" s="184"/>
      <c r="AH32" s="181"/>
      <c r="AI32" s="588"/>
      <c r="AJ32" s="187"/>
      <c r="AK32" s="187"/>
      <c r="AL32" s="184"/>
      <c r="AM32" s="181"/>
      <c r="AN32" s="588"/>
      <c r="AO32" s="187"/>
      <c r="AP32" s="187"/>
      <c r="AQ32" s="184"/>
      <c r="AR32" s="181"/>
      <c r="AS32" s="588"/>
      <c r="AT32" s="187"/>
      <c r="AU32" s="187"/>
      <c r="AV32" s="184"/>
      <c r="AW32" s="181"/>
      <c r="AX32" s="588"/>
    </row>
    <row r="33" spans="2:50" ht="14.25" customHeight="1">
      <c r="B33" s="586"/>
      <c r="C33" s="179">
        <v>7</v>
      </c>
      <c r="D33" s="182"/>
      <c r="E33" s="179"/>
      <c r="F33" s="179"/>
      <c r="G33" s="184"/>
      <c r="H33" s="588"/>
      <c r="I33" s="185"/>
      <c r="J33" s="185"/>
      <c r="K33" s="186"/>
      <c r="L33" s="589"/>
      <c r="M33" s="185"/>
      <c r="N33" s="586"/>
      <c r="O33" s="586"/>
      <c r="P33" s="187"/>
      <c r="Q33" s="187"/>
      <c r="R33" s="184"/>
      <c r="S33" s="181"/>
      <c r="T33" s="588"/>
      <c r="U33" s="187"/>
      <c r="V33" s="187"/>
      <c r="W33" s="184"/>
      <c r="X33" s="181"/>
      <c r="Y33" s="588"/>
      <c r="Z33" s="187"/>
      <c r="AA33" s="187"/>
      <c r="AB33" s="184"/>
      <c r="AC33" s="181"/>
      <c r="AD33" s="588"/>
      <c r="AE33" s="187"/>
      <c r="AF33" s="187"/>
      <c r="AG33" s="184"/>
      <c r="AH33" s="181"/>
      <c r="AI33" s="588"/>
      <c r="AJ33" s="187"/>
      <c r="AK33" s="187"/>
      <c r="AL33" s="184"/>
      <c r="AM33" s="181"/>
      <c r="AN33" s="588"/>
      <c r="AO33" s="187"/>
      <c r="AP33" s="187"/>
      <c r="AQ33" s="184"/>
      <c r="AR33" s="181"/>
      <c r="AS33" s="588"/>
      <c r="AT33" s="187"/>
      <c r="AU33" s="187"/>
      <c r="AV33" s="184"/>
      <c r="AW33" s="181"/>
      <c r="AX33" s="588"/>
    </row>
    <row r="34" spans="2:50" ht="14.25" customHeight="1">
      <c r="B34" s="586"/>
      <c r="C34" s="179">
        <v>8</v>
      </c>
      <c r="D34" s="182"/>
      <c r="E34" s="179"/>
      <c r="F34" s="179"/>
      <c r="G34" s="184"/>
      <c r="H34" s="588"/>
      <c r="I34" s="185"/>
      <c r="J34" s="185"/>
      <c r="K34" s="186"/>
      <c r="L34" s="589"/>
      <c r="M34" s="185"/>
      <c r="N34" s="586"/>
      <c r="O34" s="586"/>
      <c r="P34" s="187"/>
      <c r="Q34" s="187"/>
      <c r="R34" s="184"/>
      <c r="S34" s="181"/>
      <c r="T34" s="588"/>
      <c r="U34" s="187"/>
      <c r="V34" s="187"/>
      <c r="W34" s="184"/>
      <c r="X34" s="181"/>
      <c r="Y34" s="588"/>
      <c r="Z34" s="187"/>
      <c r="AA34" s="187"/>
      <c r="AB34" s="184"/>
      <c r="AC34" s="181"/>
      <c r="AD34" s="588"/>
      <c r="AE34" s="187"/>
      <c r="AF34" s="187"/>
      <c r="AG34" s="184"/>
      <c r="AH34" s="181"/>
      <c r="AI34" s="588"/>
      <c r="AJ34" s="187"/>
      <c r="AK34" s="187"/>
      <c r="AL34" s="184"/>
      <c r="AM34" s="181"/>
      <c r="AN34" s="588"/>
      <c r="AO34" s="187"/>
      <c r="AP34" s="187"/>
      <c r="AQ34" s="184"/>
      <c r="AR34" s="181"/>
      <c r="AS34" s="588"/>
      <c r="AT34" s="187"/>
      <c r="AU34" s="187"/>
      <c r="AV34" s="184"/>
      <c r="AW34" s="181"/>
      <c r="AX34" s="588"/>
    </row>
    <row r="35" spans="2:50" ht="14.25" customHeight="1">
      <c r="B35" s="586"/>
      <c r="C35" s="179">
        <v>9</v>
      </c>
      <c r="D35" s="182"/>
      <c r="E35" s="179"/>
      <c r="F35" s="179"/>
      <c r="G35" s="184"/>
      <c r="H35" s="588"/>
      <c r="I35" s="185"/>
      <c r="J35" s="185"/>
      <c r="K35" s="186"/>
      <c r="L35" s="589"/>
      <c r="M35" s="185"/>
      <c r="N35" s="586"/>
      <c r="O35" s="586"/>
      <c r="P35" s="187"/>
      <c r="Q35" s="187"/>
      <c r="R35" s="184"/>
      <c r="S35" s="181"/>
      <c r="T35" s="588"/>
      <c r="U35" s="187"/>
      <c r="V35" s="187"/>
      <c r="W35" s="184"/>
      <c r="X35" s="181"/>
      <c r="Y35" s="588"/>
      <c r="Z35" s="187"/>
      <c r="AA35" s="187"/>
      <c r="AB35" s="184"/>
      <c r="AC35" s="181"/>
      <c r="AD35" s="588"/>
      <c r="AE35" s="187"/>
      <c r="AF35" s="187"/>
      <c r="AG35" s="184"/>
      <c r="AH35" s="181"/>
      <c r="AI35" s="588"/>
      <c r="AJ35" s="187"/>
      <c r="AK35" s="187"/>
      <c r="AL35" s="184"/>
      <c r="AM35" s="181"/>
      <c r="AN35" s="588"/>
      <c r="AO35" s="187"/>
      <c r="AP35" s="187"/>
      <c r="AQ35" s="184"/>
      <c r="AR35" s="181"/>
      <c r="AS35" s="588"/>
      <c r="AT35" s="187"/>
      <c r="AU35" s="187"/>
      <c r="AV35" s="184"/>
      <c r="AW35" s="181"/>
      <c r="AX35" s="588"/>
    </row>
    <row r="36" spans="2:50" ht="14.25" customHeight="1">
      <c r="B36" s="586"/>
      <c r="C36" s="179">
        <v>10</v>
      </c>
      <c r="D36" s="182"/>
      <c r="E36" s="179"/>
      <c r="F36" s="179"/>
      <c r="G36" s="184"/>
      <c r="H36" s="588"/>
      <c r="I36" s="185"/>
      <c r="J36" s="185"/>
      <c r="K36" s="186"/>
      <c r="L36" s="589"/>
      <c r="M36" s="185"/>
      <c r="N36" s="586"/>
      <c r="O36" s="586"/>
      <c r="P36" s="187"/>
      <c r="Q36" s="187"/>
      <c r="R36" s="184"/>
      <c r="S36" s="181"/>
      <c r="T36" s="588"/>
      <c r="U36" s="187"/>
      <c r="V36" s="187"/>
      <c r="W36" s="184"/>
      <c r="X36" s="181"/>
      <c r="Y36" s="588"/>
      <c r="Z36" s="187"/>
      <c r="AA36" s="187"/>
      <c r="AB36" s="184"/>
      <c r="AC36" s="181"/>
      <c r="AD36" s="588"/>
      <c r="AE36" s="187"/>
      <c r="AF36" s="187"/>
      <c r="AG36" s="184"/>
      <c r="AH36" s="181"/>
      <c r="AI36" s="588"/>
      <c r="AJ36" s="187"/>
      <c r="AK36" s="187"/>
      <c r="AL36" s="184"/>
      <c r="AM36" s="181"/>
      <c r="AN36" s="588"/>
      <c r="AO36" s="187"/>
      <c r="AP36" s="187"/>
      <c r="AQ36" s="184"/>
      <c r="AR36" s="181"/>
      <c r="AS36" s="588"/>
      <c r="AT36" s="187"/>
      <c r="AU36" s="187"/>
      <c r="AV36" s="184"/>
      <c r="AW36" s="181"/>
      <c r="AX36" s="588"/>
    </row>
    <row r="37" spans="2:50" ht="14.25" customHeight="1">
      <c r="B37" s="586"/>
      <c r="C37" s="179">
        <v>11</v>
      </c>
      <c r="D37" s="182"/>
      <c r="E37" s="179"/>
      <c r="F37" s="179"/>
      <c r="G37" s="184"/>
      <c r="H37" s="588"/>
      <c r="I37" s="185"/>
      <c r="J37" s="185"/>
      <c r="K37" s="186"/>
      <c r="L37" s="589"/>
      <c r="M37" s="185"/>
      <c r="N37" s="586"/>
      <c r="O37" s="586"/>
      <c r="P37" s="187"/>
      <c r="Q37" s="187"/>
      <c r="R37" s="184"/>
      <c r="S37" s="181"/>
      <c r="T37" s="588"/>
      <c r="U37" s="187"/>
      <c r="V37" s="187"/>
      <c r="W37" s="184"/>
      <c r="X37" s="181"/>
      <c r="Y37" s="588"/>
      <c r="Z37" s="187"/>
      <c r="AA37" s="187"/>
      <c r="AB37" s="184"/>
      <c r="AC37" s="181"/>
      <c r="AD37" s="588"/>
      <c r="AE37" s="187"/>
      <c r="AF37" s="187"/>
      <c r="AG37" s="184"/>
      <c r="AH37" s="181"/>
      <c r="AI37" s="588"/>
      <c r="AJ37" s="187"/>
      <c r="AK37" s="187"/>
      <c r="AL37" s="184"/>
      <c r="AM37" s="181"/>
      <c r="AN37" s="588"/>
      <c r="AO37" s="187"/>
      <c r="AP37" s="187"/>
      <c r="AQ37" s="184"/>
      <c r="AR37" s="181"/>
      <c r="AS37" s="588"/>
      <c r="AT37" s="187"/>
      <c r="AU37" s="187"/>
      <c r="AV37" s="184"/>
      <c r="AW37" s="181"/>
      <c r="AX37" s="588"/>
    </row>
    <row r="38" spans="2:50" ht="14.25" customHeight="1">
      <c r="B38" s="586"/>
      <c r="C38" s="179">
        <v>12</v>
      </c>
      <c r="D38" s="182"/>
      <c r="E38" s="179"/>
      <c r="F38" s="179"/>
      <c r="G38" s="184"/>
      <c r="H38" s="588"/>
      <c r="I38" s="185"/>
      <c r="J38" s="185"/>
      <c r="K38" s="186"/>
      <c r="L38" s="589"/>
      <c r="M38" s="185"/>
      <c r="N38" s="586"/>
      <c r="O38" s="586"/>
      <c r="P38" s="187"/>
      <c r="Q38" s="187"/>
      <c r="R38" s="184"/>
      <c r="S38" s="181"/>
      <c r="T38" s="588"/>
      <c r="U38" s="187"/>
      <c r="V38" s="187"/>
      <c r="W38" s="184"/>
      <c r="X38" s="181"/>
      <c r="Y38" s="588"/>
      <c r="Z38" s="187"/>
      <c r="AA38" s="187"/>
      <c r="AB38" s="184"/>
      <c r="AC38" s="181"/>
      <c r="AD38" s="588"/>
      <c r="AE38" s="187"/>
      <c r="AF38" s="187"/>
      <c r="AG38" s="184"/>
      <c r="AH38" s="181"/>
      <c r="AI38" s="588"/>
      <c r="AJ38" s="187"/>
      <c r="AK38" s="187"/>
      <c r="AL38" s="184"/>
      <c r="AM38" s="181"/>
      <c r="AN38" s="588"/>
      <c r="AO38" s="187"/>
      <c r="AP38" s="187"/>
      <c r="AQ38" s="184"/>
      <c r="AR38" s="181"/>
      <c r="AS38" s="588"/>
      <c r="AT38" s="187"/>
      <c r="AU38" s="187"/>
      <c r="AV38" s="184"/>
      <c r="AW38" s="181"/>
      <c r="AX38" s="588"/>
    </row>
    <row r="39" spans="2:50" ht="14.25" customHeight="1">
      <c r="B39" s="586"/>
      <c r="C39" s="179">
        <v>13</v>
      </c>
      <c r="D39" s="182"/>
      <c r="E39" s="179"/>
      <c r="F39" s="179"/>
      <c r="G39" s="184"/>
      <c r="H39" s="588"/>
      <c r="I39" s="185"/>
      <c r="J39" s="185"/>
      <c r="K39" s="186"/>
      <c r="L39" s="589"/>
      <c r="M39" s="185"/>
      <c r="N39" s="586"/>
      <c r="O39" s="586"/>
      <c r="P39" s="187"/>
      <c r="Q39" s="187"/>
      <c r="R39" s="184"/>
      <c r="S39" s="181"/>
      <c r="T39" s="588"/>
      <c r="U39" s="187"/>
      <c r="V39" s="187"/>
      <c r="W39" s="184"/>
      <c r="X39" s="181"/>
      <c r="Y39" s="588"/>
      <c r="Z39" s="187"/>
      <c r="AA39" s="187"/>
      <c r="AB39" s="184"/>
      <c r="AC39" s="181"/>
      <c r="AD39" s="588"/>
      <c r="AE39" s="187"/>
      <c r="AF39" s="187"/>
      <c r="AG39" s="184"/>
      <c r="AH39" s="181"/>
      <c r="AI39" s="588"/>
      <c r="AJ39" s="187"/>
      <c r="AK39" s="187"/>
      <c r="AL39" s="184"/>
      <c r="AM39" s="181"/>
      <c r="AN39" s="588"/>
      <c r="AO39" s="187"/>
      <c r="AP39" s="187"/>
      <c r="AQ39" s="184"/>
      <c r="AR39" s="181"/>
      <c r="AS39" s="588"/>
      <c r="AT39" s="187"/>
      <c r="AU39" s="187"/>
      <c r="AV39" s="184"/>
      <c r="AW39" s="181"/>
      <c r="AX39" s="588"/>
    </row>
    <row r="40" spans="2:50" ht="14.25" customHeight="1">
      <c r="B40" s="586"/>
      <c r="C40" s="179">
        <v>14</v>
      </c>
      <c r="D40" s="182"/>
      <c r="E40" s="179"/>
      <c r="F40" s="179"/>
      <c r="G40" s="184"/>
      <c r="H40" s="588"/>
      <c r="I40" s="185"/>
      <c r="J40" s="185"/>
      <c r="K40" s="186"/>
      <c r="L40" s="589"/>
      <c r="M40" s="185"/>
      <c r="N40" s="586"/>
      <c r="O40" s="586"/>
      <c r="P40" s="187"/>
      <c r="Q40" s="187"/>
      <c r="R40" s="184"/>
      <c r="S40" s="181"/>
      <c r="T40" s="588"/>
      <c r="U40" s="187"/>
      <c r="V40" s="187"/>
      <c r="W40" s="184"/>
      <c r="X40" s="181"/>
      <c r="Y40" s="588"/>
      <c r="Z40" s="187"/>
      <c r="AA40" s="187"/>
      <c r="AB40" s="184"/>
      <c r="AC40" s="181"/>
      <c r="AD40" s="588"/>
      <c r="AE40" s="187"/>
      <c r="AF40" s="187"/>
      <c r="AG40" s="184"/>
      <c r="AH40" s="181"/>
      <c r="AI40" s="588"/>
      <c r="AJ40" s="187"/>
      <c r="AK40" s="187"/>
      <c r="AL40" s="184"/>
      <c r="AM40" s="181"/>
      <c r="AN40" s="588"/>
      <c r="AO40" s="187"/>
      <c r="AP40" s="187"/>
      <c r="AQ40" s="184"/>
      <c r="AR40" s="181"/>
      <c r="AS40" s="588"/>
      <c r="AT40" s="187"/>
      <c r="AU40" s="187"/>
      <c r="AV40" s="184"/>
      <c r="AW40" s="181"/>
      <c r="AX40" s="588"/>
    </row>
    <row r="41" spans="2:50" ht="14.25" customHeight="1">
      <c r="B41" s="586"/>
      <c r="C41" s="179">
        <v>15</v>
      </c>
      <c r="D41" s="182"/>
      <c r="E41" s="179"/>
      <c r="F41" s="179"/>
      <c r="G41" s="184"/>
      <c r="H41" s="588"/>
      <c r="I41" s="185"/>
      <c r="J41" s="185"/>
      <c r="K41" s="186"/>
      <c r="L41" s="589"/>
      <c r="M41" s="185"/>
      <c r="N41" s="586"/>
      <c r="O41" s="586"/>
      <c r="P41" s="187"/>
      <c r="Q41" s="187"/>
      <c r="R41" s="184"/>
      <c r="S41" s="181"/>
      <c r="T41" s="588"/>
      <c r="U41" s="187"/>
      <c r="V41" s="187"/>
      <c r="W41" s="184"/>
      <c r="X41" s="181"/>
      <c r="Y41" s="588"/>
      <c r="Z41" s="187"/>
      <c r="AA41" s="187"/>
      <c r="AB41" s="184"/>
      <c r="AC41" s="181"/>
      <c r="AD41" s="588"/>
      <c r="AE41" s="187"/>
      <c r="AF41" s="187"/>
      <c r="AG41" s="184"/>
      <c r="AH41" s="181"/>
      <c r="AI41" s="588"/>
      <c r="AJ41" s="187"/>
      <c r="AK41" s="187"/>
      <c r="AL41" s="184"/>
      <c r="AM41" s="181"/>
      <c r="AN41" s="588"/>
      <c r="AO41" s="187"/>
      <c r="AP41" s="187"/>
      <c r="AQ41" s="184"/>
      <c r="AR41" s="181"/>
      <c r="AS41" s="588"/>
      <c r="AT41" s="187"/>
      <c r="AU41" s="187"/>
      <c r="AV41" s="184"/>
      <c r="AW41" s="181"/>
      <c r="AX41" s="588"/>
    </row>
    <row r="42" spans="2:50" ht="14.25" customHeight="1">
      <c r="B42" s="593" t="s">
        <v>711</v>
      </c>
      <c r="C42" s="594"/>
      <c r="D42" s="594"/>
      <c r="E42" s="594"/>
      <c r="F42" s="594"/>
      <c r="G42" s="594"/>
      <c r="H42" s="594"/>
      <c r="I42" s="594"/>
      <c r="J42" s="594"/>
      <c r="K42" s="594"/>
      <c r="L42" s="594"/>
      <c r="M42" s="595"/>
      <c r="N42" s="617" t="s">
        <v>341</v>
      </c>
      <c r="O42" s="617" t="s">
        <v>105</v>
      </c>
      <c r="P42" s="600">
        <v>46245</v>
      </c>
      <c r="Q42" s="601"/>
      <c r="R42" s="601"/>
      <c r="S42" s="601"/>
      <c r="T42" s="601"/>
      <c r="U42" s="602">
        <v>46246</v>
      </c>
      <c r="V42" s="603"/>
      <c r="W42" s="603"/>
      <c r="X42" s="603"/>
      <c r="Y42" s="603"/>
      <c r="Z42" s="600">
        <v>46247</v>
      </c>
      <c r="AA42" s="601"/>
      <c r="AB42" s="601"/>
      <c r="AC42" s="601"/>
      <c r="AD42" s="601"/>
      <c r="AE42" s="602">
        <v>46248</v>
      </c>
      <c r="AF42" s="603"/>
      <c r="AG42" s="603"/>
      <c r="AH42" s="603"/>
      <c r="AI42" s="603"/>
      <c r="AJ42" s="609">
        <v>46249</v>
      </c>
      <c r="AK42" s="610"/>
      <c r="AL42" s="610"/>
      <c r="AM42" s="610"/>
      <c r="AN42" s="611"/>
      <c r="AO42" s="602">
        <v>46250</v>
      </c>
      <c r="AP42" s="603"/>
      <c r="AQ42" s="603"/>
      <c r="AR42" s="603"/>
      <c r="AS42" s="603"/>
      <c r="AT42" s="609">
        <v>46251</v>
      </c>
      <c r="AU42" s="610"/>
      <c r="AV42" s="610"/>
      <c r="AW42" s="610"/>
      <c r="AX42" s="611"/>
    </row>
    <row r="43" spans="2:50" ht="14.25" customHeight="1">
      <c r="B43" s="596"/>
      <c r="C43" s="596"/>
      <c r="D43" s="596"/>
      <c r="E43" s="596"/>
      <c r="F43" s="596"/>
      <c r="G43" s="596"/>
      <c r="H43" s="596"/>
      <c r="I43" s="596"/>
      <c r="J43" s="596"/>
      <c r="K43" s="596"/>
      <c r="L43" s="596"/>
      <c r="M43" s="597"/>
      <c r="N43" s="618"/>
      <c r="O43" s="618"/>
      <c r="P43" s="604">
        <v>46196</v>
      </c>
      <c r="Q43" s="604"/>
      <c r="R43" s="604"/>
      <c r="S43" s="604"/>
      <c r="T43" s="604"/>
      <c r="U43" s="605">
        <v>46197</v>
      </c>
      <c r="V43" s="605"/>
      <c r="W43" s="605"/>
      <c r="X43" s="605"/>
      <c r="Y43" s="605"/>
      <c r="Z43" s="604">
        <v>46198</v>
      </c>
      <c r="AA43" s="604"/>
      <c r="AB43" s="604"/>
      <c r="AC43" s="604"/>
      <c r="AD43" s="604"/>
      <c r="AE43" s="605">
        <v>46199</v>
      </c>
      <c r="AF43" s="605"/>
      <c r="AG43" s="605"/>
      <c r="AH43" s="605"/>
      <c r="AI43" s="605"/>
      <c r="AJ43" s="606">
        <v>46200</v>
      </c>
      <c r="AK43" s="607"/>
      <c r="AL43" s="607"/>
      <c r="AM43" s="607"/>
      <c r="AN43" s="608"/>
      <c r="AO43" s="605">
        <v>46201</v>
      </c>
      <c r="AP43" s="605"/>
      <c r="AQ43" s="605"/>
      <c r="AR43" s="605"/>
      <c r="AS43" s="605"/>
      <c r="AT43" s="606">
        <v>46202</v>
      </c>
      <c r="AU43" s="607"/>
      <c r="AV43" s="607"/>
      <c r="AW43" s="607"/>
      <c r="AX43" s="608"/>
    </row>
    <row r="44" spans="2:50" ht="14.25" customHeight="1">
      <c r="B44" s="586" t="s">
        <v>162</v>
      </c>
      <c r="C44" s="586" t="s">
        <v>157</v>
      </c>
      <c r="D44" s="586"/>
      <c r="E44" s="586" t="s">
        <v>158</v>
      </c>
      <c r="F44" s="586"/>
      <c r="G44" s="586"/>
      <c r="H44" s="586" t="s">
        <v>163</v>
      </c>
      <c r="I44" s="592" t="s">
        <v>342</v>
      </c>
      <c r="J44" s="592"/>
      <c r="K44" s="592"/>
      <c r="L44" s="592" t="s">
        <v>163</v>
      </c>
      <c r="M44" s="592" t="s">
        <v>165</v>
      </c>
      <c r="N44" s="586"/>
      <c r="O44" s="586" t="s">
        <v>164</v>
      </c>
      <c r="P44" s="586" t="s">
        <v>160</v>
      </c>
      <c r="Q44" s="586"/>
      <c r="R44" s="586"/>
      <c r="S44" s="586"/>
      <c r="T44" s="586" t="s">
        <v>163</v>
      </c>
      <c r="U44" s="586" t="s">
        <v>160</v>
      </c>
      <c r="V44" s="586"/>
      <c r="W44" s="586"/>
      <c r="X44" s="586"/>
      <c r="Y44" s="586" t="s">
        <v>163</v>
      </c>
      <c r="Z44" s="586" t="s">
        <v>160</v>
      </c>
      <c r="AA44" s="586"/>
      <c r="AB44" s="586"/>
      <c r="AC44" s="586"/>
      <c r="AD44" s="586" t="s">
        <v>163</v>
      </c>
      <c r="AE44" s="586" t="s">
        <v>160</v>
      </c>
      <c r="AF44" s="586"/>
      <c r="AG44" s="586"/>
      <c r="AH44" s="586"/>
      <c r="AI44" s="586" t="s">
        <v>163</v>
      </c>
      <c r="AJ44" s="586" t="s">
        <v>160</v>
      </c>
      <c r="AK44" s="586"/>
      <c r="AL44" s="586"/>
      <c r="AM44" s="586"/>
      <c r="AN44" s="586" t="s">
        <v>163</v>
      </c>
      <c r="AO44" s="586" t="s">
        <v>160</v>
      </c>
      <c r="AP44" s="586"/>
      <c r="AQ44" s="586"/>
      <c r="AR44" s="586"/>
      <c r="AS44" s="586" t="s">
        <v>163</v>
      </c>
      <c r="AT44" s="586" t="s">
        <v>160</v>
      </c>
      <c r="AU44" s="586"/>
      <c r="AV44" s="586"/>
      <c r="AW44" s="586"/>
      <c r="AX44" s="586" t="s">
        <v>163</v>
      </c>
    </row>
    <row r="45" spans="2:50" ht="14.25" customHeight="1">
      <c r="B45" s="586"/>
      <c r="C45" s="586"/>
      <c r="D45" s="586"/>
      <c r="E45" s="586" t="s">
        <v>343</v>
      </c>
      <c r="F45" s="586"/>
      <c r="G45" s="586"/>
      <c r="H45" s="586"/>
      <c r="I45" s="592" t="s">
        <v>343</v>
      </c>
      <c r="J45" s="592"/>
      <c r="K45" s="592"/>
      <c r="L45" s="592"/>
      <c r="M45" s="592"/>
      <c r="N45" s="586"/>
      <c r="O45" s="586"/>
      <c r="P45" s="586" t="s">
        <v>344</v>
      </c>
      <c r="Q45" s="586"/>
      <c r="R45" s="586"/>
      <c r="S45" s="586"/>
      <c r="T45" s="586"/>
      <c r="U45" s="586" t="s">
        <v>344</v>
      </c>
      <c r="V45" s="586"/>
      <c r="W45" s="586"/>
      <c r="X45" s="586"/>
      <c r="Y45" s="586"/>
      <c r="Z45" s="586" t="s">
        <v>344</v>
      </c>
      <c r="AA45" s="586"/>
      <c r="AB45" s="586"/>
      <c r="AC45" s="586"/>
      <c r="AD45" s="586"/>
      <c r="AE45" s="586" t="s">
        <v>344</v>
      </c>
      <c r="AF45" s="586"/>
      <c r="AG45" s="586"/>
      <c r="AH45" s="586"/>
      <c r="AI45" s="586"/>
      <c r="AJ45" s="586" t="s">
        <v>344</v>
      </c>
      <c r="AK45" s="586"/>
      <c r="AL45" s="586"/>
      <c r="AM45" s="586"/>
      <c r="AN45" s="586"/>
      <c r="AO45" s="586" t="s">
        <v>344</v>
      </c>
      <c r="AP45" s="586"/>
      <c r="AQ45" s="586"/>
      <c r="AR45" s="586"/>
      <c r="AS45" s="586"/>
      <c r="AT45" s="586" t="s">
        <v>344</v>
      </c>
      <c r="AU45" s="586"/>
      <c r="AV45" s="586"/>
      <c r="AW45" s="586"/>
      <c r="AX45" s="586"/>
    </row>
    <row r="46" spans="2:50" ht="14.25" customHeight="1">
      <c r="B46" s="586"/>
      <c r="C46" s="586"/>
      <c r="D46" s="586"/>
      <c r="E46" s="179" t="s">
        <v>159</v>
      </c>
      <c r="F46" s="179" t="s">
        <v>345</v>
      </c>
      <c r="G46" s="179" t="s">
        <v>161</v>
      </c>
      <c r="H46" s="586"/>
      <c r="I46" s="180" t="s">
        <v>159</v>
      </c>
      <c r="J46" s="180" t="s">
        <v>345</v>
      </c>
      <c r="K46" s="180" t="s">
        <v>161</v>
      </c>
      <c r="L46" s="592"/>
      <c r="M46" s="592"/>
      <c r="N46" s="586"/>
      <c r="O46" s="586"/>
      <c r="P46" s="179" t="s">
        <v>159</v>
      </c>
      <c r="Q46" s="179" t="s">
        <v>345</v>
      </c>
      <c r="R46" s="179" t="s">
        <v>161</v>
      </c>
      <c r="S46" s="181" t="s">
        <v>165</v>
      </c>
      <c r="T46" s="586"/>
      <c r="U46" s="179" t="s">
        <v>159</v>
      </c>
      <c r="V46" s="179" t="s">
        <v>345</v>
      </c>
      <c r="W46" s="179" t="s">
        <v>161</v>
      </c>
      <c r="X46" s="181" t="s">
        <v>165</v>
      </c>
      <c r="Y46" s="586"/>
      <c r="Z46" s="179" t="s">
        <v>159</v>
      </c>
      <c r="AA46" s="179" t="s">
        <v>345</v>
      </c>
      <c r="AB46" s="179" t="s">
        <v>161</v>
      </c>
      <c r="AC46" s="181" t="s">
        <v>165</v>
      </c>
      <c r="AD46" s="586"/>
      <c r="AE46" s="179" t="s">
        <v>159</v>
      </c>
      <c r="AF46" s="179" t="s">
        <v>345</v>
      </c>
      <c r="AG46" s="179" t="s">
        <v>161</v>
      </c>
      <c r="AH46" s="181" t="s">
        <v>165</v>
      </c>
      <c r="AI46" s="586"/>
      <c r="AJ46" s="179" t="s">
        <v>159</v>
      </c>
      <c r="AK46" s="179" t="s">
        <v>345</v>
      </c>
      <c r="AL46" s="179" t="s">
        <v>161</v>
      </c>
      <c r="AM46" s="181" t="s">
        <v>165</v>
      </c>
      <c r="AN46" s="586"/>
      <c r="AO46" s="179" t="s">
        <v>159</v>
      </c>
      <c r="AP46" s="179" t="s">
        <v>345</v>
      </c>
      <c r="AQ46" s="179" t="s">
        <v>161</v>
      </c>
      <c r="AR46" s="181" t="s">
        <v>165</v>
      </c>
      <c r="AS46" s="586"/>
      <c r="AT46" s="179" t="s">
        <v>159</v>
      </c>
      <c r="AU46" s="179" t="s">
        <v>345</v>
      </c>
      <c r="AV46" s="179" t="s">
        <v>161</v>
      </c>
      <c r="AW46" s="181" t="s">
        <v>165</v>
      </c>
      <c r="AX46" s="586"/>
    </row>
    <row r="47" spans="2:50" ht="14.25" customHeight="1">
      <c r="B47" s="586" t="s">
        <v>347</v>
      </c>
      <c r="C47" s="179">
        <v>1</v>
      </c>
      <c r="D47" s="182" t="s">
        <v>325</v>
      </c>
      <c r="E47" s="183">
        <v>10</v>
      </c>
      <c r="F47" s="179">
        <v>3600</v>
      </c>
      <c r="G47" s="184">
        <f t="shared" ref="G47:G50" si="32">IFERROR(F47/E47,"")</f>
        <v>360</v>
      </c>
      <c r="H47" s="588">
        <f>AVERAGE(G47:G61)</f>
        <v>335.45454545454544</v>
      </c>
      <c r="I47" s="185">
        <f>AVERAGE(P47,U47,Z47,AE47,AJ47,AO47,AT47)</f>
        <v>10</v>
      </c>
      <c r="J47" s="185">
        <f>AVERAGE(Q47,V47,AA47,AF47,AK47,AP47,AU47)</f>
        <v>3216.6838368674703</v>
      </c>
      <c r="K47" s="186">
        <f>AVERAGE(R47,W47,AB47,AG47,AL47,AQ47,AV47)</f>
        <v>321.66838368674701</v>
      </c>
      <c r="L47" s="589">
        <f>IFERROR(AVERAGE(K47:K61),"-")</f>
        <v>295.68444055268674</v>
      </c>
      <c r="M47" s="185">
        <f>RANK(K47, K$47:$K$61)</f>
        <v>1</v>
      </c>
      <c r="N47" s="586"/>
      <c r="O47" s="586"/>
      <c r="P47" s="187">
        <v>10</v>
      </c>
      <c r="Q47" s="187">
        <v>3216.5295511531845</v>
      </c>
      <c r="R47" s="184">
        <f>IFERROR(Q47/P47,"")</f>
        <v>321.65295511531843</v>
      </c>
      <c r="S47" s="181">
        <f>RANK(R47, R$47:R$61)</f>
        <v>1</v>
      </c>
      <c r="T47" s="588">
        <f>AVERAGE(R47:R61)</f>
        <v>295.68393312352555</v>
      </c>
      <c r="U47" s="187">
        <v>10</v>
      </c>
      <c r="V47" s="187">
        <v>3216.1695511531843</v>
      </c>
      <c r="W47" s="184">
        <f t="shared" ref="W47:W50" si="33">IFERROR(V47/U47,"")</f>
        <v>321.61695511531843</v>
      </c>
      <c r="X47" s="181">
        <f>RANK(W47, W$47:W$61)</f>
        <v>1</v>
      </c>
      <c r="Y47" s="588">
        <f>AVERAGE(W47:W61)</f>
        <v>295.69947857807097</v>
      </c>
      <c r="Z47" s="187">
        <v>10</v>
      </c>
      <c r="AA47" s="187">
        <v>3215.449551153185</v>
      </c>
      <c r="AB47" s="184">
        <f>IFERROR(AA47/Z47,"")</f>
        <v>321.54495511531849</v>
      </c>
      <c r="AC47" s="181">
        <f>RANK(AB47, AB$47:AB$61)</f>
        <v>1</v>
      </c>
      <c r="AD47" s="588">
        <f>AVERAGE(AB47:AB61)</f>
        <v>295.61602403261645</v>
      </c>
      <c r="AE47" s="187">
        <v>10</v>
      </c>
      <c r="AF47" s="187">
        <v>3215.8095511531851</v>
      </c>
      <c r="AG47" s="184">
        <f>IFERROR(AF47/AE47,"")</f>
        <v>321.58095511531849</v>
      </c>
      <c r="AH47" s="181">
        <f>RANK(AG47, AG$47:AG$61)</f>
        <v>1</v>
      </c>
      <c r="AI47" s="588">
        <f>AVERAGE(AG47:AG61)</f>
        <v>295.61684221443466</v>
      </c>
      <c r="AJ47" s="187">
        <v>10</v>
      </c>
      <c r="AK47" s="187">
        <v>3217.6095511531848</v>
      </c>
      <c r="AL47" s="184">
        <f>IFERROR(AK47/AJ47,"")</f>
        <v>321.7609551153185</v>
      </c>
      <c r="AM47" s="181">
        <f>RANK(AL47, AL$47:AL$61)</f>
        <v>1</v>
      </c>
      <c r="AN47" s="588">
        <f>AVERAGE(AL47:AL61)</f>
        <v>295.7191149417074</v>
      </c>
      <c r="AO47" s="187">
        <v>10</v>
      </c>
      <c r="AP47" s="187">
        <v>3217.2495511531852</v>
      </c>
      <c r="AQ47" s="184">
        <f>IFERROR(AP47/AO47,"")</f>
        <v>321.72495511531849</v>
      </c>
      <c r="AR47" s="181">
        <f>RANK(AQ47, AQ$47:AQ$61)</f>
        <v>1</v>
      </c>
      <c r="AS47" s="588">
        <f>AVERAGE(AQ47:AQ61)</f>
        <v>295.7191044084737</v>
      </c>
      <c r="AT47" s="187">
        <v>10</v>
      </c>
      <c r="AU47" s="187">
        <v>3217.9695511531845</v>
      </c>
      <c r="AV47" s="184">
        <f>IFERROR(AU47/AT47,"")</f>
        <v>321.79695511531844</v>
      </c>
      <c r="AW47" s="181">
        <f>RANK(AV47, AV$47:AV$61)</f>
        <v>1</v>
      </c>
      <c r="AX47" s="588">
        <f>AVERAGE(AV47:AV61)</f>
        <v>295.73658656997833</v>
      </c>
    </row>
    <row r="48" spans="2:50" ht="14.25" customHeight="1">
      <c r="B48" s="586"/>
      <c r="C48" s="179">
        <v>2</v>
      </c>
      <c r="D48" s="182" t="s">
        <v>483</v>
      </c>
      <c r="E48" s="179">
        <v>11</v>
      </c>
      <c r="F48" s="179">
        <v>3600</v>
      </c>
      <c r="G48" s="184">
        <f t="shared" si="32"/>
        <v>327.27272727272725</v>
      </c>
      <c r="H48" s="588"/>
      <c r="I48" s="185">
        <f t="shared" ref="I48:K50" si="34">AVERAGE(P48,U48,Z48,AE48,AJ48,AO48,AT48)</f>
        <v>11</v>
      </c>
      <c r="J48" s="185">
        <f t="shared" si="34"/>
        <v>3157.8486392007062</v>
      </c>
      <c r="K48" s="186">
        <f t="shared" si="34"/>
        <v>287.07714901824608</v>
      </c>
      <c r="L48" s="589"/>
      <c r="M48" s="185">
        <f>RANK(K48, K$47:$K$61)</f>
        <v>2</v>
      </c>
      <c r="N48" s="586"/>
      <c r="O48" s="586"/>
      <c r="P48" s="187">
        <v>11</v>
      </c>
      <c r="Q48" s="187">
        <v>3157.1833410043869</v>
      </c>
      <c r="R48" s="184">
        <f t="shared" ref="R48:R50" si="35">IFERROR(Q48/P48,"")</f>
        <v>287.01666736403519</v>
      </c>
      <c r="S48" s="181">
        <f t="shared" ref="S48:S50" si="36">RANK(R48, R$47:R$61)</f>
        <v>3</v>
      </c>
      <c r="T48" s="588"/>
      <c r="U48" s="187">
        <v>11</v>
      </c>
      <c r="V48" s="187">
        <v>3157.543341004387</v>
      </c>
      <c r="W48" s="184">
        <f t="shared" si="33"/>
        <v>287.04939463676243</v>
      </c>
      <c r="X48" s="181">
        <f t="shared" ref="X48:X50" si="37">RANK(W48, W$47:W$61)</f>
        <v>4</v>
      </c>
      <c r="Y48" s="588"/>
      <c r="Z48" s="187">
        <v>11</v>
      </c>
      <c r="AA48" s="187">
        <v>3156.8233410043872</v>
      </c>
      <c r="AB48" s="184">
        <f t="shared" ref="AB48:AB50" si="38">IFERROR(AA48/Z48,"")</f>
        <v>286.98394009130794</v>
      </c>
      <c r="AC48" s="181">
        <f t="shared" ref="AC48:AC50" si="39">RANK(AB48, AB$47:AB$61)</f>
        <v>3</v>
      </c>
      <c r="AD48" s="588"/>
      <c r="AE48" s="187">
        <v>11</v>
      </c>
      <c r="AF48" s="187">
        <v>3157.5433410043875</v>
      </c>
      <c r="AG48" s="184">
        <f t="shared" ref="AG48:AG50" si="40">IFERROR(AF48/AE48,"")</f>
        <v>287.04939463676249</v>
      </c>
      <c r="AH48" s="181">
        <f t="shared" ref="AH48:AH50" si="41">RANK(AG48, AG$47:AG$61)</f>
        <v>2</v>
      </c>
      <c r="AI48" s="588"/>
      <c r="AJ48" s="187">
        <v>11</v>
      </c>
      <c r="AK48" s="187">
        <v>3159.3433410043872</v>
      </c>
      <c r="AL48" s="184">
        <f t="shared" ref="AL48:AL50" si="42">IFERROR(AK48/AJ48,"")</f>
        <v>287.21303100039881</v>
      </c>
      <c r="AM48" s="181">
        <f t="shared" ref="AM48:AM50" si="43">RANK(AL48, AL$47:AL$61)</f>
        <v>2</v>
      </c>
      <c r="AN48" s="588"/>
      <c r="AO48" s="187">
        <v>11</v>
      </c>
      <c r="AP48" s="187">
        <v>3158.6118846915037</v>
      </c>
      <c r="AQ48" s="184">
        <f t="shared" ref="AQ48:AQ50" si="44">IFERROR(AP48/AO48,"")</f>
        <v>287.14653497195491</v>
      </c>
      <c r="AR48" s="181">
        <f t="shared" ref="AR48:AR50" si="45">RANK(AQ48, AQ$47:AQ$61)</f>
        <v>2</v>
      </c>
      <c r="AS48" s="588"/>
      <c r="AT48" s="187">
        <v>11</v>
      </c>
      <c r="AU48" s="187">
        <v>3157.8918846915044</v>
      </c>
      <c r="AV48" s="184">
        <f t="shared" ref="AV48:AV50" si="46">IFERROR(AU48/AT48,"")</f>
        <v>287.08108042650042</v>
      </c>
      <c r="AW48" s="181">
        <f t="shared" ref="AW48:AW50" si="47">RANK(AV48, AV$47:AV$61)</f>
        <v>3</v>
      </c>
      <c r="AX48" s="588"/>
    </row>
    <row r="49" spans="2:50" ht="14.25" customHeight="1">
      <c r="B49" s="586"/>
      <c r="C49" s="179">
        <v>3</v>
      </c>
      <c r="D49" s="182" t="s">
        <v>484</v>
      </c>
      <c r="E49" s="179">
        <v>11</v>
      </c>
      <c r="F49" s="179">
        <v>3600</v>
      </c>
      <c r="G49" s="184">
        <f t="shared" si="32"/>
        <v>327.27272727272725</v>
      </c>
      <c r="H49" s="588"/>
      <c r="I49" s="185">
        <f t="shared" si="34"/>
        <v>11</v>
      </c>
      <c r="J49" s="185">
        <f t="shared" si="34"/>
        <v>3156.3249338387805</v>
      </c>
      <c r="K49" s="186">
        <f t="shared" si="34"/>
        <v>286.93863034897998</v>
      </c>
      <c r="L49" s="589"/>
      <c r="M49" s="185">
        <f>RANK(K49, K$47:$K$61)</f>
        <v>4</v>
      </c>
      <c r="N49" s="586"/>
      <c r="O49" s="586"/>
      <c r="P49" s="187">
        <v>11</v>
      </c>
      <c r="Q49" s="187">
        <v>3157.6519051520077</v>
      </c>
      <c r="R49" s="184">
        <f t="shared" si="35"/>
        <v>287.05926410472796</v>
      </c>
      <c r="S49" s="181">
        <f t="shared" si="36"/>
        <v>2</v>
      </c>
      <c r="T49" s="588"/>
      <c r="U49" s="187">
        <v>11</v>
      </c>
      <c r="V49" s="187">
        <v>3157.6519051520081</v>
      </c>
      <c r="W49" s="184">
        <f t="shared" si="33"/>
        <v>287.05926410472802</v>
      </c>
      <c r="X49" s="181">
        <f t="shared" si="37"/>
        <v>3</v>
      </c>
      <c r="Y49" s="588"/>
      <c r="Z49" s="187">
        <v>11</v>
      </c>
      <c r="AA49" s="187">
        <v>3156.2119051520085</v>
      </c>
      <c r="AB49" s="184">
        <f t="shared" si="38"/>
        <v>286.92835501381893</v>
      </c>
      <c r="AC49" s="181">
        <f t="shared" si="39"/>
        <v>4</v>
      </c>
      <c r="AD49" s="588"/>
      <c r="AE49" s="187">
        <v>11</v>
      </c>
      <c r="AF49" s="187">
        <v>3155.8519051520084</v>
      </c>
      <c r="AG49" s="184">
        <f t="shared" si="40"/>
        <v>286.89562774109169</v>
      </c>
      <c r="AH49" s="181">
        <f t="shared" si="41"/>
        <v>4</v>
      </c>
      <c r="AI49" s="588"/>
      <c r="AJ49" s="187">
        <v>11</v>
      </c>
      <c r="AK49" s="187">
        <v>3155.131905152009</v>
      </c>
      <c r="AL49" s="184">
        <f t="shared" si="42"/>
        <v>286.8301731956372</v>
      </c>
      <c r="AM49" s="181">
        <f t="shared" si="43"/>
        <v>4</v>
      </c>
      <c r="AN49" s="588"/>
      <c r="AO49" s="187">
        <v>11</v>
      </c>
      <c r="AP49" s="187">
        <v>3155.5388980026078</v>
      </c>
      <c r="AQ49" s="184">
        <f t="shared" si="44"/>
        <v>286.86717254569163</v>
      </c>
      <c r="AR49" s="181">
        <f t="shared" si="45"/>
        <v>4</v>
      </c>
      <c r="AS49" s="588"/>
      <c r="AT49" s="187">
        <v>11</v>
      </c>
      <c r="AU49" s="187">
        <v>3156.2361131088114</v>
      </c>
      <c r="AV49" s="184">
        <f t="shared" si="46"/>
        <v>286.9305557371647</v>
      </c>
      <c r="AW49" s="181">
        <f t="shared" si="47"/>
        <v>4</v>
      </c>
      <c r="AX49" s="588"/>
    </row>
    <row r="50" spans="2:50" ht="14.25" customHeight="1">
      <c r="B50" s="586"/>
      <c r="C50" s="179">
        <v>4</v>
      </c>
      <c r="D50" s="182" t="s">
        <v>613</v>
      </c>
      <c r="E50" s="179">
        <v>11</v>
      </c>
      <c r="F50" s="179">
        <v>3600</v>
      </c>
      <c r="G50" s="184">
        <f t="shared" si="32"/>
        <v>327.27272727272725</v>
      </c>
      <c r="H50" s="588"/>
      <c r="I50" s="185">
        <f t="shared" si="34"/>
        <v>11</v>
      </c>
      <c r="J50" s="185">
        <f t="shared" si="34"/>
        <v>3157.5895907245117</v>
      </c>
      <c r="K50" s="186">
        <f t="shared" si="34"/>
        <v>287.05359915677383</v>
      </c>
      <c r="L50" s="589"/>
      <c r="M50" s="185">
        <f>RANK(K50, K$47:$K$61)</f>
        <v>3</v>
      </c>
      <c r="N50" s="586"/>
      <c r="O50" s="586"/>
      <c r="P50" s="187">
        <v>11</v>
      </c>
      <c r="Q50" s="187">
        <v>3157.0753050102253</v>
      </c>
      <c r="R50" s="184">
        <f t="shared" si="35"/>
        <v>287.0068459100205</v>
      </c>
      <c r="S50" s="181">
        <f t="shared" si="36"/>
        <v>4</v>
      </c>
      <c r="T50" s="588"/>
      <c r="U50" s="187">
        <v>11</v>
      </c>
      <c r="V50" s="187">
        <v>3157.795305010226</v>
      </c>
      <c r="W50" s="184">
        <f t="shared" si="33"/>
        <v>287.0723004554751</v>
      </c>
      <c r="X50" s="181">
        <f t="shared" si="37"/>
        <v>2</v>
      </c>
      <c r="Y50" s="588"/>
      <c r="Z50" s="187">
        <v>11</v>
      </c>
      <c r="AA50" s="187">
        <v>3157.0753050102257</v>
      </c>
      <c r="AB50" s="184">
        <f t="shared" si="38"/>
        <v>287.0068459100205</v>
      </c>
      <c r="AC50" s="181">
        <f t="shared" si="39"/>
        <v>2</v>
      </c>
      <c r="AD50" s="588"/>
      <c r="AE50" s="187">
        <v>11</v>
      </c>
      <c r="AF50" s="187">
        <v>3156.3553050102264</v>
      </c>
      <c r="AG50" s="184">
        <f t="shared" si="40"/>
        <v>286.94139136456602</v>
      </c>
      <c r="AH50" s="181">
        <f t="shared" si="41"/>
        <v>3</v>
      </c>
      <c r="AI50" s="588"/>
      <c r="AJ50" s="187">
        <v>11</v>
      </c>
      <c r="AK50" s="187">
        <v>3157.7953050102265</v>
      </c>
      <c r="AL50" s="184">
        <f t="shared" si="42"/>
        <v>287.07230045547516</v>
      </c>
      <c r="AM50" s="181">
        <f t="shared" si="43"/>
        <v>3</v>
      </c>
      <c r="AN50" s="588"/>
      <c r="AO50" s="187">
        <v>11</v>
      </c>
      <c r="AP50" s="187">
        <v>3158.5153050102263</v>
      </c>
      <c r="AQ50" s="184">
        <f t="shared" si="44"/>
        <v>287.13775500092964</v>
      </c>
      <c r="AR50" s="181">
        <f t="shared" si="45"/>
        <v>3</v>
      </c>
      <c r="AS50" s="588"/>
      <c r="AT50" s="187">
        <v>11</v>
      </c>
      <c r="AU50" s="187">
        <v>3158.5153050102263</v>
      </c>
      <c r="AV50" s="184">
        <f t="shared" si="46"/>
        <v>287.13775500092964</v>
      </c>
      <c r="AW50" s="181">
        <f t="shared" si="47"/>
        <v>2</v>
      </c>
      <c r="AX50" s="588"/>
    </row>
    <row r="51" spans="2:50" ht="14.25" customHeight="1">
      <c r="B51" s="586"/>
      <c r="C51" s="179">
        <v>5</v>
      </c>
      <c r="D51" s="182"/>
      <c r="E51" s="179"/>
      <c r="F51" s="179"/>
      <c r="G51" s="184"/>
      <c r="H51" s="588"/>
      <c r="I51" s="185"/>
      <c r="J51" s="185"/>
      <c r="K51" s="186"/>
      <c r="L51" s="589"/>
      <c r="M51" s="185"/>
      <c r="N51" s="586"/>
      <c r="O51" s="586"/>
      <c r="P51" s="187"/>
      <c r="Q51" s="187"/>
      <c r="R51" s="184"/>
      <c r="S51" s="181"/>
      <c r="T51" s="588"/>
      <c r="U51" s="187"/>
      <c r="V51" s="187"/>
      <c r="W51" s="184"/>
      <c r="X51" s="181"/>
      <c r="Y51" s="588"/>
      <c r="Z51" s="187"/>
      <c r="AA51" s="187"/>
      <c r="AB51" s="184"/>
      <c r="AC51" s="181"/>
      <c r="AD51" s="588"/>
      <c r="AE51" s="187"/>
      <c r="AF51" s="187"/>
      <c r="AG51" s="184"/>
      <c r="AH51" s="181"/>
      <c r="AI51" s="588"/>
      <c r="AJ51" s="187"/>
      <c r="AK51" s="187"/>
      <c r="AL51" s="184"/>
      <c r="AM51" s="181"/>
      <c r="AN51" s="588"/>
      <c r="AO51" s="187"/>
      <c r="AP51" s="187"/>
      <c r="AQ51" s="184"/>
      <c r="AR51" s="181"/>
      <c r="AS51" s="588"/>
      <c r="AT51" s="187"/>
      <c r="AU51" s="187"/>
      <c r="AV51" s="184"/>
      <c r="AW51" s="181"/>
      <c r="AX51" s="588"/>
    </row>
    <row r="52" spans="2:50" ht="14.25" customHeight="1">
      <c r="B52" s="586"/>
      <c r="C52" s="179">
        <v>6</v>
      </c>
      <c r="D52" s="182"/>
      <c r="E52" s="179"/>
      <c r="F52" s="179"/>
      <c r="G52" s="184"/>
      <c r="H52" s="588"/>
      <c r="I52" s="185"/>
      <c r="J52" s="185"/>
      <c r="K52" s="186"/>
      <c r="L52" s="589"/>
      <c r="M52" s="185"/>
      <c r="N52" s="586"/>
      <c r="O52" s="586"/>
      <c r="P52" s="187"/>
      <c r="Q52" s="187"/>
      <c r="R52" s="184"/>
      <c r="S52" s="181"/>
      <c r="T52" s="588"/>
      <c r="U52" s="187"/>
      <c r="V52" s="187"/>
      <c r="W52" s="184"/>
      <c r="X52" s="181"/>
      <c r="Y52" s="588"/>
      <c r="Z52" s="187"/>
      <c r="AA52" s="187"/>
      <c r="AB52" s="184"/>
      <c r="AC52" s="181"/>
      <c r="AD52" s="588"/>
      <c r="AE52" s="187"/>
      <c r="AF52" s="187"/>
      <c r="AG52" s="184"/>
      <c r="AH52" s="181"/>
      <c r="AI52" s="588"/>
      <c r="AJ52" s="187"/>
      <c r="AK52" s="187"/>
      <c r="AL52" s="184"/>
      <c r="AM52" s="181"/>
      <c r="AN52" s="588"/>
      <c r="AO52" s="187"/>
      <c r="AP52" s="187"/>
      <c r="AQ52" s="184"/>
      <c r="AR52" s="181"/>
      <c r="AS52" s="588"/>
      <c r="AT52" s="187"/>
      <c r="AU52" s="187"/>
      <c r="AV52" s="184"/>
      <c r="AW52" s="181"/>
      <c r="AX52" s="588"/>
    </row>
    <row r="53" spans="2:50" ht="14.25" customHeight="1">
      <c r="B53" s="586"/>
      <c r="C53" s="179">
        <v>7</v>
      </c>
      <c r="D53" s="182"/>
      <c r="E53" s="179"/>
      <c r="F53" s="179"/>
      <c r="G53" s="184"/>
      <c r="H53" s="588"/>
      <c r="I53" s="185"/>
      <c r="J53" s="185"/>
      <c r="K53" s="186"/>
      <c r="L53" s="589"/>
      <c r="M53" s="185"/>
      <c r="N53" s="586"/>
      <c r="O53" s="586"/>
      <c r="P53" s="187"/>
      <c r="Q53" s="187"/>
      <c r="R53" s="184"/>
      <c r="S53" s="181"/>
      <c r="T53" s="588"/>
      <c r="U53" s="187"/>
      <c r="V53" s="187"/>
      <c r="W53" s="184"/>
      <c r="X53" s="181"/>
      <c r="Y53" s="588"/>
      <c r="Z53" s="187"/>
      <c r="AA53" s="187"/>
      <c r="AB53" s="184"/>
      <c r="AC53" s="181"/>
      <c r="AD53" s="588"/>
      <c r="AE53" s="187"/>
      <c r="AF53" s="187"/>
      <c r="AG53" s="184"/>
      <c r="AH53" s="181"/>
      <c r="AI53" s="588"/>
      <c r="AJ53" s="187"/>
      <c r="AK53" s="187"/>
      <c r="AL53" s="184"/>
      <c r="AM53" s="181"/>
      <c r="AN53" s="588"/>
      <c r="AO53" s="187"/>
      <c r="AP53" s="187"/>
      <c r="AQ53" s="184"/>
      <c r="AR53" s="181"/>
      <c r="AS53" s="588"/>
      <c r="AT53" s="187"/>
      <c r="AU53" s="187"/>
      <c r="AV53" s="184"/>
      <c r="AW53" s="181"/>
      <c r="AX53" s="588"/>
    </row>
    <row r="54" spans="2:50" ht="14.25" customHeight="1">
      <c r="B54" s="586"/>
      <c r="C54" s="179">
        <v>8</v>
      </c>
      <c r="D54" s="182"/>
      <c r="E54" s="179"/>
      <c r="F54" s="179"/>
      <c r="G54" s="184"/>
      <c r="H54" s="588"/>
      <c r="I54" s="185"/>
      <c r="J54" s="185"/>
      <c r="K54" s="186"/>
      <c r="L54" s="589"/>
      <c r="M54" s="185"/>
      <c r="N54" s="586"/>
      <c r="O54" s="586"/>
      <c r="P54" s="187"/>
      <c r="Q54" s="187"/>
      <c r="R54" s="184"/>
      <c r="S54" s="181"/>
      <c r="T54" s="588"/>
      <c r="U54" s="187"/>
      <c r="V54" s="187"/>
      <c r="W54" s="184"/>
      <c r="X54" s="181"/>
      <c r="Y54" s="588"/>
      <c r="Z54" s="187"/>
      <c r="AA54" s="187"/>
      <c r="AB54" s="184"/>
      <c r="AC54" s="181"/>
      <c r="AD54" s="588"/>
      <c r="AE54" s="187"/>
      <c r="AF54" s="187"/>
      <c r="AG54" s="184"/>
      <c r="AH54" s="181"/>
      <c r="AI54" s="588"/>
      <c r="AJ54" s="187"/>
      <c r="AK54" s="187"/>
      <c r="AL54" s="184"/>
      <c r="AM54" s="181"/>
      <c r="AN54" s="588"/>
      <c r="AO54" s="187"/>
      <c r="AP54" s="187"/>
      <c r="AQ54" s="184"/>
      <c r="AR54" s="181"/>
      <c r="AS54" s="588"/>
      <c r="AT54" s="187"/>
      <c r="AU54" s="187"/>
      <c r="AV54" s="184"/>
      <c r="AW54" s="181"/>
      <c r="AX54" s="588"/>
    </row>
    <row r="55" spans="2:50" ht="14.25" customHeight="1">
      <c r="B55" s="586"/>
      <c r="C55" s="179">
        <v>9</v>
      </c>
      <c r="D55" s="182"/>
      <c r="E55" s="179"/>
      <c r="F55" s="179"/>
      <c r="G55" s="184"/>
      <c r="H55" s="588"/>
      <c r="I55" s="185"/>
      <c r="J55" s="185"/>
      <c r="K55" s="186"/>
      <c r="L55" s="589"/>
      <c r="M55" s="185"/>
      <c r="N55" s="586"/>
      <c r="O55" s="586"/>
      <c r="P55" s="187"/>
      <c r="Q55" s="187"/>
      <c r="R55" s="184"/>
      <c r="S55" s="181"/>
      <c r="T55" s="588"/>
      <c r="U55" s="187"/>
      <c r="V55" s="187"/>
      <c r="W55" s="184"/>
      <c r="X55" s="181"/>
      <c r="Y55" s="588"/>
      <c r="Z55" s="187"/>
      <c r="AA55" s="187"/>
      <c r="AB55" s="184"/>
      <c r="AC55" s="181"/>
      <c r="AD55" s="588"/>
      <c r="AE55" s="187"/>
      <c r="AF55" s="187"/>
      <c r="AG55" s="184"/>
      <c r="AH55" s="181"/>
      <c r="AI55" s="588"/>
      <c r="AJ55" s="187"/>
      <c r="AK55" s="187"/>
      <c r="AL55" s="184"/>
      <c r="AM55" s="181"/>
      <c r="AN55" s="588"/>
      <c r="AO55" s="187"/>
      <c r="AP55" s="187"/>
      <c r="AQ55" s="184"/>
      <c r="AR55" s="181"/>
      <c r="AS55" s="588"/>
      <c r="AT55" s="187"/>
      <c r="AU55" s="187"/>
      <c r="AV55" s="184"/>
      <c r="AW55" s="181"/>
      <c r="AX55" s="588"/>
    </row>
    <row r="56" spans="2:50" ht="14.25" customHeight="1">
      <c r="B56" s="586"/>
      <c r="C56" s="179">
        <v>10</v>
      </c>
      <c r="D56" s="182"/>
      <c r="E56" s="179"/>
      <c r="F56" s="179"/>
      <c r="G56" s="184"/>
      <c r="H56" s="588"/>
      <c r="I56" s="185"/>
      <c r="J56" s="185"/>
      <c r="K56" s="186"/>
      <c r="L56" s="589"/>
      <c r="M56" s="185"/>
      <c r="N56" s="586"/>
      <c r="O56" s="586"/>
      <c r="P56" s="187"/>
      <c r="Q56" s="187"/>
      <c r="R56" s="184"/>
      <c r="S56" s="181"/>
      <c r="T56" s="588"/>
      <c r="U56" s="187"/>
      <c r="V56" s="187"/>
      <c r="W56" s="184"/>
      <c r="X56" s="181"/>
      <c r="Y56" s="588"/>
      <c r="Z56" s="187"/>
      <c r="AA56" s="187"/>
      <c r="AB56" s="184"/>
      <c r="AC56" s="181"/>
      <c r="AD56" s="588"/>
      <c r="AE56" s="187"/>
      <c r="AF56" s="187"/>
      <c r="AG56" s="184"/>
      <c r="AH56" s="181"/>
      <c r="AI56" s="588"/>
      <c r="AJ56" s="187"/>
      <c r="AK56" s="187"/>
      <c r="AL56" s="184"/>
      <c r="AM56" s="181"/>
      <c r="AN56" s="588"/>
      <c r="AO56" s="187"/>
      <c r="AP56" s="187"/>
      <c r="AQ56" s="184"/>
      <c r="AR56" s="181"/>
      <c r="AS56" s="588"/>
      <c r="AT56" s="187"/>
      <c r="AU56" s="187"/>
      <c r="AV56" s="184"/>
      <c r="AW56" s="181"/>
      <c r="AX56" s="588"/>
    </row>
    <row r="57" spans="2:50" ht="14.25" customHeight="1">
      <c r="B57" s="586"/>
      <c r="C57" s="179">
        <v>11</v>
      </c>
      <c r="D57" s="182"/>
      <c r="E57" s="179"/>
      <c r="F57" s="179"/>
      <c r="G57" s="184"/>
      <c r="H57" s="588"/>
      <c r="I57" s="185"/>
      <c r="J57" s="185"/>
      <c r="K57" s="186"/>
      <c r="L57" s="589"/>
      <c r="M57" s="185"/>
      <c r="N57" s="586"/>
      <c r="O57" s="586"/>
      <c r="P57" s="187"/>
      <c r="Q57" s="187"/>
      <c r="R57" s="184"/>
      <c r="S57" s="181"/>
      <c r="T57" s="588"/>
      <c r="U57" s="187"/>
      <c r="V57" s="187"/>
      <c r="W57" s="184"/>
      <c r="X57" s="181"/>
      <c r="Y57" s="588"/>
      <c r="Z57" s="187"/>
      <c r="AA57" s="187"/>
      <c r="AB57" s="184"/>
      <c r="AC57" s="181"/>
      <c r="AD57" s="588"/>
      <c r="AE57" s="187"/>
      <c r="AF57" s="187"/>
      <c r="AG57" s="184"/>
      <c r="AH57" s="181"/>
      <c r="AI57" s="588"/>
      <c r="AJ57" s="187"/>
      <c r="AK57" s="187"/>
      <c r="AL57" s="184"/>
      <c r="AM57" s="181"/>
      <c r="AN57" s="588"/>
      <c r="AO57" s="187"/>
      <c r="AP57" s="187"/>
      <c r="AQ57" s="184"/>
      <c r="AR57" s="181"/>
      <c r="AS57" s="588"/>
      <c r="AT57" s="187"/>
      <c r="AU57" s="187"/>
      <c r="AV57" s="184"/>
      <c r="AW57" s="181"/>
      <c r="AX57" s="588"/>
    </row>
    <row r="58" spans="2:50" ht="14.25" customHeight="1">
      <c r="B58" s="586"/>
      <c r="C58" s="179">
        <v>12</v>
      </c>
      <c r="D58" s="182"/>
      <c r="E58" s="179"/>
      <c r="F58" s="179"/>
      <c r="G58" s="184"/>
      <c r="H58" s="588"/>
      <c r="I58" s="185"/>
      <c r="J58" s="185"/>
      <c r="K58" s="186"/>
      <c r="L58" s="589"/>
      <c r="M58" s="185"/>
      <c r="N58" s="586"/>
      <c r="O58" s="586"/>
      <c r="P58" s="187"/>
      <c r="Q58" s="187"/>
      <c r="R58" s="184"/>
      <c r="S58" s="181"/>
      <c r="T58" s="588"/>
      <c r="U58" s="187"/>
      <c r="V58" s="187"/>
      <c r="W58" s="184"/>
      <c r="X58" s="181"/>
      <c r="Y58" s="588"/>
      <c r="Z58" s="187"/>
      <c r="AA58" s="187"/>
      <c r="AB58" s="184"/>
      <c r="AC58" s="181"/>
      <c r="AD58" s="588"/>
      <c r="AE58" s="187"/>
      <c r="AF58" s="187"/>
      <c r="AG58" s="184"/>
      <c r="AH58" s="181"/>
      <c r="AI58" s="588"/>
      <c r="AJ58" s="187"/>
      <c r="AK58" s="187"/>
      <c r="AL58" s="184"/>
      <c r="AM58" s="181"/>
      <c r="AN58" s="588"/>
      <c r="AO58" s="187"/>
      <c r="AP58" s="187"/>
      <c r="AQ58" s="184"/>
      <c r="AR58" s="181"/>
      <c r="AS58" s="588"/>
      <c r="AT58" s="187"/>
      <c r="AU58" s="187"/>
      <c r="AV58" s="184"/>
      <c r="AW58" s="181"/>
      <c r="AX58" s="588"/>
    </row>
    <row r="59" spans="2:50" ht="14.25" customHeight="1">
      <c r="B59" s="586"/>
      <c r="C59" s="179">
        <v>13</v>
      </c>
      <c r="D59" s="182"/>
      <c r="E59" s="179"/>
      <c r="F59" s="179"/>
      <c r="G59" s="184"/>
      <c r="H59" s="588"/>
      <c r="I59" s="185"/>
      <c r="J59" s="185"/>
      <c r="K59" s="186"/>
      <c r="L59" s="589"/>
      <c r="M59" s="185"/>
      <c r="N59" s="586"/>
      <c r="O59" s="586"/>
      <c r="P59" s="187"/>
      <c r="Q59" s="187"/>
      <c r="R59" s="184"/>
      <c r="S59" s="181"/>
      <c r="T59" s="588"/>
      <c r="U59" s="187"/>
      <c r="V59" s="187"/>
      <c r="W59" s="184"/>
      <c r="X59" s="181"/>
      <c r="Y59" s="588"/>
      <c r="Z59" s="187"/>
      <c r="AA59" s="187"/>
      <c r="AB59" s="184"/>
      <c r="AC59" s="181"/>
      <c r="AD59" s="588"/>
      <c r="AE59" s="187"/>
      <c r="AF59" s="187"/>
      <c r="AG59" s="184"/>
      <c r="AH59" s="181"/>
      <c r="AI59" s="588"/>
      <c r="AJ59" s="187"/>
      <c r="AK59" s="187"/>
      <c r="AL59" s="184"/>
      <c r="AM59" s="181"/>
      <c r="AN59" s="588"/>
      <c r="AO59" s="187"/>
      <c r="AP59" s="187"/>
      <c r="AQ59" s="184"/>
      <c r="AR59" s="181"/>
      <c r="AS59" s="588"/>
      <c r="AT59" s="187"/>
      <c r="AU59" s="187"/>
      <c r="AV59" s="184"/>
      <c r="AW59" s="181"/>
      <c r="AX59" s="588"/>
    </row>
    <row r="60" spans="2:50" ht="14.25" customHeight="1">
      <c r="B60" s="586"/>
      <c r="C60" s="179">
        <v>14</v>
      </c>
      <c r="D60" s="182"/>
      <c r="E60" s="179"/>
      <c r="F60" s="179"/>
      <c r="G60" s="184"/>
      <c r="H60" s="588"/>
      <c r="I60" s="185"/>
      <c r="J60" s="185"/>
      <c r="K60" s="186"/>
      <c r="L60" s="589"/>
      <c r="M60" s="185"/>
      <c r="N60" s="586"/>
      <c r="O60" s="586"/>
      <c r="P60" s="187"/>
      <c r="Q60" s="187"/>
      <c r="R60" s="184"/>
      <c r="S60" s="181"/>
      <c r="T60" s="588"/>
      <c r="U60" s="187"/>
      <c r="V60" s="187"/>
      <c r="W60" s="184"/>
      <c r="X60" s="181"/>
      <c r="Y60" s="588"/>
      <c r="Z60" s="187"/>
      <c r="AA60" s="187"/>
      <c r="AB60" s="184"/>
      <c r="AC60" s="181"/>
      <c r="AD60" s="588"/>
      <c r="AE60" s="187"/>
      <c r="AF60" s="187"/>
      <c r="AG60" s="184"/>
      <c r="AH60" s="181"/>
      <c r="AI60" s="588"/>
      <c r="AJ60" s="187"/>
      <c r="AK60" s="187"/>
      <c r="AL60" s="184"/>
      <c r="AM60" s="181"/>
      <c r="AN60" s="588"/>
      <c r="AO60" s="187"/>
      <c r="AP60" s="187"/>
      <c r="AQ60" s="184"/>
      <c r="AR60" s="181"/>
      <c r="AS60" s="588"/>
      <c r="AT60" s="187"/>
      <c r="AU60" s="187"/>
      <c r="AV60" s="184"/>
      <c r="AW60" s="181"/>
      <c r="AX60" s="588"/>
    </row>
    <row r="61" spans="2:50" ht="14.25" customHeight="1">
      <c r="B61" s="586"/>
      <c r="C61" s="179">
        <v>15</v>
      </c>
      <c r="D61" s="182"/>
      <c r="E61" s="179"/>
      <c r="F61" s="179"/>
      <c r="G61" s="184"/>
      <c r="H61" s="588"/>
      <c r="I61" s="185"/>
      <c r="J61" s="185"/>
      <c r="K61" s="186"/>
      <c r="L61" s="589"/>
      <c r="M61" s="185"/>
      <c r="N61" s="586"/>
      <c r="O61" s="586"/>
      <c r="P61" s="187"/>
      <c r="Q61" s="187"/>
      <c r="R61" s="184"/>
      <c r="S61" s="181"/>
      <c r="T61" s="588"/>
      <c r="U61" s="187"/>
      <c r="V61" s="187"/>
      <c r="W61" s="184"/>
      <c r="X61" s="181"/>
      <c r="Y61" s="588"/>
      <c r="Z61" s="187"/>
      <c r="AA61" s="187"/>
      <c r="AB61" s="184"/>
      <c r="AC61" s="181"/>
      <c r="AD61" s="588"/>
      <c r="AE61" s="187"/>
      <c r="AF61" s="187"/>
      <c r="AG61" s="184"/>
      <c r="AH61" s="181"/>
      <c r="AI61" s="588"/>
      <c r="AJ61" s="187"/>
      <c r="AK61" s="187"/>
      <c r="AL61" s="184"/>
      <c r="AM61" s="181"/>
      <c r="AN61" s="588"/>
      <c r="AO61" s="187"/>
      <c r="AP61" s="187"/>
      <c r="AQ61" s="184"/>
      <c r="AR61" s="181"/>
      <c r="AS61" s="588"/>
      <c r="AT61" s="187"/>
      <c r="AU61" s="187"/>
      <c r="AV61" s="184"/>
      <c r="AW61" s="181"/>
      <c r="AX61" s="588"/>
    </row>
  </sheetData>
  <mergeCells count="177">
    <mergeCell ref="AX47:AX61"/>
    <mergeCell ref="B47:B61"/>
    <mergeCell ref="H47:H61"/>
    <mergeCell ref="L47:L61"/>
    <mergeCell ref="T47:T61"/>
    <mergeCell ref="Y47:Y61"/>
    <mergeCell ref="AD47:AD61"/>
    <mergeCell ref="AI47:AI61"/>
    <mergeCell ref="AN47:AN61"/>
    <mergeCell ref="AS47:AS61"/>
    <mergeCell ref="AI44:AI46"/>
    <mergeCell ref="AJ44:AM44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Z45:AC45"/>
    <mergeCell ref="AE45:AH45"/>
    <mergeCell ref="AJ45:AM45"/>
    <mergeCell ref="AO45:AR45"/>
    <mergeCell ref="AT45:AW45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P44:S44"/>
    <mergeCell ref="T44:T46"/>
    <mergeCell ref="U44:X44"/>
    <mergeCell ref="Y44:Y46"/>
    <mergeCell ref="Z44:AC44"/>
    <mergeCell ref="AD44:AD46"/>
    <mergeCell ref="AE44:AH44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P4:S4"/>
    <mergeCell ref="AI4:AI6"/>
    <mergeCell ref="AJ4:AM4"/>
    <mergeCell ref="AN4:AN6"/>
    <mergeCell ref="AO4:AR4"/>
    <mergeCell ref="AS4:AS6"/>
    <mergeCell ref="AT4:AW4"/>
    <mergeCell ref="T4:T6"/>
    <mergeCell ref="U4:X4"/>
    <mergeCell ref="Y4:Y6"/>
    <mergeCell ref="Z4:AC4"/>
    <mergeCell ref="AD4:AD6"/>
    <mergeCell ref="AT22:AX22"/>
    <mergeCell ref="E5:G5"/>
    <mergeCell ref="I5:K5"/>
    <mergeCell ref="P5:S5"/>
    <mergeCell ref="U5:X5"/>
    <mergeCell ref="Z5:AC5"/>
    <mergeCell ref="AT2:AX2"/>
    <mergeCell ref="P3:T3"/>
    <mergeCell ref="U3:Y3"/>
    <mergeCell ref="Z3:AD3"/>
    <mergeCell ref="AE3:AI3"/>
    <mergeCell ref="AJ3:AN3"/>
    <mergeCell ref="AO3:AS3"/>
    <mergeCell ref="AT3:AX3"/>
    <mergeCell ref="AJ2:AN2"/>
    <mergeCell ref="AO2:AS2"/>
    <mergeCell ref="AE2:AI2"/>
    <mergeCell ref="AJ5:AM5"/>
    <mergeCell ref="AO5:AR5"/>
    <mergeCell ref="AT5:AW5"/>
    <mergeCell ref="L4:L6"/>
    <mergeCell ref="M4:M6"/>
    <mergeCell ref="N4:N21"/>
    <mergeCell ref="O4:O21"/>
    <mergeCell ref="U24:X24"/>
    <mergeCell ref="Y24:Y26"/>
    <mergeCell ref="Z24:AC24"/>
    <mergeCell ref="AD24:AD26"/>
    <mergeCell ref="L24:L26"/>
    <mergeCell ref="M24:M26"/>
    <mergeCell ref="AX4:AX6"/>
    <mergeCell ref="B22:M23"/>
    <mergeCell ref="N22:N23"/>
    <mergeCell ref="O22:O23"/>
    <mergeCell ref="P22:T22"/>
    <mergeCell ref="U22:Y22"/>
    <mergeCell ref="P23:T23"/>
    <mergeCell ref="U23:Y23"/>
    <mergeCell ref="AE4:AH4"/>
    <mergeCell ref="Z23:AD23"/>
    <mergeCell ref="AE23:AI23"/>
    <mergeCell ref="AJ23:AN23"/>
    <mergeCell ref="AO23:AS23"/>
    <mergeCell ref="AT23:AX23"/>
    <mergeCell ref="Z22:AD22"/>
    <mergeCell ref="AE22:AI22"/>
    <mergeCell ref="AJ22:AN22"/>
    <mergeCell ref="AO22:AS22"/>
    <mergeCell ref="AI24:AI26"/>
    <mergeCell ref="AJ24:AM24"/>
    <mergeCell ref="AN24:AN26"/>
    <mergeCell ref="AO24:AR24"/>
    <mergeCell ref="AD27:AD41"/>
    <mergeCell ref="AI27:AI41"/>
    <mergeCell ref="AN27:AN41"/>
    <mergeCell ref="AS27:AS41"/>
    <mergeCell ref="B2:M3"/>
    <mergeCell ref="N2:N3"/>
    <mergeCell ref="O2:O3"/>
    <mergeCell ref="P2:T2"/>
    <mergeCell ref="U2:Y2"/>
    <mergeCell ref="Z2:AD2"/>
    <mergeCell ref="U25:X25"/>
    <mergeCell ref="Z25:AC25"/>
    <mergeCell ref="AE25:AH25"/>
    <mergeCell ref="B4:B6"/>
    <mergeCell ref="C4:D6"/>
    <mergeCell ref="E4:G4"/>
    <mergeCell ref="H4:H6"/>
    <mergeCell ref="AE5:AH5"/>
    <mergeCell ref="I4:K4"/>
    <mergeCell ref="T24:T26"/>
    <mergeCell ref="AX27:AX41"/>
    <mergeCell ref="B27:B41"/>
    <mergeCell ref="H27:H41"/>
    <mergeCell ref="L27:L41"/>
    <mergeCell ref="T27:T41"/>
    <mergeCell ref="Y27:Y41"/>
    <mergeCell ref="N24:N41"/>
    <mergeCell ref="O24:O41"/>
    <mergeCell ref="P24:S24"/>
    <mergeCell ref="B24:B26"/>
    <mergeCell ref="C24:D26"/>
    <mergeCell ref="E24:G24"/>
    <mergeCell ref="H24:H26"/>
    <mergeCell ref="I24:K24"/>
    <mergeCell ref="AS24:AS26"/>
    <mergeCell ref="AT24:AW24"/>
    <mergeCell ref="AX24:AX26"/>
    <mergeCell ref="E25:G25"/>
    <mergeCell ref="I25:K25"/>
    <mergeCell ref="P25:S25"/>
    <mergeCell ref="AJ25:AM25"/>
    <mergeCell ref="AO25:AR25"/>
    <mergeCell ref="AT25:AW25"/>
    <mergeCell ref="AE24:AH24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0">
    <tabColor rgb="FFFFFFCC"/>
  </sheetPr>
  <dimension ref="A1:AX61"/>
  <sheetViews>
    <sheetView zoomScaleNormal="100" workbookViewId="0">
      <pane xSplit="13" ySplit="1" topLeftCell="AI38" activePane="bottomRight" state="frozen"/>
      <selection activeCell="B86" sqref="B86:M87"/>
      <selection pane="topRight" activeCell="B86" sqref="B86:M87"/>
      <selection pane="bottomLeft" activeCell="B86" sqref="B86:M87"/>
      <selection pane="bottomRight" activeCell="C1" sqref="C1"/>
    </sheetView>
  </sheetViews>
  <sheetFormatPr defaultColWidth="8.85546875" defaultRowHeight="12"/>
  <cols>
    <col min="1" max="1" width="5.5703125" style="78" customWidth="1"/>
    <col min="2" max="2" width="12.42578125" style="78" customWidth="1"/>
    <col min="3" max="3" width="9.28515625" style="176" bestFit="1" customWidth="1"/>
    <col min="4" max="4" width="26.42578125" style="175" customWidth="1"/>
    <col min="5" max="5" width="7.7109375" style="176" customWidth="1"/>
    <col min="6" max="7" width="8.7109375" style="176" customWidth="1"/>
    <col min="8" max="8" width="10.7109375" style="176" customWidth="1"/>
    <col min="9" max="9" width="7.7109375" style="177" customWidth="1"/>
    <col min="10" max="11" width="8.7109375" style="177" customWidth="1"/>
    <col min="12" max="12" width="10.7109375" style="177" customWidth="1"/>
    <col min="13" max="13" width="5.7109375" style="177" customWidth="1"/>
    <col min="14" max="14" width="9.85546875" style="176" customWidth="1"/>
    <col min="15" max="15" width="7.140625" style="176" customWidth="1"/>
    <col min="16" max="16" width="7.7109375" style="176" customWidth="1"/>
    <col min="17" max="18" width="8.7109375" style="176" customWidth="1"/>
    <col min="19" max="19" width="5.7109375" style="177" customWidth="1"/>
    <col min="20" max="20" width="10.7109375" style="176" customWidth="1"/>
    <col min="21" max="21" width="7.7109375" style="78" customWidth="1"/>
    <col min="22" max="23" width="8.7109375" style="78" customWidth="1"/>
    <col min="24" max="24" width="5.42578125" style="177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77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77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77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78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78" customWidth="1"/>
    <col min="50" max="50" width="10.7109375" style="78" customWidth="1"/>
    <col min="51" max="16384" width="8.85546875" style="78"/>
  </cols>
  <sheetData>
    <row r="1" spans="1:50" ht="21">
      <c r="A1" s="74"/>
      <c r="B1" s="450" t="s">
        <v>672</v>
      </c>
      <c r="C1" s="174">
        <f>AVERAGE(L27,L47)</f>
        <v>119.39248251748248</v>
      </c>
    </row>
    <row r="2" spans="1:50" ht="14.25" customHeight="1">
      <c r="B2" s="612" t="s">
        <v>628</v>
      </c>
      <c r="C2" s="613"/>
      <c r="D2" s="613"/>
      <c r="E2" s="613"/>
      <c r="F2" s="613"/>
      <c r="G2" s="613"/>
      <c r="H2" s="613"/>
      <c r="I2" s="613"/>
      <c r="J2" s="613"/>
      <c r="K2" s="613"/>
      <c r="L2" s="613"/>
      <c r="M2" s="614"/>
      <c r="N2" s="617" t="s">
        <v>341</v>
      </c>
      <c r="O2" s="617" t="s">
        <v>105</v>
      </c>
      <c r="P2" s="600">
        <v>46231</v>
      </c>
      <c r="Q2" s="601"/>
      <c r="R2" s="601"/>
      <c r="S2" s="601"/>
      <c r="T2" s="601"/>
      <c r="U2" s="602">
        <v>46232</v>
      </c>
      <c r="V2" s="603"/>
      <c r="W2" s="603"/>
      <c r="X2" s="603"/>
      <c r="Y2" s="603"/>
      <c r="Z2" s="600">
        <v>46233</v>
      </c>
      <c r="AA2" s="601"/>
      <c r="AB2" s="601"/>
      <c r="AC2" s="601"/>
      <c r="AD2" s="601"/>
      <c r="AE2" s="602">
        <v>46234</v>
      </c>
      <c r="AF2" s="603"/>
      <c r="AG2" s="603"/>
      <c r="AH2" s="603"/>
      <c r="AI2" s="603"/>
      <c r="AJ2" s="609">
        <v>46235</v>
      </c>
      <c r="AK2" s="610"/>
      <c r="AL2" s="610"/>
      <c r="AM2" s="610"/>
      <c r="AN2" s="611"/>
      <c r="AO2" s="602">
        <v>46236</v>
      </c>
      <c r="AP2" s="603"/>
      <c r="AQ2" s="603"/>
      <c r="AR2" s="603"/>
      <c r="AS2" s="603"/>
      <c r="AT2" s="609">
        <v>46237</v>
      </c>
      <c r="AU2" s="610"/>
      <c r="AV2" s="610"/>
      <c r="AW2" s="610"/>
      <c r="AX2" s="611"/>
    </row>
    <row r="3" spans="1:50" ht="14.25" customHeight="1">
      <c r="B3" s="615"/>
      <c r="C3" s="615"/>
      <c r="D3" s="615"/>
      <c r="E3" s="615"/>
      <c r="F3" s="615"/>
      <c r="G3" s="615"/>
      <c r="H3" s="615"/>
      <c r="I3" s="615"/>
      <c r="J3" s="615"/>
      <c r="K3" s="615"/>
      <c r="L3" s="615"/>
      <c r="M3" s="616"/>
      <c r="N3" s="618"/>
      <c r="O3" s="618"/>
      <c r="P3" s="604">
        <v>46196</v>
      </c>
      <c r="Q3" s="604"/>
      <c r="R3" s="604"/>
      <c r="S3" s="604"/>
      <c r="T3" s="604"/>
      <c r="U3" s="605">
        <v>46197</v>
      </c>
      <c r="V3" s="605"/>
      <c r="W3" s="605"/>
      <c r="X3" s="605"/>
      <c r="Y3" s="605"/>
      <c r="Z3" s="604">
        <v>46198</v>
      </c>
      <c r="AA3" s="604"/>
      <c r="AB3" s="604"/>
      <c r="AC3" s="604"/>
      <c r="AD3" s="604"/>
      <c r="AE3" s="605">
        <v>46199</v>
      </c>
      <c r="AF3" s="605"/>
      <c r="AG3" s="605"/>
      <c r="AH3" s="605"/>
      <c r="AI3" s="605"/>
      <c r="AJ3" s="606">
        <v>46200</v>
      </c>
      <c r="AK3" s="607"/>
      <c r="AL3" s="607"/>
      <c r="AM3" s="607"/>
      <c r="AN3" s="608"/>
      <c r="AO3" s="605">
        <v>46201</v>
      </c>
      <c r="AP3" s="605"/>
      <c r="AQ3" s="605"/>
      <c r="AR3" s="605"/>
      <c r="AS3" s="605"/>
      <c r="AT3" s="606">
        <v>46202</v>
      </c>
      <c r="AU3" s="607"/>
      <c r="AV3" s="607"/>
      <c r="AW3" s="607"/>
      <c r="AX3" s="608"/>
    </row>
    <row r="4" spans="1:50" ht="14.25" customHeight="1">
      <c r="B4" s="586" t="s">
        <v>162</v>
      </c>
      <c r="C4" s="586" t="s">
        <v>157</v>
      </c>
      <c r="D4" s="586"/>
      <c r="E4" s="586" t="s">
        <v>158</v>
      </c>
      <c r="F4" s="586"/>
      <c r="G4" s="586"/>
      <c r="H4" s="586" t="s">
        <v>163</v>
      </c>
      <c r="I4" s="592" t="s">
        <v>342</v>
      </c>
      <c r="J4" s="592"/>
      <c r="K4" s="592"/>
      <c r="L4" s="592" t="s">
        <v>163</v>
      </c>
      <c r="M4" s="592" t="s">
        <v>165</v>
      </c>
      <c r="N4" s="586"/>
      <c r="O4" s="586" t="s">
        <v>164</v>
      </c>
      <c r="P4" s="586" t="s">
        <v>160</v>
      </c>
      <c r="Q4" s="586"/>
      <c r="R4" s="586"/>
      <c r="S4" s="586"/>
      <c r="T4" s="586" t="s">
        <v>163</v>
      </c>
      <c r="U4" s="586" t="s">
        <v>160</v>
      </c>
      <c r="V4" s="586"/>
      <c r="W4" s="586"/>
      <c r="X4" s="586"/>
      <c r="Y4" s="586" t="s">
        <v>163</v>
      </c>
      <c r="Z4" s="586" t="s">
        <v>160</v>
      </c>
      <c r="AA4" s="586"/>
      <c r="AB4" s="586"/>
      <c r="AC4" s="586"/>
      <c r="AD4" s="586" t="s">
        <v>163</v>
      </c>
      <c r="AE4" s="586" t="s">
        <v>160</v>
      </c>
      <c r="AF4" s="586"/>
      <c r="AG4" s="586"/>
      <c r="AH4" s="586"/>
      <c r="AI4" s="586" t="s">
        <v>163</v>
      </c>
      <c r="AJ4" s="586" t="s">
        <v>160</v>
      </c>
      <c r="AK4" s="586"/>
      <c r="AL4" s="586"/>
      <c r="AM4" s="586"/>
      <c r="AN4" s="586" t="s">
        <v>163</v>
      </c>
      <c r="AO4" s="586" t="s">
        <v>160</v>
      </c>
      <c r="AP4" s="586"/>
      <c r="AQ4" s="586"/>
      <c r="AR4" s="586"/>
      <c r="AS4" s="586" t="s">
        <v>163</v>
      </c>
      <c r="AT4" s="586" t="s">
        <v>160</v>
      </c>
      <c r="AU4" s="586"/>
      <c r="AV4" s="586"/>
      <c r="AW4" s="586"/>
      <c r="AX4" s="586" t="s">
        <v>163</v>
      </c>
    </row>
    <row r="5" spans="1:50" ht="14.25" customHeight="1">
      <c r="B5" s="586"/>
      <c r="C5" s="586"/>
      <c r="D5" s="586"/>
      <c r="E5" s="586" t="s">
        <v>343</v>
      </c>
      <c r="F5" s="586"/>
      <c r="G5" s="586"/>
      <c r="H5" s="586"/>
      <c r="I5" s="592" t="s">
        <v>343</v>
      </c>
      <c r="J5" s="592"/>
      <c r="K5" s="592"/>
      <c r="L5" s="592"/>
      <c r="M5" s="592"/>
      <c r="N5" s="586"/>
      <c r="O5" s="586"/>
      <c r="P5" s="586" t="s">
        <v>344</v>
      </c>
      <c r="Q5" s="586"/>
      <c r="R5" s="586"/>
      <c r="S5" s="586"/>
      <c r="T5" s="586"/>
      <c r="U5" s="586" t="s">
        <v>344</v>
      </c>
      <c r="V5" s="586"/>
      <c r="W5" s="586"/>
      <c r="X5" s="586"/>
      <c r="Y5" s="586"/>
      <c r="Z5" s="586" t="s">
        <v>344</v>
      </c>
      <c r="AA5" s="586"/>
      <c r="AB5" s="586"/>
      <c r="AC5" s="586"/>
      <c r="AD5" s="586"/>
      <c r="AE5" s="586" t="s">
        <v>344</v>
      </c>
      <c r="AF5" s="586"/>
      <c r="AG5" s="586"/>
      <c r="AH5" s="586"/>
      <c r="AI5" s="586"/>
      <c r="AJ5" s="586" t="s">
        <v>344</v>
      </c>
      <c r="AK5" s="586"/>
      <c r="AL5" s="586"/>
      <c r="AM5" s="586"/>
      <c r="AN5" s="586"/>
      <c r="AO5" s="586" t="s">
        <v>344</v>
      </c>
      <c r="AP5" s="586"/>
      <c r="AQ5" s="586"/>
      <c r="AR5" s="586"/>
      <c r="AS5" s="586"/>
      <c r="AT5" s="586" t="s">
        <v>344</v>
      </c>
      <c r="AU5" s="586"/>
      <c r="AV5" s="586"/>
      <c r="AW5" s="586"/>
      <c r="AX5" s="586"/>
    </row>
    <row r="6" spans="1:50" ht="14.25" customHeight="1">
      <c r="B6" s="586"/>
      <c r="C6" s="586"/>
      <c r="D6" s="586"/>
      <c r="E6" s="179" t="s">
        <v>159</v>
      </c>
      <c r="F6" s="179" t="s">
        <v>345</v>
      </c>
      <c r="G6" s="179" t="s">
        <v>161</v>
      </c>
      <c r="H6" s="586"/>
      <c r="I6" s="180" t="s">
        <v>159</v>
      </c>
      <c r="J6" s="180" t="s">
        <v>345</v>
      </c>
      <c r="K6" s="180" t="s">
        <v>161</v>
      </c>
      <c r="L6" s="592"/>
      <c r="M6" s="592"/>
      <c r="N6" s="586"/>
      <c r="O6" s="586"/>
      <c r="P6" s="179" t="s">
        <v>159</v>
      </c>
      <c r="Q6" s="179" t="s">
        <v>345</v>
      </c>
      <c r="R6" s="179" t="s">
        <v>161</v>
      </c>
      <c r="S6" s="181" t="s">
        <v>165</v>
      </c>
      <c r="T6" s="586"/>
      <c r="U6" s="179" t="s">
        <v>159</v>
      </c>
      <c r="V6" s="179" t="s">
        <v>345</v>
      </c>
      <c r="W6" s="179" t="s">
        <v>161</v>
      </c>
      <c r="X6" s="181" t="s">
        <v>165</v>
      </c>
      <c r="Y6" s="586"/>
      <c r="Z6" s="179" t="s">
        <v>159</v>
      </c>
      <c r="AA6" s="179" t="s">
        <v>345</v>
      </c>
      <c r="AB6" s="179" t="s">
        <v>161</v>
      </c>
      <c r="AC6" s="181" t="s">
        <v>165</v>
      </c>
      <c r="AD6" s="586"/>
      <c r="AE6" s="179" t="s">
        <v>159</v>
      </c>
      <c r="AF6" s="179" t="s">
        <v>345</v>
      </c>
      <c r="AG6" s="179" t="s">
        <v>161</v>
      </c>
      <c r="AH6" s="181" t="s">
        <v>165</v>
      </c>
      <c r="AI6" s="586"/>
      <c r="AJ6" s="179" t="s">
        <v>159</v>
      </c>
      <c r="AK6" s="179" t="s">
        <v>345</v>
      </c>
      <c r="AL6" s="179" t="s">
        <v>161</v>
      </c>
      <c r="AM6" s="181" t="s">
        <v>165</v>
      </c>
      <c r="AN6" s="586"/>
      <c r="AO6" s="179" t="s">
        <v>159</v>
      </c>
      <c r="AP6" s="179" t="s">
        <v>345</v>
      </c>
      <c r="AQ6" s="179" t="s">
        <v>161</v>
      </c>
      <c r="AR6" s="181" t="s">
        <v>165</v>
      </c>
      <c r="AS6" s="586"/>
      <c r="AT6" s="179" t="s">
        <v>159</v>
      </c>
      <c r="AU6" s="179" t="s">
        <v>345</v>
      </c>
      <c r="AV6" s="179" t="s">
        <v>161</v>
      </c>
      <c r="AW6" s="181" t="s">
        <v>165</v>
      </c>
      <c r="AX6" s="586"/>
    </row>
    <row r="7" spans="1:50" ht="14.25" customHeight="1">
      <c r="B7" s="619" t="s">
        <v>403</v>
      </c>
      <c r="C7" s="179">
        <v>1</v>
      </c>
      <c r="D7" s="182" t="s">
        <v>326</v>
      </c>
      <c r="E7" s="183">
        <v>21</v>
      </c>
      <c r="F7" s="179">
        <v>2790</v>
      </c>
      <c r="G7" s="184">
        <f t="shared" ref="G7" si="0">IFERROR(F7/E7,"")</f>
        <v>132.85714285714286</v>
      </c>
      <c r="H7" s="588">
        <f>AVERAGE(G7:G21)</f>
        <v>132.85714285714286</v>
      </c>
      <c r="I7" s="185">
        <f>AVERAGE(P7,U7,Z7,AE7,AJ7,AO7,AT7)</f>
        <v>22</v>
      </c>
      <c r="J7" s="185">
        <f>AVERAGE(Q7,V7,AA7,AF7,AK7,AP7,AU7)</f>
        <v>2626.6346153846148</v>
      </c>
      <c r="K7" s="186">
        <f>AVERAGE(R7,W7,AB7,AG7,AL7,AQ7,AV7)</f>
        <v>119.39248251748248</v>
      </c>
      <c r="L7" s="589">
        <f>IFERROR(AVERAGE(K7:K21),"-")</f>
        <v>119.39248251748248</v>
      </c>
      <c r="M7" s="185">
        <f>RANK(K7, K$7:$K$21)</f>
        <v>1</v>
      </c>
      <c r="N7" s="586"/>
      <c r="O7" s="586"/>
      <c r="P7" s="187">
        <v>22</v>
      </c>
      <c r="Q7" s="187">
        <v>2626.6346153846152</v>
      </c>
      <c r="R7" s="184">
        <f>IFERROR(Q7/P7,"")</f>
        <v>119.39248251748251</v>
      </c>
      <c r="S7" s="181">
        <f>RANK(R7, R$7:R$21)</f>
        <v>1</v>
      </c>
      <c r="T7" s="588">
        <f>AVERAGE(R7:R21)</f>
        <v>119.39248251748251</v>
      </c>
      <c r="U7" s="187">
        <v>22</v>
      </c>
      <c r="V7" s="187">
        <v>2626.6346153846152</v>
      </c>
      <c r="W7" s="184">
        <f t="shared" ref="W7" si="1">IFERROR(V7/U7,"")</f>
        <v>119.39248251748251</v>
      </c>
      <c r="X7" s="181">
        <f>RANK(W7, W$7:W$21)</f>
        <v>1</v>
      </c>
      <c r="Y7" s="588">
        <f>AVERAGE(W7:W21)</f>
        <v>119.39248251748251</v>
      </c>
      <c r="Z7" s="187">
        <v>22</v>
      </c>
      <c r="AA7" s="187">
        <v>2626.6346153846152</v>
      </c>
      <c r="AB7" s="184">
        <f>IFERROR(AA7/Z7,"")</f>
        <v>119.39248251748251</v>
      </c>
      <c r="AC7" s="181">
        <f>RANK(AB7, AB$7:AB$21)</f>
        <v>1</v>
      </c>
      <c r="AD7" s="588">
        <f>AVERAGE(AB7:AB21)</f>
        <v>119.39248251748251</v>
      </c>
      <c r="AE7" s="187">
        <v>22</v>
      </c>
      <c r="AF7" s="187">
        <v>2626.6346153846152</v>
      </c>
      <c r="AG7" s="184">
        <f>IFERROR(AF7/AE7,"")</f>
        <v>119.39248251748251</v>
      </c>
      <c r="AH7" s="181">
        <f>RANK(AG7, AG$7:AG$21)</f>
        <v>1</v>
      </c>
      <c r="AI7" s="588">
        <f>AVERAGE(AG7:AG21)</f>
        <v>119.39248251748251</v>
      </c>
      <c r="AJ7" s="187">
        <v>22</v>
      </c>
      <c r="AK7" s="187">
        <v>2626.6346153846152</v>
      </c>
      <c r="AL7" s="184">
        <f>IFERROR(AK7/AJ7,"")</f>
        <v>119.39248251748251</v>
      </c>
      <c r="AM7" s="181">
        <f>RANK(AL7, AL$7:AL$21)</f>
        <v>1</v>
      </c>
      <c r="AN7" s="588">
        <f>AVERAGE(AL7:AL21)</f>
        <v>119.39248251748251</v>
      </c>
      <c r="AO7" s="187">
        <v>22</v>
      </c>
      <c r="AP7" s="187">
        <v>2626.6346153846152</v>
      </c>
      <c r="AQ7" s="184">
        <f>IFERROR(AP7/AO7,"")</f>
        <v>119.39248251748251</v>
      </c>
      <c r="AR7" s="181">
        <f>RANK(AQ7, AQ$7:AQ$21)</f>
        <v>1</v>
      </c>
      <c r="AS7" s="588">
        <f>AVERAGE(AQ7:AQ21)</f>
        <v>119.39248251748251</v>
      </c>
      <c r="AT7" s="187">
        <v>22</v>
      </c>
      <c r="AU7" s="187">
        <v>2626.6346153846152</v>
      </c>
      <c r="AV7" s="184">
        <f>IFERROR(AU7/AT7,"")</f>
        <v>119.39248251748251</v>
      </c>
      <c r="AW7" s="181">
        <f>RANK(AV7, AV$7:AV$21)</f>
        <v>1</v>
      </c>
      <c r="AX7" s="588">
        <f>AVERAGE(AV7:AV21)</f>
        <v>119.39248251748251</v>
      </c>
    </row>
    <row r="8" spans="1:50" ht="14.25" customHeight="1">
      <c r="B8" s="586"/>
      <c r="C8" s="179">
        <v>2</v>
      </c>
      <c r="D8" s="182"/>
      <c r="E8" s="179"/>
      <c r="F8" s="179"/>
      <c r="G8" s="184"/>
      <c r="H8" s="588"/>
      <c r="I8" s="185"/>
      <c r="J8" s="185"/>
      <c r="K8" s="186"/>
      <c r="L8" s="589"/>
      <c r="M8" s="185"/>
      <c r="N8" s="586"/>
      <c r="O8" s="586"/>
      <c r="P8" s="187"/>
      <c r="Q8" s="187"/>
      <c r="R8" s="184"/>
      <c r="S8" s="181"/>
      <c r="T8" s="588"/>
      <c r="U8" s="187"/>
      <c r="V8" s="187"/>
      <c r="W8" s="184"/>
      <c r="X8" s="181"/>
      <c r="Y8" s="588"/>
      <c r="Z8" s="187"/>
      <c r="AA8" s="187"/>
      <c r="AB8" s="184"/>
      <c r="AC8" s="181"/>
      <c r="AD8" s="588"/>
      <c r="AE8" s="187"/>
      <c r="AF8" s="187"/>
      <c r="AG8" s="184"/>
      <c r="AH8" s="181"/>
      <c r="AI8" s="588"/>
      <c r="AJ8" s="187"/>
      <c r="AK8" s="187"/>
      <c r="AL8" s="184"/>
      <c r="AM8" s="181"/>
      <c r="AN8" s="588"/>
      <c r="AO8" s="187"/>
      <c r="AP8" s="187"/>
      <c r="AQ8" s="184"/>
      <c r="AR8" s="181"/>
      <c r="AS8" s="588"/>
      <c r="AT8" s="187"/>
      <c r="AU8" s="187"/>
      <c r="AV8" s="184"/>
      <c r="AW8" s="181"/>
      <c r="AX8" s="588"/>
    </row>
    <row r="9" spans="1:50" ht="14.25" customHeight="1">
      <c r="B9" s="586"/>
      <c r="C9" s="179">
        <v>3</v>
      </c>
      <c r="D9" s="182"/>
      <c r="E9" s="179"/>
      <c r="F9" s="179"/>
      <c r="G9" s="184"/>
      <c r="H9" s="588"/>
      <c r="I9" s="185"/>
      <c r="J9" s="185"/>
      <c r="K9" s="186"/>
      <c r="L9" s="589"/>
      <c r="M9" s="185"/>
      <c r="N9" s="586"/>
      <c r="O9" s="586"/>
      <c r="P9" s="187"/>
      <c r="Q9" s="187"/>
      <c r="R9" s="184"/>
      <c r="S9" s="181"/>
      <c r="T9" s="588"/>
      <c r="U9" s="187"/>
      <c r="V9" s="187"/>
      <c r="W9" s="184"/>
      <c r="X9" s="181"/>
      <c r="Y9" s="588"/>
      <c r="Z9" s="187"/>
      <c r="AA9" s="187"/>
      <c r="AB9" s="184"/>
      <c r="AC9" s="181"/>
      <c r="AD9" s="588"/>
      <c r="AE9" s="187"/>
      <c r="AF9" s="187"/>
      <c r="AG9" s="184"/>
      <c r="AH9" s="181"/>
      <c r="AI9" s="588"/>
      <c r="AJ9" s="187"/>
      <c r="AK9" s="187"/>
      <c r="AL9" s="184"/>
      <c r="AM9" s="181"/>
      <c r="AN9" s="588"/>
      <c r="AO9" s="187"/>
      <c r="AP9" s="187"/>
      <c r="AQ9" s="184"/>
      <c r="AR9" s="181"/>
      <c r="AS9" s="588"/>
      <c r="AT9" s="187"/>
      <c r="AU9" s="187"/>
      <c r="AV9" s="184"/>
      <c r="AW9" s="181"/>
      <c r="AX9" s="588"/>
    </row>
    <row r="10" spans="1:50" ht="14.25" customHeight="1">
      <c r="B10" s="586"/>
      <c r="C10" s="179">
        <v>4</v>
      </c>
      <c r="D10" s="182"/>
      <c r="E10" s="179"/>
      <c r="F10" s="179"/>
      <c r="G10" s="184"/>
      <c r="H10" s="588"/>
      <c r="I10" s="185"/>
      <c r="J10" s="185"/>
      <c r="K10" s="186"/>
      <c r="L10" s="589"/>
      <c r="M10" s="185"/>
      <c r="N10" s="586"/>
      <c r="O10" s="586"/>
      <c r="P10" s="187"/>
      <c r="Q10" s="187"/>
      <c r="R10" s="184"/>
      <c r="S10" s="181"/>
      <c r="T10" s="588"/>
      <c r="U10" s="187"/>
      <c r="V10" s="187"/>
      <c r="W10" s="184"/>
      <c r="X10" s="181"/>
      <c r="Y10" s="588"/>
      <c r="Z10" s="187"/>
      <c r="AA10" s="187"/>
      <c r="AB10" s="184"/>
      <c r="AC10" s="181"/>
      <c r="AD10" s="588"/>
      <c r="AE10" s="187"/>
      <c r="AF10" s="187"/>
      <c r="AG10" s="184"/>
      <c r="AH10" s="181"/>
      <c r="AI10" s="588"/>
      <c r="AJ10" s="187"/>
      <c r="AK10" s="187"/>
      <c r="AL10" s="184"/>
      <c r="AM10" s="181"/>
      <c r="AN10" s="588"/>
      <c r="AO10" s="187"/>
      <c r="AP10" s="187"/>
      <c r="AQ10" s="184"/>
      <c r="AR10" s="181"/>
      <c r="AS10" s="588"/>
      <c r="AT10" s="187"/>
      <c r="AU10" s="187"/>
      <c r="AV10" s="184"/>
      <c r="AW10" s="181"/>
      <c r="AX10" s="588"/>
    </row>
    <row r="11" spans="1:50" ht="14.25" customHeight="1">
      <c r="B11" s="586"/>
      <c r="C11" s="179">
        <v>5</v>
      </c>
      <c r="D11" s="182"/>
      <c r="E11" s="179"/>
      <c r="F11" s="179"/>
      <c r="G11" s="184"/>
      <c r="H11" s="588"/>
      <c r="I11" s="185"/>
      <c r="J11" s="185"/>
      <c r="K11" s="186"/>
      <c r="L11" s="589"/>
      <c r="M11" s="185"/>
      <c r="N11" s="586"/>
      <c r="O11" s="586"/>
      <c r="P11" s="187"/>
      <c r="Q11" s="187"/>
      <c r="R11" s="184"/>
      <c r="S11" s="181"/>
      <c r="T11" s="588"/>
      <c r="U11" s="187"/>
      <c r="V11" s="187"/>
      <c r="W11" s="184"/>
      <c r="X11" s="181"/>
      <c r="Y11" s="588"/>
      <c r="Z11" s="187"/>
      <c r="AA11" s="187"/>
      <c r="AB11" s="184"/>
      <c r="AC11" s="181"/>
      <c r="AD11" s="588"/>
      <c r="AE11" s="187"/>
      <c r="AF11" s="187"/>
      <c r="AG11" s="184"/>
      <c r="AH11" s="181"/>
      <c r="AI11" s="588"/>
      <c r="AJ11" s="187"/>
      <c r="AK11" s="187"/>
      <c r="AL11" s="184"/>
      <c r="AM11" s="181"/>
      <c r="AN11" s="588"/>
      <c r="AO11" s="187"/>
      <c r="AP11" s="187"/>
      <c r="AQ11" s="184"/>
      <c r="AR11" s="181"/>
      <c r="AS11" s="588"/>
      <c r="AT11" s="187"/>
      <c r="AU11" s="187"/>
      <c r="AV11" s="184"/>
      <c r="AW11" s="181"/>
      <c r="AX11" s="588"/>
    </row>
    <row r="12" spans="1:50" ht="14.25" customHeight="1">
      <c r="B12" s="586"/>
      <c r="C12" s="179">
        <v>6</v>
      </c>
      <c r="D12" s="182"/>
      <c r="E12" s="179"/>
      <c r="F12" s="179"/>
      <c r="G12" s="184"/>
      <c r="H12" s="588"/>
      <c r="I12" s="185"/>
      <c r="J12" s="185"/>
      <c r="K12" s="186"/>
      <c r="L12" s="589"/>
      <c r="M12" s="185"/>
      <c r="N12" s="586"/>
      <c r="O12" s="586"/>
      <c r="P12" s="187"/>
      <c r="Q12" s="187"/>
      <c r="R12" s="184"/>
      <c r="S12" s="181"/>
      <c r="T12" s="588"/>
      <c r="U12" s="187"/>
      <c r="V12" s="187"/>
      <c r="W12" s="184"/>
      <c r="X12" s="181"/>
      <c r="Y12" s="588"/>
      <c r="Z12" s="187"/>
      <c r="AA12" s="187"/>
      <c r="AB12" s="184"/>
      <c r="AC12" s="181"/>
      <c r="AD12" s="588"/>
      <c r="AE12" s="187"/>
      <c r="AF12" s="187"/>
      <c r="AG12" s="184"/>
      <c r="AH12" s="181"/>
      <c r="AI12" s="588"/>
      <c r="AJ12" s="187"/>
      <c r="AK12" s="187"/>
      <c r="AL12" s="184"/>
      <c r="AM12" s="181"/>
      <c r="AN12" s="588"/>
      <c r="AO12" s="187"/>
      <c r="AP12" s="187"/>
      <c r="AQ12" s="184"/>
      <c r="AR12" s="181"/>
      <c r="AS12" s="588"/>
      <c r="AT12" s="187"/>
      <c r="AU12" s="187"/>
      <c r="AV12" s="184"/>
      <c r="AW12" s="181"/>
      <c r="AX12" s="588"/>
    </row>
    <row r="13" spans="1:50" ht="14.25" customHeight="1">
      <c r="B13" s="586"/>
      <c r="C13" s="179">
        <v>7</v>
      </c>
      <c r="D13" s="182"/>
      <c r="E13" s="179"/>
      <c r="F13" s="179"/>
      <c r="G13" s="184"/>
      <c r="H13" s="588"/>
      <c r="I13" s="185"/>
      <c r="J13" s="185"/>
      <c r="K13" s="186"/>
      <c r="L13" s="589"/>
      <c r="M13" s="185"/>
      <c r="N13" s="586"/>
      <c r="O13" s="586"/>
      <c r="P13" s="187"/>
      <c r="Q13" s="187"/>
      <c r="R13" s="184"/>
      <c r="S13" s="181"/>
      <c r="T13" s="588"/>
      <c r="U13" s="187"/>
      <c r="V13" s="187"/>
      <c r="W13" s="184"/>
      <c r="X13" s="181"/>
      <c r="Y13" s="588"/>
      <c r="Z13" s="187"/>
      <c r="AA13" s="187"/>
      <c r="AB13" s="184"/>
      <c r="AC13" s="181"/>
      <c r="AD13" s="588"/>
      <c r="AE13" s="187"/>
      <c r="AF13" s="187"/>
      <c r="AG13" s="184"/>
      <c r="AH13" s="181"/>
      <c r="AI13" s="588"/>
      <c r="AJ13" s="187"/>
      <c r="AK13" s="187"/>
      <c r="AL13" s="184"/>
      <c r="AM13" s="181"/>
      <c r="AN13" s="588"/>
      <c r="AO13" s="187"/>
      <c r="AP13" s="187"/>
      <c r="AQ13" s="184"/>
      <c r="AR13" s="181"/>
      <c r="AS13" s="588"/>
      <c r="AT13" s="187"/>
      <c r="AU13" s="187"/>
      <c r="AV13" s="184"/>
      <c r="AW13" s="181"/>
      <c r="AX13" s="588"/>
    </row>
    <row r="14" spans="1:50" ht="14.25" customHeight="1">
      <c r="B14" s="586"/>
      <c r="C14" s="179">
        <v>8</v>
      </c>
      <c r="D14" s="182"/>
      <c r="E14" s="179"/>
      <c r="F14" s="179"/>
      <c r="G14" s="184"/>
      <c r="H14" s="588"/>
      <c r="I14" s="185"/>
      <c r="J14" s="185"/>
      <c r="K14" s="186"/>
      <c r="L14" s="589"/>
      <c r="M14" s="185"/>
      <c r="N14" s="586"/>
      <c r="O14" s="586"/>
      <c r="P14" s="187"/>
      <c r="Q14" s="187"/>
      <c r="R14" s="184"/>
      <c r="S14" s="181"/>
      <c r="T14" s="588"/>
      <c r="U14" s="187"/>
      <c r="V14" s="187"/>
      <c r="W14" s="184"/>
      <c r="X14" s="181"/>
      <c r="Y14" s="588"/>
      <c r="Z14" s="187"/>
      <c r="AA14" s="187"/>
      <c r="AB14" s="184"/>
      <c r="AC14" s="181"/>
      <c r="AD14" s="588"/>
      <c r="AE14" s="187"/>
      <c r="AF14" s="187"/>
      <c r="AG14" s="184"/>
      <c r="AH14" s="181"/>
      <c r="AI14" s="588"/>
      <c r="AJ14" s="187"/>
      <c r="AK14" s="187"/>
      <c r="AL14" s="184"/>
      <c r="AM14" s="181"/>
      <c r="AN14" s="588"/>
      <c r="AO14" s="187"/>
      <c r="AP14" s="187"/>
      <c r="AQ14" s="184"/>
      <c r="AR14" s="181"/>
      <c r="AS14" s="588"/>
      <c r="AT14" s="187"/>
      <c r="AU14" s="187"/>
      <c r="AV14" s="184"/>
      <c r="AW14" s="181"/>
      <c r="AX14" s="588"/>
    </row>
    <row r="15" spans="1:50" ht="14.25" customHeight="1">
      <c r="B15" s="586"/>
      <c r="C15" s="179">
        <v>9</v>
      </c>
      <c r="D15" s="182"/>
      <c r="E15" s="179"/>
      <c r="F15" s="179"/>
      <c r="G15" s="184"/>
      <c r="H15" s="588"/>
      <c r="I15" s="185"/>
      <c r="J15" s="185"/>
      <c r="K15" s="186"/>
      <c r="L15" s="589"/>
      <c r="M15" s="185"/>
      <c r="N15" s="586"/>
      <c r="O15" s="586"/>
      <c r="P15" s="187"/>
      <c r="Q15" s="187"/>
      <c r="R15" s="184"/>
      <c r="S15" s="181"/>
      <c r="T15" s="588"/>
      <c r="U15" s="187"/>
      <c r="V15" s="187"/>
      <c r="W15" s="184"/>
      <c r="X15" s="181"/>
      <c r="Y15" s="588"/>
      <c r="Z15" s="187"/>
      <c r="AA15" s="187"/>
      <c r="AB15" s="184"/>
      <c r="AC15" s="181"/>
      <c r="AD15" s="588"/>
      <c r="AE15" s="187"/>
      <c r="AF15" s="187"/>
      <c r="AG15" s="184"/>
      <c r="AH15" s="181"/>
      <c r="AI15" s="588"/>
      <c r="AJ15" s="187"/>
      <c r="AK15" s="187"/>
      <c r="AL15" s="184"/>
      <c r="AM15" s="181"/>
      <c r="AN15" s="588"/>
      <c r="AO15" s="187"/>
      <c r="AP15" s="187"/>
      <c r="AQ15" s="184"/>
      <c r="AR15" s="181"/>
      <c r="AS15" s="588"/>
      <c r="AT15" s="187"/>
      <c r="AU15" s="187"/>
      <c r="AV15" s="184"/>
      <c r="AW15" s="181"/>
      <c r="AX15" s="588"/>
    </row>
    <row r="16" spans="1:50" ht="14.25" customHeight="1">
      <c r="B16" s="586"/>
      <c r="C16" s="179">
        <v>10</v>
      </c>
      <c r="D16" s="182"/>
      <c r="E16" s="179"/>
      <c r="F16" s="179"/>
      <c r="G16" s="184"/>
      <c r="H16" s="588"/>
      <c r="I16" s="185"/>
      <c r="J16" s="185"/>
      <c r="K16" s="186"/>
      <c r="L16" s="589"/>
      <c r="M16" s="185"/>
      <c r="N16" s="586"/>
      <c r="O16" s="586"/>
      <c r="P16" s="187"/>
      <c r="Q16" s="187"/>
      <c r="R16" s="184"/>
      <c r="S16" s="181"/>
      <c r="T16" s="588"/>
      <c r="U16" s="187"/>
      <c r="V16" s="187"/>
      <c r="W16" s="184"/>
      <c r="X16" s="181"/>
      <c r="Y16" s="588"/>
      <c r="Z16" s="187"/>
      <c r="AA16" s="187"/>
      <c r="AB16" s="184"/>
      <c r="AC16" s="181"/>
      <c r="AD16" s="588"/>
      <c r="AE16" s="187"/>
      <c r="AF16" s="187"/>
      <c r="AG16" s="184"/>
      <c r="AH16" s="181"/>
      <c r="AI16" s="588"/>
      <c r="AJ16" s="187"/>
      <c r="AK16" s="187"/>
      <c r="AL16" s="184"/>
      <c r="AM16" s="181"/>
      <c r="AN16" s="588"/>
      <c r="AO16" s="187"/>
      <c r="AP16" s="187"/>
      <c r="AQ16" s="184"/>
      <c r="AR16" s="181"/>
      <c r="AS16" s="588"/>
      <c r="AT16" s="187"/>
      <c r="AU16" s="187"/>
      <c r="AV16" s="184"/>
      <c r="AW16" s="181"/>
      <c r="AX16" s="588"/>
    </row>
    <row r="17" spans="2:50" ht="14.25" customHeight="1">
      <c r="B17" s="586"/>
      <c r="C17" s="179">
        <v>11</v>
      </c>
      <c r="D17" s="182"/>
      <c r="E17" s="179"/>
      <c r="F17" s="179"/>
      <c r="G17" s="184"/>
      <c r="H17" s="588"/>
      <c r="I17" s="185"/>
      <c r="J17" s="185"/>
      <c r="K17" s="186"/>
      <c r="L17" s="589"/>
      <c r="M17" s="185"/>
      <c r="N17" s="586"/>
      <c r="O17" s="586"/>
      <c r="P17" s="187"/>
      <c r="Q17" s="187"/>
      <c r="R17" s="184"/>
      <c r="S17" s="181"/>
      <c r="T17" s="588"/>
      <c r="U17" s="187"/>
      <c r="V17" s="187"/>
      <c r="W17" s="184"/>
      <c r="X17" s="181"/>
      <c r="Y17" s="588"/>
      <c r="Z17" s="187"/>
      <c r="AA17" s="187"/>
      <c r="AB17" s="184"/>
      <c r="AC17" s="181"/>
      <c r="AD17" s="588"/>
      <c r="AE17" s="187"/>
      <c r="AF17" s="187"/>
      <c r="AG17" s="184"/>
      <c r="AH17" s="181"/>
      <c r="AI17" s="588"/>
      <c r="AJ17" s="187"/>
      <c r="AK17" s="187"/>
      <c r="AL17" s="184"/>
      <c r="AM17" s="181"/>
      <c r="AN17" s="588"/>
      <c r="AO17" s="187"/>
      <c r="AP17" s="187"/>
      <c r="AQ17" s="184"/>
      <c r="AR17" s="181"/>
      <c r="AS17" s="588"/>
      <c r="AT17" s="187"/>
      <c r="AU17" s="187"/>
      <c r="AV17" s="184"/>
      <c r="AW17" s="181"/>
      <c r="AX17" s="588"/>
    </row>
    <row r="18" spans="2:50" ht="14.25" customHeight="1">
      <c r="B18" s="586"/>
      <c r="C18" s="179">
        <v>12</v>
      </c>
      <c r="D18" s="182"/>
      <c r="E18" s="179"/>
      <c r="F18" s="179"/>
      <c r="G18" s="184"/>
      <c r="H18" s="588"/>
      <c r="I18" s="185"/>
      <c r="J18" s="185"/>
      <c r="K18" s="186"/>
      <c r="L18" s="589"/>
      <c r="M18" s="185"/>
      <c r="N18" s="586"/>
      <c r="O18" s="586"/>
      <c r="P18" s="187"/>
      <c r="Q18" s="187"/>
      <c r="R18" s="184"/>
      <c r="S18" s="181"/>
      <c r="T18" s="588"/>
      <c r="U18" s="187"/>
      <c r="V18" s="187"/>
      <c r="W18" s="184"/>
      <c r="X18" s="181"/>
      <c r="Y18" s="588"/>
      <c r="Z18" s="187"/>
      <c r="AA18" s="187"/>
      <c r="AB18" s="184"/>
      <c r="AC18" s="181"/>
      <c r="AD18" s="588"/>
      <c r="AE18" s="187"/>
      <c r="AF18" s="187"/>
      <c r="AG18" s="184"/>
      <c r="AH18" s="181"/>
      <c r="AI18" s="588"/>
      <c r="AJ18" s="187"/>
      <c r="AK18" s="187"/>
      <c r="AL18" s="184"/>
      <c r="AM18" s="181"/>
      <c r="AN18" s="588"/>
      <c r="AO18" s="187"/>
      <c r="AP18" s="187"/>
      <c r="AQ18" s="184"/>
      <c r="AR18" s="181"/>
      <c r="AS18" s="588"/>
      <c r="AT18" s="187"/>
      <c r="AU18" s="187"/>
      <c r="AV18" s="184"/>
      <c r="AW18" s="181"/>
      <c r="AX18" s="588"/>
    </row>
    <row r="19" spans="2:50" ht="14.25" customHeight="1">
      <c r="B19" s="586"/>
      <c r="C19" s="179">
        <v>13</v>
      </c>
      <c r="D19" s="182"/>
      <c r="E19" s="179"/>
      <c r="F19" s="179"/>
      <c r="G19" s="184"/>
      <c r="H19" s="588"/>
      <c r="I19" s="185"/>
      <c r="J19" s="185"/>
      <c r="K19" s="186"/>
      <c r="L19" s="589"/>
      <c r="M19" s="185"/>
      <c r="N19" s="586"/>
      <c r="O19" s="586"/>
      <c r="P19" s="187"/>
      <c r="Q19" s="187"/>
      <c r="R19" s="184"/>
      <c r="S19" s="181"/>
      <c r="T19" s="588"/>
      <c r="U19" s="187"/>
      <c r="V19" s="187"/>
      <c r="W19" s="184"/>
      <c r="X19" s="181"/>
      <c r="Y19" s="588"/>
      <c r="Z19" s="187"/>
      <c r="AA19" s="187"/>
      <c r="AB19" s="184"/>
      <c r="AC19" s="181"/>
      <c r="AD19" s="588"/>
      <c r="AE19" s="187"/>
      <c r="AF19" s="187"/>
      <c r="AG19" s="184"/>
      <c r="AH19" s="181"/>
      <c r="AI19" s="588"/>
      <c r="AJ19" s="187"/>
      <c r="AK19" s="187"/>
      <c r="AL19" s="184"/>
      <c r="AM19" s="181"/>
      <c r="AN19" s="588"/>
      <c r="AO19" s="187"/>
      <c r="AP19" s="187"/>
      <c r="AQ19" s="184"/>
      <c r="AR19" s="181"/>
      <c r="AS19" s="588"/>
      <c r="AT19" s="187"/>
      <c r="AU19" s="187"/>
      <c r="AV19" s="184"/>
      <c r="AW19" s="181"/>
      <c r="AX19" s="588"/>
    </row>
    <row r="20" spans="2:50" ht="14.25" customHeight="1">
      <c r="B20" s="586"/>
      <c r="C20" s="179">
        <v>14</v>
      </c>
      <c r="D20" s="182"/>
      <c r="E20" s="179"/>
      <c r="F20" s="179"/>
      <c r="G20" s="184"/>
      <c r="H20" s="588"/>
      <c r="I20" s="185"/>
      <c r="J20" s="185"/>
      <c r="K20" s="186"/>
      <c r="L20" s="589"/>
      <c r="M20" s="185"/>
      <c r="N20" s="586"/>
      <c r="O20" s="586"/>
      <c r="P20" s="187"/>
      <c r="Q20" s="187"/>
      <c r="R20" s="184"/>
      <c r="S20" s="181"/>
      <c r="T20" s="588"/>
      <c r="U20" s="187"/>
      <c r="V20" s="187"/>
      <c r="W20" s="184"/>
      <c r="X20" s="181"/>
      <c r="Y20" s="588"/>
      <c r="Z20" s="187"/>
      <c r="AA20" s="187"/>
      <c r="AB20" s="184"/>
      <c r="AC20" s="181"/>
      <c r="AD20" s="588"/>
      <c r="AE20" s="187"/>
      <c r="AF20" s="187"/>
      <c r="AG20" s="184"/>
      <c r="AH20" s="181"/>
      <c r="AI20" s="588"/>
      <c r="AJ20" s="187"/>
      <c r="AK20" s="187"/>
      <c r="AL20" s="184"/>
      <c r="AM20" s="181"/>
      <c r="AN20" s="588"/>
      <c r="AO20" s="187"/>
      <c r="AP20" s="187"/>
      <c r="AQ20" s="184"/>
      <c r="AR20" s="181"/>
      <c r="AS20" s="588"/>
      <c r="AT20" s="187"/>
      <c r="AU20" s="187"/>
      <c r="AV20" s="184"/>
      <c r="AW20" s="181"/>
      <c r="AX20" s="588"/>
    </row>
    <row r="21" spans="2:50" ht="14.25" customHeight="1">
      <c r="B21" s="586"/>
      <c r="C21" s="179">
        <v>15</v>
      </c>
      <c r="D21" s="182"/>
      <c r="E21" s="179"/>
      <c r="F21" s="179"/>
      <c r="G21" s="184"/>
      <c r="H21" s="588"/>
      <c r="I21" s="185"/>
      <c r="J21" s="185"/>
      <c r="K21" s="186"/>
      <c r="L21" s="589"/>
      <c r="M21" s="185"/>
      <c r="N21" s="586"/>
      <c r="O21" s="586"/>
      <c r="P21" s="187"/>
      <c r="Q21" s="187"/>
      <c r="R21" s="184"/>
      <c r="S21" s="181"/>
      <c r="T21" s="588"/>
      <c r="U21" s="187"/>
      <c r="V21" s="187"/>
      <c r="W21" s="184"/>
      <c r="X21" s="181"/>
      <c r="Y21" s="588"/>
      <c r="Z21" s="187"/>
      <c r="AA21" s="187"/>
      <c r="AB21" s="184"/>
      <c r="AC21" s="181"/>
      <c r="AD21" s="588"/>
      <c r="AE21" s="187"/>
      <c r="AF21" s="187"/>
      <c r="AG21" s="184"/>
      <c r="AH21" s="181"/>
      <c r="AI21" s="588"/>
      <c r="AJ21" s="187"/>
      <c r="AK21" s="187"/>
      <c r="AL21" s="184"/>
      <c r="AM21" s="181"/>
      <c r="AN21" s="588"/>
      <c r="AO21" s="187"/>
      <c r="AP21" s="187"/>
      <c r="AQ21" s="184"/>
      <c r="AR21" s="181"/>
      <c r="AS21" s="588"/>
      <c r="AT21" s="187"/>
      <c r="AU21" s="187"/>
      <c r="AV21" s="184"/>
      <c r="AW21" s="181"/>
      <c r="AX21" s="588"/>
    </row>
    <row r="22" spans="2:50" ht="14.25" customHeight="1">
      <c r="B22" s="612" t="s">
        <v>689</v>
      </c>
      <c r="C22" s="613"/>
      <c r="D22" s="613"/>
      <c r="E22" s="613"/>
      <c r="F22" s="613"/>
      <c r="G22" s="613"/>
      <c r="H22" s="613"/>
      <c r="I22" s="613"/>
      <c r="J22" s="613"/>
      <c r="K22" s="613"/>
      <c r="L22" s="613"/>
      <c r="M22" s="614"/>
      <c r="N22" s="617" t="s">
        <v>341</v>
      </c>
      <c r="O22" s="617" t="s">
        <v>105</v>
      </c>
      <c r="P22" s="600">
        <v>46238</v>
      </c>
      <c r="Q22" s="601"/>
      <c r="R22" s="601"/>
      <c r="S22" s="601"/>
      <c r="T22" s="601"/>
      <c r="U22" s="602">
        <v>46239</v>
      </c>
      <c r="V22" s="603"/>
      <c r="W22" s="603"/>
      <c r="X22" s="603"/>
      <c r="Y22" s="603"/>
      <c r="Z22" s="600">
        <v>46240</v>
      </c>
      <c r="AA22" s="601"/>
      <c r="AB22" s="601"/>
      <c r="AC22" s="601"/>
      <c r="AD22" s="601"/>
      <c r="AE22" s="602">
        <v>46241</v>
      </c>
      <c r="AF22" s="603"/>
      <c r="AG22" s="603"/>
      <c r="AH22" s="603"/>
      <c r="AI22" s="603"/>
      <c r="AJ22" s="609">
        <v>46242</v>
      </c>
      <c r="AK22" s="610"/>
      <c r="AL22" s="610"/>
      <c r="AM22" s="610"/>
      <c r="AN22" s="611"/>
      <c r="AO22" s="602">
        <v>46243</v>
      </c>
      <c r="AP22" s="603"/>
      <c r="AQ22" s="603"/>
      <c r="AR22" s="603"/>
      <c r="AS22" s="603"/>
      <c r="AT22" s="609">
        <v>46244</v>
      </c>
      <c r="AU22" s="610"/>
      <c r="AV22" s="610"/>
      <c r="AW22" s="610"/>
      <c r="AX22" s="611"/>
    </row>
    <row r="23" spans="2:50" ht="14.25" customHeight="1">
      <c r="B23" s="615"/>
      <c r="C23" s="615"/>
      <c r="D23" s="615"/>
      <c r="E23" s="615"/>
      <c r="F23" s="615"/>
      <c r="G23" s="615"/>
      <c r="H23" s="615"/>
      <c r="I23" s="615"/>
      <c r="J23" s="615"/>
      <c r="K23" s="615"/>
      <c r="L23" s="615"/>
      <c r="M23" s="616"/>
      <c r="N23" s="618"/>
      <c r="O23" s="618"/>
      <c r="P23" s="604">
        <v>46196</v>
      </c>
      <c r="Q23" s="604"/>
      <c r="R23" s="604"/>
      <c r="S23" s="604"/>
      <c r="T23" s="604"/>
      <c r="U23" s="605">
        <v>46197</v>
      </c>
      <c r="V23" s="605"/>
      <c r="W23" s="605"/>
      <c r="X23" s="605"/>
      <c r="Y23" s="605"/>
      <c r="Z23" s="604">
        <v>46198</v>
      </c>
      <c r="AA23" s="604"/>
      <c r="AB23" s="604"/>
      <c r="AC23" s="604"/>
      <c r="AD23" s="604"/>
      <c r="AE23" s="605">
        <v>46199</v>
      </c>
      <c r="AF23" s="605"/>
      <c r="AG23" s="605"/>
      <c r="AH23" s="605"/>
      <c r="AI23" s="605"/>
      <c r="AJ23" s="606">
        <v>46200</v>
      </c>
      <c r="AK23" s="607"/>
      <c r="AL23" s="607"/>
      <c r="AM23" s="607"/>
      <c r="AN23" s="608"/>
      <c r="AO23" s="605">
        <v>46201</v>
      </c>
      <c r="AP23" s="605"/>
      <c r="AQ23" s="605"/>
      <c r="AR23" s="605"/>
      <c r="AS23" s="605"/>
      <c r="AT23" s="606">
        <v>46202</v>
      </c>
      <c r="AU23" s="607"/>
      <c r="AV23" s="607"/>
      <c r="AW23" s="607"/>
      <c r="AX23" s="608"/>
    </row>
    <row r="24" spans="2:50" ht="14.25" customHeight="1">
      <c r="B24" s="586" t="s">
        <v>162</v>
      </c>
      <c r="C24" s="586" t="s">
        <v>157</v>
      </c>
      <c r="D24" s="586"/>
      <c r="E24" s="586" t="s">
        <v>158</v>
      </c>
      <c r="F24" s="586"/>
      <c r="G24" s="586"/>
      <c r="H24" s="586" t="s">
        <v>163</v>
      </c>
      <c r="I24" s="592" t="s">
        <v>342</v>
      </c>
      <c r="J24" s="592"/>
      <c r="K24" s="592"/>
      <c r="L24" s="592" t="s">
        <v>163</v>
      </c>
      <c r="M24" s="592" t="s">
        <v>165</v>
      </c>
      <c r="N24" s="586"/>
      <c r="O24" s="586" t="s">
        <v>164</v>
      </c>
      <c r="P24" s="586" t="s">
        <v>160</v>
      </c>
      <c r="Q24" s="586"/>
      <c r="R24" s="586"/>
      <c r="S24" s="586"/>
      <c r="T24" s="586" t="s">
        <v>163</v>
      </c>
      <c r="U24" s="586" t="s">
        <v>160</v>
      </c>
      <c r="V24" s="586"/>
      <c r="W24" s="586"/>
      <c r="X24" s="586"/>
      <c r="Y24" s="586" t="s">
        <v>163</v>
      </c>
      <c r="Z24" s="586" t="s">
        <v>160</v>
      </c>
      <c r="AA24" s="586"/>
      <c r="AB24" s="586"/>
      <c r="AC24" s="586"/>
      <c r="AD24" s="586" t="s">
        <v>163</v>
      </c>
      <c r="AE24" s="586" t="s">
        <v>160</v>
      </c>
      <c r="AF24" s="586"/>
      <c r="AG24" s="586"/>
      <c r="AH24" s="586"/>
      <c r="AI24" s="586" t="s">
        <v>163</v>
      </c>
      <c r="AJ24" s="586" t="s">
        <v>160</v>
      </c>
      <c r="AK24" s="586"/>
      <c r="AL24" s="586"/>
      <c r="AM24" s="586"/>
      <c r="AN24" s="586" t="s">
        <v>163</v>
      </c>
      <c r="AO24" s="586" t="s">
        <v>160</v>
      </c>
      <c r="AP24" s="586"/>
      <c r="AQ24" s="586"/>
      <c r="AR24" s="586"/>
      <c r="AS24" s="586" t="s">
        <v>163</v>
      </c>
      <c r="AT24" s="586" t="s">
        <v>160</v>
      </c>
      <c r="AU24" s="586"/>
      <c r="AV24" s="586"/>
      <c r="AW24" s="586"/>
      <c r="AX24" s="586" t="s">
        <v>163</v>
      </c>
    </row>
    <row r="25" spans="2:50" ht="14.25" customHeight="1">
      <c r="B25" s="586"/>
      <c r="C25" s="586"/>
      <c r="D25" s="586"/>
      <c r="E25" s="586" t="s">
        <v>343</v>
      </c>
      <c r="F25" s="586"/>
      <c r="G25" s="586"/>
      <c r="H25" s="586"/>
      <c r="I25" s="592" t="s">
        <v>343</v>
      </c>
      <c r="J25" s="592"/>
      <c r="K25" s="592"/>
      <c r="L25" s="592"/>
      <c r="M25" s="592"/>
      <c r="N25" s="586"/>
      <c r="O25" s="586"/>
      <c r="P25" s="586" t="s">
        <v>344</v>
      </c>
      <c r="Q25" s="586"/>
      <c r="R25" s="586"/>
      <c r="S25" s="586"/>
      <c r="T25" s="586"/>
      <c r="U25" s="586" t="s">
        <v>344</v>
      </c>
      <c r="V25" s="586"/>
      <c r="W25" s="586"/>
      <c r="X25" s="586"/>
      <c r="Y25" s="586"/>
      <c r="Z25" s="586" t="s">
        <v>344</v>
      </c>
      <c r="AA25" s="586"/>
      <c r="AB25" s="586"/>
      <c r="AC25" s="586"/>
      <c r="AD25" s="586"/>
      <c r="AE25" s="586" t="s">
        <v>344</v>
      </c>
      <c r="AF25" s="586"/>
      <c r="AG25" s="586"/>
      <c r="AH25" s="586"/>
      <c r="AI25" s="586"/>
      <c r="AJ25" s="586" t="s">
        <v>344</v>
      </c>
      <c r="AK25" s="586"/>
      <c r="AL25" s="586"/>
      <c r="AM25" s="586"/>
      <c r="AN25" s="586"/>
      <c r="AO25" s="586" t="s">
        <v>344</v>
      </c>
      <c r="AP25" s="586"/>
      <c r="AQ25" s="586"/>
      <c r="AR25" s="586"/>
      <c r="AS25" s="586"/>
      <c r="AT25" s="586" t="s">
        <v>344</v>
      </c>
      <c r="AU25" s="586"/>
      <c r="AV25" s="586"/>
      <c r="AW25" s="586"/>
      <c r="AX25" s="586"/>
    </row>
    <row r="26" spans="2:50" ht="14.25" customHeight="1">
      <c r="B26" s="586"/>
      <c r="C26" s="586"/>
      <c r="D26" s="586"/>
      <c r="E26" s="179" t="s">
        <v>159</v>
      </c>
      <c r="F26" s="179" t="s">
        <v>345</v>
      </c>
      <c r="G26" s="179" t="s">
        <v>161</v>
      </c>
      <c r="H26" s="586"/>
      <c r="I26" s="180" t="s">
        <v>159</v>
      </c>
      <c r="J26" s="180" t="s">
        <v>345</v>
      </c>
      <c r="K26" s="180" t="s">
        <v>161</v>
      </c>
      <c r="L26" s="592"/>
      <c r="M26" s="592"/>
      <c r="N26" s="586"/>
      <c r="O26" s="586"/>
      <c r="P26" s="179" t="s">
        <v>159</v>
      </c>
      <c r="Q26" s="179" t="s">
        <v>345</v>
      </c>
      <c r="R26" s="179" t="s">
        <v>161</v>
      </c>
      <c r="S26" s="181" t="s">
        <v>165</v>
      </c>
      <c r="T26" s="586"/>
      <c r="U26" s="179" t="s">
        <v>159</v>
      </c>
      <c r="V26" s="179" t="s">
        <v>345</v>
      </c>
      <c r="W26" s="179" t="s">
        <v>161</v>
      </c>
      <c r="X26" s="181" t="s">
        <v>165</v>
      </c>
      <c r="Y26" s="586"/>
      <c r="Z26" s="179" t="s">
        <v>159</v>
      </c>
      <c r="AA26" s="179" t="s">
        <v>345</v>
      </c>
      <c r="AB26" s="179" t="s">
        <v>161</v>
      </c>
      <c r="AC26" s="181" t="s">
        <v>165</v>
      </c>
      <c r="AD26" s="586"/>
      <c r="AE26" s="179" t="s">
        <v>159</v>
      </c>
      <c r="AF26" s="179" t="s">
        <v>345</v>
      </c>
      <c r="AG26" s="179" t="s">
        <v>161</v>
      </c>
      <c r="AH26" s="181" t="s">
        <v>165</v>
      </c>
      <c r="AI26" s="586"/>
      <c r="AJ26" s="179" t="s">
        <v>159</v>
      </c>
      <c r="AK26" s="179" t="s">
        <v>345</v>
      </c>
      <c r="AL26" s="179" t="s">
        <v>161</v>
      </c>
      <c r="AM26" s="181" t="s">
        <v>165</v>
      </c>
      <c r="AN26" s="586"/>
      <c r="AO26" s="179" t="s">
        <v>159</v>
      </c>
      <c r="AP26" s="179" t="s">
        <v>345</v>
      </c>
      <c r="AQ26" s="179" t="s">
        <v>161</v>
      </c>
      <c r="AR26" s="181" t="s">
        <v>165</v>
      </c>
      <c r="AS26" s="586"/>
      <c r="AT26" s="179" t="s">
        <v>159</v>
      </c>
      <c r="AU26" s="179" t="s">
        <v>345</v>
      </c>
      <c r="AV26" s="179" t="s">
        <v>161</v>
      </c>
      <c r="AW26" s="181" t="s">
        <v>165</v>
      </c>
      <c r="AX26" s="586"/>
    </row>
    <row r="27" spans="2:50" ht="14.25" customHeight="1">
      <c r="B27" s="619" t="s">
        <v>403</v>
      </c>
      <c r="C27" s="179">
        <v>1</v>
      </c>
      <c r="D27" s="182" t="s">
        <v>326</v>
      </c>
      <c r="E27" s="183">
        <v>21</v>
      </c>
      <c r="F27" s="179">
        <v>2790</v>
      </c>
      <c r="G27" s="184">
        <f t="shared" ref="G27" si="2">IFERROR(F27/E27,"")</f>
        <v>132.85714285714286</v>
      </c>
      <c r="H27" s="588">
        <f>AVERAGE(G27:G41)</f>
        <v>132.85714285714286</v>
      </c>
      <c r="I27" s="185">
        <f>AVERAGE(P27,U27,Z27,AE27,AJ27,AO27,AT27)</f>
        <v>22</v>
      </c>
      <c r="J27" s="185">
        <f>AVERAGE(Q27,V27,AA27,AF27,AK27,AP27,AU27)</f>
        <v>2626.6346153846148</v>
      </c>
      <c r="K27" s="186">
        <f>AVERAGE(R27,W27,AB27,AG27,AL27,AQ27,AV27)</f>
        <v>119.39248251748248</v>
      </c>
      <c r="L27" s="589">
        <f>IFERROR(AVERAGE(K27:K41),"-")</f>
        <v>119.39248251748248</v>
      </c>
      <c r="M27" s="185">
        <f>RANK(K27, K$27:$K$41)</f>
        <v>1</v>
      </c>
      <c r="N27" s="586"/>
      <c r="O27" s="586"/>
      <c r="P27" s="187">
        <v>22</v>
      </c>
      <c r="Q27" s="187">
        <v>2626.6346153846152</v>
      </c>
      <c r="R27" s="184">
        <f>IFERROR(Q27/P27,"")</f>
        <v>119.39248251748251</v>
      </c>
      <c r="S27" s="181">
        <f>RANK(R27, R$27:R$41)</f>
        <v>1</v>
      </c>
      <c r="T27" s="588">
        <f>AVERAGE(R27:R41)</f>
        <v>119.39248251748251</v>
      </c>
      <c r="U27" s="187">
        <v>22</v>
      </c>
      <c r="V27" s="187">
        <v>2626.6346153846152</v>
      </c>
      <c r="W27" s="184">
        <f t="shared" ref="W27" si="3">IFERROR(V27/U27,"")</f>
        <v>119.39248251748251</v>
      </c>
      <c r="X27" s="181">
        <f>RANK(W27, W$27:W$41)</f>
        <v>1</v>
      </c>
      <c r="Y27" s="588">
        <f>AVERAGE(W27:W41)</f>
        <v>119.39248251748251</v>
      </c>
      <c r="Z27" s="187">
        <v>22</v>
      </c>
      <c r="AA27" s="187">
        <v>2626.6346153846152</v>
      </c>
      <c r="AB27" s="184">
        <f>IFERROR(AA27/Z27,"")</f>
        <v>119.39248251748251</v>
      </c>
      <c r="AC27" s="181">
        <f>RANK(AB27, AB$27:AB$41)</f>
        <v>1</v>
      </c>
      <c r="AD27" s="588">
        <f>AVERAGE(AB27:AB41)</f>
        <v>119.39248251748251</v>
      </c>
      <c r="AE27" s="187">
        <v>22</v>
      </c>
      <c r="AF27" s="187">
        <v>2626.6346153846152</v>
      </c>
      <c r="AG27" s="184">
        <f>IFERROR(AF27/AE27,"")</f>
        <v>119.39248251748251</v>
      </c>
      <c r="AH27" s="181">
        <f>RANK(AG27, AG$27:AG$41)</f>
        <v>1</v>
      </c>
      <c r="AI27" s="588">
        <f>AVERAGE(AG27:AG41)</f>
        <v>119.39248251748251</v>
      </c>
      <c r="AJ27" s="187">
        <v>22</v>
      </c>
      <c r="AK27" s="187">
        <v>2626.6346153846152</v>
      </c>
      <c r="AL27" s="184">
        <f>IFERROR(AK27/AJ27,"")</f>
        <v>119.39248251748251</v>
      </c>
      <c r="AM27" s="181">
        <f>RANK(AL27, AL$27:AL$41)</f>
        <v>1</v>
      </c>
      <c r="AN27" s="588">
        <f>AVERAGE(AL27:AL41)</f>
        <v>119.39248251748251</v>
      </c>
      <c r="AO27" s="187">
        <v>22</v>
      </c>
      <c r="AP27" s="187">
        <v>2626.6346153846152</v>
      </c>
      <c r="AQ27" s="184">
        <f>IFERROR(AP27/AO27,"")</f>
        <v>119.39248251748251</v>
      </c>
      <c r="AR27" s="181">
        <f>RANK(AQ27, AQ$27:AQ$41)</f>
        <v>1</v>
      </c>
      <c r="AS27" s="588">
        <f>AVERAGE(AQ27:AQ41)</f>
        <v>119.39248251748251</v>
      </c>
      <c r="AT27" s="187">
        <v>22</v>
      </c>
      <c r="AU27" s="187">
        <v>2626.6346153846152</v>
      </c>
      <c r="AV27" s="184">
        <f>IFERROR(AU27/AT27,"")</f>
        <v>119.39248251748251</v>
      </c>
      <c r="AW27" s="181">
        <f>RANK(AV27, AV$27:AV$41)</f>
        <v>1</v>
      </c>
      <c r="AX27" s="588">
        <f>AVERAGE(AV27:AV41)</f>
        <v>119.39248251748251</v>
      </c>
    </row>
    <row r="28" spans="2:50" ht="14.25" customHeight="1">
      <c r="B28" s="586"/>
      <c r="C28" s="179">
        <v>2</v>
      </c>
      <c r="D28" s="182"/>
      <c r="E28" s="179"/>
      <c r="F28" s="179"/>
      <c r="G28" s="184"/>
      <c r="H28" s="588"/>
      <c r="I28" s="185"/>
      <c r="J28" s="185"/>
      <c r="K28" s="186"/>
      <c r="L28" s="589"/>
      <c r="M28" s="185"/>
      <c r="N28" s="586"/>
      <c r="O28" s="586"/>
      <c r="P28" s="187"/>
      <c r="Q28" s="187"/>
      <c r="R28" s="184"/>
      <c r="S28" s="181"/>
      <c r="T28" s="588"/>
      <c r="U28" s="187"/>
      <c r="V28" s="187"/>
      <c r="W28" s="184"/>
      <c r="X28" s="181"/>
      <c r="Y28" s="588"/>
      <c r="Z28" s="187"/>
      <c r="AA28" s="187"/>
      <c r="AB28" s="184"/>
      <c r="AC28" s="181"/>
      <c r="AD28" s="588"/>
      <c r="AE28" s="187"/>
      <c r="AF28" s="187"/>
      <c r="AG28" s="184"/>
      <c r="AH28" s="181"/>
      <c r="AI28" s="588"/>
      <c r="AJ28" s="187"/>
      <c r="AK28" s="187"/>
      <c r="AL28" s="184"/>
      <c r="AM28" s="181"/>
      <c r="AN28" s="588"/>
      <c r="AO28" s="187"/>
      <c r="AP28" s="187"/>
      <c r="AQ28" s="184"/>
      <c r="AR28" s="181"/>
      <c r="AS28" s="588"/>
      <c r="AT28" s="187"/>
      <c r="AU28" s="187"/>
      <c r="AV28" s="184"/>
      <c r="AW28" s="181"/>
      <c r="AX28" s="588"/>
    </row>
    <row r="29" spans="2:50" ht="14.25" customHeight="1">
      <c r="B29" s="586"/>
      <c r="C29" s="179">
        <v>3</v>
      </c>
      <c r="D29" s="182"/>
      <c r="E29" s="179"/>
      <c r="F29" s="179"/>
      <c r="G29" s="184"/>
      <c r="H29" s="588"/>
      <c r="I29" s="185"/>
      <c r="J29" s="185"/>
      <c r="K29" s="186"/>
      <c r="L29" s="589"/>
      <c r="M29" s="185"/>
      <c r="N29" s="586"/>
      <c r="O29" s="586"/>
      <c r="P29" s="187"/>
      <c r="Q29" s="187"/>
      <c r="R29" s="184"/>
      <c r="S29" s="181"/>
      <c r="T29" s="588"/>
      <c r="U29" s="187"/>
      <c r="V29" s="187"/>
      <c r="W29" s="184"/>
      <c r="X29" s="181"/>
      <c r="Y29" s="588"/>
      <c r="Z29" s="187"/>
      <c r="AA29" s="187"/>
      <c r="AB29" s="184"/>
      <c r="AC29" s="181"/>
      <c r="AD29" s="588"/>
      <c r="AE29" s="187"/>
      <c r="AF29" s="187"/>
      <c r="AG29" s="184"/>
      <c r="AH29" s="181"/>
      <c r="AI29" s="588"/>
      <c r="AJ29" s="187"/>
      <c r="AK29" s="187"/>
      <c r="AL29" s="184"/>
      <c r="AM29" s="181"/>
      <c r="AN29" s="588"/>
      <c r="AO29" s="187"/>
      <c r="AP29" s="187"/>
      <c r="AQ29" s="184"/>
      <c r="AR29" s="181"/>
      <c r="AS29" s="588"/>
      <c r="AT29" s="187"/>
      <c r="AU29" s="187"/>
      <c r="AV29" s="184"/>
      <c r="AW29" s="181"/>
      <c r="AX29" s="588"/>
    </row>
    <row r="30" spans="2:50" ht="14.25" customHeight="1">
      <c r="B30" s="586"/>
      <c r="C30" s="179">
        <v>4</v>
      </c>
      <c r="D30" s="182"/>
      <c r="E30" s="179"/>
      <c r="F30" s="179"/>
      <c r="G30" s="184"/>
      <c r="H30" s="588"/>
      <c r="I30" s="185"/>
      <c r="J30" s="185"/>
      <c r="K30" s="186"/>
      <c r="L30" s="589"/>
      <c r="M30" s="185"/>
      <c r="N30" s="586"/>
      <c r="O30" s="586"/>
      <c r="P30" s="187"/>
      <c r="Q30" s="187"/>
      <c r="R30" s="184"/>
      <c r="S30" s="181"/>
      <c r="T30" s="588"/>
      <c r="U30" s="187"/>
      <c r="V30" s="187"/>
      <c r="W30" s="184"/>
      <c r="X30" s="181"/>
      <c r="Y30" s="588"/>
      <c r="Z30" s="187"/>
      <c r="AA30" s="187"/>
      <c r="AB30" s="184"/>
      <c r="AC30" s="181"/>
      <c r="AD30" s="588"/>
      <c r="AE30" s="187"/>
      <c r="AF30" s="187"/>
      <c r="AG30" s="184"/>
      <c r="AH30" s="181"/>
      <c r="AI30" s="588"/>
      <c r="AJ30" s="187"/>
      <c r="AK30" s="187"/>
      <c r="AL30" s="184"/>
      <c r="AM30" s="181"/>
      <c r="AN30" s="588"/>
      <c r="AO30" s="187"/>
      <c r="AP30" s="187"/>
      <c r="AQ30" s="184"/>
      <c r="AR30" s="181"/>
      <c r="AS30" s="588"/>
      <c r="AT30" s="187"/>
      <c r="AU30" s="187"/>
      <c r="AV30" s="184"/>
      <c r="AW30" s="181"/>
      <c r="AX30" s="588"/>
    </row>
    <row r="31" spans="2:50" ht="14.25" customHeight="1">
      <c r="B31" s="586"/>
      <c r="C31" s="179">
        <v>5</v>
      </c>
      <c r="D31" s="182"/>
      <c r="E31" s="179"/>
      <c r="F31" s="179"/>
      <c r="G31" s="184"/>
      <c r="H31" s="588"/>
      <c r="I31" s="185"/>
      <c r="J31" s="185"/>
      <c r="K31" s="186"/>
      <c r="L31" s="589"/>
      <c r="M31" s="185"/>
      <c r="N31" s="586"/>
      <c r="O31" s="586"/>
      <c r="P31" s="187"/>
      <c r="Q31" s="187"/>
      <c r="R31" s="184"/>
      <c r="S31" s="181"/>
      <c r="T31" s="588"/>
      <c r="U31" s="187"/>
      <c r="V31" s="187"/>
      <c r="W31" s="184"/>
      <c r="X31" s="181"/>
      <c r="Y31" s="588"/>
      <c r="Z31" s="187"/>
      <c r="AA31" s="187"/>
      <c r="AB31" s="184"/>
      <c r="AC31" s="181"/>
      <c r="AD31" s="588"/>
      <c r="AE31" s="187"/>
      <c r="AF31" s="187"/>
      <c r="AG31" s="184"/>
      <c r="AH31" s="181"/>
      <c r="AI31" s="588"/>
      <c r="AJ31" s="187"/>
      <c r="AK31" s="187"/>
      <c r="AL31" s="184"/>
      <c r="AM31" s="181"/>
      <c r="AN31" s="588"/>
      <c r="AO31" s="187"/>
      <c r="AP31" s="187"/>
      <c r="AQ31" s="184"/>
      <c r="AR31" s="181"/>
      <c r="AS31" s="588"/>
      <c r="AT31" s="187"/>
      <c r="AU31" s="187"/>
      <c r="AV31" s="184"/>
      <c r="AW31" s="181"/>
      <c r="AX31" s="588"/>
    </row>
    <row r="32" spans="2:50" ht="14.25" customHeight="1">
      <c r="B32" s="586"/>
      <c r="C32" s="179">
        <v>6</v>
      </c>
      <c r="D32" s="182"/>
      <c r="E32" s="179"/>
      <c r="F32" s="179"/>
      <c r="G32" s="184"/>
      <c r="H32" s="588"/>
      <c r="I32" s="185"/>
      <c r="J32" s="185"/>
      <c r="K32" s="186"/>
      <c r="L32" s="589"/>
      <c r="M32" s="185"/>
      <c r="N32" s="586"/>
      <c r="O32" s="586"/>
      <c r="P32" s="187"/>
      <c r="Q32" s="187"/>
      <c r="R32" s="184"/>
      <c r="S32" s="181"/>
      <c r="T32" s="588"/>
      <c r="U32" s="187"/>
      <c r="V32" s="187"/>
      <c r="W32" s="184"/>
      <c r="X32" s="181"/>
      <c r="Y32" s="588"/>
      <c r="Z32" s="187"/>
      <c r="AA32" s="187"/>
      <c r="AB32" s="184"/>
      <c r="AC32" s="181"/>
      <c r="AD32" s="588"/>
      <c r="AE32" s="187"/>
      <c r="AF32" s="187"/>
      <c r="AG32" s="184"/>
      <c r="AH32" s="181"/>
      <c r="AI32" s="588"/>
      <c r="AJ32" s="187"/>
      <c r="AK32" s="187"/>
      <c r="AL32" s="184"/>
      <c r="AM32" s="181"/>
      <c r="AN32" s="588"/>
      <c r="AO32" s="187"/>
      <c r="AP32" s="187"/>
      <c r="AQ32" s="184"/>
      <c r="AR32" s="181"/>
      <c r="AS32" s="588"/>
      <c r="AT32" s="187"/>
      <c r="AU32" s="187"/>
      <c r="AV32" s="184"/>
      <c r="AW32" s="181"/>
      <c r="AX32" s="588"/>
    </row>
    <row r="33" spans="2:50" ht="14.25" customHeight="1">
      <c r="B33" s="586"/>
      <c r="C33" s="179">
        <v>7</v>
      </c>
      <c r="D33" s="182"/>
      <c r="E33" s="179"/>
      <c r="F33" s="179"/>
      <c r="G33" s="184"/>
      <c r="H33" s="588"/>
      <c r="I33" s="185"/>
      <c r="J33" s="185"/>
      <c r="K33" s="186"/>
      <c r="L33" s="589"/>
      <c r="M33" s="185"/>
      <c r="N33" s="586"/>
      <c r="O33" s="586"/>
      <c r="P33" s="187"/>
      <c r="Q33" s="187"/>
      <c r="R33" s="184"/>
      <c r="S33" s="181"/>
      <c r="T33" s="588"/>
      <c r="U33" s="187"/>
      <c r="V33" s="187"/>
      <c r="W33" s="184"/>
      <c r="X33" s="181"/>
      <c r="Y33" s="588"/>
      <c r="Z33" s="187"/>
      <c r="AA33" s="187"/>
      <c r="AB33" s="184"/>
      <c r="AC33" s="181"/>
      <c r="AD33" s="588"/>
      <c r="AE33" s="187"/>
      <c r="AF33" s="187"/>
      <c r="AG33" s="184"/>
      <c r="AH33" s="181"/>
      <c r="AI33" s="588"/>
      <c r="AJ33" s="187"/>
      <c r="AK33" s="187"/>
      <c r="AL33" s="184"/>
      <c r="AM33" s="181"/>
      <c r="AN33" s="588"/>
      <c r="AO33" s="187"/>
      <c r="AP33" s="187"/>
      <c r="AQ33" s="184"/>
      <c r="AR33" s="181"/>
      <c r="AS33" s="588"/>
      <c r="AT33" s="187"/>
      <c r="AU33" s="187"/>
      <c r="AV33" s="184"/>
      <c r="AW33" s="181"/>
      <c r="AX33" s="588"/>
    </row>
    <row r="34" spans="2:50" ht="14.25" customHeight="1">
      <c r="B34" s="586"/>
      <c r="C34" s="179">
        <v>8</v>
      </c>
      <c r="D34" s="182"/>
      <c r="E34" s="179"/>
      <c r="F34" s="179"/>
      <c r="G34" s="184"/>
      <c r="H34" s="588"/>
      <c r="I34" s="185"/>
      <c r="J34" s="185"/>
      <c r="K34" s="186"/>
      <c r="L34" s="589"/>
      <c r="M34" s="185"/>
      <c r="N34" s="586"/>
      <c r="O34" s="586"/>
      <c r="P34" s="187"/>
      <c r="Q34" s="187"/>
      <c r="R34" s="184"/>
      <c r="S34" s="181"/>
      <c r="T34" s="588"/>
      <c r="U34" s="187"/>
      <c r="V34" s="187"/>
      <c r="W34" s="184"/>
      <c r="X34" s="181"/>
      <c r="Y34" s="588"/>
      <c r="Z34" s="187"/>
      <c r="AA34" s="187"/>
      <c r="AB34" s="184"/>
      <c r="AC34" s="181"/>
      <c r="AD34" s="588"/>
      <c r="AE34" s="187"/>
      <c r="AF34" s="187"/>
      <c r="AG34" s="184"/>
      <c r="AH34" s="181"/>
      <c r="AI34" s="588"/>
      <c r="AJ34" s="187"/>
      <c r="AK34" s="187"/>
      <c r="AL34" s="184"/>
      <c r="AM34" s="181"/>
      <c r="AN34" s="588"/>
      <c r="AO34" s="187"/>
      <c r="AP34" s="187"/>
      <c r="AQ34" s="184"/>
      <c r="AR34" s="181"/>
      <c r="AS34" s="588"/>
      <c r="AT34" s="187"/>
      <c r="AU34" s="187"/>
      <c r="AV34" s="184"/>
      <c r="AW34" s="181"/>
      <c r="AX34" s="588"/>
    </row>
    <row r="35" spans="2:50" ht="14.25" customHeight="1">
      <c r="B35" s="586"/>
      <c r="C35" s="179">
        <v>9</v>
      </c>
      <c r="D35" s="182"/>
      <c r="E35" s="179"/>
      <c r="F35" s="179"/>
      <c r="G35" s="184"/>
      <c r="H35" s="588"/>
      <c r="I35" s="185"/>
      <c r="J35" s="185"/>
      <c r="K35" s="186"/>
      <c r="L35" s="589"/>
      <c r="M35" s="185"/>
      <c r="N35" s="586"/>
      <c r="O35" s="586"/>
      <c r="P35" s="187"/>
      <c r="Q35" s="187"/>
      <c r="R35" s="184"/>
      <c r="S35" s="181"/>
      <c r="T35" s="588"/>
      <c r="U35" s="187"/>
      <c r="V35" s="187"/>
      <c r="W35" s="184"/>
      <c r="X35" s="181"/>
      <c r="Y35" s="588"/>
      <c r="Z35" s="187"/>
      <c r="AA35" s="187"/>
      <c r="AB35" s="184"/>
      <c r="AC35" s="181"/>
      <c r="AD35" s="588"/>
      <c r="AE35" s="187"/>
      <c r="AF35" s="187"/>
      <c r="AG35" s="184"/>
      <c r="AH35" s="181"/>
      <c r="AI35" s="588"/>
      <c r="AJ35" s="187"/>
      <c r="AK35" s="187"/>
      <c r="AL35" s="184"/>
      <c r="AM35" s="181"/>
      <c r="AN35" s="588"/>
      <c r="AO35" s="187"/>
      <c r="AP35" s="187"/>
      <c r="AQ35" s="184"/>
      <c r="AR35" s="181"/>
      <c r="AS35" s="588"/>
      <c r="AT35" s="187"/>
      <c r="AU35" s="187"/>
      <c r="AV35" s="184"/>
      <c r="AW35" s="181"/>
      <c r="AX35" s="588"/>
    </row>
    <row r="36" spans="2:50" ht="14.25" customHeight="1">
      <c r="B36" s="586"/>
      <c r="C36" s="179">
        <v>10</v>
      </c>
      <c r="D36" s="182"/>
      <c r="E36" s="179"/>
      <c r="F36" s="179"/>
      <c r="G36" s="184"/>
      <c r="H36" s="588"/>
      <c r="I36" s="185"/>
      <c r="J36" s="185"/>
      <c r="K36" s="186"/>
      <c r="L36" s="589"/>
      <c r="M36" s="185"/>
      <c r="N36" s="586"/>
      <c r="O36" s="586"/>
      <c r="P36" s="187"/>
      <c r="Q36" s="187"/>
      <c r="R36" s="184"/>
      <c r="S36" s="181"/>
      <c r="T36" s="588"/>
      <c r="U36" s="187"/>
      <c r="V36" s="187"/>
      <c r="W36" s="184"/>
      <c r="X36" s="181"/>
      <c r="Y36" s="588"/>
      <c r="Z36" s="187"/>
      <c r="AA36" s="187"/>
      <c r="AB36" s="184"/>
      <c r="AC36" s="181"/>
      <c r="AD36" s="588"/>
      <c r="AE36" s="187"/>
      <c r="AF36" s="187"/>
      <c r="AG36" s="184"/>
      <c r="AH36" s="181"/>
      <c r="AI36" s="588"/>
      <c r="AJ36" s="187"/>
      <c r="AK36" s="187"/>
      <c r="AL36" s="184"/>
      <c r="AM36" s="181"/>
      <c r="AN36" s="588"/>
      <c r="AO36" s="187"/>
      <c r="AP36" s="187"/>
      <c r="AQ36" s="184"/>
      <c r="AR36" s="181"/>
      <c r="AS36" s="588"/>
      <c r="AT36" s="187"/>
      <c r="AU36" s="187"/>
      <c r="AV36" s="184"/>
      <c r="AW36" s="181"/>
      <c r="AX36" s="588"/>
    </row>
    <row r="37" spans="2:50" ht="14.25" customHeight="1">
      <c r="B37" s="586"/>
      <c r="C37" s="179">
        <v>11</v>
      </c>
      <c r="D37" s="182"/>
      <c r="E37" s="179"/>
      <c r="F37" s="179"/>
      <c r="G37" s="184"/>
      <c r="H37" s="588"/>
      <c r="I37" s="185"/>
      <c r="J37" s="185"/>
      <c r="K37" s="186"/>
      <c r="L37" s="589"/>
      <c r="M37" s="185"/>
      <c r="N37" s="586"/>
      <c r="O37" s="586"/>
      <c r="P37" s="187"/>
      <c r="Q37" s="187"/>
      <c r="R37" s="184"/>
      <c r="S37" s="181"/>
      <c r="T37" s="588"/>
      <c r="U37" s="187"/>
      <c r="V37" s="187"/>
      <c r="W37" s="184"/>
      <c r="X37" s="181"/>
      <c r="Y37" s="588"/>
      <c r="Z37" s="187"/>
      <c r="AA37" s="187"/>
      <c r="AB37" s="184"/>
      <c r="AC37" s="181"/>
      <c r="AD37" s="588"/>
      <c r="AE37" s="187"/>
      <c r="AF37" s="187"/>
      <c r="AG37" s="184"/>
      <c r="AH37" s="181"/>
      <c r="AI37" s="588"/>
      <c r="AJ37" s="187"/>
      <c r="AK37" s="187"/>
      <c r="AL37" s="184"/>
      <c r="AM37" s="181"/>
      <c r="AN37" s="588"/>
      <c r="AO37" s="187"/>
      <c r="AP37" s="187"/>
      <c r="AQ37" s="184"/>
      <c r="AR37" s="181"/>
      <c r="AS37" s="588"/>
      <c r="AT37" s="187"/>
      <c r="AU37" s="187"/>
      <c r="AV37" s="184"/>
      <c r="AW37" s="181"/>
      <c r="AX37" s="588"/>
    </row>
    <row r="38" spans="2:50" ht="14.25" customHeight="1">
      <c r="B38" s="586"/>
      <c r="C38" s="179">
        <v>12</v>
      </c>
      <c r="D38" s="182"/>
      <c r="E38" s="179"/>
      <c r="F38" s="179"/>
      <c r="G38" s="184"/>
      <c r="H38" s="588"/>
      <c r="I38" s="185"/>
      <c r="J38" s="185"/>
      <c r="K38" s="186"/>
      <c r="L38" s="589"/>
      <c r="M38" s="185"/>
      <c r="N38" s="586"/>
      <c r="O38" s="586"/>
      <c r="P38" s="187"/>
      <c r="Q38" s="187"/>
      <c r="R38" s="184"/>
      <c r="S38" s="181"/>
      <c r="T38" s="588"/>
      <c r="U38" s="187"/>
      <c r="V38" s="187"/>
      <c r="W38" s="184"/>
      <c r="X38" s="181"/>
      <c r="Y38" s="588"/>
      <c r="Z38" s="187"/>
      <c r="AA38" s="187"/>
      <c r="AB38" s="184"/>
      <c r="AC38" s="181"/>
      <c r="AD38" s="588"/>
      <c r="AE38" s="187"/>
      <c r="AF38" s="187"/>
      <c r="AG38" s="184"/>
      <c r="AH38" s="181"/>
      <c r="AI38" s="588"/>
      <c r="AJ38" s="187"/>
      <c r="AK38" s="187"/>
      <c r="AL38" s="184"/>
      <c r="AM38" s="181"/>
      <c r="AN38" s="588"/>
      <c r="AO38" s="187"/>
      <c r="AP38" s="187"/>
      <c r="AQ38" s="184"/>
      <c r="AR38" s="181"/>
      <c r="AS38" s="588"/>
      <c r="AT38" s="187"/>
      <c r="AU38" s="187"/>
      <c r="AV38" s="184"/>
      <c r="AW38" s="181"/>
      <c r="AX38" s="588"/>
    </row>
    <row r="39" spans="2:50" ht="14.25" customHeight="1">
      <c r="B39" s="586"/>
      <c r="C39" s="179">
        <v>13</v>
      </c>
      <c r="D39" s="182"/>
      <c r="E39" s="179"/>
      <c r="F39" s="179"/>
      <c r="G39" s="184"/>
      <c r="H39" s="588"/>
      <c r="I39" s="185"/>
      <c r="J39" s="185"/>
      <c r="K39" s="186"/>
      <c r="L39" s="589"/>
      <c r="M39" s="185"/>
      <c r="N39" s="586"/>
      <c r="O39" s="586"/>
      <c r="P39" s="187"/>
      <c r="Q39" s="187"/>
      <c r="R39" s="184"/>
      <c r="S39" s="181"/>
      <c r="T39" s="588"/>
      <c r="U39" s="187"/>
      <c r="V39" s="187"/>
      <c r="W39" s="184"/>
      <c r="X39" s="181"/>
      <c r="Y39" s="588"/>
      <c r="Z39" s="187"/>
      <c r="AA39" s="187"/>
      <c r="AB39" s="184"/>
      <c r="AC39" s="181"/>
      <c r="AD39" s="588"/>
      <c r="AE39" s="187"/>
      <c r="AF39" s="187"/>
      <c r="AG39" s="184"/>
      <c r="AH39" s="181"/>
      <c r="AI39" s="588"/>
      <c r="AJ39" s="187"/>
      <c r="AK39" s="187"/>
      <c r="AL39" s="184"/>
      <c r="AM39" s="181"/>
      <c r="AN39" s="588"/>
      <c r="AO39" s="187"/>
      <c r="AP39" s="187"/>
      <c r="AQ39" s="184"/>
      <c r="AR39" s="181"/>
      <c r="AS39" s="588"/>
      <c r="AT39" s="187"/>
      <c r="AU39" s="187"/>
      <c r="AV39" s="184"/>
      <c r="AW39" s="181"/>
      <c r="AX39" s="588"/>
    </row>
    <row r="40" spans="2:50" ht="14.25" customHeight="1">
      <c r="B40" s="586"/>
      <c r="C40" s="179">
        <v>14</v>
      </c>
      <c r="D40" s="182"/>
      <c r="E40" s="179"/>
      <c r="F40" s="179"/>
      <c r="G40" s="184"/>
      <c r="H40" s="588"/>
      <c r="I40" s="185"/>
      <c r="J40" s="185"/>
      <c r="K40" s="186"/>
      <c r="L40" s="589"/>
      <c r="M40" s="185"/>
      <c r="N40" s="586"/>
      <c r="O40" s="586"/>
      <c r="P40" s="187"/>
      <c r="Q40" s="187"/>
      <c r="R40" s="184"/>
      <c r="S40" s="181"/>
      <c r="T40" s="588"/>
      <c r="U40" s="187"/>
      <c r="V40" s="187"/>
      <c r="W40" s="184"/>
      <c r="X40" s="181"/>
      <c r="Y40" s="588"/>
      <c r="Z40" s="187"/>
      <c r="AA40" s="187"/>
      <c r="AB40" s="184"/>
      <c r="AC40" s="181"/>
      <c r="AD40" s="588"/>
      <c r="AE40" s="187"/>
      <c r="AF40" s="187"/>
      <c r="AG40" s="184"/>
      <c r="AH40" s="181"/>
      <c r="AI40" s="588"/>
      <c r="AJ40" s="187"/>
      <c r="AK40" s="187"/>
      <c r="AL40" s="184"/>
      <c r="AM40" s="181"/>
      <c r="AN40" s="588"/>
      <c r="AO40" s="187"/>
      <c r="AP40" s="187"/>
      <c r="AQ40" s="184"/>
      <c r="AR40" s="181"/>
      <c r="AS40" s="588"/>
      <c r="AT40" s="187"/>
      <c r="AU40" s="187"/>
      <c r="AV40" s="184"/>
      <c r="AW40" s="181"/>
      <c r="AX40" s="588"/>
    </row>
    <row r="41" spans="2:50" ht="14.25" customHeight="1">
      <c r="B41" s="586"/>
      <c r="C41" s="179">
        <v>15</v>
      </c>
      <c r="D41" s="182"/>
      <c r="E41" s="179"/>
      <c r="F41" s="179"/>
      <c r="G41" s="184"/>
      <c r="H41" s="588"/>
      <c r="I41" s="185"/>
      <c r="J41" s="185"/>
      <c r="K41" s="186"/>
      <c r="L41" s="589"/>
      <c r="M41" s="185"/>
      <c r="N41" s="586"/>
      <c r="O41" s="586"/>
      <c r="P41" s="187"/>
      <c r="Q41" s="187"/>
      <c r="R41" s="184"/>
      <c r="S41" s="181"/>
      <c r="T41" s="588"/>
      <c r="U41" s="187"/>
      <c r="V41" s="187"/>
      <c r="W41" s="184"/>
      <c r="X41" s="181"/>
      <c r="Y41" s="588"/>
      <c r="Z41" s="187"/>
      <c r="AA41" s="187"/>
      <c r="AB41" s="184"/>
      <c r="AC41" s="181"/>
      <c r="AD41" s="588"/>
      <c r="AE41" s="187"/>
      <c r="AF41" s="187"/>
      <c r="AG41" s="184"/>
      <c r="AH41" s="181"/>
      <c r="AI41" s="588"/>
      <c r="AJ41" s="187"/>
      <c r="AK41" s="187"/>
      <c r="AL41" s="184"/>
      <c r="AM41" s="181"/>
      <c r="AN41" s="588"/>
      <c r="AO41" s="187"/>
      <c r="AP41" s="187"/>
      <c r="AQ41" s="184"/>
      <c r="AR41" s="181"/>
      <c r="AS41" s="588"/>
      <c r="AT41" s="187"/>
      <c r="AU41" s="187"/>
      <c r="AV41" s="184"/>
      <c r="AW41" s="181"/>
      <c r="AX41" s="588"/>
    </row>
    <row r="42" spans="2:50" ht="14.25" customHeight="1">
      <c r="B42" s="612" t="s">
        <v>712</v>
      </c>
      <c r="C42" s="613"/>
      <c r="D42" s="613"/>
      <c r="E42" s="613"/>
      <c r="F42" s="613"/>
      <c r="G42" s="613"/>
      <c r="H42" s="613"/>
      <c r="I42" s="613"/>
      <c r="J42" s="613"/>
      <c r="K42" s="613"/>
      <c r="L42" s="613"/>
      <c r="M42" s="614"/>
      <c r="N42" s="617" t="s">
        <v>341</v>
      </c>
      <c r="O42" s="617" t="s">
        <v>105</v>
      </c>
      <c r="P42" s="600">
        <v>46245</v>
      </c>
      <c r="Q42" s="601"/>
      <c r="R42" s="601"/>
      <c r="S42" s="601"/>
      <c r="T42" s="601"/>
      <c r="U42" s="602">
        <v>46246</v>
      </c>
      <c r="V42" s="603"/>
      <c r="W42" s="603"/>
      <c r="X42" s="603"/>
      <c r="Y42" s="603"/>
      <c r="Z42" s="600">
        <v>46247</v>
      </c>
      <c r="AA42" s="601"/>
      <c r="AB42" s="601"/>
      <c r="AC42" s="601"/>
      <c r="AD42" s="601"/>
      <c r="AE42" s="602">
        <v>46248</v>
      </c>
      <c r="AF42" s="603"/>
      <c r="AG42" s="603"/>
      <c r="AH42" s="603"/>
      <c r="AI42" s="603"/>
      <c r="AJ42" s="609">
        <v>46249</v>
      </c>
      <c r="AK42" s="610"/>
      <c r="AL42" s="610"/>
      <c r="AM42" s="610"/>
      <c r="AN42" s="611"/>
      <c r="AO42" s="602">
        <v>46250</v>
      </c>
      <c r="AP42" s="603"/>
      <c r="AQ42" s="603"/>
      <c r="AR42" s="603"/>
      <c r="AS42" s="603"/>
      <c r="AT42" s="609">
        <v>46251</v>
      </c>
      <c r="AU42" s="610"/>
      <c r="AV42" s="610"/>
      <c r="AW42" s="610"/>
      <c r="AX42" s="611"/>
    </row>
    <row r="43" spans="2:50" ht="14.25" customHeight="1">
      <c r="B43" s="615"/>
      <c r="C43" s="615"/>
      <c r="D43" s="615"/>
      <c r="E43" s="615"/>
      <c r="F43" s="615"/>
      <c r="G43" s="615"/>
      <c r="H43" s="615"/>
      <c r="I43" s="615"/>
      <c r="J43" s="615"/>
      <c r="K43" s="615"/>
      <c r="L43" s="615"/>
      <c r="M43" s="616"/>
      <c r="N43" s="618"/>
      <c r="O43" s="618"/>
      <c r="P43" s="604">
        <v>46196</v>
      </c>
      <c r="Q43" s="604"/>
      <c r="R43" s="604"/>
      <c r="S43" s="604"/>
      <c r="T43" s="604"/>
      <c r="U43" s="605">
        <v>46197</v>
      </c>
      <c r="V43" s="605"/>
      <c r="W43" s="605"/>
      <c r="X43" s="605"/>
      <c r="Y43" s="605"/>
      <c r="Z43" s="604">
        <v>46198</v>
      </c>
      <c r="AA43" s="604"/>
      <c r="AB43" s="604"/>
      <c r="AC43" s="604"/>
      <c r="AD43" s="604"/>
      <c r="AE43" s="605">
        <v>46199</v>
      </c>
      <c r="AF43" s="605"/>
      <c r="AG43" s="605"/>
      <c r="AH43" s="605"/>
      <c r="AI43" s="605"/>
      <c r="AJ43" s="606">
        <v>46200</v>
      </c>
      <c r="AK43" s="607"/>
      <c r="AL43" s="607"/>
      <c r="AM43" s="607"/>
      <c r="AN43" s="608"/>
      <c r="AO43" s="605">
        <v>46201</v>
      </c>
      <c r="AP43" s="605"/>
      <c r="AQ43" s="605"/>
      <c r="AR43" s="605"/>
      <c r="AS43" s="605"/>
      <c r="AT43" s="606">
        <v>46202</v>
      </c>
      <c r="AU43" s="607"/>
      <c r="AV43" s="607"/>
      <c r="AW43" s="607"/>
      <c r="AX43" s="608"/>
    </row>
    <row r="44" spans="2:50" ht="14.25" customHeight="1">
      <c r="B44" s="586" t="s">
        <v>162</v>
      </c>
      <c r="C44" s="586" t="s">
        <v>157</v>
      </c>
      <c r="D44" s="586"/>
      <c r="E44" s="586" t="s">
        <v>158</v>
      </c>
      <c r="F44" s="586"/>
      <c r="G44" s="586"/>
      <c r="H44" s="586" t="s">
        <v>163</v>
      </c>
      <c r="I44" s="592" t="s">
        <v>342</v>
      </c>
      <c r="J44" s="592"/>
      <c r="K44" s="592"/>
      <c r="L44" s="592" t="s">
        <v>163</v>
      </c>
      <c r="M44" s="592" t="s">
        <v>165</v>
      </c>
      <c r="N44" s="586"/>
      <c r="O44" s="586" t="s">
        <v>164</v>
      </c>
      <c r="P44" s="586" t="s">
        <v>160</v>
      </c>
      <c r="Q44" s="586"/>
      <c r="R44" s="586"/>
      <c r="S44" s="586"/>
      <c r="T44" s="586" t="s">
        <v>163</v>
      </c>
      <c r="U44" s="586" t="s">
        <v>160</v>
      </c>
      <c r="V44" s="586"/>
      <c r="W44" s="586"/>
      <c r="X44" s="586"/>
      <c r="Y44" s="586" t="s">
        <v>163</v>
      </c>
      <c r="Z44" s="586" t="s">
        <v>160</v>
      </c>
      <c r="AA44" s="586"/>
      <c r="AB44" s="586"/>
      <c r="AC44" s="586"/>
      <c r="AD44" s="586" t="s">
        <v>163</v>
      </c>
      <c r="AE44" s="586" t="s">
        <v>160</v>
      </c>
      <c r="AF44" s="586"/>
      <c r="AG44" s="586"/>
      <c r="AH44" s="586"/>
      <c r="AI44" s="586" t="s">
        <v>163</v>
      </c>
      <c r="AJ44" s="586" t="s">
        <v>160</v>
      </c>
      <c r="AK44" s="586"/>
      <c r="AL44" s="586"/>
      <c r="AM44" s="586"/>
      <c r="AN44" s="586" t="s">
        <v>163</v>
      </c>
      <c r="AO44" s="586" t="s">
        <v>160</v>
      </c>
      <c r="AP44" s="586"/>
      <c r="AQ44" s="586"/>
      <c r="AR44" s="586"/>
      <c r="AS44" s="586" t="s">
        <v>163</v>
      </c>
      <c r="AT44" s="586" t="s">
        <v>160</v>
      </c>
      <c r="AU44" s="586"/>
      <c r="AV44" s="586"/>
      <c r="AW44" s="586"/>
      <c r="AX44" s="586" t="s">
        <v>163</v>
      </c>
    </row>
    <row r="45" spans="2:50" ht="14.25" customHeight="1">
      <c r="B45" s="586"/>
      <c r="C45" s="586"/>
      <c r="D45" s="586"/>
      <c r="E45" s="586" t="s">
        <v>343</v>
      </c>
      <c r="F45" s="586"/>
      <c r="G45" s="586"/>
      <c r="H45" s="586"/>
      <c r="I45" s="592" t="s">
        <v>343</v>
      </c>
      <c r="J45" s="592"/>
      <c r="K45" s="592"/>
      <c r="L45" s="592"/>
      <c r="M45" s="592"/>
      <c r="N45" s="586"/>
      <c r="O45" s="586"/>
      <c r="P45" s="586" t="s">
        <v>344</v>
      </c>
      <c r="Q45" s="586"/>
      <c r="R45" s="586"/>
      <c r="S45" s="586"/>
      <c r="T45" s="586"/>
      <c r="U45" s="586" t="s">
        <v>344</v>
      </c>
      <c r="V45" s="586"/>
      <c r="W45" s="586"/>
      <c r="X45" s="586"/>
      <c r="Y45" s="586"/>
      <c r="Z45" s="586" t="s">
        <v>344</v>
      </c>
      <c r="AA45" s="586"/>
      <c r="AB45" s="586"/>
      <c r="AC45" s="586"/>
      <c r="AD45" s="586"/>
      <c r="AE45" s="586" t="s">
        <v>344</v>
      </c>
      <c r="AF45" s="586"/>
      <c r="AG45" s="586"/>
      <c r="AH45" s="586"/>
      <c r="AI45" s="586"/>
      <c r="AJ45" s="586" t="s">
        <v>344</v>
      </c>
      <c r="AK45" s="586"/>
      <c r="AL45" s="586"/>
      <c r="AM45" s="586"/>
      <c r="AN45" s="586"/>
      <c r="AO45" s="586" t="s">
        <v>344</v>
      </c>
      <c r="AP45" s="586"/>
      <c r="AQ45" s="586"/>
      <c r="AR45" s="586"/>
      <c r="AS45" s="586"/>
      <c r="AT45" s="586" t="s">
        <v>344</v>
      </c>
      <c r="AU45" s="586"/>
      <c r="AV45" s="586"/>
      <c r="AW45" s="586"/>
      <c r="AX45" s="586"/>
    </row>
    <row r="46" spans="2:50" ht="14.25" customHeight="1">
      <c r="B46" s="586"/>
      <c r="C46" s="586"/>
      <c r="D46" s="586"/>
      <c r="E46" s="179" t="s">
        <v>159</v>
      </c>
      <c r="F46" s="179" t="s">
        <v>345</v>
      </c>
      <c r="G46" s="179" t="s">
        <v>161</v>
      </c>
      <c r="H46" s="586"/>
      <c r="I46" s="180" t="s">
        <v>159</v>
      </c>
      <c r="J46" s="180" t="s">
        <v>345</v>
      </c>
      <c r="K46" s="180" t="s">
        <v>161</v>
      </c>
      <c r="L46" s="592"/>
      <c r="M46" s="592"/>
      <c r="N46" s="586"/>
      <c r="O46" s="586"/>
      <c r="P46" s="179" t="s">
        <v>159</v>
      </c>
      <c r="Q46" s="179" t="s">
        <v>345</v>
      </c>
      <c r="R46" s="179" t="s">
        <v>161</v>
      </c>
      <c r="S46" s="181" t="s">
        <v>165</v>
      </c>
      <c r="T46" s="586"/>
      <c r="U46" s="179" t="s">
        <v>159</v>
      </c>
      <c r="V46" s="179" t="s">
        <v>345</v>
      </c>
      <c r="W46" s="179" t="s">
        <v>161</v>
      </c>
      <c r="X46" s="181" t="s">
        <v>165</v>
      </c>
      <c r="Y46" s="586"/>
      <c r="Z46" s="179" t="s">
        <v>159</v>
      </c>
      <c r="AA46" s="179" t="s">
        <v>345</v>
      </c>
      <c r="AB46" s="179" t="s">
        <v>161</v>
      </c>
      <c r="AC46" s="181" t="s">
        <v>165</v>
      </c>
      <c r="AD46" s="586"/>
      <c r="AE46" s="179" t="s">
        <v>159</v>
      </c>
      <c r="AF46" s="179" t="s">
        <v>345</v>
      </c>
      <c r="AG46" s="179" t="s">
        <v>161</v>
      </c>
      <c r="AH46" s="181" t="s">
        <v>165</v>
      </c>
      <c r="AI46" s="586"/>
      <c r="AJ46" s="179" t="s">
        <v>159</v>
      </c>
      <c r="AK46" s="179" t="s">
        <v>345</v>
      </c>
      <c r="AL46" s="179" t="s">
        <v>161</v>
      </c>
      <c r="AM46" s="181" t="s">
        <v>165</v>
      </c>
      <c r="AN46" s="586"/>
      <c r="AO46" s="179" t="s">
        <v>159</v>
      </c>
      <c r="AP46" s="179" t="s">
        <v>345</v>
      </c>
      <c r="AQ46" s="179" t="s">
        <v>161</v>
      </c>
      <c r="AR46" s="181" t="s">
        <v>165</v>
      </c>
      <c r="AS46" s="586"/>
      <c r="AT46" s="179" t="s">
        <v>159</v>
      </c>
      <c r="AU46" s="179" t="s">
        <v>345</v>
      </c>
      <c r="AV46" s="179" t="s">
        <v>161</v>
      </c>
      <c r="AW46" s="181" t="s">
        <v>165</v>
      </c>
      <c r="AX46" s="586"/>
    </row>
    <row r="47" spans="2:50" ht="14.25" customHeight="1">
      <c r="B47" s="619" t="s">
        <v>403</v>
      </c>
      <c r="C47" s="179">
        <v>1</v>
      </c>
      <c r="D47" s="182" t="s">
        <v>326</v>
      </c>
      <c r="E47" s="183">
        <v>21</v>
      </c>
      <c r="F47" s="179">
        <v>2790</v>
      </c>
      <c r="G47" s="184">
        <f t="shared" ref="G47" si="4">IFERROR(F47/E47,"")</f>
        <v>132.85714285714286</v>
      </c>
      <c r="H47" s="588">
        <f>AVERAGE(G47:G61)</f>
        <v>132.85714285714286</v>
      </c>
      <c r="I47" s="185">
        <f>AVERAGE(P47,U47,Z47,AE47,AJ47,AO47,AT47)</f>
        <v>22</v>
      </c>
      <c r="J47" s="185">
        <f>AVERAGE(Q47,V47,AA47,AF47,AK47,AP47,AU47)</f>
        <v>2626.6346153846148</v>
      </c>
      <c r="K47" s="186">
        <f>AVERAGE(R47,W47,AB47,AG47,AL47,AQ47,AV47)</f>
        <v>119.39248251748248</v>
      </c>
      <c r="L47" s="589">
        <f>IFERROR(AVERAGE(K47:K61),"-")</f>
        <v>119.39248251748248</v>
      </c>
      <c r="M47" s="185">
        <f>RANK(K47, K$47:$K$61)</f>
        <v>1</v>
      </c>
      <c r="N47" s="586"/>
      <c r="O47" s="586"/>
      <c r="P47" s="187">
        <v>22</v>
      </c>
      <c r="Q47" s="187">
        <v>2626.6346153846152</v>
      </c>
      <c r="R47" s="184">
        <f>IFERROR(Q47/P47,"")</f>
        <v>119.39248251748251</v>
      </c>
      <c r="S47" s="181">
        <f>RANK(R47, R$47:R$61)</f>
        <v>1</v>
      </c>
      <c r="T47" s="588">
        <f>AVERAGE(R47:R61)</f>
        <v>119.39248251748251</v>
      </c>
      <c r="U47" s="187">
        <v>22</v>
      </c>
      <c r="V47" s="187">
        <v>2626.6346153846152</v>
      </c>
      <c r="W47" s="184">
        <f t="shared" ref="W47" si="5">IFERROR(V47/U47,"")</f>
        <v>119.39248251748251</v>
      </c>
      <c r="X47" s="181">
        <f>RANK(W47, W$47:W$61)</f>
        <v>1</v>
      </c>
      <c r="Y47" s="588">
        <f>AVERAGE(W47:W61)</f>
        <v>119.39248251748251</v>
      </c>
      <c r="Z47" s="187">
        <v>22</v>
      </c>
      <c r="AA47" s="187">
        <v>2626.6346153846152</v>
      </c>
      <c r="AB47" s="184">
        <f>IFERROR(AA47/Z47,"")</f>
        <v>119.39248251748251</v>
      </c>
      <c r="AC47" s="181">
        <f>RANK(AB47, AB$47:AB$61)</f>
        <v>1</v>
      </c>
      <c r="AD47" s="588">
        <f>AVERAGE(AB47:AB61)</f>
        <v>119.39248251748251</v>
      </c>
      <c r="AE47" s="187">
        <v>22</v>
      </c>
      <c r="AF47" s="187">
        <v>2626.6346153846152</v>
      </c>
      <c r="AG47" s="184">
        <f>IFERROR(AF47/AE47,"")</f>
        <v>119.39248251748251</v>
      </c>
      <c r="AH47" s="181">
        <f>RANK(AG47, AG$47:AG$61)</f>
        <v>1</v>
      </c>
      <c r="AI47" s="588">
        <f>AVERAGE(AG47:AG61)</f>
        <v>119.39248251748251</v>
      </c>
      <c r="AJ47" s="187">
        <v>22</v>
      </c>
      <c r="AK47" s="187">
        <v>2626.6346153846152</v>
      </c>
      <c r="AL47" s="184">
        <f>IFERROR(AK47/AJ47,"")</f>
        <v>119.39248251748251</v>
      </c>
      <c r="AM47" s="181">
        <f>RANK(AL47, AL$47:AL$61)</f>
        <v>1</v>
      </c>
      <c r="AN47" s="588">
        <f>AVERAGE(AL47:AL61)</f>
        <v>119.39248251748251</v>
      </c>
      <c r="AO47" s="187">
        <v>22</v>
      </c>
      <c r="AP47" s="187">
        <v>2626.6346153846152</v>
      </c>
      <c r="AQ47" s="184">
        <f>IFERROR(AP47/AO47,"")</f>
        <v>119.39248251748251</v>
      </c>
      <c r="AR47" s="181">
        <f>RANK(AQ47, AQ$47:AQ$61)</f>
        <v>1</v>
      </c>
      <c r="AS47" s="588">
        <f>AVERAGE(AQ47:AQ61)</f>
        <v>119.39248251748251</v>
      </c>
      <c r="AT47" s="187">
        <v>22</v>
      </c>
      <c r="AU47" s="187">
        <v>2626.6346153846152</v>
      </c>
      <c r="AV47" s="184">
        <f>IFERROR(AU47/AT47,"")</f>
        <v>119.39248251748251</v>
      </c>
      <c r="AW47" s="181">
        <f>RANK(AV47, AV$47:AV$61)</f>
        <v>1</v>
      </c>
      <c r="AX47" s="588">
        <f>AVERAGE(AV47:AV61)</f>
        <v>119.39248251748251</v>
      </c>
    </row>
    <row r="48" spans="2:50" ht="14.25" customHeight="1">
      <c r="B48" s="586"/>
      <c r="C48" s="179">
        <v>2</v>
      </c>
      <c r="D48" s="182"/>
      <c r="E48" s="179"/>
      <c r="F48" s="179"/>
      <c r="G48" s="184"/>
      <c r="H48" s="588"/>
      <c r="I48" s="185"/>
      <c r="J48" s="185"/>
      <c r="K48" s="186"/>
      <c r="L48" s="589"/>
      <c r="M48" s="185"/>
      <c r="N48" s="586"/>
      <c r="O48" s="586"/>
      <c r="P48" s="187"/>
      <c r="Q48" s="187"/>
      <c r="R48" s="184"/>
      <c r="S48" s="181"/>
      <c r="T48" s="588"/>
      <c r="U48" s="187"/>
      <c r="V48" s="187"/>
      <c r="W48" s="184"/>
      <c r="X48" s="181"/>
      <c r="Y48" s="588"/>
      <c r="Z48" s="187"/>
      <c r="AA48" s="187"/>
      <c r="AB48" s="184"/>
      <c r="AC48" s="181"/>
      <c r="AD48" s="588"/>
      <c r="AE48" s="187"/>
      <c r="AF48" s="187"/>
      <c r="AG48" s="184"/>
      <c r="AH48" s="181"/>
      <c r="AI48" s="588"/>
      <c r="AJ48" s="187"/>
      <c r="AK48" s="187"/>
      <c r="AL48" s="184"/>
      <c r="AM48" s="181"/>
      <c r="AN48" s="588"/>
      <c r="AO48" s="187"/>
      <c r="AP48" s="187"/>
      <c r="AQ48" s="184"/>
      <c r="AR48" s="181"/>
      <c r="AS48" s="588"/>
      <c r="AT48" s="187"/>
      <c r="AU48" s="187"/>
      <c r="AV48" s="184"/>
      <c r="AW48" s="181"/>
      <c r="AX48" s="588"/>
    </row>
    <row r="49" spans="2:50" ht="14.25" customHeight="1">
      <c r="B49" s="586"/>
      <c r="C49" s="179">
        <v>3</v>
      </c>
      <c r="D49" s="182"/>
      <c r="E49" s="179"/>
      <c r="F49" s="179"/>
      <c r="G49" s="184"/>
      <c r="H49" s="588"/>
      <c r="I49" s="185"/>
      <c r="J49" s="185"/>
      <c r="K49" s="186"/>
      <c r="L49" s="589"/>
      <c r="M49" s="185"/>
      <c r="N49" s="586"/>
      <c r="O49" s="586"/>
      <c r="P49" s="187"/>
      <c r="Q49" s="187"/>
      <c r="R49" s="184"/>
      <c r="S49" s="181"/>
      <c r="T49" s="588"/>
      <c r="U49" s="187"/>
      <c r="V49" s="187"/>
      <c r="W49" s="184"/>
      <c r="X49" s="181"/>
      <c r="Y49" s="588"/>
      <c r="Z49" s="187"/>
      <c r="AA49" s="187"/>
      <c r="AB49" s="184"/>
      <c r="AC49" s="181"/>
      <c r="AD49" s="588"/>
      <c r="AE49" s="187"/>
      <c r="AF49" s="187"/>
      <c r="AG49" s="184"/>
      <c r="AH49" s="181"/>
      <c r="AI49" s="588"/>
      <c r="AJ49" s="187"/>
      <c r="AK49" s="187"/>
      <c r="AL49" s="184"/>
      <c r="AM49" s="181"/>
      <c r="AN49" s="588"/>
      <c r="AO49" s="187"/>
      <c r="AP49" s="187"/>
      <c r="AQ49" s="184"/>
      <c r="AR49" s="181"/>
      <c r="AS49" s="588"/>
      <c r="AT49" s="187"/>
      <c r="AU49" s="187"/>
      <c r="AV49" s="184"/>
      <c r="AW49" s="181"/>
      <c r="AX49" s="588"/>
    </row>
    <row r="50" spans="2:50" ht="14.25" customHeight="1">
      <c r="B50" s="586"/>
      <c r="C50" s="179">
        <v>4</v>
      </c>
      <c r="D50" s="182"/>
      <c r="E50" s="179"/>
      <c r="F50" s="179"/>
      <c r="G50" s="184"/>
      <c r="H50" s="588"/>
      <c r="I50" s="185"/>
      <c r="J50" s="185"/>
      <c r="K50" s="186"/>
      <c r="L50" s="589"/>
      <c r="M50" s="185"/>
      <c r="N50" s="586"/>
      <c r="O50" s="586"/>
      <c r="P50" s="187"/>
      <c r="Q50" s="187"/>
      <c r="R50" s="184"/>
      <c r="S50" s="181"/>
      <c r="T50" s="588"/>
      <c r="U50" s="187"/>
      <c r="V50" s="187"/>
      <c r="W50" s="184"/>
      <c r="X50" s="181"/>
      <c r="Y50" s="588"/>
      <c r="Z50" s="187"/>
      <c r="AA50" s="187"/>
      <c r="AB50" s="184"/>
      <c r="AC50" s="181"/>
      <c r="AD50" s="588"/>
      <c r="AE50" s="187"/>
      <c r="AF50" s="187"/>
      <c r="AG50" s="184"/>
      <c r="AH50" s="181"/>
      <c r="AI50" s="588"/>
      <c r="AJ50" s="187"/>
      <c r="AK50" s="187"/>
      <c r="AL50" s="184"/>
      <c r="AM50" s="181"/>
      <c r="AN50" s="588"/>
      <c r="AO50" s="187"/>
      <c r="AP50" s="187"/>
      <c r="AQ50" s="184"/>
      <c r="AR50" s="181"/>
      <c r="AS50" s="588"/>
      <c r="AT50" s="187"/>
      <c r="AU50" s="187"/>
      <c r="AV50" s="184"/>
      <c r="AW50" s="181"/>
      <c r="AX50" s="588"/>
    </row>
    <row r="51" spans="2:50" ht="14.25" customHeight="1">
      <c r="B51" s="586"/>
      <c r="C51" s="179">
        <v>5</v>
      </c>
      <c r="D51" s="182"/>
      <c r="E51" s="179"/>
      <c r="F51" s="179"/>
      <c r="G51" s="184"/>
      <c r="H51" s="588"/>
      <c r="I51" s="185"/>
      <c r="J51" s="185"/>
      <c r="K51" s="186"/>
      <c r="L51" s="589"/>
      <c r="M51" s="185"/>
      <c r="N51" s="586"/>
      <c r="O51" s="586"/>
      <c r="P51" s="187"/>
      <c r="Q51" s="187"/>
      <c r="R51" s="184"/>
      <c r="S51" s="181"/>
      <c r="T51" s="588"/>
      <c r="U51" s="187"/>
      <c r="V51" s="187"/>
      <c r="W51" s="184"/>
      <c r="X51" s="181"/>
      <c r="Y51" s="588"/>
      <c r="Z51" s="187"/>
      <c r="AA51" s="187"/>
      <c r="AB51" s="184"/>
      <c r="AC51" s="181"/>
      <c r="AD51" s="588"/>
      <c r="AE51" s="187"/>
      <c r="AF51" s="187"/>
      <c r="AG51" s="184"/>
      <c r="AH51" s="181"/>
      <c r="AI51" s="588"/>
      <c r="AJ51" s="187"/>
      <c r="AK51" s="187"/>
      <c r="AL51" s="184"/>
      <c r="AM51" s="181"/>
      <c r="AN51" s="588"/>
      <c r="AO51" s="187"/>
      <c r="AP51" s="187"/>
      <c r="AQ51" s="184"/>
      <c r="AR51" s="181"/>
      <c r="AS51" s="588"/>
      <c r="AT51" s="187"/>
      <c r="AU51" s="187"/>
      <c r="AV51" s="184"/>
      <c r="AW51" s="181"/>
      <c r="AX51" s="588"/>
    </row>
    <row r="52" spans="2:50" ht="14.25" customHeight="1">
      <c r="B52" s="586"/>
      <c r="C52" s="179">
        <v>6</v>
      </c>
      <c r="D52" s="182"/>
      <c r="E52" s="179"/>
      <c r="F52" s="179"/>
      <c r="G52" s="184"/>
      <c r="H52" s="588"/>
      <c r="I52" s="185"/>
      <c r="J52" s="185"/>
      <c r="K52" s="186"/>
      <c r="L52" s="589"/>
      <c r="M52" s="185"/>
      <c r="N52" s="586"/>
      <c r="O52" s="586"/>
      <c r="P52" s="187"/>
      <c r="Q52" s="187"/>
      <c r="R52" s="184"/>
      <c r="S52" s="181"/>
      <c r="T52" s="588"/>
      <c r="U52" s="187"/>
      <c r="V52" s="187"/>
      <c r="W52" s="184"/>
      <c r="X52" s="181"/>
      <c r="Y52" s="588"/>
      <c r="Z52" s="187"/>
      <c r="AA52" s="187"/>
      <c r="AB52" s="184"/>
      <c r="AC52" s="181"/>
      <c r="AD52" s="588"/>
      <c r="AE52" s="187"/>
      <c r="AF52" s="187"/>
      <c r="AG52" s="184"/>
      <c r="AH52" s="181"/>
      <c r="AI52" s="588"/>
      <c r="AJ52" s="187"/>
      <c r="AK52" s="187"/>
      <c r="AL52" s="184"/>
      <c r="AM52" s="181"/>
      <c r="AN52" s="588"/>
      <c r="AO52" s="187"/>
      <c r="AP52" s="187"/>
      <c r="AQ52" s="184"/>
      <c r="AR52" s="181"/>
      <c r="AS52" s="588"/>
      <c r="AT52" s="187"/>
      <c r="AU52" s="187"/>
      <c r="AV52" s="184"/>
      <c r="AW52" s="181"/>
      <c r="AX52" s="588"/>
    </row>
    <row r="53" spans="2:50" ht="14.25" customHeight="1">
      <c r="B53" s="586"/>
      <c r="C53" s="179">
        <v>7</v>
      </c>
      <c r="D53" s="182"/>
      <c r="E53" s="179"/>
      <c r="F53" s="179"/>
      <c r="G53" s="184"/>
      <c r="H53" s="588"/>
      <c r="I53" s="185"/>
      <c r="J53" s="185"/>
      <c r="K53" s="186"/>
      <c r="L53" s="589"/>
      <c r="M53" s="185"/>
      <c r="N53" s="586"/>
      <c r="O53" s="586"/>
      <c r="P53" s="187"/>
      <c r="Q53" s="187"/>
      <c r="R53" s="184"/>
      <c r="S53" s="181"/>
      <c r="T53" s="588"/>
      <c r="U53" s="187"/>
      <c r="V53" s="187"/>
      <c r="W53" s="184"/>
      <c r="X53" s="181"/>
      <c r="Y53" s="588"/>
      <c r="Z53" s="187"/>
      <c r="AA53" s="187"/>
      <c r="AB53" s="184"/>
      <c r="AC53" s="181"/>
      <c r="AD53" s="588"/>
      <c r="AE53" s="187"/>
      <c r="AF53" s="187"/>
      <c r="AG53" s="184"/>
      <c r="AH53" s="181"/>
      <c r="AI53" s="588"/>
      <c r="AJ53" s="187"/>
      <c r="AK53" s="187"/>
      <c r="AL53" s="184"/>
      <c r="AM53" s="181"/>
      <c r="AN53" s="588"/>
      <c r="AO53" s="187"/>
      <c r="AP53" s="187"/>
      <c r="AQ53" s="184"/>
      <c r="AR53" s="181"/>
      <c r="AS53" s="588"/>
      <c r="AT53" s="187"/>
      <c r="AU53" s="187"/>
      <c r="AV53" s="184"/>
      <c r="AW53" s="181"/>
      <c r="AX53" s="588"/>
    </row>
    <row r="54" spans="2:50" ht="14.25" customHeight="1">
      <c r="B54" s="586"/>
      <c r="C54" s="179">
        <v>8</v>
      </c>
      <c r="D54" s="182"/>
      <c r="E54" s="179"/>
      <c r="F54" s="179"/>
      <c r="G54" s="184"/>
      <c r="H54" s="588"/>
      <c r="I54" s="185"/>
      <c r="J54" s="185"/>
      <c r="K54" s="186"/>
      <c r="L54" s="589"/>
      <c r="M54" s="185"/>
      <c r="N54" s="586"/>
      <c r="O54" s="586"/>
      <c r="P54" s="187"/>
      <c r="Q54" s="187"/>
      <c r="R54" s="184"/>
      <c r="S54" s="181"/>
      <c r="T54" s="588"/>
      <c r="U54" s="187"/>
      <c r="V54" s="187"/>
      <c r="W54" s="184"/>
      <c r="X54" s="181"/>
      <c r="Y54" s="588"/>
      <c r="Z54" s="187"/>
      <c r="AA54" s="187"/>
      <c r="AB54" s="184"/>
      <c r="AC54" s="181"/>
      <c r="AD54" s="588"/>
      <c r="AE54" s="187"/>
      <c r="AF54" s="187"/>
      <c r="AG54" s="184"/>
      <c r="AH54" s="181"/>
      <c r="AI54" s="588"/>
      <c r="AJ54" s="187"/>
      <c r="AK54" s="187"/>
      <c r="AL54" s="184"/>
      <c r="AM54" s="181"/>
      <c r="AN54" s="588"/>
      <c r="AO54" s="187"/>
      <c r="AP54" s="187"/>
      <c r="AQ54" s="184"/>
      <c r="AR54" s="181"/>
      <c r="AS54" s="588"/>
      <c r="AT54" s="187"/>
      <c r="AU54" s="187"/>
      <c r="AV54" s="184"/>
      <c r="AW54" s="181"/>
      <c r="AX54" s="588"/>
    </row>
    <row r="55" spans="2:50" ht="14.25" customHeight="1">
      <c r="B55" s="586"/>
      <c r="C55" s="179">
        <v>9</v>
      </c>
      <c r="D55" s="182"/>
      <c r="E55" s="179"/>
      <c r="F55" s="179"/>
      <c r="G55" s="184"/>
      <c r="H55" s="588"/>
      <c r="I55" s="185"/>
      <c r="J55" s="185"/>
      <c r="K55" s="186"/>
      <c r="L55" s="589"/>
      <c r="M55" s="185"/>
      <c r="N55" s="586"/>
      <c r="O55" s="586"/>
      <c r="P55" s="187"/>
      <c r="Q55" s="187"/>
      <c r="R55" s="184"/>
      <c r="S55" s="181"/>
      <c r="T55" s="588"/>
      <c r="U55" s="187"/>
      <c r="V55" s="187"/>
      <c r="W55" s="184"/>
      <c r="X55" s="181"/>
      <c r="Y55" s="588"/>
      <c r="Z55" s="187"/>
      <c r="AA55" s="187"/>
      <c r="AB55" s="184"/>
      <c r="AC55" s="181"/>
      <c r="AD55" s="588"/>
      <c r="AE55" s="187"/>
      <c r="AF55" s="187"/>
      <c r="AG55" s="184"/>
      <c r="AH55" s="181"/>
      <c r="AI55" s="588"/>
      <c r="AJ55" s="187"/>
      <c r="AK55" s="187"/>
      <c r="AL55" s="184"/>
      <c r="AM55" s="181"/>
      <c r="AN55" s="588"/>
      <c r="AO55" s="187"/>
      <c r="AP55" s="187"/>
      <c r="AQ55" s="184"/>
      <c r="AR55" s="181"/>
      <c r="AS55" s="588"/>
      <c r="AT55" s="187"/>
      <c r="AU55" s="187"/>
      <c r="AV55" s="184"/>
      <c r="AW55" s="181"/>
      <c r="AX55" s="588"/>
    </row>
    <row r="56" spans="2:50" ht="14.25" customHeight="1">
      <c r="B56" s="586"/>
      <c r="C56" s="179">
        <v>10</v>
      </c>
      <c r="D56" s="182"/>
      <c r="E56" s="179"/>
      <c r="F56" s="179"/>
      <c r="G56" s="184"/>
      <c r="H56" s="588"/>
      <c r="I56" s="185"/>
      <c r="J56" s="185"/>
      <c r="K56" s="186"/>
      <c r="L56" s="589"/>
      <c r="M56" s="185"/>
      <c r="N56" s="586"/>
      <c r="O56" s="586"/>
      <c r="P56" s="187"/>
      <c r="Q56" s="187"/>
      <c r="R56" s="184"/>
      <c r="S56" s="181"/>
      <c r="T56" s="588"/>
      <c r="U56" s="187"/>
      <c r="V56" s="187"/>
      <c r="W56" s="184"/>
      <c r="X56" s="181"/>
      <c r="Y56" s="588"/>
      <c r="Z56" s="187"/>
      <c r="AA56" s="187"/>
      <c r="AB56" s="184"/>
      <c r="AC56" s="181"/>
      <c r="AD56" s="588"/>
      <c r="AE56" s="187"/>
      <c r="AF56" s="187"/>
      <c r="AG56" s="184"/>
      <c r="AH56" s="181"/>
      <c r="AI56" s="588"/>
      <c r="AJ56" s="187"/>
      <c r="AK56" s="187"/>
      <c r="AL56" s="184"/>
      <c r="AM56" s="181"/>
      <c r="AN56" s="588"/>
      <c r="AO56" s="187"/>
      <c r="AP56" s="187"/>
      <c r="AQ56" s="184"/>
      <c r="AR56" s="181"/>
      <c r="AS56" s="588"/>
      <c r="AT56" s="187"/>
      <c r="AU56" s="187"/>
      <c r="AV56" s="184"/>
      <c r="AW56" s="181"/>
      <c r="AX56" s="588"/>
    </row>
    <row r="57" spans="2:50" ht="14.25" customHeight="1">
      <c r="B57" s="586"/>
      <c r="C57" s="179">
        <v>11</v>
      </c>
      <c r="D57" s="182"/>
      <c r="E57" s="179"/>
      <c r="F57" s="179"/>
      <c r="G57" s="184"/>
      <c r="H57" s="588"/>
      <c r="I57" s="185"/>
      <c r="J57" s="185"/>
      <c r="K57" s="186"/>
      <c r="L57" s="589"/>
      <c r="M57" s="185"/>
      <c r="N57" s="586"/>
      <c r="O57" s="586"/>
      <c r="P57" s="187"/>
      <c r="Q57" s="187"/>
      <c r="R57" s="184"/>
      <c r="S57" s="181"/>
      <c r="T57" s="588"/>
      <c r="U57" s="187"/>
      <c r="V57" s="187"/>
      <c r="W57" s="184"/>
      <c r="X57" s="181"/>
      <c r="Y57" s="588"/>
      <c r="Z57" s="187"/>
      <c r="AA57" s="187"/>
      <c r="AB57" s="184"/>
      <c r="AC57" s="181"/>
      <c r="AD57" s="588"/>
      <c r="AE57" s="187"/>
      <c r="AF57" s="187"/>
      <c r="AG57" s="184"/>
      <c r="AH57" s="181"/>
      <c r="AI57" s="588"/>
      <c r="AJ57" s="187"/>
      <c r="AK57" s="187"/>
      <c r="AL57" s="184"/>
      <c r="AM57" s="181"/>
      <c r="AN57" s="588"/>
      <c r="AO57" s="187"/>
      <c r="AP57" s="187"/>
      <c r="AQ57" s="184"/>
      <c r="AR57" s="181"/>
      <c r="AS57" s="588"/>
      <c r="AT57" s="187"/>
      <c r="AU57" s="187"/>
      <c r="AV57" s="184"/>
      <c r="AW57" s="181"/>
      <c r="AX57" s="588"/>
    </row>
    <row r="58" spans="2:50" ht="14.25" customHeight="1">
      <c r="B58" s="586"/>
      <c r="C58" s="179">
        <v>12</v>
      </c>
      <c r="D58" s="182"/>
      <c r="E58" s="179"/>
      <c r="F58" s="179"/>
      <c r="G58" s="184"/>
      <c r="H58" s="588"/>
      <c r="I58" s="185"/>
      <c r="J58" s="185"/>
      <c r="K58" s="186"/>
      <c r="L58" s="589"/>
      <c r="M58" s="185"/>
      <c r="N58" s="586"/>
      <c r="O58" s="586"/>
      <c r="P58" s="187"/>
      <c r="Q58" s="187"/>
      <c r="R58" s="184"/>
      <c r="S58" s="181"/>
      <c r="T58" s="588"/>
      <c r="U58" s="187"/>
      <c r="V58" s="187"/>
      <c r="W58" s="184"/>
      <c r="X58" s="181"/>
      <c r="Y58" s="588"/>
      <c r="Z58" s="187"/>
      <c r="AA58" s="187"/>
      <c r="AB58" s="184"/>
      <c r="AC58" s="181"/>
      <c r="AD58" s="588"/>
      <c r="AE58" s="187"/>
      <c r="AF58" s="187"/>
      <c r="AG58" s="184"/>
      <c r="AH58" s="181"/>
      <c r="AI58" s="588"/>
      <c r="AJ58" s="187"/>
      <c r="AK58" s="187"/>
      <c r="AL58" s="184"/>
      <c r="AM58" s="181"/>
      <c r="AN58" s="588"/>
      <c r="AO58" s="187"/>
      <c r="AP58" s="187"/>
      <c r="AQ58" s="184"/>
      <c r="AR58" s="181"/>
      <c r="AS58" s="588"/>
      <c r="AT58" s="187"/>
      <c r="AU58" s="187"/>
      <c r="AV58" s="184"/>
      <c r="AW58" s="181"/>
      <c r="AX58" s="588"/>
    </row>
    <row r="59" spans="2:50" ht="14.25" customHeight="1">
      <c r="B59" s="586"/>
      <c r="C59" s="179">
        <v>13</v>
      </c>
      <c r="D59" s="182"/>
      <c r="E59" s="179"/>
      <c r="F59" s="179"/>
      <c r="G59" s="184"/>
      <c r="H59" s="588"/>
      <c r="I59" s="185"/>
      <c r="J59" s="185"/>
      <c r="K59" s="186"/>
      <c r="L59" s="589"/>
      <c r="M59" s="185"/>
      <c r="N59" s="586"/>
      <c r="O59" s="586"/>
      <c r="P59" s="187"/>
      <c r="Q59" s="187"/>
      <c r="R59" s="184"/>
      <c r="S59" s="181"/>
      <c r="T59" s="588"/>
      <c r="U59" s="187"/>
      <c r="V59" s="187"/>
      <c r="W59" s="184"/>
      <c r="X59" s="181"/>
      <c r="Y59" s="588"/>
      <c r="Z59" s="187"/>
      <c r="AA59" s="187"/>
      <c r="AB59" s="184"/>
      <c r="AC59" s="181"/>
      <c r="AD59" s="588"/>
      <c r="AE59" s="187"/>
      <c r="AF59" s="187"/>
      <c r="AG59" s="184"/>
      <c r="AH59" s="181"/>
      <c r="AI59" s="588"/>
      <c r="AJ59" s="187"/>
      <c r="AK59" s="187"/>
      <c r="AL59" s="184"/>
      <c r="AM59" s="181"/>
      <c r="AN59" s="588"/>
      <c r="AO59" s="187"/>
      <c r="AP59" s="187"/>
      <c r="AQ59" s="184"/>
      <c r="AR59" s="181"/>
      <c r="AS59" s="588"/>
      <c r="AT59" s="187"/>
      <c r="AU59" s="187"/>
      <c r="AV59" s="184"/>
      <c r="AW59" s="181"/>
      <c r="AX59" s="588"/>
    </row>
    <row r="60" spans="2:50" ht="14.25" customHeight="1">
      <c r="B60" s="586"/>
      <c r="C60" s="179">
        <v>14</v>
      </c>
      <c r="D60" s="182"/>
      <c r="E60" s="179"/>
      <c r="F60" s="179"/>
      <c r="G60" s="184"/>
      <c r="H60" s="588"/>
      <c r="I60" s="185"/>
      <c r="J60" s="185"/>
      <c r="K60" s="186"/>
      <c r="L60" s="589"/>
      <c r="M60" s="185"/>
      <c r="N60" s="586"/>
      <c r="O60" s="586"/>
      <c r="P60" s="187"/>
      <c r="Q60" s="187"/>
      <c r="R60" s="184"/>
      <c r="S60" s="181"/>
      <c r="T60" s="588"/>
      <c r="U60" s="187"/>
      <c r="V60" s="187"/>
      <c r="W60" s="184"/>
      <c r="X60" s="181"/>
      <c r="Y60" s="588"/>
      <c r="Z60" s="187"/>
      <c r="AA60" s="187"/>
      <c r="AB60" s="184"/>
      <c r="AC60" s="181"/>
      <c r="AD60" s="588"/>
      <c r="AE60" s="187"/>
      <c r="AF60" s="187"/>
      <c r="AG60" s="184"/>
      <c r="AH60" s="181"/>
      <c r="AI60" s="588"/>
      <c r="AJ60" s="187"/>
      <c r="AK60" s="187"/>
      <c r="AL60" s="184"/>
      <c r="AM60" s="181"/>
      <c r="AN60" s="588"/>
      <c r="AO60" s="187"/>
      <c r="AP60" s="187"/>
      <c r="AQ60" s="184"/>
      <c r="AR60" s="181"/>
      <c r="AS60" s="588"/>
      <c r="AT60" s="187"/>
      <c r="AU60" s="187"/>
      <c r="AV60" s="184"/>
      <c r="AW60" s="181"/>
      <c r="AX60" s="588"/>
    </row>
    <row r="61" spans="2:50" ht="14.25" customHeight="1">
      <c r="B61" s="586"/>
      <c r="C61" s="179">
        <v>15</v>
      </c>
      <c r="D61" s="182"/>
      <c r="E61" s="179"/>
      <c r="F61" s="179"/>
      <c r="G61" s="184"/>
      <c r="H61" s="588"/>
      <c r="I61" s="185"/>
      <c r="J61" s="185"/>
      <c r="K61" s="186"/>
      <c r="L61" s="589"/>
      <c r="M61" s="185"/>
      <c r="N61" s="586"/>
      <c r="O61" s="586"/>
      <c r="P61" s="187"/>
      <c r="Q61" s="187"/>
      <c r="R61" s="184"/>
      <c r="S61" s="181"/>
      <c r="T61" s="588"/>
      <c r="U61" s="187"/>
      <c r="V61" s="187"/>
      <c r="W61" s="184"/>
      <c r="X61" s="181"/>
      <c r="Y61" s="588"/>
      <c r="Z61" s="187"/>
      <c r="AA61" s="187"/>
      <c r="AB61" s="184"/>
      <c r="AC61" s="181"/>
      <c r="AD61" s="588"/>
      <c r="AE61" s="187"/>
      <c r="AF61" s="187"/>
      <c r="AG61" s="184"/>
      <c r="AH61" s="181"/>
      <c r="AI61" s="588"/>
      <c r="AJ61" s="187"/>
      <c r="AK61" s="187"/>
      <c r="AL61" s="184"/>
      <c r="AM61" s="181"/>
      <c r="AN61" s="588"/>
      <c r="AO61" s="187"/>
      <c r="AP61" s="187"/>
      <c r="AQ61" s="184"/>
      <c r="AR61" s="181"/>
      <c r="AS61" s="588"/>
      <c r="AT61" s="187"/>
      <c r="AU61" s="187"/>
      <c r="AV61" s="184"/>
      <c r="AW61" s="181"/>
      <c r="AX61" s="588"/>
    </row>
  </sheetData>
  <mergeCells count="177">
    <mergeCell ref="AX47:AX61"/>
    <mergeCell ref="B47:B61"/>
    <mergeCell ref="H47:H61"/>
    <mergeCell ref="L47:L61"/>
    <mergeCell ref="T47:T61"/>
    <mergeCell ref="Y47:Y61"/>
    <mergeCell ref="AD47:AD61"/>
    <mergeCell ref="AI47:AI61"/>
    <mergeCell ref="AN47:AN61"/>
    <mergeCell ref="AS47:AS61"/>
    <mergeCell ref="AI44:AI46"/>
    <mergeCell ref="AJ44:AM44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Z45:AC45"/>
    <mergeCell ref="AE45:AH45"/>
    <mergeCell ref="AJ45:AM45"/>
    <mergeCell ref="AO45:AR45"/>
    <mergeCell ref="AT45:AW45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P44:S44"/>
    <mergeCell ref="T44:T46"/>
    <mergeCell ref="U44:X44"/>
    <mergeCell ref="Y44:Y46"/>
    <mergeCell ref="Z44:AC44"/>
    <mergeCell ref="AD44:AD46"/>
    <mergeCell ref="AE44:AH44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P4:S4"/>
    <mergeCell ref="AI4:AI6"/>
    <mergeCell ref="AJ4:AM4"/>
    <mergeCell ref="AN4:AN6"/>
    <mergeCell ref="AO4:AR4"/>
    <mergeCell ref="AS4:AS6"/>
    <mergeCell ref="AT4:AW4"/>
    <mergeCell ref="T4:T6"/>
    <mergeCell ref="U4:X4"/>
    <mergeCell ref="Y4:Y6"/>
    <mergeCell ref="Z4:AC4"/>
    <mergeCell ref="AD4:AD6"/>
    <mergeCell ref="AT22:AX22"/>
    <mergeCell ref="E5:G5"/>
    <mergeCell ref="I5:K5"/>
    <mergeCell ref="P5:S5"/>
    <mergeCell ref="U5:X5"/>
    <mergeCell ref="Z5:AC5"/>
    <mergeCell ref="AT2:AX2"/>
    <mergeCell ref="P3:T3"/>
    <mergeCell ref="U3:Y3"/>
    <mergeCell ref="Z3:AD3"/>
    <mergeCell ref="AE3:AI3"/>
    <mergeCell ref="AJ3:AN3"/>
    <mergeCell ref="AO3:AS3"/>
    <mergeCell ref="AT3:AX3"/>
    <mergeCell ref="AJ2:AN2"/>
    <mergeCell ref="AO2:AS2"/>
    <mergeCell ref="AE2:AI2"/>
    <mergeCell ref="AJ5:AM5"/>
    <mergeCell ref="AO5:AR5"/>
    <mergeCell ref="AT5:AW5"/>
    <mergeCell ref="L4:L6"/>
    <mergeCell ref="M4:M6"/>
    <mergeCell ref="N4:N21"/>
    <mergeCell ref="O4:O21"/>
    <mergeCell ref="U24:X24"/>
    <mergeCell ref="Y24:Y26"/>
    <mergeCell ref="Z24:AC24"/>
    <mergeCell ref="AD24:AD26"/>
    <mergeCell ref="L24:L26"/>
    <mergeCell ref="M24:M26"/>
    <mergeCell ref="AX4:AX6"/>
    <mergeCell ref="B22:M23"/>
    <mergeCell ref="N22:N23"/>
    <mergeCell ref="O22:O23"/>
    <mergeCell ref="P22:T22"/>
    <mergeCell ref="U22:Y22"/>
    <mergeCell ref="P23:T23"/>
    <mergeCell ref="U23:Y23"/>
    <mergeCell ref="AE4:AH4"/>
    <mergeCell ref="Z23:AD23"/>
    <mergeCell ref="AE23:AI23"/>
    <mergeCell ref="AJ23:AN23"/>
    <mergeCell ref="AO23:AS23"/>
    <mergeCell ref="AT23:AX23"/>
    <mergeCell ref="Z22:AD22"/>
    <mergeCell ref="AE22:AI22"/>
    <mergeCell ref="AJ22:AN22"/>
    <mergeCell ref="AO22:AS22"/>
    <mergeCell ref="AI24:AI26"/>
    <mergeCell ref="AJ24:AM24"/>
    <mergeCell ref="AN24:AN26"/>
    <mergeCell ref="AO24:AR24"/>
    <mergeCell ref="AD27:AD41"/>
    <mergeCell ref="AI27:AI41"/>
    <mergeCell ref="AN27:AN41"/>
    <mergeCell ref="AS27:AS41"/>
    <mergeCell ref="B2:M3"/>
    <mergeCell ref="N2:N3"/>
    <mergeCell ref="O2:O3"/>
    <mergeCell ref="P2:T2"/>
    <mergeCell ref="U2:Y2"/>
    <mergeCell ref="Z2:AD2"/>
    <mergeCell ref="U25:X25"/>
    <mergeCell ref="Z25:AC25"/>
    <mergeCell ref="AE25:AH25"/>
    <mergeCell ref="B4:B6"/>
    <mergeCell ref="C4:D6"/>
    <mergeCell ref="E4:G4"/>
    <mergeCell ref="H4:H6"/>
    <mergeCell ref="AE5:AH5"/>
    <mergeCell ref="I4:K4"/>
    <mergeCell ref="T24:T26"/>
    <mergeCell ref="AX27:AX41"/>
    <mergeCell ref="B27:B41"/>
    <mergeCell ref="H27:H41"/>
    <mergeCell ref="L27:L41"/>
    <mergeCell ref="T27:T41"/>
    <mergeCell ref="Y27:Y41"/>
    <mergeCell ref="N24:N41"/>
    <mergeCell ref="O24:O41"/>
    <mergeCell ref="P24:S24"/>
    <mergeCell ref="B24:B26"/>
    <mergeCell ref="C24:D26"/>
    <mergeCell ref="E24:G24"/>
    <mergeCell ref="H24:H26"/>
    <mergeCell ref="I24:K24"/>
    <mergeCell ref="AS24:AS26"/>
    <mergeCell ref="AT24:AW24"/>
    <mergeCell ref="AX24:AX26"/>
    <mergeCell ref="E25:G25"/>
    <mergeCell ref="I25:K25"/>
    <mergeCell ref="P25:S25"/>
    <mergeCell ref="AJ25:AM25"/>
    <mergeCell ref="AO25:AR25"/>
    <mergeCell ref="AT25:AW25"/>
    <mergeCell ref="AE24:AH24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1">
    <tabColor rgb="FFFFFFCC"/>
  </sheetPr>
  <dimension ref="A1:AX61"/>
  <sheetViews>
    <sheetView zoomScaleNormal="100" workbookViewId="0">
      <pane xSplit="13" ySplit="1" topLeftCell="N32" activePane="bottomRight" state="frozen"/>
      <selection activeCell="B86" sqref="B86:M87"/>
      <selection pane="topRight" activeCell="B86" sqref="B86:M87"/>
      <selection pane="bottomLeft" activeCell="B86" sqref="B86:M87"/>
      <selection pane="bottomRight" activeCell="AW47" sqref="AW47"/>
    </sheetView>
  </sheetViews>
  <sheetFormatPr defaultColWidth="8.85546875" defaultRowHeight="12"/>
  <cols>
    <col min="1" max="1" width="5.5703125" style="78" customWidth="1"/>
    <col min="2" max="2" width="12.42578125" style="78" customWidth="1"/>
    <col min="3" max="3" width="9.28515625" style="176" bestFit="1" customWidth="1"/>
    <col min="4" max="4" width="26.42578125" style="175" customWidth="1"/>
    <col min="5" max="5" width="7.7109375" style="176" customWidth="1"/>
    <col min="6" max="7" width="8.7109375" style="176" customWidth="1"/>
    <col min="8" max="8" width="10.7109375" style="176" customWidth="1"/>
    <col min="9" max="9" width="7.7109375" style="177" customWidth="1"/>
    <col min="10" max="11" width="8.7109375" style="177" customWidth="1"/>
    <col min="12" max="12" width="10.7109375" style="177" customWidth="1"/>
    <col min="13" max="13" width="5.7109375" style="177" customWidth="1"/>
    <col min="14" max="14" width="9.85546875" style="176" customWidth="1"/>
    <col min="15" max="15" width="7.140625" style="176" customWidth="1"/>
    <col min="16" max="16" width="7.7109375" style="176" customWidth="1"/>
    <col min="17" max="18" width="8.7109375" style="176" customWidth="1"/>
    <col min="19" max="19" width="5.7109375" style="177" customWidth="1"/>
    <col min="20" max="20" width="10.7109375" style="176" customWidth="1"/>
    <col min="21" max="21" width="7.7109375" style="78" customWidth="1"/>
    <col min="22" max="23" width="8.7109375" style="78" customWidth="1"/>
    <col min="24" max="24" width="5.42578125" style="177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77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77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77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78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78" customWidth="1"/>
    <col min="50" max="50" width="10.7109375" style="78" customWidth="1"/>
    <col min="51" max="16384" width="8.85546875" style="78"/>
  </cols>
  <sheetData>
    <row r="1" spans="1:50" ht="21">
      <c r="A1" s="74"/>
      <c r="B1" s="515" t="s">
        <v>673</v>
      </c>
      <c r="C1" s="174">
        <f>AVERAGE(L27,L47)</f>
        <v>440.185586122046</v>
      </c>
    </row>
    <row r="2" spans="1:50" ht="14.25" customHeight="1" collapsed="1">
      <c r="B2" s="612" t="s">
        <v>628</v>
      </c>
      <c r="C2" s="613"/>
      <c r="D2" s="613"/>
      <c r="E2" s="613"/>
      <c r="F2" s="613"/>
      <c r="G2" s="613"/>
      <c r="H2" s="613"/>
      <c r="I2" s="613"/>
      <c r="J2" s="613"/>
      <c r="K2" s="613"/>
      <c r="L2" s="613"/>
      <c r="M2" s="614"/>
      <c r="N2" s="617" t="s">
        <v>341</v>
      </c>
      <c r="O2" s="617" t="s">
        <v>105</v>
      </c>
      <c r="P2" s="600">
        <v>46231</v>
      </c>
      <c r="Q2" s="601"/>
      <c r="R2" s="601"/>
      <c r="S2" s="601"/>
      <c r="T2" s="601"/>
      <c r="U2" s="602">
        <v>46232</v>
      </c>
      <c r="V2" s="603"/>
      <c r="W2" s="603"/>
      <c r="X2" s="603"/>
      <c r="Y2" s="603"/>
      <c r="Z2" s="600">
        <v>46233</v>
      </c>
      <c r="AA2" s="601"/>
      <c r="AB2" s="601"/>
      <c r="AC2" s="601"/>
      <c r="AD2" s="601"/>
      <c r="AE2" s="602">
        <v>46234</v>
      </c>
      <c r="AF2" s="603"/>
      <c r="AG2" s="603"/>
      <c r="AH2" s="603"/>
      <c r="AI2" s="603"/>
      <c r="AJ2" s="609">
        <v>46235</v>
      </c>
      <c r="AK2" s="610"/>
      <c r="AL2" s="610"/>
      <c r="AM2" s="610"/>
      <c r="AN2" s="611"/>
      <c r="AO2" s="602">
        <v>46236</v>
      </c>
      <c r="AP2" s="603"/>
      <c r="AQ2" s="603"/>
      <c r="AR2" s="603"/>
      <c r="AS2" s="603"/>
      <c r="AT2" s="609">
        <v>46237</v>
      </c>
      <c r="AU2" s="610"/>
      <c r="AV2" s="610"/>
      <c r="AW2" s="610"/>
      <c r="AX2" s="611"/>
    </row>
    <row r="3" spans="1:50" ht="14.25" customHeight="1">
      <c r="B3" s="615"/>
      <c r="C3" s="615"/>
      <c r="D3" s="615"/>
      <c r="E3" s="615"/>
      <c r="F3" s="615"/>
      <c r="G3" s="615"/>
      <c r="H3" s="615"/>
      <c r="I3" s="615"/>
      <c r="J3" s="615"/>
      <c r="K3" s="615"/>
      <c r="L3" s="615"/>
      <c r="M3" s="616"/>
      <c r="N3" s="618"/>
      <c r="O3" s="618"/>
      <c r="P3" s="604">
        <v>46196</v>
      </c>
      <c r="Q3" s="604"/>
      <c r="R3" s="604"/>
      <c r="S3" s="604"/>
      <c r="T3" s="604"/>
      <c r="U3" s="605">
        <v>46197</v>
      </c>
      <c r="V3" s="605"/>
      <c r="W3" s="605"/>
      <c r="X3" s="605"/>
      <c r="Y3" s="605"/>
      <c r="Z3" s="604">
        <v>46198</v>
      </c>
      <c r="AA3" s="604"/>
      <c r="AB3" s="604"/>
      <c r="AC3" s="604"/>
      <c r="AD3" s="604"/>
      <c r="AE3" s="605">
        <v>46199</v>
      </c>
      <c r="AF3" s="605"/>
      <c r="AG3" s="605"/>
      <c r="AH3" s="605"/>
      <c r="AI3" s="605"/>
      <c r="AJ3" s="606">
        <v>46200</v>
      </c>
      <c r="AK3" s="607"/>
      <c r="AL3" s="607"/>
      <c r="AM3" s="607"/>
      <c r="AN3" s="608"/>
      <c r="AO3" s="605">
        <v>46201</v>
      </c>
      <c r="AP3" s="605"/>
      <c r="AQ3" s="605"/>
      <c r="AR3" s="605"/>
      <c r="AS3" s="605"/>
      <c r="AT3" s="606">
        <v>46202</v>
      </c>
      <c r="AU3" s="607"/>
      <c r="AV3" s="607"/>
      <c r="AW3" s="607"/>
      <c r="AX3" s="608"/>
    </row>
    <row r="4" spans="1:50" ht="14.25" customHeight="1">
      <c r="B4" s="586" t="s">
        <v>162</v>
      </c>
      <c r="C4" s="586" t="s">
        <v>157</v>
      </c>
      <c r="D4" s="586"/>
      <c r="E4" s="586" t="s">
        <v>158</v>
      </c>
      <c r="F4" s="586"/>
      <c r="G4" s="586"/>
      <c r="H4" s="586" t="s">
        <v>163</v>
      </c>
      <c r="I4" s="592" t="s">
        <v>342</v>
      </c>
      <c r="J4" s="592"/>
      <c r="K4" s="592"/>
      <c r="L4" s="592" t="s">
        <v>163</v>
      </c>
      <c r="M4" s="592" t="s">
        <v>165</v>
      </c>
      <c r="N4" s="586"/>
      <c r="O4" s="586" t="s">
        <v>164</v>
      </c>
      <c r="P4" s="586" t="s">
        <v>160</v>
      </c>
      <c r="Q4" s="586"/>
      <c r="R4" s="586"/>
      <c r="S4" s="586"/>
      <c r="T4" s="586" t="s">
        <v>163</v>
      </c>
      <c r="U4" s="586" t="s">
        <v>160</v>
      </c>
      <c r="V4" s="586"/>
      <c r="W4" s="586"/>
      <c r="X4" s="586"/>
      <c r="Y4" s="586" t="s">
        <v>163</v>
      </c>
      <c r="Z4" s="586" t="s">
        <v>160</v>
      </c>
      <c r="AA4" s="586"/>
      <c r="AB4" s="586"/>
      <c r="AC4" s="586"/>
      <c r="AD4" s="586" t="s">
        <v>163</v>
      </c>
      <c r="AE4" s="586" t="s">
        <v>160</v>
      </c>
      <c r="AF4" s="586"/>
      <c r="AG4" s="586"/>
      <c r="AH4" s="586"/>
      <c r="AI4" s="586" t="s">
        <v>163</v>
      </c>
      <c r="AJ4" s="586" t="s">
        <v>160</v>
      </c>
      <c r="AK4" s="586"/>
      <c r="AL4" s="586"/>
      <c r="AM4" s="586"/>
      <c r="AN4" s="586" t="s">
        <v>163</v>
      </c>
      <c r="AO4" s="586" t="s">
        <v>160</v>
      </c>
      <c r="AP4" s="586"/>
      <c r="AQ4" s="586"/>
      <c r="AR4" s="586"/>
      <c r="AS4" s="586" t="s">
        <v>163</v>
      </c>
      <c r="AT4" s="586" t="s">
        <v>160</v>
      </c>
      <c r="AU4" s="586"/>
      <c r="AV4" s="586"/>
      <c r="AW4" s="586"/>
      <c r="AX4" s="586" t="s">
        <v>163</v>
      </c>
    </row>
    <row r="5" spans="1:50" ht="14.25" customHeight="1">
      <c r="B5" s="586"/>
      <c r="C5" s="586"/>
      <c r="D5" s="586"/>
      <c r="E5" s="586" t="s">
        <v>343</v>
      </c>
      <c r="F5" s="586"/>
      <c r="G5" s="586"/>
      <c r="H5" s="586"/>
      <c r="I5" s="592" t="s">
        <v>343</v>
      </c>
      <c r="J5" s="592"/>
      <c r="K5" s="592"/>
      <c r="L5" s="592"/>
      <c r="M5" s="592"/>
      <c r="N5" s="586"/>
      <c r="O5" s="586"/>
      <c r="P5" s="586" t="s">
        <v>344</v>
      </c>
      <c r="Q5" s="586"/>
      <c r="R5" s="586"/>
      <c r="S5" s="586"/>
      <c r="T5" s="586"/>
      <c r="U5" s="586" t="s">
        <v>344</v>
      </c>
      <c r="V5" s="586"/>
      <c r="W5" s="586"/>
      <c r="X5" s="586"/>
      <c r="Y5" s="586"/>
      <c r="Z5" s="586" t="s">
        <v>344</v>
      </c>
      <c r="AA5" s="586"/>
      <c r="AB5" s="586"/>
      <c r="AC5" s="586"/>
      <c r="AD5" s="586"/>
      <c r="AE5" s="586" t="s">
        <v>344</v>
      </c>
      <c r="AF5" s="586"/>
      <c r="AG5" s="586"/>
      <c r="AH5" s="586"/>
      <c r="AI5" s="586"/>
      <c r="AJ5" s="586" t="s">
        <v>344</v>
      </c>
      <c r="AK5" s="586"/>
      <c r="AL5" s="586"/>
      <c r="AM5" s="586"/>
      <c r="AN5" s="586"/>
      <c r="AO5" s="586" t="s">
        <v>344</v>
      </c>
      <c r="AP5" s="586"/>
      <c r="AQ5" s="586"/>
      <c r="AR5" s="586"/>
      <c r="AS5" s="586"/>
      <c r="AT5" s="586" t="s">
        <v>344</v>
      </c>
      <c r="AU5" s="586"/>
      <c r="AV5" s="586"/>
      <c r="AW5" s="586"/>
      <c r="AX5" s="586"/>
    </row>
    <row r="6" spans="1:50" ht="14.25" customHeight="1">
      <c r="B6" s="586"/>
      <c r="C6" s="586"/>
      <c r="D6" s="586"/>
      <c r="E6" s="179" t="s">
        <v>159</v>
      </c>
      <c r="F6" s="179" t="s">
        <v>345</v>
      </c>
      <c r="G6" s="179" t="s">
        <v>161</v>
      </c>
      <c r="H6" s="586"/>
      <c r="I6" s="180" t="s">
        <v>159</v>
      </c>
      <c r="J6" s="180" t="s">
        <v>345</v>
      </c>
      <c r="K6" s="180" t="s">
        <v>161</v>
      </c>
      <c r="L6" s="592"/>
      <c r="M6" s="592"/>
      <c r="N6" s="586"/>
      <c r="O6" s="586"/>
      <c r="P6" s="179" t="s">
        <v>159</v>
      </c>
      <c r="Q6" s="179" t="s">
        <v>345</v>
      </c>
      <c r="R6" s="179" t="s">
        <v>161</v>
      </c>
      <c r="S6" s="181" t="s">
        <v>165</v>
      </c>
      <c r="T6" s="586"/>
      <c r="U6" s="179" t="s">
        <v>159</v>
      </c>
      <c r="V6" s="179" t="s">
        <v>345</v>
      </c>
      <c r="W6" s="179" t="s">
        <v>161</v>
      </c>
      <c r="X6" s="181" t="s">
        <v>165</v>
      </c>
      <c r="Y6" s="586"/>
      <c r="Z6" s="179" t="s">
        <v>159</v>
      </c>
      <c r="AA6" s="179" t="s">
        <v>345</v>
      </c>
      <c r="AB6" s="179" t="s">
        <v>161</v>
      </c>
      <c r="AC6" s="181" t="s">
        <v>165</v>
      </c>
      <c r="AD6" s="586"/>
      <c r="AE6" s="179" t="s">
        <v>159</v>
      </c>
      <c r="AF6" s="179" t="s">
        <v>345</v>
      </c>
      <c r="AG6" s="179" t="s">
        <v>161</v>
      </c>
      <c r="AH6" s="181" t="s">
        <v>165</v>
      </c>
      <c r="AI6" s="586"/>
      <c r="AJ6" s="179" t="s">
        <v>159</v>
      </c>
      <c r="AK6" s="179" t="s">
        <v>345</v>
      </c>
      <c r="AL6" s="179" t="s">
        <v>161</v>
      </c>
      <c r="AM6" s="181" t="s">
        <v>165</v>
      </c>
      <c r="AN6" s="586"/>
      <c r="AO6" s="179" t="s">
        <v>159</v>
      </c>
      <c r="AP6" s="179" t="s">
        <v>345</v>
      </c>
      <c r="AQ6" s="179" t="s">
        <v>161</v>
      </c>
      <c r="AR6" s="181" t="s">
        <v>165</v>
      </c>
      <c r="AS6" s="586"/>
      <c r="AT6" s="179" t="s">
        <v>159</v>
      </c>
      <c r="AU6" s="179" t="s">
        <v>345</v>
      </c>
      <c r="AV6" s="179" t="s">
        <v>161</v>
      </c>
      <c r="AW6" s="181" t="s">
        <v>165</v>
      </c>
      <c r="AX6" s="586"/>
    </row>
    <row r="7" spans="1:50" ht="14.25" customHeight="1">
      <c r="B7" s="586" t="s">
        <v>348</v>
      </c>
      <c r="C7" s="179">
        <v>1</v>
      </c>
      <c r="D7" s="182" t="s">
        <v>530</v>
      </c>
      <c r="E7" s="183">
        <v>5</v>
      </c>
      <c r="F7" s="179">
        <v>3273</v>
      </c>
      <c r="G7" s="184">
        <f t="shared" ref="G7:G12" si="0">IFERROR(F7/E7,"")</f>
        <v>654.6</v>
      </c>
      <c r="H7" s="588">
        <f>AVERAGE(G7:G21)</f>
        <v>505.14444444444439</v>
      </c>
      <c r="I7" s="185">
        <f>AVERAGE(P7,U7,Z7,AE7,AJ7,AO7,AT7)</f>
        <v>6</v>
      </c>
      <c r="J7" s="185">
        <f>AVERAGE(Q7,V7,AA7,AF7,AK7,AP7,AU7)</f>
        <v>2961.3145775921867</v>
      </c>
      <c r="K7" s="186">
        <f>AVERAGE(R7,W7,AB7,AG7,AL7,AQ7,AV7)</f>
        <v>493.55242959869776</v>
      </c>
      <c r="L7" s="589">
        <f>IFERROR(AVERAGE(K7:K21),"-")</f>
        <v>438.24248389844593</v>
      </c>
      <c r="M7" s="185">
        <f>RANK(K7, K$7:$K$21)</f>
        <v>4</v>
      </c>
      <c r="N7" s="586"/>
      <c r="O7" s="586"/>
      <c r="P7" s="187">
        <v>6</v>
      </c>
      <c r="Q7" s="187">
        <v>2961.6418775921866</v>
      </c>
      <c r="R7" s="184">
        <f>IFERROR(Q7/P7,"")</f>
        <v>493.60697959869776</v>
      </c>
      <c r="S7" s="181">
        <f>RANK(R7, R$7:R$21)</f>
        <v>4</v>
      </c>
      <c r="T7" s="588">
        <f>AVERAGE(R7:R21)</f>
        <v>434.80785179661899</v>
      </c>
      <c r="U7" s="187">
        <v>6</v>
      </c>
      <c r="V7" s="187">
        <v>2961.3145775921862</v>
      </c>
      <c r="W7" s="184">
        <f t="shared" ref="W7:W12" si="1">IFERROR(V7/U7,"")</f>
        <v>493.5524295986977</v>
      </c>
      <c r="X7" s="181">
        <f>RANK(W7, W$7:W$21)</f>
        <v>4</v>
      </c>
      <c r="Y7" s="588">
        <f>AVERAGE(W7:W21)</f>
        <v>436.0938672361433</v>
      </c>
      <c r="Z7" s="187">
        <v>6</v>
      </c>
      <c r="AA7" s="187">
        <v>2961.3145775921867</v>
      </c>
      <c r="AB7" s="184">
        <f>IFERROR(AA7/Z7,"")</f>
        <v>493.55242959869776</v>
      </c>
      <c r="AC7" s="181">
        <f>RANK(AB7, AB$7:AB$21)</f>
        <v>4</v>
      </c>
      <c r="AD7" s="588">
        <f>AVERAGE(AB7:AB21)</f>
        <v>437.55952110162434</v>
      </c>
      <c r="AE7" s="187">
        <v>6</v>
      </c>
      <c r="AF7" s="187">
        <v>2960.3326775921864</v>
      </c>
      <c r="AG7" s="184">
        <f>IFERROR(AF7/AE7,"")</f>
        <v>493.38877959869774</v>
      </c>
      <c r="AH7" s="181">
        <f>RANK(AG7, AG$7:AG$21)</f>
        <v>4</v>
      </c>
      <c r="AI7" s="588">
        <f>AVERAGE(AG7:AG21)</f>
        <v>438.77081353889542</v>
      </c>
      <c r="AJ7" s="187">
        <v>6</v>
      </c>
      <c r="AK7" s="187">
        <v>2960.005377592187</v>
      </c>
      <c r="AL7" s="184">
        <f>IFERROR(AK7/AJ7,"")</f>
        <v>493.33422959869785</v>
      </c>
      <c r="AM7" s="181">
        <f>RANK(AL7, AL$7:AL$21)</f>
        <v>4</v>
      </c>
      <c r="AN7" s="588">
        <f>AVERAGE(AL7:AL21)</f>
        <v>440.07796602009466</v>
      </c>
      <c r="AO7" s="187">
        <v>6</v>
      </c>
      <c r="AP7" s="187">
        <v>2962.6237775921859</v>
      </c>
      <c r="AQ7" s="184">
        <f>IFERROR(AP7/AO7,"")</f>
        <v>493.77062959869767</v>
      </c>
      <c r="AR7" s="181">
        <f>RANK(AQ7, AQ$7:AQ$21)</f>
        <v>4</v>
      </c>
      <c r="AS7" s="588">
        <f>AVERAGE(AQ7:AQ21)</f>
        <v>440.16985935342791</v>
      </c>
      <c r="AT7" s="187">
        <v>6</v>
      </c>
      <c r="AU7" s="187">
        <v>2961.9691775921865</v>
      </c>
      <c r="AV7" s="184">
        <f>IFERROR(AU7/AT7,"")</f>
        <v>493.66152959869777</v>
      </c>
      <c r="AW7" s="181">
        <f>RANK(AV7, AV$7:AV$21)</f>
        <v>4</v>
      </c>
      <c r="AX7" s="588">
        <f>AVERAGE(AV7:AV21)</f>
        <v>440.21750824231685</v>
      </c>
    </row>
    <row r="8" spans="1:50" ht="14.25" customHeight="1">
      <c r="B8" s="586"/>
      <c r="C8" s="179">
        <v>2</v>
      </c>
      <c r="D8" s="182" t="s">
        <v>523</v>
      </c>
      <c r="E8" s="179">
        <v>6</v>
      </c>
      <c r="F8" s="179">
        <v>3600</v>
      </c>
      <c r="G8" s="184">
        <f t="shared" si="0"/>
        <v>600</v>
      </c>
      <c r="H8" s="588"/>
      <c r="I8" s="185">
        <f t="shared" ref="I8:K12" si="2">AVERAGE(P8,U8,Z8,AE8,AJ8,AO8,AT8)</f>
        <v>6</v>
      </c>
      <c r="J8" s="185">
        <f t="shared" si="2"/>
        <v>3249.7200000000016</v>
      </c>
      <c r="K8" s="186">
        <f t="shared" si="2"/>
        <v>541.62000000000035</v>
      </c>
      <c r="L8" s="589"/>
      <c r="M8" s="185">
        <f>RANK(K8, K$7:$K$21)</f>
        <v>3</v>
      </c>
      <c r="N8" s="586"/>
      <c r="O8" s="586"/>
      <c r="P8" s="187">
        <v>6</v>
      </c>
      <c r="Q8" s="187">
        <v>3248.2800000000011</v>
      </c>
      <c r="R8" s="184">
        <f t="shared" ref="R8:R12" si="3">IFERROR(Q8/P8,"")</f>
        <v>541.38000000000022</v>
      </c>
      <c r="S8" s="181">
        <f t="shared" ref="S8:S12" si="4">RANK(R8, R$7:R$21)</f>
        <v>3</v>
      </c>
      <c r="T8" s="588"/>
      <c r="U8" s="187">
        <v>6</v>
      </c>
      <c r="V8" s="187">
        <v>3249.0000000000014</v>
      </c>
      <c r="W8" s="184">
        <f t="shared" si="1"/>
        <v>541.50000000000023</v>
      </c>
      <c r="X8" s="181">
        <f t="shared" ref="X8:X12" si="5">RANK(W8, W$7:W$21)</f>
        <v>3</v>
      </c>
      <c r="Y8" s="588"/>
      <c r="Z8" s="187">
        <v>6</v>
      </c>
      <c r="AA8" s="187">
        <v>3250.8000000000011</v>
      </c>
      <c r="AB8" s="184">
        <f t="shared" ref="AB8:AB12" si="6">IFERROR(AA8/Z8,"")</f>
        <v>541.80000000000018</v>
      </c>
      <c r="AC8" s="181">
        <f t="shared" ref="AC8:AC12" si="7">RANK(AB8, AB$7:AB$21)</f>
        <v>3</v>
      </c>
      <c r="AD8" s="588"/>
      <c r="AE8" s="187">
        <v>6</v>
      </c>
      <c r="AF8" s="187">
        <v>3249.3600000000015</v>
      </c>
      <c r="AG8" s="184">
        <f t="shared" ref="AG8:AG12" si="8">IFERROR(AF8/AE8,"")</f>
        <v>541.56000000000029</v>
      </c>
      <c r="AH8" s="181">
        <f t="shared" ref="AH8:AH12" si="9">RANK(AG8, AG$7:AG$21)</f>
        <v>3</v>
      </c>
      <c r="AI8" s="588"/>
      <c r="AJ8" s="187">
        <v>6</v>
      </c>
      <c r="AK8" s="187">
        <v>3248.6400000000021</v>
      </c>
      <c r="AL8" s="184">
        <f t="shared" ref="AL8:AL12" si="10">IFERROR(AK8/AJ8,"")</f>
        <v>541.4400000000004</v>
      </c>
      <c r="AM8" s="181">
        <f t="shared" ref="AM8:AM12" si="11">RANK(AL8, AL$7:AL$21)</f>
        <v>3</v>
      </c>
      <c r="AN8" s="588"/>
      <c r="AO8" s="187">
        <v>6</v>
      </c>
      <c r="AP8" s="187">
        <v>3250.0800000000027</v>
      </c>
      <c r="AQ8" s="184">
        <f t="shared" ref="AQ8:AQ12" si="12">IFERROR(AP8/AO8,"")</f>
        <v>541.6800000000004</v>
      </c>
      <c r="AR8" s="181">
        <f t="shared" ref="AR8:AR12" si="13">RANK(AQ8, AQ$7:AQ$21)</f>
        <v>2</v>
      </c>
      <c r="AS8" s="588"/>
      <c r="AT8" s="187">
        <v>6</v>
      </c>
      <c r="AU8" s="187">
        <v>3251.8800000000019</v>
      </c>
      <c r="AV8" s="184">
        <f t="shared" ref="AV8:AV12" si="14">IFERROR(AU8/AT8,"")</f>
        <v>541.98000000000036</v>
      </c>
      <c r="AW8" s="181">
        <f t="shared" ref="AW8:AW12" si="15">RANK(AV8, AV$7:AV$21)</f>
        <v>2</v>
      </c>
      <c r="AX8" s="588"/>
    </row>
    <row r="9" spans="1:50" ht="14.25" customHeight="1">
      <c r="B9" s="586"/>
      <c r="C9" s="179">
        <v>3</v>
      </c>
      <c r="D9" s="182" t="s">
        <v>524</v>
      </c>
      <c r="E9" s="179">
        <v>6</v>
      </c>
      <c r="F9" s="179">
        <v>3600</v>
      </c>
      <c r="G9" s="184">
        <f t="shared" si="0"/>
        <v>600</v>
      </c>
      <c r="H9" s="588"/>
      <c r="I9" s="185">
        <f t="shared" si="2"/>
        <v>6</v>
      </c>
      <c r="J9" s="185">
        <f t="shared" si="2"/>
        <v>3249.9253117770054</v>
      </c>
      <c r="K9" s="186">
        <f t="shared" si="2"/>
        <v>541.65421862950086</v>
      </c>
      <c r="L9" s="589"/>
      <c r="M9" s="185">
        <f>RANK(K9, K$7:$K$21)</f>
        <v>2</v>
      </c>
      <c r="N9" s="586"/>
      <c r="O9" s="586"/>
      <c r="P9" s="187">
        <v>6</v>
      </c>
      <c r="Q9" s="187">
        <v>3248.352934697295</v>
      </c>
      <c r="R9" s="184">
        <f t="shared" si="3"/>
        <v>541.39215578288247</v>
      </c>
      <c r="S9" s="181">
        <f t="shared" si="4"/>
        <v>2</v>
      </c>
      <c r="T9" s="588"/>
      <c r="U9" s="187">
        <v>6</v>
      </c>
      <c r="V9" s="187">
        <v>3252.0473746236225</v>
      </c>
      <c r="W9" s="184">
        <f t="shared" si="1"/>
        <v>542.0078957706038</v>
      </c>
      <c r="X9" s="181">
        <f t="shared" si="5"/>
        <v>2</v>
      </c>
      <c r="Y9" s="588"/>
      <c r="Z9" s="187">
        <v>6</v>
      </c>
      <c r="AA9" s="187">
        <v>3250.9673746236235</v>
      </c>
      <c r="AB9" s="184">
        <f t="shared" si="6"/>
        <v>541.82789577060396</v>
      </c>
      <c r="AC9" s="181">
        <f t="shared" si="7"/>
        <v>2</v>
      </c>
      <c r="AD9" s="588"/>
      <c r="AE9" s="187">
        <v>6</v>
      </c>
      <c r="AF9" s="187">
        <v>3249.5273746236239</v>
      </c>
      <c r="AG9" s="184">
        <f t="shared" si="8"/>
        <v>541.58789577060395</v>
      </c>
      <c r="AH9" s="181">
        <f t="shared" si="9"/>
        <v>2</v>
      </c>
      <c r="AI9" s="588"/>
      <c r="AJ9" s="187">
        <v>6</v>
      </c>
      <c r="AK9" s="187">
        <v>3249.8873746236236</v>
      </c>
      <c r="AL9" s="184">
        <f t="shared" si="10"/>
        <v>541.6478957706039</v>
      </c>
      <c r="AM9" s="181">
        <f t="shared" si="11"/>
        <v>2</v>
      </c>
      <c r="AN9" s="588"/>
      <c r="AO9" s="187">
        <v>6</v>
      </c>
      <c r="AP9" s="187">
        <v>3248.8073746236237</v>
      </c>
      <c r="AQ9" s="184">
        <f t="shared" si="12"/>
        <v>541.46789577060395</v>
      </c>
      <c r="AR9" s="181">
        <f t="shared" si="13"/>
        <v>3</v>
      </c>
      <c r="AS9" s="588"/>
      <c r="AT9" s="187">
        <v>6</v>
      </c>
      <c r="AU9" s="187">
        <v>3249.8873746236231</v>
      </c>
      <c r="AV9" s="184">
        <f t="shared" si="14"/>
        <v>541.6478957706039</v>
      </c>
      <c r="AW9" s="181">
        <f t="shared" si="15"/>
        <v>3</v>
      </c>
      <c r="AX9" s="588"/>
    </row>
    <row r="10" spans="1:50" ht="14.25" customHeight="1">
      <c r="B10" s="586"/>
      <c r="C10" s="179">
        <v>4</v>
      </c>
      <c r="D10" s="182" t="s">
        <v>535</v>
      </c>
      <c r="E10" s="179">
        <v>20</v>
      </c>
      <c r="F10" s="179">
        <v>2100</v>
      </c>
      <c r="G10" s="184">
        <f t="shared" si="0"/>
        <v>105</v>
      </c>
      <c r="H10" s="588"/>
      <c r="I10" s="185">
        <f t="shared" si="2"/>
        <v>20</v>
      </c>
      <c r="J10" s="185">
        <f t="shared" si="2"/>
        <v>1893.0983422374968</v>
      </c>
      <c r="K10" s="186">
        <f t="shared" si="2"/>
        <v>94.654917111874838</v>
      </c>
      <c r="L10" s="589"/>
      <c r="M10" s="185">
        <f>RANK(K10, K$7:$K$21)</f>
        <v>6</v>
      </c>
      <c r="N10" s="586"/>
      <c r="O10" s="586"/>
      <c r="P10" s="187">
        <v>20</v>
      </c>
      <c r="Q10" s="187">
        <v>1893.0683422374966</v>
      </c>
      <c r="R10" s="184">
        <f t="shared" si="3"/>
        <v>94.65341711187483</v>
      </c>
      <c r="S10" s="181">
        <f t="shared" si="4"/>
        <v>6</v>
      </c>
      <c r="T10" s="588"/>
      <c r="U10" s="187">
        <v>20</v>
      </c>
      <c r="V10" s="187">
        <v>1892.8583422374968</v>
      </c>
      <c r="W10" s="184">
        <f t="shared" si="1"/>
        <v>94.642917111874837</v>
      </c>
      <c r="X10" s="181">
        <f t="shared" si="5"/>
        <v>6</v>
      </c>
      <c r="Y10" s="588"/>
      <c r="Z10" s="187">
        <v>20</v>
      </c>
      <c r="AA10" s="187">
        <v>1893.0683422374968</v>
      </c>
      <c r="AB10" s="184">
        <f t="shared" si="6"/>
        <v>94.653417111874845</v>
      </c>
      <c r="AC10" s="181">
        <f t="shared" si="7"/>
        <v>6</v>
      </c>
      <c r="AD10" s="588"/>
      <c r="AE10" s="187">
        <v>20</v>
      </c>
      <c r="AF10" s="187">
        <v>1893.2783422374969</v>
      </c>
      <c r="AG10" s="184">
        <f t="shared" si="8"/>
        <v>94.663917111874838</v>
      </c>
      <c r="AH10" s="181">
        <f t="shared" si="9"/>
        <v>6</v>
      </c>
      <c r="AI10" s="588"/>
      <c r="AJ10" s="187">
        <v>20</v>
      </c>
      <c r="AK10" s="187">
        <v>1893.4883422374965</v>
      </c>
      <c r="AL10" s="184">
        <f t="shared" si="10"/>
        <v>94.674417111874817</v>
      </c>
      <c r="AM10" s="181">
        <f t="shared" si="11"/>
        <v>6</v>
      </c>
      <c r="AN10" s="588"/>
      <c r="AO10" s="187">
        <v>20</v>
      </c>
      <c r="AP10" s="187">
        <v>1893.2783422374964</v>
      </c>
      <c r="AQ10" s="184">
        <f t="shared" si="12"/>
        <v>94.663917111874824</v>
      </c>
      <c r="AR10" s="181">
        <f t="shared" si="13"/>
        <v>6</v>
      </c>
      <c r="AS10" s="588"/>
      <c r="AT10" s="187">
        <v>20</v>
      </c>
      <c r="AU10" s="187">
        <v>1892.6483422374965</v>
      </c>
      <c r="AV10" s="184">
        <f t="shared" si="14"/>
        <v>94.63241711187483</v>
      </c>
      <c r="AW10" s="181">
        <f t="shared" si="15"/>
        <v>6</v>
      </c>
      <c r="AX10" s="588"/>
    </row>
    <row r="11" spans="1:50" ht="14.25" customHeight="1">
      <c r="B11" s="586"/>
      <c r="C11" s="179">
        <v>5</v>
      </c>
      <c r="D11" s="182" t="s">
        <v>543</v>
      </c>
      <c r="E11" s="179">
        <v>5</v>
      </c>
      <c r="F11" s="179">
        <v>3273</v>
      </c>
      <c r="G11" s="184">
        <f t="shared" si="0"/>
        <v>654.6</v>
      </c>
      <c r="H11" s="588"/>
      <c r="I11" s="185">
        <f t="shared" si="2"/>
        <v>5</v>
      </c>
      <c r="J11" s="185">
        <f t="shared" si="2"/>
        <v>2965.9396671548334</v>
      </c>
      <c r="K11" s="186">
        <f t="shared" si="2"/>
        <v>593.18793343096661</v>
      </c>
      <c r="L11" s="589"/>
      <c r="M11" s="185">
        <f>RANK(K11, K$7:$K$21)</f>
        <v>1</v>
      </c>
      <c r="N11" s="586"/>
      <c r="O11" s="586"/>
      <c r="P11" s="187">
        <v>5</v>
      </c>
      <c r="Q11" s="187">
        <v>2967.2956242976898</v>
      </c>
      <c r="R11" s="184">
        <f t="shared" si="3"/>
        <v>593.45912485953795</v>
      </c>
      <c r="S11" s="181">
        <f t="shared" si="4"/>
        <v>1</v>
      </c>
      <c r="T11" s="588"/>
      <c r="U11" s="187">
        <v>5</v>
      </c>
      <c r="V11" s="187">
        <v>2966.9683242976889</v>
      </c>
      <c r="W11" s="184">
        <f t="shared" si="1"/>
        <v>593.39366485953781</v>
      </c>
      <c r="X11" s="181">
        <f t="shared" si="5"/>
        <v>1</v>
      </c>
      <c r="Y11" s="588"/>
      <c r="Z11" s="187">
        <v>5</v>
      </c>
      <c r="AA11" s="187">
        <v>2965.9864242976896</v>
      </c>
      <c r="AB11" s="184">
        <f t="shared" si="6"/>
        <v>593.19728485953794</v>
      </c>
      <c r="AC11" s="181">
        <f t="shared" si="7"/>
        <v>1</v>
      </c>
      <c r="AD11" s="588"/>
      <c r="AE11" s="187">
        <v>5</v>
      </c>
      <c r="AF11" s="187">
        <v>2965.9864242976901</v>
      </c>
      <c r="AG11" s="184">
        <f t="shared" si="8"/>
        <v>593.19728485953806</v>
      </c>
      <c r="AH11" s="181">
        <f t="shared" si="9"/>
        <v>1</v>
      </c>
      <c r="AI11" s="588"/>
      <c r="AJ11" s="187">
        <v>5</v>
      </c>
      <c r="AK11" s="187">
        <v>2965.3318242976907</v>
      </c>
      <c r="AL11" s="184">
        <f t="shared" si="10"/>
        <v>593.06636485953811</v>
      </c>
      <c r="AM11" s="181">
        <f t="shared" si="11"/>
        <v>1</v>
      </c>
      <c r="AN11" s="588"/>
      <c r="AO11" s="187">
        <v>5</v>
      </c>
      <c r="AP11" s="187">
        <v>2965.6591242976906</v>
      </c>
      <c r="AQ11" s="184">
        <f t="shared" si="12"/>
        <v>593.13182485953814</v>
      </c>
      <c r="AR11" s="181">
        <f t="shared" si="13"/>
        <v>1</v>
      </c>
      <c r="AS11" s="588"/>
      <c r="AT11" s="187">
        <v>5</v>
      </c>
      <c r="AU11" s="187">
        <v>2964.3499242976904</v>
      </c>
      <c r="AV11" s="184">
        <f t="shared" si="14"/>
        <v>592.86998485953814</v>
      </c>
      <c r="AW11" s="181">
        <f t="shared" si="15"/>
        <v>1</v>
      </c>
      <c r="AX11" s="588"/>
    </row>
    <row r="12" spans="1:50" ht="14.25" customHeight="1">
      <c r="B12" s="586"/>
      <c r="C12" s="179">
        <v>6</v>
      </c>
      <c r="D12" s="182" t="s">
        <v>629</v>
      </c>
      <c r="E12" s="179">
        <v>6</v>
      </c>
      <c r="F12" s="179">
        <v>2500</v>
      </c>
      <c r="G12" s="184">
        <f t="shared" si="0"/>
        <v>416.66666666666669</v>
      </c>
      <c r="H12" s="588"/>
      <c r="I12" s="185">
        <f t="shared" si="2"/>
        <v>6</v>
      </c>
      <c r="J12" s="185">
        <f t="shared" si="2"/>
        <v>2188.7124277178118</v>
      </c>
      <c r="K12" s="186">
        <f t="shared" si="2"/>
        <v>364.7854046196353</v>
      </c>
      <c r="L12" s="589"/>
      <c r="M12" s="185">
        <f>RANK(K12, K$7:$K$21)</f>
        <v>5</v>
      </c>
      <c r="N12" s="586"/>
      <c r="O12" s="586"/>
      <c r="P12" s="187">
        <v>6</v>
      </c>
      <c r="Q12" s="187">
        <v>2066.1326005603264</v>
      </c>
      <c r="R12" s="184">
        <f t="shared" si="3"/>
        <v>344.35543342672105</v>
      </c>
      <c r="S12" s="181">
        <f t="shared" si="4"/>
        <v>5</v>
      </c>
      <c r="T12" s="588"/>
      <c r="U12" s="187">
        <v>6</v>
      </c>
      <c r="V12" s="187">
        <v>2108.7977764568732</v>
      </c>
      <c r="W12" s="184">
        <f t="shared" si="1"/>
        <v>351.46629607614551</v>
      </c>
      <c r="X12" s="181">
        <f t="shared" si="5"/>
        <v>5</v>
      </c>
      <c r="Y12" s="588"/>
      <c r="Z12" s="187">
        <v>6</v>
      </c>
      <c r="AA12" s="187">
        <v>2161.9565956141864</v>
      </c>
      <c r="AB12" s="184">
        <f t="shared" si="6"/>
        <v>360.32609926903109</v>
      </c>
      <c r="AC12" s="181">
        <f t="shared" si="7"/>
        <v>5</v>
      </c>
      <c r="AD12" s="588"/>
      <c r="AE12" s="187">
        <v>6</v>
      </c>
      <c r="AF12" s="187">
        <v>2209.3620233559445</v>
      </c>
      <c r="AG12" s="184">
        <f t="shared" si="8"/>
        <v>368.22700389265742</v>
      </c>
      <c r="AH12" s="181">
        <f t="shared" si="9"/>
        <v>5</v>
      </c>
      <c r="AI12" s="588"/>
      <c r="AJ12" s="187">
        <v>6</v>
      </c>
      <c r="AK12" s="187">
        <v>2257.8293326791177</v>
      </c>
      <c r="AL12" s="184">
        <f t="shared" si="10"/>
        <v>376.30488877985294</v>
      </c>
      <c r="AM12" s="181">
        <f t="shared" si="11"/>
        <v>5</v>
      </c>
      <c r="AN12" s="588"/>
      <c r="AO12" s="187">
        <v>6</v>
      </c>
      <c r="AP12" s="187">
        <v>2257.8293326791177</v>
      </c>
      <c r="AQ12" s="184">
        <f t="shared" si="12"/>
        <v>376.30488877985294</v>
      </c>
      <c r="AR12" s="181">
        <f t="shared" si="13"/>
        <v>5</v>
      </c>
      <c r="AS12" s="588"/>
      <c r="AT12" s="187">
        <v>6</v>
      </c>
      <c r="AU12" s="187">
        <v>2259.0793326791177</v>
      </c>
      <c r="AV12" s="184">
        <f t="shared" si="14"/>
        <v>376.51322211318626</v>
      </c>
      <c r="AW12" s="181">
        <f t="shared" si="15"/>
        <v>5</v>
      </c>
      <c r="AX12" s="588"/>
    </row>
    <row r="13" spans="1:50" ht="14.25" customHeight="1">
      <c r="B13" s="586"/>
      <c r="C13" s="179">
        <v>7</v>
      </c>
      <c r="D13" s="182"/>
      <c r="E13" s="179"/>
      <c r="F13" s="179"/>
      <c r="G13" s="184"/>
      <c r="H13" s="588"/>
      <c r="I13" s="185"/>
      <c r="J13" s="185"/>
      <c r="K13" s="186"/>
      <c r="L13" s="589"/>
      <c r="M13" s="185"/>
      <c r="N13" s="586"/>
      <c r="O13" s="586"/>
      <c r="P13" s="187"/>
      <c r="Q13" s="187"/>
      <c r="R13" s="184"/>
      <c r="S13" s="181"/>
      <c r="T13" s="588"/>
      <c r="U13" s="187"/>
      <c r="V13" s="187"/>
      <c r="W13" s="184"/>
      <c r="X13" s="181"/>
      <c r="Y13" s="588"/>
      <c r="Z13" s="187"/>
      <c r="AA13" s="187"/>
      <c r="AB13" s="184"/>
      <c r="AC13" s="181"/>
      <c r="AD13" s="588"/>
      <c r="AE13" s="187"/>
      <c r="AF13" s="187"/>
      <c r="AG13" s="184"/>
      <c r="AH13" s="181"/>
      <c r="AI13" s="588"/>
      <c r="AJ13" s="187"/>
      <c r="AK13" s="187"/>
      <c r="AL13" s="184"/>
      <c r="AM13" s="181"/>
      <c r="AN13" s="588"/>
      <c r="AO13" s="187"/>
      <c r="AP13" s="187"/>
      <c r="AQ13" s="184"/>
      <c r="AR13" s="181"/>
      <c r="AS13" s="588"/>
      <c r="AT13" s="187"/>
      <c r="AU13" s="187"/>
      <c r="AV13" s="184"/>
      <c r="AW13" s="181"/>
      <c r="AX13" s="588"/>
    </row>
    <row r="14" spans="1:50" ht="14.25" customHeight="1">
      <c r="B14" s="586"/>
      <c r="C14" s="179">
        <v>8</v>
      </c>
      <c r="D14" s="182"/>
      <c r="E14" s="179"/>
      <c r="F14" s="179"/>
      <c r="G14" s="184"/>
      <c r="H14" s="588"/>
      <c r="I14" s="185"/>
      <c r="J14" s="185"/>
      <c r="K14" s="186"/>
      <c r="L14" s="589"/>
      <c r="M14" s="185"/>
      <c r="N14" s="586"/>
      <c r="O14" s="586"/>
      <c r="P14" s="187"/>
      <c r="Q14" s="187"/>
      <c r="R14" s="184"/>
      <c r="S14" s="181"/>
      <c r="T14" s="588"/>
      <c r="U14" s="187"/>
      <c r="V14" s="187"/>
      <c r="W14" s="184"/>
      <c r="X14" s="181"/>
      <c r="Y14" s="588"/>
      <c r="Z14" s="187"/>
      <c r="AA14" s="187"/>
      <c r="AB14" s="184"/>
      <c r="AC14" s="181"/>
      <c r="AD14" s="588"/>
      <c r="AE14" s="187"/>
      <c r="AF14" s="187"/>
      <c r="AG14" s="184"/>
      <c r="AH14" s="181"/>
      <c r="AI14" s="588"/>
      <c r="AJ14" s="187"/>
      <c r="AK14" s="187"/>
      <c r="AL14" s="184"/>
      <c r="AM14" s="181"/>
      <c r="AN14" s="588"/>
      <c r="AO14" s="187"/>
      <c r="AP14" s="187"/>
      <c r="AQ14" s="184"/>
      <c r="AR14" s="181"/>
      <c r="AS14" s="588"/>
      <c r="AT14" s="187"/>
      <c r="AU14" s="187"/>
      <c r="AV14" s="184"/>
      <c r="AW14" s="181"/>
      <c r="AX14" s="588"/>
    </row>
    <row r="15" spans="1:50" ht="14.25" customHeight="1">
      <c r="B15" s="586"/>
      <c r="C15" s="179">
        <v>9</v>
      </c>
      <c r="D15" s="182"/>
      <c r="E15" s="179"/>
      <c r="F15" s="179"/>
      <c r="G15" s="184"/>
      <c r="H15" s="588"/>
      <c r="I15" s="185"/>
      <c r="J15" s="185"/>
      <c r="K15" s="186"/>
      <c r="L15" s="589"/>
      <c r="M15" s="185"/>
      <c r="N15" s="586"/>
      <c r="O15" s="586"/>
      <c r="P15" s="187"/>
      <c r="Q15" s="187"/>
      <c r="R15" s="184"/>
      <c r="S15" s="181"/>
      <c r="T15" s="588"/>
      <c r="U15" s="187"/>
      <c r="V15" s="187"/>
      <c r="W15" s="184"/>
      <c r="X15" s="181"/>
      <c r="Y15" s="588"/>
      <c r="Z15" s="187"/>
      <c r="AA15" s="187"/>
      <c r="AB15" s="184"/>
      <c r="AC15" s="181"/>
      <c r="AD15" s="588"/>
      <c r="AE15" s="187"/>
      <c r="AF15" s="187"/>
      <c r="AG15" s="184"/>
      <c r="AH15" s="181"/>
      <c r="AI15" s="588"/>
      <c r="AJ15" s="187"/>
      <c r="AK15" s="187"/>
      <c r="AL15" s="184"/>
      <c r="AM15" s="181"/>
      <c r="AN15" s="588"/>
      <c r="AO15" s="187"/>
      <c r="AP15" s="187"/>
      <c r="AQ15" s="184"/>
      <c r="AR15" s="181"/>
      <c r="AS15" s="588"/>
      <c r="AT15" s="187"/>
      <c r="AU15" s="187"/>
      <c r="AV15" s="184"/>
      <c r="AW15" s="181"/>
      <c r="AX15" s="588"/>
    </row>
    <row r="16" spans="1:50" ht="14.25" customHeight="1">
      <c r="B16" s="586"/>
      <c r="C16" s="179">
        <v>10</v>
      </c>
      <c r="D16" s="182"/>
      <c r="E16" s="179"/>
      <c r="F16" s="179"/>
      <c r="G16" s="184"/>
      <c r="H16" s="588"/>
      <c r="I16" s="185"/>
      <c r="J16" s="185"/>
      <c r="K16" s="186"/>
      <c r="L16" s="589"/>
      <c r="M16" s="185"/>
      <c r="N16" s="586"/>
      <c r="O16" s="586"/>
      <c r="P16" s="187"/>
      <c r="Q16" s="187"/>
      <c r="R16" s="184"/>
      <c r="S16" s="181"/>
      <c r="T16" s="588"/>
      <c r="U16" s="187"/>
      <c r="V16" s="187"/>
      <c r="W16" s="184"/>
      <c r="X16" s="181"/>
      <c r="Y16" s="588"/>
      <c r="Z16" s="187"/>
      <c r="AA16" s="187"/>
      <c r="AB16" s="184"/>
      <c r="AC16" s="181"/>
      <c r="AD16" s="588"/>
      <c r="AE16" s="187"/>
      <c r="AF16" s="187"/>
      <c r="AG16" s="184"/>
      <c r="AH16" s="181"/>
      <c r="AI16" s="588"/>
      <c r="AJ16" s="187"/>
      <c r="AK16" s="187"/>
      <c r="AL16" s="184"/>
      <c r="AM16" s="181"/>
      <c r="AN16" s="588"/>
      <c r="AO16" s="187"/>
      <c r="AP16" s="187"/>
      <c r="AQ16" s="184"/>
      <c r="AR16" s="181"/>
      <c r="AS16" s="588"/>
      <c r="AT16" s="187"/>
      <c r="AU16" s="187"/>
      <c r="AV16" s="184"/>
      <c r="AW16" s="181"/>
      <c r="AX16" s="588"/>
    </row>
    <row r="17" spans="2:50" ht="14.25" customHeight="1">
      <c r="B17" s="586"/>
      <c r="C17" s="179">
        <v>11</v>
      </c>
      <c r="D17" s="182"/>
      <c r="E17" s="179"/>
      <c r="F17" s="179"/>
      <c r="G17" s="184"/>
      <c r="H17" s="588"/>
      <c r="I17" s="185"/>
      <c r="J17" s="185"/>
      <c r="K17" s="186"/>
      <c r="L17" s="589"/>
      <c r="M17" s="185"/>
      <c r="N17" s="586"/>
      <c r="O17" s="586"/>
      <c r="P17" s="187"/>
      <c r="Q17" s="187"/>
      <c r="R17" s="184"/>
      <c r="S17" s="181"/>
      <c r="T17" s="588"/>
      <c r="U17" s="187"/>
      <c r="V17" s="187"/>
      <c r="W17" s="184"/>
      <c r="X17" s="181"/>
      <c r="Y17" s="588"/>
      <c r="Z17" s="187"/>
      <c r="AA17" s="187"/>
      <c r="AB17" s="184"/>
      <c r="AC17" s="181"/>
      <c r="AD17" s="588"/>
      <c r="AE17" s="187"/>
      <c r="AF17" s="187"/>
      <c r="AG17" s="184"/>
      <c r="AH17" s="181"/>
      <c r="AI17" s="588"/>
      <c r="AJ17" s="187"/>
      <c r="AK17" s="187"/>
      <c r="AL17" s="184"/>
      <c r="AM17" s="181"/>
      <c r="AN17" s="588"/>
      <c r="AO17" s="187"/>
      <c r="AP17" s="187"/>
      <c r="AQ17" s="184"/>
      <c r="AR17" s="181"/>
      <c r="AS17" s="588"/>
      <c r="AT17" s="187"/>
      <c r="AU17" s="187"/>
      <c r="AV17" s="184"/>
      <c r="AW17" s="181"/>
      <c r="AX17" s="588"/>
    </row>
    <row r="18" spans="2:50" ht="14.25" customHeight="1">
      <c r="B18" s="586"/>
      <c r="C18" s="179">
        <v>12</v>
      </c>
      <c r="D18" s="182"/>
      <c r="E18" s="179"/>
      <c r="F18" s="179"/>
      <c r="G18" s="184"/>
      <c r="H18" s="588"/>
      <c r="I18" s="185"/>
      <c r="J18" s="185"/>
      <c r="K18" s="186"/>
      <c r="L18" s="589"/>
      <c r="M18" s="185"/>
      <c r="N18" s="586"/>
      <c r="O18" s="586"/>
      <c r="P18" s="187"/>
      <c r="Q18" s="187"/>
      <c r="R18" s="184"/>
      <c r="S18" s="181"/>
      <c r="T18" s="588"/>
      <c r="U18" s="187"/>
      <c r="V18" s="187"/>
      <c r="W18" s="184"/>
      <c r="X18" s="181"/>
      <c r="Y18" s="588"/>
      <c r="Z18" s="187"/>
      <c r="AA18" s="187"/>
      <c r="AB18" s="184"/>
      <c r="AC18" s="181"/>
      <c r="AD18" s="588"/>
      <c r="AE18" s="187"/>
      <c r="AF18" s="187"/>
      <c r="AG18" s="184"/>
      <c r="AH18" s="181"/>
      <c r="AI18" s="588"/>
      <c r="AJ18" s="187"/>
      <c r="AK18" s="187"/>
      <c r="AL18" s="184"/>
      <c r="AM18" s="181"/>
      <c r="AN18" s="588"/>
      <c r="AO18" s="187"/>
      <c r="AP18" s="187"/>
      <c r="AQ18" s="184"/>
      <c r="AR18" s="181"/>
      <c r="AS18" s="588"/>
      <c r="AT18" s="187"/>
      <c r="AU18" s="187"/>
      <c r="AV18" s="184"/>
      <c r="AW18" s="181"/>
      <c r="AX18" s="588"/>
    </row>
    <row r="19" spans="2:50" ht="14.25" customHeight="1">
      <c r="B19" s="586"/>
      <c r="C19" s="179">
        <v>13</v>
      </c>
      <c r="D19" s="182"/>
      <c r="E19" s="179"/>
      <c r="F19" s="179"/>
      <c r="G19" s="184"/>
      <c r="H19" s="588"/>
      <c r="I19" s="185"/>
      <c r="J19" s="185"/>
      <c r="K19" s="186"/>
      <c r="L19" s="589"/>
      <c r="M19" s="185"/>
      <c r="N19" s="586"/>
      <c r="O19" s="586"/>
      <c r="P19" s="187"/>
      <c r="Q19" s="187"/>
      <c r="R19" s="184"/>
      <c r="S19" s="181"/>
      <c r="T19" s="588"/>
      <c r="U19" s="187"/>
      <c r="V19" s="187"/>
      <c r="W19" s="184"/>
      <c r="X19" s="181"/>
      <c r="Y19" s="588"/>
      <c r="Z19" s="187"/>
      <c r="AA19" s="187"/>
      <c r="AB19" s="184"/>
      <c r="AC19" s="181"/>
      <c r="AD19" s="588"/>
      <c r="AE19" s="187"/>
      <c r="AF19" s="187"/>
      <c r="AG19" s="184"/>
      <c r="AH19" s="181"/>
      <c r="AI19" s="588"/>
      <c r="AJ19" s="187"/>
      <c r="AK19" s="187"/>
      <c r="AL19" s="184"/>
      <c r="AM19" s="181"/>
      <c r="AN19" s="588"/>
      <c r="AO19" s="187"/>
      <c r="AP19" s="187"/>
      <c r="AQ19" s="184"/>
      <c r="AR19" s="181"/>
      <c r="AS19" s="588"/>
      <c r="AT19" s="187"/>
      <c r="AU19" s="187"/>
      <c r="AV19" s="184"/>
      <c r="AW19" s="181"/>
      <c r="AX19" s="588"/>
    </row>
    <row r="20" spans="2:50" ht="14.25" customHeight="1">
      <c r="B20" s="586"/>
      <c r="C20" s="179">
        <v>14</v>
      </c>
      <c r="D20" s="182"/>
      <c r="E20" s="179"/>
      <c r="F20" s="179"/>
      <c r="G20" s="184"/>
      <c r="H20" s="588"/>
      <c r="I20" s="185"/>
      <c r="J20" s="185"/>
      <c r="K20" s="186"/>
      <c r="L20" s="589"/>
      <c r="M20" s="185"/>
      <c r="N20" s="586"/>
      <c r="O20" s="586"/>
      <c r="P20" s="187"/>
      <c r="Q20" s="187"/>
      <c r="R20" s="184"/>
      <c r="S20" s="181"/>
      <c r="T20" s="588"/>
      <c r="U20" s="187"/>
      <c r="V20" s="187"/>
      <c r="W20" s="184"/>
      <c r="X20" s="181"/>
      <c r="Y20" s="588"/>
      <c r="Z20" s="187"/>
      <c r="AA20" s="187"/>
      <c r="AB20" s="184"/>
      <c r="AC20" s="181"/>
      <c r="AD20" s="588"/>
      <c r="AE20" s="187"/>
      <c r="AF20" s="187"/>
      <c r="AG20" s="184"/>
      <c r="AH20" s="181"/>
      <c r="AI20" s="588"/>
      <c r="AJ20" s="187"/>
      <c r="AK20" s="187"/>
      <c r="AL20" s="184"/>
      <c r="AM20" s="181"/>
      <c r="AN20" s="588"/>
      <c r="AO20" s="187"/>
      <c r="AP20" s="187"/>
      <c r="AQ20" s="184"/>
      <c r="AR20" s="181"/>
      <c r="AS20" s="588"/>
      <c r="AT20" s="187"/>
      <c r="AU20" s="187"/>
      <c r="AV20" s="184"/>
      <c r="AW20" s="181"/>
      <c r="AX20" s="588"/>
    </row>
    <row r="21" spans="2:50" ht="14.25" customHeight="1">
      <c r="B21" s="586"/>
      <c r="C21" s="179">
        <v>15</v>
      </c>
      <c r="D21" s="182"/>
      <c r="E21" s="179"/>
      <c r="F21" s="179"/>
      <c r="G21" s="184"/>
      <c r="H21" s="588"/>
      <c r="I21" s="185"/>
      <c r="J21" s="185"/>
      <c r="K21" s="186"/>
      <c r="L21" s="589"/>
      <c r="M21" s="185"/>
      <c r="N21" s="586"/>
      <c r="O21" s="586"/>
      <c r="P21" s="187"/>
      <c r="Q21" s="187"/>
      <c r="R21" s="184"/>
      <c r="S21" s="181"/>
      <c r="T21" s="588"/>
      <c r="U21" s="187"/>
      <c r="V21" s="187"/>
      <c r="W21" s="184"/>
      <c r="X21" s="181"/>
      <c r="Y21" s="588"/>
      <c r="Z21" s="187"/>
      <c r="AA21" s="187"/>
      <c r="AB21" s="184"/>
      <c r="AC21" s="181"/>
      <c r="AD21" s="588"/>
      <c r="AE21" s="187"/>
      <c r="AF21" s="187"/>
      <c r="AG21" s="184"/>
      <c r="AH21" s="181"/>
      <c r="AI21" s="588"/>
      <c r="AJ21" s="187"/>
      <c r="AK21" s="187"/>
      <c r="AL21" s="184"/>
      <c r="AM21" s="181"/>
      <c r="AN21" s="588"/>
      <c r="AO21" s="187"/>
      <c r="AP21" s="187"/>
      <c r="AQ21" s="184"/>
      <c r="AR21" s="181"/>
      <c r="AS21" s="588"/>
      <c r="AT21" s="187"/>
      <c r="AU21" s="187"/>
      <c r="AV21" s="184"/>
      <c r="AW21" s="181"/>
      <c r="AX21" s="588"/>
    </row>
    <row r="22" spans="2:50" ht="14.25" customHeight="1" collapsed="1">
      <c r="B22" s="612" t="s">
        <v>689</v>
      </c>
      <c r="C22" s="613"/>
      <c r="D22" s="613"/>
      <c r="E22" s="613"/>
      <c r="F22" s="613"/>
      <c r="G22" s="613"/>
      <c r="H22" s="613"/>
      <c r="I22" s="613"/>
      <c r="J22" s="613"/>
      <c r="K22" s="613"/>
      <c r="L22" s="613"/>
      <c r="M22" s="614"/>
      <c r="N22" s="617" t="s">
        <v>341</v>
      </c>
      <c r="O22" s="617" t="s">
        <v>105</v>
      </c>
      <c r="P22" s="600">
        <v>46238</v>
      </c>
      <c r="Q22" s="601"/>
      <c r="R22" s="601"/>
      <c r="S22" s="601"/>
      <c r="T22" s="601"/>
      <c r="U22" s="602">
        <v>46239</v>
      </c>
      <c r="V22" s="603"/>
      <c r="W22" s="603"/>
      <c r="X22" s="603"/>
      <c r="Y22" s="603"/>
      <c r="Z22" s="600">
        <v>46240</v>
      </c>
      <c r="AA22" s="601"/>
      <c r="AB22" s="601"/>
      <c r="AC22" s="601"/>
      <c r="AD22" s="601"/>
      <c r="AE22" s="602">
        <v>46241</v>
      </c>
      <c r="AF22" s="603"/>
      <c r="AG22" s="603"/>
      <c r="AH22" s="603"/>
      <c r="AI22" s="603"/>
      <c r="AJ22" s="609">
        <v>46242</v>
      </c>
      <c r="AK22" s="610"/>
      <c r="AL22" s="610"/>
      <c r="AM22" s="610"/>
      <c r="AN22" s="611"/>
      <c r="AO22" s="602">
        <v>46243</v>
      </c>
      <c r="AP22" s="603"/>
      <c r="AQ22" s="603"/>
      <c r="AR22" s="603"/>
      <c r="AS22" s="603"/>
      <c r="AT22" s="609">
        <v>46244</v>
      </c>
      <c r="AU22" s="610"/>
      <c r="AV22" s="610"/>
      <c r="AW22" s="610"/>
      <c r="AX22" s="611"/>
    </row>
    <row r="23" spans="2:50" ht="14.25" customHeight="1">
      <c r="B23" s="615"/>
      <c r="C23" s="615"/>
      <c r="D23" s="615"/>
      <c r="E23" s="615"/>
      <c r="F23" s="615"/>
      <c r="G23" s="615"/>
      <c r="H23" s="615"/>
      <c r="I23" s="615"/>
      <c r="J23" s="615"/>
      <c r="K23" s="615"/>
      <c r="L23" s="615"/>
      <c r="M23" s="616"/>
      <c r="N23" s="618"/>
      <c r="O23" s="618"/>
      <c r="P23" s="604">
        <v>46196</v>
      </c>
      <c r="Q23" s="604"/>
      <c r="R23" s="604"/>
      <c r="S23" s="604"/>
      <c r="T23" s="604"/>
      <c r="U23" s="605">
        <v>46197</v>
      </c>
      <c r="V23" s="605"/>
      <c r="W23" s="605"/>
      <c r="X23" s="605"/>
      <c r="Y23" s="605"/>
      <c r="Z23" s="604">
        <v>46198</v>
      </c>
      <c r="AA23" s="604"/>
      <c r="AB23" s="604"/>
      <c r="AC23" s="604"/>
      <c r="AD23" s="604"/>
      <c r="AE23" s="605">
        <v>46199</v>
      </c>
      <c r="AF23" s="605"/>
      <c r="AG23" s="605"/>
      <c r="AH23" s="605"/>
      <c r="AI23" s="605"/>
      <c r="AJ23" s="606">
        <v>46200</v>
      </c>
      <c r="AK23" s="607"/>
      <c r="AL23" s="607"/>
      <c r="AM23" s="607"/>
      <c r="AN23" s="608"/>
      <c r="AO23" s="605">
        <v>46201</v>
      </c>
      <c r="AP23" s="605"/>
      <c r="AQ23" s="605"/>
      <c r="AR23" s="605"/>
      <c r="AS23" s="605"/>
      <c r="AT23" s="606">
        <v>46202</v>
      </c>
      <c r="AU23" s="607"/>
      <c r="AV23" s="607"/>
      <c r="AW23" s="607"/>
      <c r="AX23" s="608"/>
    </row>
    <row r="24" spans="2:50" ht="14.25" customHeight="1">
      <c r="B24" s="586" t="s">
        <v>162</v>
      </c>
      <c r="C24" s="586" t="s">
        <v>157</v>
      </c>
      <c r="D24" s="586"/>
      <c r="E24" s="586" t="s">
        <v>158</v>
      </c>
      <c r="F24" s="586"/>
      <c r="G24" s="586"/>
      <c r="H24" s="586" t="s">
        <v>163</v>
      </c>
      <c r="I24" s="592" t="s">
        <v>342</v>
      </c>
      <c r="J24" s="592"/>
      <c r="K24" s="592"/>
      <c r="L24" s="592" t="s">
        <v>163</v>
      </c>
      <c r="M24" s="592" t="s">
        <v>165</v>
      </c>
      <c r="N24" s="586"/>
      <c r="O24" s="586" t="s">
        <v>164</v>
      </c>
      <c r="P24" s="586" t="s">
        <v>160</v>
      </c>
      <c r="Q24" s="586"/>
      <c r="R24" s="586"/>
      <c r="S24" s="586"/>
      <c r="T24" s="586" t="s">
        <v>163</v>
      </c>
      <c r="U24" s="586" t="s">
        <v>160</v>
      </c>
      <c r="V24" s="586"/>
      <c r="W24" s="586"/>
      <c r="X24" s="586"/>
      <c r="Y24" s="586" t="s">
        <v>163</v>
      </c>
      <c r="Z24" s="586" t="s">
        <v>160</v>
      </c>
      <c r="AA24" s="586"/>
      <c r="AB24" s="586"/>
      <c r="AC24" s="586"/>
      <c r="AD24" s="586" t="s">
        <v>163</v>
      </c>
      <c r="AE24" s="586" t="s">
        <v>160</v>
      </c>
      <c r="AF24" s="586"/>
      <c r="AG24" s="586"/>
      <c r="AH24" s="586"/>
      <c r="AI24" s="586" t="s">
        <v>163</v>
      </c>
      <c r="AJ24" s="586" t="s">
        <v>160</v>
      </c>
      <c r="AK24" s="586"/>
      <c r="AL24" s="586"/>
      <c r="AM24" s="586"/>
      <c r="AN24" s="586" t="s">
        <v>163</v>
      </c>
      <c r="AO24" s="586" t="s">
        <v>160</v>
      </c>
      <c r="AP24" s="586"/>
      <c r="AQ24" s="586"/>
      <c r="AR24" s="586"/>
      <c r="AS24" s="586" t="s">
        <v>163</v>
      </c>
      <c r="AT24" s="586" t="s">
        <v>160</v>
      </c>
      <c r="AU24" s="586"/>
      <c r="AV24" s="586"/>
      <c r="AW24" s="586"/>
      <c r="AX24" s="586" t="s">
        <v>163</v>
      </c>
    </row>
    <row r="25" spans="2:50" ht="14.25" customHeight="1">
      <c r="B25" s="586"/>
      <c r="C25" s="586"/>
      <c r="D25" s="586"/>
      <c r="E25" s="586" t="s">
        <v>343</v>
      </c>
      <c r="F25" s="586"/>
      <c r="G25" s="586"/>
      <c r="H25" s="586"/>
      <c r="I25" s="592" t="s">
        <v>343</v>
      </c>
      <c r="J25" s="592"/>
      <c r="K25" s="592"/>
      <c r="L25" s="592"/>
      <c r="M25" s="592"/>
      <c r="N25" s="586"/>
      <c r="O25" s="586"/>
      <c r="P25" s="586" t="s">
        <v>344</v>
      </c>
      <c r="Q25" s="586"/>
      <c r="R25" s="586"/>
      <c r="S25" s="586"/>
      <c r="T25" s="586"/>
      <c r="U25" s="586" t="s">
        <v>344</v>
      </c>
      <c r="V25" s="586"/>
      <c r="W25" s="586"/>
      <c r="X25" s="586"/>
      <c r="Y25" s="586"/>
      <c r="Z25" s="586" t="s">
        <v>344</v>
      </c>
      <c r="AA25" s="586"/>
      <c r="AB25" s="586"/>
      <c r="AC25" s="586"/>
      <c r="AD25" s="586"/>
      <c r="AE25" s="586" t="s">
        <v>344</v>
      </c>
      <c r="AF25" s="586"/>
      <c r="AG25" s="586"/>
      <c r="AH25" s="586"/>
      <c r="AI25" s="586"/>
      <c r="AJ25" s="586" t="s">
        <v>344</v>
      </c>
      <c r="AK25" s="586"/>
      <c r="AL25" s="586"/>
      <c r="AM25" s="586"/>
      <c r="AN25" s="586"/>
      <c r="AO25" s="586" t="s">
        <v>344</v>
      </c>
      <c r="AP25" s="586"/>
      <c r="AQ25" s="586"/>
      <c r="AR25" s="586"/>
      <c r="AS25" s="586"/>
      <c r="AT25" s="586" t="s">
        <v>344</v>
      </c>
      <c r="AU25" s="586"/>
      <c r="AV25" s="586"/>
      <c r="AW25" s="586"/>
      <c r="AX25" s="586"/>
    </row>
    <row r="26" spans="2:50" ht="14.25" customHeight="1">
      <c r="B26" s="586"/>
      <c r="C26" s="586"/>
      <c r="D26" s="586"/>
      <c r="E26" s="179" t="s">
        <v>159</v>
      </c>
      <c r="F26" s="179" t="s">
        <v>345</v>
      </c>
      <c r="G26" s="179" t="s">
        <v>161</v>
      </c>
      <c r="H26" s="586"/>
      <c r="I26" s="180" t="s">
        <v>159</v>
      </c>
      <c r="J26" s="180" t="s">
        <v>345</v>
      </c>
      <c r="K26" s="180" t="s">
        <v>161</v>
      </c>
      <c r="L26" s="592"/>
      <c r="M26" s="592"/>
      <c r="N26" s="586"/>
      <c r="O26" s="586"/>
      <c r="P26" s="179" t="s">
        <v>159</v>
      </c>
      <c r="Q26" s="179" t="s">
        <v>345</v>
      </c>
      <c r="R26" s="179" t="s">
        <v>161</v>
      </c>
      <c r="S26" s="181" t="s">
        <v>165</v>
      </c>
      <c r="T26" s="586"/>
      <c r="U26" s="179" t="s">
        <v>159</v>
      </c>
      <c r="V26" s="179" t="s">
        <v>345</v>
      </c>
      <c r="W26" s="179" t="s">
        <v>161</v>
      </c>
      <c r="X26" s="181" t="s">
        <v>165</v>
      </c>
      <c r="Y26" s="586"/>
      <c r="Z26" s="179" t="s">
        <v>159</v>
      </c>
      <c r="AA26" s="179" t="s">
        <v>345</v>
      </c>
      <c r="AB26" s="179" t="s">
        <v>161</v>
      </c>
      <c r="AC26" s="181" t="s">
        <v>165</v>
      </c>
      <c r="AD26" s="586"/>
      <c r="AE26" s="179" t="s">
        <v>159</v>
      </c>
      <c r="AF26" s="179" t="s">
        <v>345</v>
      </c>
      <c r="AG26" s="179" t="s">
        <v>161</v>
      </c>
      <c r="AH26" s="181" t="s">
        <v>165</v>
      </c>
      <c r="AI26" s="586"/>
      <c r="AJ26" s="179" t="s">
        <v>159</v>
      </c>
      <c r="AK26" s="179" t="s">
        <v>345</v>
      </c>
      <c r="AL26" s="179" t="s">
        <v>161</v>
      </c>
      <c r="AM26" s="181" t="s">
        <v>165</v>
      </c>
      <c r="AN26" s="586"/>
      <c r="AO26" s="179" t="s">
        <v>159</v>
      </c>
      <c r="AP26" s="179" t="s">
        <v>345</v>
      </c>
      <c r="AQ26" s="179" t="s">
        <v>161</v>
      </c>
      <c r="AR26" s="181" t="s">
        <v>165</v>
      </c>
      <c r="AS26" s="586"/>
      <c r="AT26" s="179" t="s">
        <v>159</v>
      </c>
      <c r="AU26" s="179" t="s">
        <v>345</v>
      </c>
      <c r="AV26" s="179" t="s">
        <v>161</v>
      </c>
      <c r="AW26" s="181" t="s">
        <v>165</v>
      </c>
      <c r="AX26" s="586"/>
    </row>
    <row r="27" spans="2:50" ht="14.25" customHeight="1">
      <c r="B27" s="586" t="s">
        <v>348</v>
      </c>
      <c r="C27" s="179">
        <v>1</v>
      </c>
      <c r="D27" s="182" t="s">
        <v>530</v>
      </c>
      <c r="E27" s="183">
        <v>5</v>
      </c>
      <c r="F27" s="179">
        <v>3273</v>
      </c>
      <c r="G27" s="184">
        <f t="shared" ref="G27:G32" si="16">IFERROR(F27/E27,"")</f>
        <v>654.6</v>
      </c>
      <c r="H27" s="588">
        <f>AVERAGE(G27:G41)</f>
        <v>505.14444444444439</v>
      </c>
      <c r="I27" s="185">
        <f>AVERAGE(P27,U27,Z27,AE27,AJ27,AO27,AT27)</f>
        <v>6</v>
      </c>
      <c r="J27" s="185">
        <f>AVERAGE(Q27,V27,AA27,AF27,AK27,AP27,AU27)</f>
        <v>2962.2497204493293</v>
      </c>
      <c r="K27" s="186">
        <f>AVERAGE(R27,W27,AB27,AG27,AL27,AQ27,AV27)</f>
        <v>493.7082867415549</v>
      </c>
      <c r="L27" s="589">
        <f>IFERROR(AVERAGE(K27:K41),"-")</f>
        <v>440.04309522832699</v>
      </c>
      <c r="M27" s="185">
        <f>RANK(K27, K$27:$K$41)</f>
        <v>4</v>
      </c>
      <c r="N27" s="586"/>
      <c r="O27" s="586"/>
      <c r="P27" s="187">
        <v>6</v>
      </c>
      <c r="Q27" s="187">
        <v>2963.2783775921862</v>
      </c>
      <c r="R27" s="184">
        <f>IFERROR(Q27/P27,"")</f>
        <v>493.87972959869768</v>
      </c>
      <c r="S27" s="181">
        <f>RANK(R27, R$27:R$41)</f>
        <v>4</v>
      </c>
      <c r="T27" s="588">
        <f>AVERAGE(R27:R41)</f>
        <v>440.24523602009458</v>
      </c>
      <c r="U27" s="187">
        <v>6</v>
      </c>
      <c r="V27" s="187">
        <v>2961.6418775921866</v>
      </c>
      <c r="W27" s="184">
        <f t="shared" ref="W27:W32" si="17">IFERROR(V27/U27,"")</f>
        <v>493.60697959869776</v>
      </c>
      <c r="X27" s="181">
        <f>RANK(W27, W$27:W$41)</f>
        <v>4</v>
      </c>
      <c r="Y27" s="588">
        <f>AVERAGE(W27:W41)</f>
        <v>440.07660990898347</v>
      </c>
      <c r="Z27" s="187">
        <v>6</v>
      </c>
      <c r="AA27" s="187">
        <v>2963.2783775921862</v>
      </c>
      <c r="AB27" s="184">
        <f>IFERROR(AA27/Z27,"")</f>
        <v>493.87972959869768</v>
      </c>
      <c r="AC27" s="181">
        <f>RANK(AB27, AB$27:AB$41)</f>
        <v>4</v>
      </c>
      <c r="AD27" s="588">
        <f>AVERAGE(AB27:AB41)</f>
        <v>440.08051824231683</v>
      </c>
      <c r="AE27" s="187">
        <v>6</v>
      </c>
      <c r="AF27" s="187">
        <v>2962.9510775921863</v>
      </c>
      <c r="AG27" s="184">
        <f>IFERROR(AF27/AE27,"")</f>
        <v>493.82517959869773</v>
      </c>
      <c r="AH27" s="181">
        <f>RANK(AG27, AG$27:AG$41)</f>
        <v>4</v>
      </c>
      <c r="AI27" s="588">
        <f>AVERAGE(AG27:AG41)</f>
        <v>439.99916879787247</v>
      </c>
      <c r="AJ27" s="187">
        <v>6</v>
      </c>
      <c r="AK27" s="187">
        <v>2962.6237775921863</v>
      </c>
      <c r="AL27" s="184">
        <f>IFERROR(AK27/AJ27,"")</f>
        <v>493.77062959869772</v>
      </c>
      <c r="AM27" s="181">
        <f>RANK(AL27, AL$27:AL$41)</f>
        <v>4</v>
      </c>
      <c r="AN27" s="588">
        <f>AVERAGE(AL27:AL41)</f>
        <v>439.94387789409546</v>
      </c>
      <c r="AO27" s="187">
        <v>6</v>
      </c>
      <c r="AP27" s="187">
        <v>2960.6599775921868</v>
      </c>
      <c r="AQ27" s="184">
        <f>IFERROR(AP27/AO27,"")</f>
        <v>493.4433295986978</v>
      </c>
      <c r="AR27" s="181">
        <f>RANK(AQ27, AQ$27:AQ$41)</f>
        <v>4</v>
      </c>
      <c r="AS27" s="588">
        <f>AVERAGE(AQ27:AQ41)</f>
        <v>439.84668525306478</v>
      </c>
      <c r="AT27" s="187">
        <v>6</v>
      </c>
      <c r="AU27" s="187">
        <v>2961.3145775921867</v>
      </c>
      <c r="AV27" s="184">
        <f>IFERROR(AU27/AT27,"")</f>
        <v>493.55242959869776</v>
      </c>
      <c r="AW27" s="181">
        <f>RANK(AV27, AV$27:AV$41)</f>
        <v>4</v>
      </c>
      <c r="AX27" s="588">
        <f>AVERAGE(AV27:AV41)</f>
        <v>440.10957048186123</v>
      </c>
    </row>
    <row r="28" spans="2:50" ht="14.25" customHeight="1">
      <c r="B28" s="586"/>
      <c r="C28" s="179">
        <v>2</v>
      </c>
      <c r="D28" s="182" t="s">
        <v>523</v>
      </c>
      <c r="E28" s="179">
        <v>6</v>
      </c>
      <c r="F28" s="179">
        <v>3600</v>
      </c>
      <c r="G28" s="184">
        <f t="shared" si="16"/>
        <v>600</v>
      </c>
      <c r="H28" s="588"/>
      <c r="I28" s="185">
        <f t="shared" ref="I28:K32" si="18">AVERAGE(P28,U28,Z28,AE28,AJ28,AO28,AT28)</f>
        <v>6</v>
      </c>
      <c r="J28" s="185">
        <f t="shared" si="18"/>
        <v>3249.9227603417289</v>
      </c>
      <c r="K28" s="186">
        <f t="shared" si="18"/>
        <v>541.65379339028834</v>
      </c>
      <c r="L28" s="589"/>
      <c r="M28" s="185">
        <f>RANK(K28, K$27:$K$41)</f>
        <v>3</v>
      </c>
      <c r="N28" s="586"/>
      <c r="O28" s="586"/>
      <c r="P28" s="187">
        <v>6</v>
      </c>
      <c r="Q28" s="187">
        <v>3251.8800000000015</v>
      </c>
      <c r="R28" s="184">
        <f t="shared" ref="R28:R32" si="19">IFERROR(Q28/P28,"")</f>
        <v>541.98000000000025</v>
      </c>
      <c r="S28" s="181">
        <f t="shared" ref="S28:S32" si="20">RANK(R28, R$27:R$41)</f>
        <v>2</v>
      </c>
      <c r="T28" s="588"/>
      <c r="U28" s="187">
        <v>6</v>
      </c>
      <c r="V28" s="187">
        <v>3250.8000000000011</v>
      </c>
      <c r="W28" s="184">
        <f t="shared" si="17"/>
        <v>541.80000000000018</v>
      </c>
      <c r="X28" s="181">
        <f t="shared" ref="X28:X32" si="21">RANK(W28, W$27:W$41)</f>
        <v>2</v>
      </c>
      <c r="Y28" s="588"/>
      <c r="Z28" s="187">
        <v>6</v>
      </c>
      <c r="AA28" s="187">
        <v>3250.4400000000014</v>
      </c>
      <c r="AB28" s="184">
        <f t="shared" ref="AB28:AB32" si="22">IFERROR(AA28/Z28,"")</f>
        <v>541.74000000000024</v>
      </c>
      <c r="AC28" s="181">
        <f t="shared" ref="AC28:AC32" si="23">RANK(AB28, AB$27:AB$41)</f>
        <v>2</v>
      </c>
      <c r="AD28" s="588"/>
      <c r="AE28" s="187">
        <v>6</v>
      </c>
      <c r="AF28" s="187">
        <v>3249.0000000000014</v>
      </c>
      <c r="AG28" s="184">
        <f t="shared" ref="AG28:AG32" si="24">IFERROR(AF28/AE28,"")</f>
        <v>541.50000000000023</v>
      </c>
      <c r="AH28" s="181">
        <f t="shared" ref="AH28:AH32" si="25">RANK(AG28, AG$27:AG$41)</f>
        <v>3</v>
      </c>
      <c r="AI28" s="588"/>
      <c r="AJ28" s="187">
        <v>6</v>
      </c>
      <c r="AK28" s="187">
        <v>3250.3131074640328</v>
      </c>
      <c r="AL28" s="184">
        <f t="shared" ref="AL28:AL32" si="26">IFERROR(AK28/AJ28,"")</f>
        <v>541.71885124400546</v>
      </c>
      <c r="AM28" s="181">
        <f t="shared" ref="AM28:AM32" si="27">RANK(AL28, AL$27:AL$41)</f>
        <v>2</v>
      </c>
      <c r="AN28" s="588"/>
      <c r="AO28" s="187">
        <v>6</v>
      </c>
      <c r="AP28" s="187">
        <v>3249.2331074640338</v>
      </c>
      <c r="AQ28" s="184">
        <f t="shared" ref="AQ28:AQ32" si="28">IFERROR(AP28/AO28,"")</f>
        <v>541.53885124400563</v>
      </c>
      <c r="AR28" s="181">
        <f t="shared" ref="AR28:AR32" si="29">RANK(AQ28, AQ$27:AQ$41)</f>
        <v>3</v>
      </c>
      <c r="AS28" s="588"/>
      <c r="AT28" s="187">
        <v>6</v>
      </c>
      <c r="AU28" s="187">
        <v>3247.7931074640346</v>
      </c>
      <c r="AV28" s="184">
        <f t="shared" ref="AV28:AV32" si="30">IFERROR(AU28/AT28,"")</f>
        <v>541.29885124400573</v>
      </c>
      <c r="AW28" s="181">
        <f t="shared" ref="AW28:AW32" si="31">RANK(AV28, AV$27:AV$41)</f>
        <v>3</v>
      </c>
      <c r="AX28" s="588"/>
    </row>
    <row r="29" spans="2:50" ht="14.25" customHeight="1">
      <c r="B29" s="586"/>
      <c r="C29" s="179">
        <v>3</v>
      </c>
      <c r="D29" s="182" t="s">
        <v>524</v>
      </c>
      <c r="E29" s="179">
        <v>6</v>
      </c>
      <c r="F29" s="179">
        <v>3600</v>
      </c>
      <c r="G29" s="184">
        <f t="shared" si="16"/>
        <v>600</v>
      </c>
      <c r="H29" s="588"/>
      <c r="I29" s="185">
        <f t="shared" si="18"/>
        <v>6</v>
      </c>
      <c r="J29" s="185">
        <f t="shared" si="18"/>
        <v>3250.1502046015921</v>
      </c>
      <c r="K29" s="186">
        <f t="shared" si="18"/>
        <v>541.69170076693206</v>
      </c>
      <c r="L29" s="589"/>
      <c r="M29" s="185">
        <f>RANK(K29, K$27:$K$41)</f>
        <v>2</v>
      </c>
      <c r="N29" s="586"/>
      <c r="O29" s="586"/>
      <c r="P29" s="187">
        <v>6</v>
      </c>
      <c r="Q29" s="187">
        <v>3249.8873746236236</v>
      </c>
      <c r="R29" s="184">
        <f t="shared" si="19"/>
        <v>541.6478957706039</v>
      </c>
      <c r="S29" s="181">
        <f t="shared" si="20"/>
        <v>3</v>
      </c>
      <c r="T29" s="588"/>
      <c r="U29" s="187">
        <v>6</v>
      </c>
      <c r="V29" s="187">
        <v>3249.1673746236229</v>
      </c>
      <c r="W29" s="184">
        <f t="shared" si="17"/>
        <v>541.52789577060378</v>
      </c>
      <c r="X29" s="181">
        <f t="shared" si="21"/>
        <v>3</v>
      </c>
      <c r="Y29" s="588"/>
      <c r="Z29" s="187">
        <v>6</v>
      </c>
      <c r="AA29" s="187">
        <v>3250.2473746236228</v>
      </c>
      <c r="AB29" s="184">
        <f t="shared" si="22"/>
        <v>541.70789577060384</v>
      </c>
      <c r="AC29" s="181">
        <f t="shared" si="23"/>
        <v>3</v>
      </c>
      <c r="AD29" s="588"/>
      <c r="AE29" s="187">
        <v>6</v>
      </c>
      <c r="AF29" s="187">
        <v>3251.3273746236227</v>
      </c>
      <c r="AG29" s="184">
        <f t="shared" si="24"/>
        <v>541.88789577060379</v>
      </c>
      <c r="AH29" s="181">
        <f t="shared" si="25"/>
        <v>2</v>
      </c>
      <c r="AI29" s="588"/>
      <c r="AJ29" s="187">
        <v>6</v>
      </c>
      <c r="AK29" s="187">
        <v>3249.5273746236235</v>
      </c>
      <c r="AL29" s="184">
        <f t="shared" si="26"/>
        <v>541.58789577060395</v>
      </c>
      <c r="AM29" s="181">
        <f t="shared" si="27"/>
        <v>3</v>
      </c>
      <c r="AN29" s="588"/>
      <c r="AO29" s="187">
        <v>6</v>
      </c>
      <c r="AP29" s="187">
        <v>3250.2672795465146</v>
      </c>
      <c r="AQ29" s="184">
        <f t="shared" si="28"/>
        <v>541.71121325775243</v>
      </c>
      <c r="AR29" s="181">
        <f t="shared" si="29"/>
        <v>2</v>
      </c>
      <c r="AS29" s="588"/>
      <c r="AT29" s="187">
        <v>6</v>
      </c>
      <c r="AU29" s="187">
        <v>3250.6272795465143</v>
      </c>
      <c r="AV29" s="184">
        <f t="shared" si="30"/>
        <v>541.77121325775238</v>
      </c>
      <c r="AW29" s="181">
        <f t="shared" si="31"/>
        <v>2</v>
      </c>
      <c r="AX29" s="588"/>
    </row>
    <row r="30" spans="2:50" ht="14.25" customHeight="1">
      <c r="B30" s="586"/>
      <c r="C30" s="179">
        <v>4</v>
      </c>
      <c r="D30" s="182" t="s">
        <v>535</v>
      </c>
      <c r="E30" s="179">
        <v>20</v>
      </c>
      <c r="F30" s="179">
        <v>2100</v>
      </c>
      <c r="G30" s="184">
        <f t="shared" si="16"/>
        <v>105</v>
      </c>
      <c r="H30" s="588"/>
      <c r="I30" s="185">
        <f t="shared" si="18"/>
        <v>20</v>
      </c>
      <c r="J30" s="185">
        <f t="shared" si="18"/>
        <v>1892.7083422374965</v>
      </c>
      <c r="K30" s="186">
        <f t="shared" si="18"/>
        <v>94.635417111874844</v>
      </c>
      <c r="L30" s="589"/>
      <c r="M30" s="185">
        <f>RANK(K30, K$27:$K$41)</f>
        <v>6</v>
      </c>
      <c r="N30" s="586"/>
      <c r="O30" s="586"/>
      <c r="P30" s="187">
        <v>20</v>
      </c>
      <c r="Q30" s="187">
        <v>1893.2783422374964</v>
      </c>
      <c r="R30" s="184">
        <f t="shared" si="19"/>
        <v>94.663917111874824</v>
      </c>
      <c r="S30" s="181">
        <f t="shared" si="20"/>
        <v>6</v>
      </c>
      <c r="T30" s="588"/>
      <c r="U30" s="187">
        <v>20</v>
      </c>
      <c r="V30" s="187">
        <v>1893.0683422374964</v>
      </c>
      <c r="W30" s="184">
        <f t="shared" si="17"/>
        <v>94.653417111874816</v>
      </c>
      <c r="X30" s="181">
        <f t="shared" si="21"/>
        <v>6</v>
      </c>
      <c r="Y30" s="588"/>
      <c r="Z30" s="187">
        <v>20</v>
      </c>
      <c r="AA30" s="187">
        <v>1892.2283422374965</v>
      </c>
      <c r="AB30" s="184">
        <f t="shared" si="22"/>
        <v>94.611417111874829</v>
      </c>
      <c r="AC30" s="181">
        <f t="shared" si="23"/>
        <v>6</v>
      </c>
      <c r="AD30" s="588"/>
      <c r="AE30" s="187">
        <v>20</v>
      </c>
      <c r="AF30" s="187">
        <v>1892.0183422374969</v>
      </c>
      <c r="AG30" s="184">
        <f t="shared" si="24"/>
        <v>94.60091711187485</v>
      </c>
      <c r="AH30" s="181">
        <f t="shared" si="25"/>
        <v>6</v>
      </c>
      <c r="AI30" s="588"/>
      <c r="AJ30" s="187">
        <v>20</v>
      </c>
      <c r="AK30" s="187">
        <v>1892.858342237497</v>
      </c>
      <c r="AL30" s="184">
        <f t="shared" si="26"/>
        <v>94.642917111874851</v>
      </c>
      <c r="AM30" s="181">
        <f t="shared" si="27"/>
        <v>6</v>
      </c>
      <c r="AN30" s="588"/>
      <c r="AO30" s="187">
        <v>20</v>
      </c>
      <c r="AP30" s="187">
        <v>1893.2783422374966</v>
      </c>
      <c r="AQ30" s="184">
        <f t="shared" si="28"/>
        <v>94.663917111874838</v>
      </c>
      <c r="AR30" s="181">
        <f t="shared" si="29"/>
        <v>6</v>
      </c>
      <c r="AS30" s="588"/>
      <c r="AT30" s="187">
        <v>20</v>
      </c>
      <c r="AU30" s="187">
        <v>1892.2283422374967</v>
      </c>
      <c r="AV30" s="184">
        <f t="shared" si="30"/>
        <v>94.611417111874829</v>
      </c>
      <c r="AW30" s="181">
        <f t="shared" si="31"/>
        <v>6</v>
      </c>
      <c r="AX30" s="588"/>
    </row>
    <row r="31" spans="2:50" ht="14.25" customHeight="1">
      <c r="B31" s="586"/>
      <c r="C31" s="179">
        <v>5</v>
      </c>
      <c r="D31" s="182" t="s">
        <v>543</v>
      </c>
      <c r="E31" s="179">
        <v>5</v>
      </c>
      <c r="F31" s="179">
        <v>3273</v>
      </c>
      <c r="G31" s="184">
        <f t="shared" si="16"/>
        <v>654.6</v>
      </c>
      <c r="H31" s="588"/>
      <c r="I31" s="185">
        <f t="shared" si="18"/>
        <v>5</v>
      </c>
      <c r="J31" s="185">
        <f t="shared" si="18"/>
        <v>2961.8581371830091</v>
      </c>
      <c r="K31" s="186">
        <f t="shared" si="18"/>
        <v>592.37162743660178</v>
      </c>
      <c r="L31" s="589"/>
      <c r="M31" s="185">
        <f>RANK(K31, K$27:$K$41)</f>
        <v>1</v>
      </c>
      <c r="N31" s="586"/>
      <c r="O31" s="586"/>
      <c r="P31" s="187">
        <v>5</v>
      </c>
      <c r="Q31" s="187">
        <v>2964.3499242976904</v>
      </c>
      <c r="R31" s="184">
        <f t="shared" si="19"/>
        <v>592.86998485953814</v>
      </c>
      <c r="S31" s="181">
        <f t="shared" si="20"/>
        <v>1</v>
      </c>
      <c r="T31" s="588"/>
      <c r="U31" s="187">
        <v>5</v>
      </c>
      <c r="V31" s="187">
        <v>2963.0407242976912</v>
      </c>
      <c r="W31" s="184">
        <f t="shared" si="17"/>
        <v>592.60814485953824</v>
      </c>
      <c r="X31" s="181">
        <f t="shared" si="21"/>
        <v>1</v>
      </c>
      <c r="Y31" s="588"/>
      <c r="Z31" s="187">
        <v>5</v>
      </c>
      <c r="AA31" s="187">
        <v>2961.4042242976911</v>
      </c>
      <c r="AB31" s="184">
        <f t="shared" si="22"/>
        <v>592.28084485953821</v>
      </c>
      <c r="AC31" s="181">
        <f t="shared" si="23"/>
        <v>1</v>
      </c>
      <c r="AD31" s="588"/>
      <c r="AE31" s="187">
        <v>5</v>
      </c>
      <c r="AF31" s="187">
        <v>2960.4223242976909</v>
      </c>
      <c r="AG31" s="184">
        <f t="shared" si="24"/>
        <v>592.08446485953823</v>
      </c>
      <c r="AH31" s="181">
        <f t="shared" si="25"/>
        <v>1</v>
      </c>
      <c r="AI31" s="588"/>
      <c r="AJ31" s="187">
        <v>5</v>
      </c>
      <c r="AK31" s="187">
        <v>2959.4404242976912</v>
      </c>
      <c r="AL31" s="184">
        <f t="shared" si="26"/>
        <v>591.88808485953825</v>
      </c>
      <c r="AM31" s="181">
        <f t="shared" si="27"/>
        <v>1</v>
      </c>
      <c r="AN31" s="588"/>
      <c r="AO31" s="187">
        <v>5</v>
      </c>
      <c r="AP31" s="187">
        <v>2958.1312242976915</v>
      </c>
      <c r="AQ31" s="184">
        <f t="shared" si="28"/>
        <v>591.62624485953825</v>
      </c>
      <c r="AR31" s="181">
        <f t="shared" si="29"/>
        <v>1</v>
      </c>
      <c r="AS31" s="588"/>
      <c r="AT31" s="187">
        <v>5</v>
      </c>
      <c r="AU31" s="187">
        <v>2966.21811449492</v>
      </c>
      <c r="AV31" s="184">
        <f t="shared" si="30"/>
        <v>593.24362289898397</v>
      </c>
      <c r="AW31" s="181">
        <f t="shared" si="31"/>
        <v>1</v>
      </c>
      <c r="AX31" s="588"/>
    </row>
    <row r="32" spans="2:50" ht="14.25" customHeight="1">
      <c r="B32" s="586"/>
      <c r="C32" s="179">
        <v>6</v>
      </c>
      <c r="D32" s="182" t="s">
        <v>629</v>
      </c>
      <c r="E32" s="179">
        <v>6</v>
      </c>
      <c r="F32" s="179">
        <v>2500</v>
      </c>
      <c r="G32" s="184">
        <f t="shared" si="16"/>
        <v>416.66666666666669</v>
      </c>
      <c r="H32" s="588"/>
      <c r="I32" s="185">
        <f t="shared" si="18"/>
        <v>6</v>
      </c>
      <c r="J32" s="185">
        <f t="shared" si="18"/>
        <v>2257.1864755362599</v>
      </c>
      <c r="K32" s="186">
        <f t="shared" si="18"/>
        <v>376.19774592271</v>
      </c>
      <c r="L32" s="589"/>
      <c r="M32" s="185">
        <f>RANK(K32, K$27:$K$41)</f>
        <v>5</v>
      </c>
      <c r="N32" s="586"/>
      <c r="O32" s="586"/>
      <c r="P32" s="187">
        <v>6</v>
      </c>
      <c r="Q32" s="187">
        <v>2258.5793326791177</v>
      </c>
      <c r="R32" s="184">
        <f t="shared" si="19"/>
        <v>376.42988877985294</v>
      </c>
      <c r="S32" s="181">
        <f t="shared" si="20"/>
        <v>5</v>
      </c>
      <c r="T32" s="588"/>
      <c r="U32" s="187">
        <v>6</v>
      </c>
      <c r="V32" s="187">
        <v>2257.5793326791172</v>
      </c>
      <c r="W32" s="184">
        <f t="shared" si="17"/>
        <v>376.2632221131862</v>
      </c>
      <c r="X32" s="181">
        <f t="shared" si="21"/>
        <v>5</v>
      </c>
      <c r="Y32" s="588"/>
      <c r="Z32" s="187">
        <v>6</v>
      </c>
      <c r="AA32" s="187">
        <v>2257.5793326791172</v>
      </c>
      <c r="AB32" s="184">
        <f t="shared" si="22"/>
        <v>376.2632221131862</v>
      </c>
      <c r="AC32" s="181">
        <f t="shared" si="23"/>
        <v>5</v>
      </c>
      <c r="AD32" s="588"/>
      <c r="AE32" s="187">
        <v>6</v>
      </c>
      <c r="AF32" s="187">
        <v>2256.5793326791172</v>
      </c>
      <c r="AG32" s="184">
        <f t="shared" si="24"/>
        <v>376.09655544651952</v>
      </c>
      <c r="AH32" s="181">
        <f t="shared" si="25"/>
        <v>5</v>
      </c>
      <c r="AI32" s="588"/>
      <c r="AJ32" s="187">
        <v>6</v>
      </c>
      <c r="AK32" s="187">
        <v>2256.3293326791177</v>
      </c>
      <c r="AL32" s="184">
        <f t="shared" si="26"/>
        <v>376.05488877985294</v>
      </c>
      <c r="AM32" s="181">
        <f t="shared" si="27"/>
        <v>5</v>
      </c>
      <c r="AN32" s="588"/>
      <c r="AO32" s="187">
        <v>6</v>
      </c>
      <c r="AP32" s="187">
        <v>2256.5793326791172</v>
      </c>
      <c r="AQ32" s="184">
        <f t="shared" si="28"/>
        <v>376.09655544651952</v>
      </c>
      <c r="AR32" s="181">
        <f t="shared" si="29"/>
        <v>5</v>
      </c>
      <c r="AS32" s="588"/>
      <c r="AT32" s="187">
        <v>6</v>
      </c>
      <c r="AU32" s="187">
        <v>2257.0793326791172</v>
      </c>
      <c r="AV32" s="184">
        <f t="shared" si="30"/>
        <v>376.17988877985289</v>
      </c>
      <c r="AW32" s="181">
        <f t="shared" si="31"/>
        <v>5</v>
      </c>
      <c r="AX32" s="588"/>
    </row>
    <row r="33" spans="2:50" ht="14.25" customHeight="1">
      <c r="B33" s="586"/>
      <c r="C33" s="179">
        <v>7</v>
      </c>
      <c r="D33" s="182"/>
      <c r="E33" s="179"/>
      <c r="F33" s="179"/>
      <c r="G33" s="184"/>
      <c r="H33" s="588"/>
      <c r="I33" s="185"/>
      <c r="J33" s="185"/>
      <c r="K33" s="186"/>
      <c r="L33" s="589"/>
      <c r="M33" s="185"/>
      <c r="N33" s="586"/>
      <c r="O33" s="586"/>
      <c r="P33" s="187"/>
      <c r="Q33" s="187"/>
      <c r="R33" s="184"/>
      <c r="S33" s="181"/>
      <c r="T33" s="588"/>
      <c r="U33" s="187"/>
      <c r="V33" s="187"/>
      <c r="W33" s="184"/>
      <c r="X33" s="181"/>
      <c r="Y33" s="588"/>
      <c r="Z33" s="187"/>
      <c r="AA33" s="187"/>
      <c r="AB33" s="184"/>
      <c r="AC33" s="181"/>
      <c r="AD33" s="588"/>
      <c r="AE33" s="187"/>
      <c r="AF33" s="187"/>
      <c r="AG33" s="184"/>
      <c r="AH33" s="181"/>
      <c r="AI33" s="588"/>
      <c r="AJ33" s="187"/>
      <c r="AK33" s="187"/>
      <c r="AL33" s="184"/>
      <c r="AM33" s="181"/>
      <c r="AN33" s="588"/>
      <c r="AO33" s="187"/>
      <c r="AP33" s="187"/>
      <c r="AQ33" s="184"/>
      <c r="AR33" s="181"/>
      <c r="AS33" s="588"/>
      <c r="AT33" s="187"/>
      <c r="AU33" s="187"/>
      <c r="AV33" s="184"/>
      <c r="AW33" s="181"/>
      <c r="AX33" s="588"/>
    </row>
    <row r="34" spans="2:50" ht="14.25" customHeight="1">
      <c r="B34" s="586"/>
      <c r="C34" s="179">
        <v>8</v>
      </c>
      <c r="D34" s="182"/>
      <c r="E34" s="179"/>
      <c r="F34" s="179"/>
      <c r="G34" s="184"/>
      <c r="H34" s="588"/>
      <c r="I34" s="185"/>
      <c r="J34" s="185"/>
      <c r="K34" s="186"/>
      <c r="L34" s="589"/>
      <c r="M34" s="185"/>
      <c r="N34" s="586"/>
      <c r="O34" s="586"/>
      <c r="P34" s="187"/>
      <c r="Q34" s="187"/>
      <c r="R34" s="184"/>
      <c r="S34" s="181"/>
      <c r="T34" s="588"/>
      <c r="U34" s="187"/>
      <c r="V34" s="187"/>
      <c r="W34" s="184"/>
      <c r="X34" s="181"/>
      <c r="Y34" s="588"/>
      <c r="Z34" s="187"/>
      <c r="AA34" s="187"/>
      <c r="AB34" s="184"/>
      <c r="AC34" s="181"/>
      <c r="AD34" s="588"/>
      <c r="AE34" s="187"/>
      <c r="AF34" s="187"/>
      <c r="AG34" s="184"/>
      <c r="AH34" s="181"/>
      <c r="AI34" s="588"/>
      <c r="AJ34" s="187"/>
      <c r="AK34" s="187"/>
      <c r="AL34" s="184"/>
      <c r="AM34" s="181"/>
      <c r="AN34" s="588"/>
      <c r="AO34" s="187"/>
      <c r="AP34" s="187"/>
      <c r="AQ34" s="184"/>
      <c r="AR34" s="181"/>
      <c r="AS34" s="588"/>
      <c r="AT34" s="187"/>
      <c r="AU34" s="187"/>
      <c r="AV34" s="184"/>
      <c r="AW34" s="181"/>
      <c r="AX34" s="588"/>
    </row>
    <row r="35" spans="2:50" ht="14.25" customHeight="1">
      <c r="B35" s="586"/>
      <c r="C35" s="179">
        <v>9</v>
      </c>
      <c r="D35" s="182"/>
      <c r="E35" s="179"/>
      <c r="F35" s="179"/>
      <c r="G35" s="184"/>
      <c r="H35" s="588"/>
      <c r="I35" s="185"/>
      <c r="J35" s="185"/>
      <c r="K35" s="186"/>
      <c r="L35" s="589"/>
      <c r="M35" s="185"/>
      <c r="N35" s="586"/>
      <c r="O35" s="586"/>
      <c r="P35" s="187"/>
      <c r="Q35" s="187"/>
      <c r="R35" s="184"/>
      <c r="S35" s="181"/>
      <c r="T35" s="588"/>
      <c r="U35" s="187"/>
      <c r="V35" s="187"/>
      <c r="W35" s="184"/>
      <c r="X35" s="181"/>
      <c r="Y35" s="588"/>
      <c r="Z35" s="187"/>
      <c r="AA35" s="187"/>
      <c r="AB35" s="184"/>
      <c r="AC35" s="181"/>
      <c r="AD35" s="588"/>
      <c r="AE35" s="187"/>
      <c r="AF35" s="187"/>
      <c r="AG35" s="184"/>
      <c r="AH35" s="181"/>
      <c r="AI35" s="588"/>
      <c r="AJ35" s="187"/>
      <c r="AK35" s="187"/>
      <c r="AL35" s="184"/>
      <c r="AM35" s="181"/>
      <c r="AN35" s="588"/>
      <c r="AO35" s="187"/>
      <c r="AP35" s="187"/>
      <c r="AQ35" s="184"/>
      <c r="AR35" s="181"/>
      <c r="AS35" s="588"/>
      <c r="AT35" s="187"/>
      <c r="AU35" s="187"/>
      <c r="AV35" s="184"/>
      <c r="AW35" s="181"/>
      <c r="AX35" s="588"/>
    </row>
    <row r="36" spans="2:50" ht="14.25" customHeight="1">
      <c r="B36" s="586"/>
      <c r="C36" s="179">
        <v>10</v>
      </c>
      <c r="D36" s="182"/>
      <c r="E36" s="179"/>
      <c r="F36" s="179"/>
      <c r="G36" s="184"/>
      <c r="H36" s="588"/>
      <c r="I36" s="185"/>
      <c r="J36" s="185"/>
      <c r="K36" s="186"/>
      <c r="L36" s="589"/>
      <c r="M36" s="185"/>
      <c r="N36" s="586"/>
      <c r="O36" s="586"/>
      <c r="P36" s="187"/>
      <c r="Q36" s="187"/>
      <c r="R36" s="184"/>
      <c r="S36" s="181"/>
      <c r="T36" s="588"/>
      <c r="U36" s="187"/>
      <c r="V36" s="187"/>
      <c r="W36" s="184"/>
      <c r="X36" s="181"/>
      <c r="Y36" s="588"/>
      <c r="Z36" s="187"/>
      <c r="AA36" s="187"/>
      <c r="AB36" s="184"/>
      <c r="AC36" s="181"/>
      <c r="AD36" s="588"/>
      <c r="AE36" s="187"/>
      <c r="AF36" s="187"/>
      <c r="AG36" s="184"/>
      <c r="AH36" s="181"/>
      <c r="AI36" s="588"/>
      <c r="AJ36" s="187"/>
      <c r="AK36" s="187"/>
      <c r="AL36" s="184"/>
      <c r="AM36" s="181"/>
      <c r="AN36" s="588"/>
      <c r="AO36" s="187"/>
      <c r="AP36" s="187"/>
      <c r="AQ36" s="184"/>
      <c r="AR36" s="181"/>
      <c r="AS36" s="588"/>
      <c r="AT36" s="187"/>
      <c r="AU36" s="187"/>
      <c r="AV36" s="184"/>
      <c r="AW36" s="181"/>
      <c r="AX36" s="588"/>
    </row>
    <row r="37" spans="2:50" ht="14.25" customHeight="1">
      <c r="B37" s="586"/>
      <c r="C37" s="179">
        <v>11</v>
      </c>
      <c r="D37" s="182"/>
      <c r="E37" s="179"/>
      <c r="F37" s="179"/>
      <c r="G37" s="184"/>
      <c r="H37" s="588"/>
      <c r="I37" s="185"/>
      <c r="J37" s="185"/>
      <c r="K37" s="186"/>
      <c r="L37" s="589"/>
      <c r="M37" s="185"/>
      <c r="N37" s="586"/>
      <c r="O37" s="586"/>
      <c r="P37" s="187"/>
      <c r="Q37" s="187"/>
      <c r="R37" s="184"/>
      <c r="S37" s="181"/>
      <c r="T37" s="588"/>
      <c r="U37" s="187"/>
      <c r="V37" s="187"/>
      <c r="W37" s="184"/>
      <c r="X37" s="181"/>
      <c r="Y37" s="588"/>
      <c r="Z37" s="187"/>
      <c r="AA37" s="187"/>
      <c r="AB37" s="184"/>
      <c r="AC37" s="181"/>
      <c r="AD37" s="588"/>
      <c r="AE37" s="187"/>
      <c r="AF37" s="187"/>
      <c r="AG37" s="184"/>
      <c r="AH37" s="181"/>
      <c r="AI37" s="588"/>
      <c r="AJ37" s="187"/>
      <c r="AK37" s="187"/>
      <c r="AL37" s="184"/>
      <c r="AM37" s="181"/>
      <c r="AN37" s="588"/>
      <c r="AO37" s="187"/>
      <c r="AP37" s="187"/>
      <c r="AQ37" s="184"/>
      <c r="AR37" s="181"/>
      <c r="AS37" s="588"/>
      <c r="AT37" s="187"/>
      <c r="AU37" s="187"/>
      <c r="AV37" s="184"/>
      <c r="AW37" s="181"/>
      <c r="AX37" s="588"/>
    </row>
    <row r="38" spans="2:50" ht="14.25" customHeight="1">
      <c r="B38" s="586"/>
      <c r="C38" s="179">
        <v>12</v>
      </c>
      <c r="D38" s="182"/>
      <c r="E38" s="179"/>
      <c r="F38" s="179"/>
      <c r="G38" s="184"/>
      <c r="H38" s="588"/>
      <c r="I38" s="185"/>
      <c r="J38" s="185"/>
      <c r="K38" s="186"/>
      <c r="L38" s="589"/>
      <c r="M38" s="185"/>
      <c r="N38" s="586"/>
      <c r="O38" s="586"/>
      <c r="P38" s="187"/>
      <c r="Q38" s="187"/>
      <c r="R38" s="184"/>
      <c r="S38" s="181"/>
      <c r="T38" s="588"/>
      <c r="U38" s="187"/>
      <c r="V38" s="187"/>
      <c r="W38" s="184"/>
      <c r="X38" s="181"/>
      <c r="Y38" s="588"/>
      <c r="Z38" s="187"/>
      <c r="AA38" s="187"/>
      <c r="AB38" s="184"/>
      <c r="AC38" s="181"/>
      <c r="AD38" s="588"/>
      <c r="AE38" s="187"/>
      <c r="AF38" s="187"/>
      <c r="AG38" s="184"/>
      <c r="AH38" s="181"/>
      <c r="AI38" s="588"/>
      <c r="AJ38" s="187"/>
      <c r="AK38" s="187"/>
      <c r="AL38" s="184"/>
      <c r="AM38" s="181"/>
      <c r="AN38" s="588"/>
      <c r="AO38" s="187"/>
      <c r="AP38" s="187"/>
      <c r="AQ38" s="184"/>
      <c r="AR38" s="181"/>
      <c r="AS38" s="588"/>
      <c r="AT38" s="187"/>
      <c r="AU38" s="187"/>
      <c r="AV38" s="184"/>
      <c r="AW38" s="181"/>
      <c r="AX38" s="588"/>
    </row>
    <row r="39" spans="2:50" ht="14.25" customHeight="1">
      <c r="B39" s="586"/>
      <c r="C39" s="179">
        <v>13</v>
      </c>
      <c r="D39" s="182"/>
      <c r="E39" s="179"/>
      <c r="F39" s="179"/>
      <c r="G39" s="184"/>
      <c r="H39" s="588"/>
      <c r="I39" s="185"/>
      <c r="J39" s="185"/>
      <c r="K39" s="186"/>
      <c r="L39" s="589"/>
      <c r="M39" s="185"/>
      <c r="N39" s="586"/>
      <c r="O39" s="586"/>
      <c r="P39" s="187"/>
      <c r="Q39" s="187"/>
      <c r="R39" s="184"/>
      <c r="S39" s="181"/>
      <c r="T39" s="588"/>
      <c r="U39" s="187"/>
      <c r="V39" s="187"/>
      <c r="W39" s="184"/>
      <c r="X39" s="181"/>
      <c r="Y39" s="588"/>
      <c r="Z39" s="187"/>
      <c r="AA39" s="187"/>
      <c r="AB39" s="184"/>
      <c r="AC39" s="181"/>
      <c r="AD39" s="588"/>
      <c r="AE39" s="187"/>
      <c r="AF39" s="187"/>
      <c r="AG39" s="184"/>
      <c r="AH39" s="181"/>
      <c r="AI39" s="588"/>
      <c r="AJ39" s="187"/>
      <c r="AK39" s="187"/>
      <c r="AL39" s="184"/>
      <c r="AM39" s="181"/>
      <c r="AN39" s="588"/>
      <c r="AO39" s="187"/>
      <c r="AP39" s="187"/>
      <c r="AQ39" s="184"/>
      <c r="AR39" s="181"/>
      <c r="AS39" s="588"/>
      <c r="AT39" s="187"/>
      <c r="AU39" s="187"/>
      <c r="AV39" s="184"/>
      <c r="AW39" s="181"/>
      <c r="AX39" s="588"/>
    </row>
    <row r="40" spans="2:50" ht="14.25" customHeight="1">
      <c r="B40" s="586"/>
      <c r="C40" s="179">
        <v>14</v>
      </c>
      <c r="D40" s="182"/>
      <c r="E40" s="179"/>
      <c r="F40" s="179"/>
      <c r="G40" s="184"/>
      <c r="H40" s="588"/>
      <c r="I40" s="185"/>
      <c r="J40" s="185"/>
      <c r="K40" s="186"/>
      <c r="L40" s="589"/>
      <c r="M40" s="185"/>
      <c r="N40" s="586"/>
      <c r="O40" s="586"/>
      <c r="P40" s="187"/>
      <c r="Q40" s="187"/>
      <c r="R40" s="184"/>
      <c r="S40" s="181"/>
      <c r="T40" s="588"/>
      <c r="U40" s="187"/>
      <c r="V40" s="187"/>
      <c r="W40" s="184"/>
      <c r="X40" s="181"/>
      <c r="Y40" s="588"/>
      <c r="Z40" s="187"/>
      <c r="AA40" s="187"/>
      <c r="AB40" s="184"/>
      <c r="AC40" s="181"/>
      <c r="AD40" s="588"/>
      <c r="AE40" s="187"/>
      <c r="AF40" s="187"/>
      <c r="AG40" s="184"/>
      <c r="AH40" s="181"/>
      <c r="AI40" s="588"/>
      <c r="AJ40" s="187"/>
      <c r="AK40" s="187"/>
      <c r="AL40" s="184"/>
      <c r="AM40" s="181"/>
      <c r="AN40" s="588"/>
      <c r="AO40" s="187"/>
      <c r="AP40" s="187"/>
      <c r="AQ40" s="184"/>
      <c r="AR40" s="181"/>
      <c r="AS40" s="588"/>
      <c r="AT40" s="187"/>
      <c r="AU40" s="187"/>
      <c r="AV40" s="184"/>
      <c r="AW40" s="181"/>
      <c r="AX40" s="588"/>
    </row>
    <row r="41" spans="2:50" ht="14.25" customHeight="1">
      <c r="B41" s="586"/>
      <c r="C41" s="179">
        <v>15</v>
      </c>
      <c r="D41" s="182"/>
      <c r="E41" s="179"/>
      <c r="F41" s="179"/>
      <c r="G41" s="184"/>
      <c r="H41" s="588"/>
      <c r="I41" s="185"/>
      <c r="J41" s="185"/>
      <c r="K41" s="186"/>
      <c r="L41" s="589"/>
      <c r="M41" s="185"/>
      <c r="N41" s="586"/>
      <c r="O41" s="586"/>
      <c r="P41" s="187"/>
      <c r="Q41" s="187"/>
      <c r="R41" s="184"/>
      <c r="S41" s="181"/>
      <c r="T41" s="588"/>
      <c r="U41" s="187"/>
      <c r="V41" s="187"/>
      <c r="W41" s="184"/>
      <c r="X41" s="181"/>
      <c r="Y41" s="588"/>
      <c r="Z41" s="187"/>
      <c r="AA41" s="187"/>
      <c r="AB41" s="184"/>
      <c r="AC41" s="181"/>
      <c r="AD41" s="588"/>
      <c r="AE41" s="187"/>
      <c r="AF41" s="187"/>
      <c r="AG41" s="184"/>
      <c r="AH41" s="181"/>
      <c r="AI41" s="588"/>
      <c r="AJ41" s="187"/>
      <c r="AK41" s="187"/>
      <c r="AL41" s="184"/>
      <c r="AM41" s="181"/>
      <c r="AN41" s="588"/>
      <c r="AO41" s="187"/>
      <c r="AP41" s="187"/>
      <c r="AQ41" s="184"/>
      <c r="AR41" s="181"/>
      <c r="AS41" s="588"/>
      <c r="AT41" s="187"/>
      <c r="AU41" s="187"/>
      <c r="AV41" s="184"/>
      <c r="AW41" s="181"/>
      <c r="AX41" s="588"/>
    </row>
    <row r="42" spans="2:50" ht="14.25" customHeight="1" collapsed="1">
      <c r="B42" s="612" t="s">
        <v>712</v>
      </c>
      <c r="C42" s="613"/>
      <c r="D42" s="613"/>
      <c r="E42" s="613"/>
      <c r="F42" s="613"/>
      <c r="G42" s="613"/>
      <c r="H42" s="613"/>
      <c r="I42" s="613"/>
      <c r="J42" s="613"/>
      <c r="K42" s="613"/>
      <c r="L42" s="613"/>
      <c r="M42" s="614"/>
      <c r="N42" s="617" t="s">
        <v>341</v>
      </c>
      <c r="O42" s="617" t="s">
        <v>105</v>
      </c>
      <c r="P42" s="600">
        <v>46245</v>
      </c>
      <c r="Q42" s="601"/>
      <c r="R42" s="601"/>
      <c r="S42" s="601"/>
      <c r="T42" s="601"/>
      <c r="U42" s="602">
        <v>46246</v>
      </c>
      <c r="V42" s="603"/>
      <c r="W42" s="603"/>
      <c r="X42" s="603"/>
      <c r="Y42" s="603"/>
      <c r="Z42" s="600">
        <v>46247</v>
      </c>
      <c r="AA42" s="601"/>
      <c r="AB42" s="601"/>
      <c r="AC42" s="601"/>
      <c r="AD42" s="601"/>
      <c r="AE42" s="602">
        <v>46248</v>
      </c>
      <c r="AF42" s="603"/>
      <c r="AG42" s="603"/>
      <c r="AH42" s="603"/>
      <c r="AI42" s="603"/>
      <c r="AJ42" s="609">
        <v>46249</v>
      </c>
      <c r="AK42" s="610"/>
      <c r="AL42" s="610"/>
      <c r="AM42" s="610"/>
      <c r="AN42" s="611"/>
      <c r="AO42" s="602">
        <v>46250</v>
      </c>
      <c r="AP42" s="603"/>
      <c r="AQ42" s="603"/>
      <c r="AR42" s="603"/>
      <c r="AS42" s="603"/>
      <c r="AT42" s="609">
        <v>46251</v>
      </c>
      <c r="AU42" s="610"/>
      <c r="AV42" s="610"/>
      <c r="AW42" s="610"/>
      <c r="AX42" s="611"/>
    </row>
    <row r="43" spans="2:50" ht="14.25" customHeight="1">
      <c r="B43" s="615"/>
      <c r="C43" s="615"/>
      <c r="D43" s="615"/>
      <c r="E43" s="615"/>
      <c r="F43" s="615"/>
      <c r="G43" s="615"/>
      <c r="H43" s="615"/>
      <c r="I43" s="615"/>
      <c r="J43" s="615"/>
      <c r="K43" s="615"/>
      <c r="L43" s="615"/>
      <c r="M43" s="616"/>
      <c r="N43" s="618"/>
      <c r="O43" s="618"/>
      <c r="P43" s="604">
        <v>46196</v>
      </c>
      <c r="Q43" s="604"/>
      <c r="R43" s="604"/>
      <c r="S43" s="604"/>
      <c r="T43" s="604"/>
      <c r="U43" s="605">
        <v>46197</v>
      </c>
      <c r="V43" s="605"/>
      <c r="W43" s="605"/>
      <c r="X43" s="605"/>
      <c r="Y43" s="605"/>
      <c r="Z43" s="604">
        <v>46198</v>
      </c>
      <c r="AA43" s="604"/>
      <c r="AB43" s="604"/>
      <c r="AC43" s="604"/>
      <c r="AD43" s="604"/>
      <c r="AE43" s="605">
        <v>46199</v>
      </c>
      <c r="AF43" s="605"/>
      <c r="AG43" s="605"/>
      <c r="AH43" s="605"/>
      <c r="AI43" s="605"/>
      <c r="AJ43" s="606">
        <v>46200</v>
      </c>
      <c r="AK43" s="607"/>
      <c r="AL43" s="607"/>
      <c r="AM43" s="607"/>
      <c r="AN43" s="608"/>
      <c r="AO43" s="605">
        <v>46201</v>
      </c>
      <c r="AP43" s="605"/>
      <c r="AQ43" s="605"/>
      <c r="AR43" s="605"/>
      <c r="AS43" s="605"/>
      <c r="AT43" s="606">
        <v>46202</v>
      </c>
      <c r="AU43" s="607"/>
      <c r="AV43" s="607"/>
      <c r="AW43" s="607"/>
      <c r="AX43" s="608"/>
    </row>
    <row r="44" spans="2:50" ht="14.25" customHeight="1">
      <c r="B44" s="586" t="s">
        <v>162</v>
      </c>
      <c r="C44" s="586" t="s">
        <v>157</v>
      </c>
      <c r="D44" s="586"/>
      <c r="E44" s="586" t="s">
        <v>158</v>
      </c>
      <c r="F44" s="586"/>
      <c r="G44" s="586"/>
      <c r="H44" s="586" t="s">
        <v>163</v>
      </c>
      <c r="I44" s="592" t="s">
        <v>342</v>
      </c>
      <c r="J44" s="592"/>
      <c r="K44" s="592"/>
      <c r="L44" s="592" t="s">
        <v>163</v>
      </c>
      <c r="M44" s="592" t="s">
        <v>165</v>
      </c>
      <c r="N44" s="586"/>
      <c r="O44" s="586" t="s">
        <v>164</v>
      </c>
      <c r="P44" s="586" t="s">
        <v>160</v>
      </c>
      <c r="Q44" s="586"/>
      <c r="R44" s="586"/>
      <c r="S44" s="586"/>
      <c r="T44" s="586" t="s">
        <v>163</v>
      </c>
      <c r="U44" s="586" t="s">
        <v>160</v>
      </c>
      <c r="V44" s="586"/>
      <c r="W44" s="586"/>
      <c r="X44" s="586"/>
      <c r="Y44" s="586" t="s">
        <v>163</v>
      </c>
      <c r="Z44" s="586" t="s">
        <v>160</v>
      </c>
      <c r="AA44" s="586"/>
      <c r="AB44" s="586"/>
      <c r="AC44" s="586"/>
      <c r="AD44" s="586" t="s">
        <v>163</v>
      </c>
      <c r="AE44" s="586" t="s">
        <v>160</v>
      </c>
      <c r="AF44" s="586"/>
      <c r="AG44" s="586"/>
      <c r="AH44" s="586"/>
      <c r="AI44" s="586" t="s">
        <v>163</v>
      </c>
      <c r="AJ44" s="586" t="s">
        <v>160</v>
      </c>
      <c r="AK44" s="586"/>
      <c r="AL44" s="586"/>
      <c r="AM44" s="586"/>
      <c r="AN44" s="586" t="s">
        <v>163</v>
      </c>
      <c r="AO44" s="586" t="s">
        <v>160</v>
      </c>
      <c r="AP44" s="586"/>
      <c r="AQ44" s="586"/>
      <c r="AR44" s="586"/>
      <c r="AS44" s="586" t="s">
        <v>163</v>
      </c>
      <c r="AT44" s="586" t="s">
        <v>160</v>
      </c>
      <c r="AU44" s="586"/>
      <c r="AV44" s="586"/>
      <c r="AW44" s="586"/>
      <c r="AX44" s="586" t="s">
        <v>163</v>
      </c>
    </row>
    <row r="45" spans="2:50" ht="14.25" customHeight="1">
      <c r="B45" s="586"/>
      <c r="C45" s="586"/>
      <c r="D45" s="586"/>
      <c r="E45" s="586" t="s">
        <v>343</v>
      </c>
      <c r="F45" s="586"/>
      <c r="G45" s="586"/>
      <c r="H45" s="586"/>
      <c r="I45" s="592" t="s">
        <v>343</v>
      </c>
      <c r="J45" s="592"/>
      <c r="K45" s="592"/>
      <c r="L45" s="592"/>
      <c r="M45" s="592"/>
      <c r="N45" s="586"/>
      <c r="O45" s="586"/>
      <c r="P45" s="586" t="s">
        <v>344</v>
      </c>
      <c r="Q45" s="586"/>
      <c r="R45" s="586"/>
      <c r="S45" s="586"/>
      <c r="T45" s="586"/>
      <c r="U45" s="586" t="s">
        <v>344</v>
      </c>
      <c r="V45" s="586"/>
      <c r="W45" s="586"/>
      <c r="X45" s="586"/>
      <c r="Y45" s="586"/>
      <c r="Z45" s="586" t="s">
        <v>344</v>
      </c>
      <c r="AA45" s="586"/>
      <c r="AB45" s="586"/>
      <c r="AC45" s="586"/>
      <c r="AD45" s="586"/>
      <c r="AE45" s="586" t="s">
        <v>344</v>
      </c>
      <c r="AF45" s="586"/>
      <c r="AG45" s="586"/>
      <c r="AH45" s="586"/>
      <c r="AI45" s="586"/>
      <c r="AJ45" s="586" t="s">
        <v>344</v>
      </c>
      <c r="AK45" s="586"/>
      <c r="AL45" s="586"/>
      <c r="AM45" s="586"/>
      <c r="AN45" s="586"/>
      <c r="AO45" s="586" t="s">
        <v>344</v>
      </c>
      <c r="AP45" s="586"/>
      <c r="AQ45" s="586"/>
      <c r="AR45" s="586"/>
      <c r="AS45" s="586"/>
      <c r="AT45" s="586" t="s">
        <v>344</v>
      </c>
      <c r="AU45" s="586"/>
      <c r="AV45" s="586"/>
      <c r="AW45" s="586"/>
      <c r="AX45" s="586"/>
    </row>
    <row r="46" spans="2:50" ht="14.25" customHeight="1">
      <c r="B46" s="586"/>
      <c r="C46" s="586"/>
      <c r="D46" s="586"/>
      <c r="E46" s="179" t="s">
        <v>159</v>
      </c>
      <c r="F46" s="179" t="s">
        <v>345</v>
      </c>
      <c r="G46" s="179" t="s">
        <v>161</v>
      </c>
      <c r="H46" s="586"/>
      <c r="I46" s="180" t="s">
        <v>159</v>
      </c>
      <c r="J46" s="180" t="s">
        <v>345</v>
      </c>
      <c r="K46" s="180" t="s">
        <v>161</v>
      </c>
      <c r="L46" s="592"/>
      <c r="M46" s="592"/>
      <c r="N46" s="586"/>
      <c r="O46" s="586"/>
      <c r="P46" s="179" t="s">
        <v>159</v>
      </c>
      <c r="Q46" s="179" t="s">
        <v>345</v>
      </c>
      <c r="R46" s="179" t="s">
        <v>161</v>
      </c>
      <c r="S46" s="181" t="s">
        <v>165</v>
      </c>
      <c r="T46" s="586"/>
      <c r="U46" s="179" t="s">
        <v>159</v>
      </c>
      <c r="V46" s="179" t="s">
        <v>345</v>
      </c>
      <c r="W46" s="179" t="s">
        <v>161</v>
      </c>
      <c r="X46" s="181" t="s">
        <v>165</v>
      </c>
      <c r="Y46" s="586"/>
      <c r="Z46" s="179" t="s">
        <v>159</v>
      </c>
      <c r="AA46" s="179" t="s">
        <v>345</v>
      </c>
      <c r="AB46" s="179" t="s">
        <v>161</v>
      </c>
      <c r="AC46" s="181" t="s">
        <v>165</v>
      </c>
      <c r="AD46" s="586"/>
      <c r="AE46" s="179" t="s">
        <v>159</v>
      </c>
      <c r="AF46" s="179" t="s">
        <v>345</v>
      </c>
      <c r="AG46" s="179" t="s">
        <v>161</v>
      </c>
      <c r="AH46" s="181" t="s">
        <v>165</v>
      </c>
      <c r="AI46" s="586"/>
      <c r="AJ46" s="179" t="s">
        <v>159</v>
      </c>
      <c r="AK46" s="179" t="s">
        <v>345</v>
      </c>
      <c r="AL46" s="179" t="s">
        <v>161</v>
      </c>
      <c r="AM46" s="181" t="s">
        <v>165</v>
      </c>
      <c r="AN46" s="586"/>
      <c r="AO46" s="179" t="s">
        <v>159</v>
      </c>
      <c r="AP46" s="179" t="s">
        <v>345</v>
      </c>
      <c r="AQ46" s="179" t="s">
        <v>161</v>
      </c>
      <c r="AR46" s="181" t="s">
        <v>165</v>
      </c>
      <c r="AS46" s="586"/>
      <c r="AT46" s="179" t="s">
        <v>159</v>
      </c>
      <c r="AU46" s="179" t="s">
        <v>345</v>
      </c>
      <c r="AV46" s="179" t="s">
        <v>161</v>
      </c>
      <c r="AW46" s="181" t="s">
        <v>165</v>
      </c>
      <c r="AX46" s="586"/>
    </row>
    <row r="47" spans="2:50" ht="14.25" customHeight="1">
      <c r="B47" s="586" t="s">
        <v>348</v>
      </c>
      <c r="C47" s="179">
        <v>1</v>
      </c>
      <c r="D47" s="182" t="s">
        <v>530</v>
      </c>
      <c r="E47" s="183">
        <v>5</v>
      </c>
      <c r="F47" s="179">
        <v>3273</v>
      </c>
      <c r="G47" s="184">
        <f t="shared" ref="G47:G52" si="32">IFERROR(F47/E47,"")</f>
        <v>654.6</v>
      </c>
      <c r="H47" s="588">
        <f>AVERAGE(G47:G61)</f>
        <v>505.14444444444439</v>
      </c>
      <c r="I47" s="185">
        <f>AVERAGE(P47,U47,Z47,AE47,AJ47,AO47,AT47)</f>
        <v>6</v>
      </c>
      <c r="J47" s="185">
        <f>AVERAGE(Q47,V47,AA47,AF47,AK47,AP47,AU47)</f>
        <v>2962.296477592186</v>
      </c>
      <c r="K47" s="186">
        <f>AVERAGE(R47,W47,AB47,AG47,AL47,AQ47,AV47)</f>
        <v>493.71607959869772</v>
      </c>
      <c r="L47" s="589">
        <f>IFERROR(AVERAGE(K47:K61),"-")</f>
        <v>440.32807701576502</v>
      </c>
      <c r="M47" s="185">
        <f>RANK(K47, K$47:$K$61)</f>
        <v>4</v>
      </c>
      <c r="N47" s="586"/>
      <c r="O47" s="586"/>
      <c r="P47" s="187">
        <v>6</v>
      </c>
      <c r="Q47" s="187">
        <v>2962.6237775921859</v>
      </c>
      <c r="R47" s="184">
        <f>IFERROR(Q47/P47,"")</f>
        <v>493.77062959869767</v>
      </c>
      <c r="S47" s="181">
        <f>RANK(R47, R$47:R$61)</f>
        <v>4</v>
      </c>
      <c r="T47" s="588">
        <f>AVERAGE(R47:R61)</f>
        <v>440.26630807433827</v>
      </c>
      <c r="U47" s="187">
        <v>6</v>
      </c>
      <c r="V47" s="187">
        <v>2962.9510775921863</v>
      </c>
      <c r="W47" s="184">
        <f t="shared" ref="W47:W52" si="33">IFERROR(V47/U47,"")</f>
        <v>493.82517959869773</v>
      </c>
      <c r="X47" s="181">
        <f>RANK(W47, W$47:W$61)</f>
        <v>4</v>
      </c>
      <c r="Y47" s="588">
        <f>AVERAGE(W47:W61)</f>
        <v>440.31637307433834</v>
      </c>
      <c r="Z47" s="187">
        <v>6</v>
      </c>
      <c r="AA47" s="187">
        <v>2960.3326775921864</v>
      </c>
      <c r="AB47" s="184">
        <f>IFERROR(AA47/Z47,"")</f>
        <v>493.38877959869774</v>
      </c>
      <c r="AC47" s="181">
        <f>RANK(AB47, AB$47:AB$61)</f>
        <v>4</v>
      </c>
      <c r="AD47" s="588">
        <f>AVERAGE(AB47:AB61)</f>
        <v>440.23552196322726</v>
      </c>
      <c r="AE47" s="187">
        <v>6</v>
      </c>
      <c r="AF47" s="187">
        <v>2963.2783775921857</v>
      </c>
      <c r="AG47" s="184">
        <f>IFERROR(AF47/AE47,"")</f>
        <v>493.87972959869762</v>
      </c>
      <c r="AH47" s="181">
        <f>RANK(AG47, AG$47:AG$61)</f>
        <v>4</v>
      </c>
      <c r="AI47" s="588">
        <f>AVERAGE(AG47:AG61)</f>
        <v>440.37212997183502</v>
      </c>
      <c r="AJ47" s="187"/>
      <c r="AK47" s="187"/>
      <c r="AL47" s="184"/>
      <c r="AM47" s="181"/>
      <c r="AN47" s="588">
        <f>AVERAGE(AL47:AL61)</f>
        <v>429.68596071312913</v>
      </c>
      <c r="AO47" s="187"/>
      <c r="AP47" s="187"/>
      <c r="AQ47" s="184"/>
      <c r="AR47" s="181"/>
      <c r="AS47" s="588">
        <f>AVERAGE(AQ47:AQ61)</f>
        <v>429.7315447131291</v>
      </c>
      <c r="AT47" s="187"/>
      <c r="AU47" s="187"/>
      <c r="AV47" s="184"/>
      <c r="AW47" s="181"/>
      <c r="AX47" s="588">
        <f>AVERAGE(AV47:AV61)</f>
        <v>429.68029404646239</v>
      </c>
    </row>
    <row r="48" spans="2:50" ht="14.25" customHeight="1">
      <c r="B48" s="586"/>
      <c r="C48" s="179">
        <v>2</v>
      </c>
      <c r="D48" s="182" t="s">
        <v>523</v>
      </c>
      <c r="E48" s="179">
        <v>6</v>
      </c>
      <c r="F48" s="179">
        <v>3600</v>
      </c>
      <c r="G48" s="184">
        <f t="shared" si="32"/>
        <v>600</v>
      </c>
      <c r="H48" s="588"/>
      <c r="I48" s="185">
        <f t="shared" ref="I48:K52" si="34">AVERAGE(P48,U48,Z48,AE48,AJ48,AO48,AT48)</f>
        <v>6</v>
      </c>
      <c r="J48" s="185">
        <f t="shared" si="34"/>
        <v>3251.0420893646401</v>
      </c>
      <c r="K48" s="186">
        <f t="shared" si="34"/>
        <v>541.84034822744002</v>
      </c>
      <c r="L48" s="589"/>
      <c r="M48" s="185">
        <f>RANK(K48, K$47:$K$61)</f>
        <v>2</v>
      </c>
      <c r="N48" s="586"/>
      <c r="O48" s="586"/>
      <c r="P48" s="187">
        <v>6</v>
      </c>
      <c r="Q48" s="187">
        <v>3249.9106607932117</v>
      </c>
      <c r="R48" s="184">
        <f t="shared" ref="R48:R52" si="35">IFERROR(Q48/P48,"")</f>
        <v>541.65177679886858</v>
      </c>
      <c r="S48" s="181">
        <f t="shared" ref="S48:S52" si="36">RANK(R48, R$47:R$61)</f>
        <v>3</v>
      </c>
      <c r="T48" s="588"/>
      <c r="U48" s="187">
        <v>6</v>
      </c>
      <c r="V48" s="187">
        <v>3249.5506607932116</v>
      </c>
      <c r="W48" s="184">
        <f t="shared" si="33"/>
        <v>541.59177679886864</v>
      </c>
      <c r="X48" s="181">
        <f t="shared" ref="X48:X52" si="37">RANK(W48, W$47:W$61)</f>
        <v>3</v>
      </c>
      <c r="Y48" s="588"/>
      <c r="Z48" s="187">
        <v>6</v>
      </c>
      <c r="AA48" s="187">
        <v>3250.9906607932116</v>
      </c>
      <c r="AB48" s="184">
        <f t="shared" ref="AB48:AB52" si="38">IFERROR(AA48/Z48,"")</f>
        <v>541.83177679886865</v>
      </c>
      <c r="AC48" s="181">
        <f t="shared" ref="AC48:AC52" si="39">RANK(AB48, AB$47:AB$61)</f>
        <v>2</v>
      </c>
      <c r="AD48" s="588"/>
      <c r="AE48" s="187">
        <v>6</v>
      </c>
      <c r="AF48" s="187">
        <v>3251.3506607932118</v>
      </c>
      <c r="AG48" s="184">
        <f t="shared" ref="AG48:AG52" si="40">IFERROR(AF48/AE48,"")</f>
        <v>541.89177679886859</v>
      </c>
      <c r="AH48" s="181">
        <f t="shared" ref="AH48:AH52" si="41">RANK(AG48, AG$47:AG$61)</f>
        <v>2</v>
      </c>
      <c r="AI48" s="588"/>
      <c r="AJ48" s="187">
        <v>6</v>
      </c>
      <c r="AK48" s="187">
        <v>3251.3506607932118</v>
      </c>
      <c r="AL48" s="184">
        <f t="shared" ref="AL48:AL52" si="42">IFERROR(AK48/AJ48,"")</f>
        <v>541.89177679886859</v>
      </c>
      <c r="AM48" s="181">
        <f t="shared" ref="AM48:AM52" si="43">RANK(AL48, AL$47:AL$61)</f>
        <v>2</v>
      </c>
      <c r="AN48" s="588"/>
      <c r="AO48" s="187">
        <v>6</v>
      </c>
      <c r="AP48" s="187">
        <v>3252.4306607932112</v>
      </c>
      <c r="AQ48" s="184">
        <f t="shared" ref="AQ48:AQ52" si="44">IFERROR(AP48/AO48,"")</f>
        <v>542.07177679886854</v>
      </c>
      <c r="AR48" s="181">
        <f t="shared" ref="AR48:AR52" si="45">RANK(AQ48, AQ$47:AQ$61)</f>
        <v>2</v>
      </c>
      <c r="AS48" s="588"/>
      <c r="AT48" s="187">
        <v>6</v>
      </c>
      <c r="AU48" s="187">
        <v>3251.7106607932114</v>
      </c>
      <c r="AV48" s="184">
        <f t="shared" ref="AV48:AV52" si="46">IFERROR(AU48/AT48,"")</f>
        <v>541.95177679886854</v>
      </c>
      <c r="AW48" s="181">
        <f t="shared" ref="AW48:AW52" si="47">RANK(AV48, AV$47:AV$61)</f>
        <v>2</v>
      </c>
      <c r="AX48" s="588"/>
    </row>
    <row r="49" spans="2:50" ht="14.25" customHeight="1">
      <c r="B49" s="586"/>
      <c r="C49" s="179">
        <v>3</v>
      </c>
      <c r="D49" s="182" t="s">
        <v>524</v>
      </c>
      <c r="E49" s="179">
        <v>6</v>
      </c>
      <c r="F49" s="179">
        <v>3600</v>
      </c>
      <c r="G49" s="184">
        <f t="shared" si="32"/>
        <v>600</v>
      </c>
      <c r="H49" s="588"/>
      <c r="I49" s="185">
        <f t="shared" si="34"/>
        <v>6</v>
      </c>
      <c r="J49" s="185">
        <f t="shared" si="34"/>
        <v>3250.0513472018379</v>
      </c>
      <c r="K49" s="186">
        <f t="shared" si="34"/>
        <v>541.67522453363949</v>
      </c>
      <c r="L49" s="589"/>
      <c r="M49" s="185">
        <f>RANK(K49, K$47:$K$61)</f>
        <v>3</v>
      </c>
      <c r="N49" s="586"/>
      <c r="O49" s="586"/>
      <c r="P49" s="187">
        <v>6</v>
      </c>
      <c r="Q49" s="187">
        <v>3250.6272795465138</v>
      </c>
      <c r="R49" s="184">
        <f t="shared" si="35"/>
        <v>541.77121325775227</v>
      </c>
      <c r="S49" s="181">
        <f t="shared" si="36"/>
        <v>2</v>
      </c>
      <c r="T49" s="588"/>
      <c r="U49" s="187">
        <v>6</v>
      </c>
      <c r="V49" s="187">
        <v>3250.2672795465137</v>
      </c>
      <c r="W49" s="184">
        <f t="shared" si="33"/>
        <v>541.71121325775232</v>
      </c>
      <c r="X49" s="181">
        <f t="shared" si="37"/>
        <v>2</v>
      </c>
      <c r="Y49" s="588"/>
      <c r="Z49" s="187">
        <v>6</v>
      </c>
      <c r="AA49" s="187">
        <v>3248.8272795465136</v>
      </c>
      <c r="AB49" s="184">
        <f t="shared" si="38"/>
        <v>541.47121325775231</v>
      </c>
      <c r="AC49" s="181">
        <f t="shared" si="39"/>
        <v>3</v>
      </c>
      <c r="AD49" s="588"/>
      <c r="AE49" s="187">
        <v>6</v>
      </c>
      <c r="AF49" s="187">
        <v>3249.7093979433312</v>
      </c>
      <c r="AG49" s="184">
        <f t="shared" si="40"/>
        <v>541.61823299055516</v>
      </c>
      <c r="AH49" s="181">
        <f t="shared" si="41"/>
        <v>3</v>
      </c>
      <c r="AI49" s="588"/>
      <c r="AJ49" s="187">
        <v>6</v>
      </c>
      <c r="AK49" s="187">
        <v>3250.0693979433308</v>
      </c>
      <c r="AL49" s="184">
        <f t="shared" si="42"/>
        <v>541.6782329905551</v>
      </c>
      <c r="AM49" s="181">
        <f t="shared" si="43"/>
        <v>3</v>
      </c>
      <c r="AN49" s="588"/>
      <c r="AO49" s="187">
        <v>6</v>
      </c>
      <c r="AP49" s="187">
        <v>3250.0693979433308</v>
      </c>
      <c r="AQ49" s="184">
        <f t="shared" si="44"/>
        <v>541.6782329905551</v>
      </c>
      <c r="AR49" s="181">
        <f t="shared" si="45"/>
        <v>3</v>
      </c>
      <c r="AS49" s="588"/>
      <c r="AT49" s="187">
        <v>6</v>
      </c>
      <c r="AU49" s="187">
        <v>3250.7893979433302</v>
      </c>
      <c r="AV49" s="184">
        <f t="shared" si="46"/>
        <v>541.79823299055499</v>
      </c>
      <c r="AW49" s="181">
        <f t="shared" si="47"/>
        <v>3</v>
      </c>
      <c r="AX49" s="588"/>
    </row>
    <row r="50" spans="2:50" ht="14.25" customHeight="1">
      <c r="B50" s="586"/>
      <c r="C50" s="179">
        <v>4</v>
      </c>
      <c r="D50" s="182" t="s">
        <v>535</v>
      </c>
      <c r="E50" s="179">
        <v>20</v>
      </c>
      <c r="F50" s="179">
        <v>2100</v>
      </c>
      <c r="G50" s="184">
        <f t="shared" si="32"/>
        <v>105</v>
      </c>
      <c r="H50" s="588"/>
      <c r="I50" s="185">
        <f t="shared" si="34"/>
        <v>20</v>
      </c>
      <c r="J50" s="185">
        <f t="shared" si="34"/>
        <v>1894.3883422374968</v>
      </c>
      <c r="K50" s="186">
        <f t="shared" si="34"/>
        <v>94.719417111874847</v>
      </c>
      <c r="L50" s="589"/>
      <c r="M50" s="185">
        <f>RANK(K50, K$47:$K$61)</f>
        <v>6</v>
      </c>
      <c r="N50" s="586"/>
      <c r="O50" s="586"/>
      <c r="P50" s="187">
        <v>20</v>
      </c>
      <c r="Q50" s="187">
        <v>1893.0683422374966</v>
      </c>
      <c r="R50" s="184">
        <f t="shared" si="35"/>
        <v>94.65341711187483</v>
      </c>
      <c r="S50" s="181">
        <f t="shared" si="36"/>
        <v>6</v>
      </c>
      <c r="T50" s="588"/>
      <c r="U50" s="187">
        <v>20</v>
      </c>
      <c r="V50" s="187">
        <v>1892.6483422374968</v>
      </c>
      <c r="W50" s="184">
        <f t="shared" si="33"/>
        <v>94.632417111874844</v>
      </c>
      <c r="X50" s="181">
        <f t="shared" si="37"/>
        <v>6</v>
      </c>
      <c r="Y50" s="588"/>
      <c r="Z50" s="187">
        <v>20</v>
      </c>
      <c r="AA50" s="187">
        <v>1893.6983422374969</v>
      </c>
      <c r="AB50" s="184">
        <f t="shared" si="38"/>
        <v>94.684917111874853</v>
      </c>
      <c r="AC50" s="181">
        <f t="shared" si="39"/>
        <v>6</v>
      </c>
      <c r="AD50" s="588"/>
      <c r="AE50" s="187">
        <v>20</v>
      </c>
      <c r="AF50" s="187">
        <v>1894.3283422374971</v>
      </c>
      <c r="AG50" s="184">
        <f t="shared" si="40"/>
        <v>94.716417111874847</v>
      </c>
      <c r="AH50" s="181">
        <f t="shared" si="41"/>
        <v>6</v>
      </c>
      <c r="AI50" s="588"/>
      <c r="AJ50" s="187">
        <v>20</v>
      </c>
      <c r="AK50" s="187">
        <v>1895.378342237497</v>
      </c>
      <c r="AL50" s="184">
        <f t="shared" si="42"/>
        <v>94.768917111874856</v>
      </c>
      <c r="AM50" s="181">
        <f t="shared" si="43"/>
        <v>5</v>
      </c>
      <c r="AN50" s="588"/>
      <c r="AO50" s="187">
        <v>20</v>
      </c>
      <c r="AP50" s="187">
        <v>1896.2183422374969</v>
      </c>
      <c r="AQ50" s="184">
        <f t="shared" si="44"/>
        <v>94.810917111874843</v>
      </c>
      <c r="AR50" s="181">
        <f t="shared" si="45"/>
        <v>5</v>
      </c>
      <c r="AS50" s="588"/>
      <c r="AT50" s="187">
        <v>20</v>
      </c>
      <c r="AU50" s="187">
        <v>1895.378342237497</v>
      </c>
      <c r="AV50" s="184">
        <f t="shared" si="46"/>
        <v>94.768917111874856</v>
      </c>
      <c r="AW50" s="181">
        <f t="shared" si="47"/>
        <v>5</v>
      </c>
      <c r="AX50" s="588"/>
    </row>
    <row r="51" spans="2:50" ht="14.25" customHeight="1">
      <c r="B51" s="586"/>
      <c r="C51" s="179">
        <v>5</v>
      </c>
      <c r="D51" s="182" t="s">
        <v>543</v>
      </c>
      <c r="E51" s="179">
        <v>5</v>
      </c>
      <c r="F51" s="179">
        <v>3273</v>
      </c>
      <c r="G51" s="184">
        <f t="shared" si="32"/>
        <v>654.6</v>
      </c>
      <c r="H51" s="588"/>
      <c r="I51" s="185">
        <f t="shared" si="34"/>
        <v>5</v>
      </c>
      <c r="J51" s="185">
        <f t="shared" si="34"/>
        <v>2968.836514494918</v>
      </c>
      <c r="K51" s="186">
        <f t="shared" si="34"/>
        <v>593.76730289898376</v>
      </c>
      <c r="L51" s="589"/>
      <c r="M51" s="185">
        <f>RANK(K51, K$47:$K$61)</f>
        <v>1</v>
      </c>
      <c r="N51" s="586"/>
      <c r="O51" s="586"/>
      <c r="P51" s="187">
        <v>5</v>
      </c>
      <c r="Q51" s="187">
        <v>2967.8546144949196</v>
      </c>
      <c r="R51" s="184">
        <f t="shared" si="35"/>
        <v>593.57092289898389</v>
      </c>
      <c r="S51" s="181">
        <f t="shared" si="36"/>
        <v>1</v>
      </c>
      <c r="T51" s="588"/>
      <c r="U51" s="187">
        <v>5</v>
      </c>
      <c r="V51" s="187">
        <v>2969.1638144949197</v>
      </c>
      <c r="W51" s="184">
        <f t="shared" si="33"/>
        <v>593.8327628989839</v>
      </c>
      <c r="X51" s="181">
        <f t="shared" si="37"/>
        <v>1</v>
      </c>
      <c r="Y51" s="588"/>
      <c r="Z51" s="187">
        <v>5</v>
      </c>
      <c r="AA51" s="187">
        <v>2969.4911144949192</v>
      </c>
      <c r="AB51" s="184">
        <f t="shared" si="38"/>
        <v>593.89822289898382</v>
      </c>
      <c r="AC51" s="181">
        <f t="shared" si="39"/>
        <v>1</v>
      </c>
      <c r="AD51" s="588"/>
      <c r="AE51" s="187">
        <v>5</v>
      </c>
      <c r="AF51" s="187">
        <v>2968.1819144949186</v>
      </c>
      <c r="AG51" s="184">
        <f t="shared" si="40"/>
        <v>593.6363828989837</v>
      </c>
      <c r="AH51" s="181">
        <f t="shared" si="41"/>
        <v>1</v>
      </c>
      <c r="AI51" s="588"/>
      <c r="AJ51" s="187">
        <v>5</v>
      </c>
      <c r="AK51" s="187">
        <v>2968.8365144949184</v>
      </c>
      <c r="AL51" s="184">
        <f t="shared" si="42"/>
        <v>593.76730289898364</v>
      </c>
      <c r="AM51" s="181">
        <f t="shared" si="43"/>
        <v>1</v>
      </c>
      <c r="AN51" s="588"/>
      <c r="AO51" s="187">
        <v>5</v>
      </c>
      <c r="AP51" s="187">
        <v>2969.4911144949174</v>
      </c>
      <c r="AQ51" s="184">
        <f t="shared" si="44"/>
        <v>593.89822289898348</v>
      </c>
      <c r="AR51" s="181">
        <f t="shared" si="45"/>
        <v>1</v>
      </c>
      <c r="AS51" s="588"/>
      <c r="AT51" s="187">
        <v>5</v>
      </c>
      <c r="AU51" s="187">
        <v>2968.8365144949171</v>
      </c>
      <c r="AV51" s="184">
        <f t="shared" si="46"/>
        <v>593.76730289898342</v>
      </c>
      <c r="AW51" s="181">
        <f t="shared" si="47"/>
        <v>1</v>
      </c>
      <c r="AX51" s="588"/>
    </row>
    <row r="52" spans="2:50" ht="14.25" customHeight="1">
      <c r="B52" s="586"/>
      <c r="C52" s="179">
        <v>6</v>
      </c>
      <c r="D52" s="182" t="s">
        <v>629</v>
      </c>
      <c r="E52" s="179">
        <v>6</v>
      </c>
      <c r="F52" s="179">
        <v>2500</v>
      </c>
      <c r="G52" s="184">
        <f t="shared" si="32"/>
        <v>416.66666666666669</v>
      </c>
      <c r="H52" s="588"/>
      <c r="I52" s="185">
        <f t="shared" si="34"/>
        <v>6</v>
      </c>
      <c r="J52" s="185">
        <f t="shared" si="34"/>
        <v>2257.500538343726</v>
      </c>
      <c r="K52" s="186">
        <f t="shared" si="34"/>
        <v>376.25008972395432</v>
      </c>
      <c r="L52" s="589"/>
      <c r="M52" s="185">
        <f>RANK(K52, K$47:$K$61)</f>
        <v>5</v>
      </c>
      <c r="N52" s="586"/>
      <c r="O52" s="586"/>
      <c r="P52" s="187">
        <v>6</v>
      </c>
      <c r="Q52" s="187">
        <v>2257.0793326791172</v>
      </c>
      <c r="R52" s="184">
        <f t="shared" si="35"/>
        <v>376.17988877985289</v>
      </c>
      <c r="S52" s="181">
        <f t="shared" si="36"/>
        <v>5</v>
      </c>
      <c r="T52" s="588"/>
      <c r="U52" s="187">
        <v>6</v>
      </c>
      <c r="V52" s="187">
        <v>2257.8293326791172</v>
      </c>
      <c r="W52" s="184">
        <f t="shared" si="33"/>
        <v>376.30488877985289</v>
      </c>
      <c r="X52" s="181">
        <f t="shared" si="37"/>
        <v>5</v>
      </c>
      <c r="Y52" s="588"/>
      <c r="Z52" s="187">
        <v>6</v>
      </c>
      <c r="AA52" s="187">
        <v>2256.8293326791172</v>
      </c>
      <c r="AB52" s="184">
        <f t="shared" si="38"/>
        <v>376.1382221131862</v>
      </c>
      <c r="AC52" s="181">
        <f t="shared" si="39"/>
        <v>5</v>
      </c>
      <c r="AD52" s="588"/>
      <c r="AE52" s="187">
        <v>6</v>
      </c>
      <c r="AF52" s="187">
        <v>2258.9414425921823</v>
      </c>
      <c r="AG52" s="184">
        <f t="shared" si="40"/>
        <v>376.49024043203036</v>
      </c>
      <c r="AH52" s="181">
        <f t="shared" si="41"/>
        <v>5</v>
      </c>
      <c r="AI52" s="588"/>
      <c r="AJ52" s="187">
        <v>6</v>
      </c>
      <c r="AK52" s="187">
        <v>2257.9414425921823</v>
      </c>
      <c r="AL52" s="184">
        <f t="shared" si="42"/>
        <v>376.32357376536373</v>
      </c>
      <c r="AM52" s="181">
        <f t="shared" si="43"/>
        <v>4</v>
      </c>
      <c r="AN52" s="588"/>
      <c r="AO52" s="187">
        <v>6</v>
      </c>
      <c r="AP52" s="187">
        <v>2257.1914425921823</v>
      </c>
      <c r="AQ52" s="184">
        <f t="shared" si="44"/>
        <v>376.19857376536373</v>
      </c>
      <c r="AR52" s="181">
        <f t="shared" si="45"/>
        <v>4</v>
      </c>
      <c r="AS52" s="588"/>
      <c r="AT52" s="187">
        <v>6</v>
      </c>
      <c r="AU52" s="187">
        <v>2256.6914425921823</v>
      </c>
      <c r="AV52" s="184">
        <f t="shared" si="46"/>
        <v>376.11524043203036</v>
      </c>
      <c r="AW52" s="181">
        <f t="shared" si="47"/>
        <v>4</v>
      </c>
      <c r="AX52" s="588"/>
    </row>
    <row r="53" spans="2:50" ht="14.25" customHeight="1">
      <c r="B53" s="586"/>
      <c r="C53" s="179">
        <v>7</v>
      </c>
      <c r="D53" s="182"/>
      <c r="E53" s="179"/>
      <c r="F53" s="179"/>
      <c r="G53" s="184"/>
      <c r="H53" s="588"/>
      <c r="I53" s="185"/>
      <c r="J53" s="185"/>
      <c r="K53" s="186"/>
      <c r="L53" s="589"/>
      <c r="M53" s="185"/>
      <c r="N53" s="586"/>
      <c r="O53" s="586"/>
      <c r="P53" s="187"/>
      <c r="Q53" s="187"/>
      <c r="R53" s="184"/>
      <c r="S53" s="181"/>
      <c r="T53" s="588"/>
      <c r="U53" s="187"/>
      <c r="V53" s="187"/>
      <c r="W53" s="184"/>
      <c r="X53" s="181"/>
      <c r="Y53" s="588"/>
      <c r="Z53" s="187"/>
      <c r="AA53" s="187"/>
      <c r="AB53" s="184"/>
      <c r="AC53" s="181"/>
      <c r="AD53" s="588"/>
      <c r="AE53" s="187"/>
      <c r="AF53" s="187"/>
      <c r="AG53" s="184"/>
      <c r="AH53" s="181"/>
      <c r="AI53" s="588"/>
      <c r="AJ53" s="187"/>
      <c r="AK53" s="187"/>
      <c r="AL53" s="184"/>
      <c r="AM53" s="181"/>
      <c r="AN53" s="588"/>
      <c r="AO53" s="187"/>
      <c r="AP53" s="187"/>
      <c r="AQ53" s="184"/>
      <c r="AR53" s="181"/>
      <c r="AS53" s="588"/>
      <c r="AT53" s="187"/>
      <c r="AU53" s="187"/>
      <c r="AV53" s="184"/>
      <c r="AW53" s="181"/>
      <c r="AX53" s="588"/>
    </row>
    <row r="54" spans="2:50" ht="14.25" customHeight="1">
      <c r="B54" s="586"/>
      <c r="C54" s="179">
        <v>8</v>
      </c>
      <c r="D54" s="182"/>
      <c r="E54" s="179"/>
      <c r="F54" s="179"/>
      <c r="G54" s="184"/>
      <c r="H54" s="588"/>
      <c r="I54" s="185"/>
      <c r="J54" s="185"/>
      <c r="K54" s="186"/>
      <c r="L54" s="589"/>
      <c r="M54" s="185"/>
      <c r="N54" s="586"/>
      <c r="O54" s="586"/>
      <c r="P54" s="187"/>
      <c r="Q54" s="187"/>
      <c r="R54" s="184"/>
      <c r="S54" s="181"/>
      <c r="T54" s="588"/>
      <c r="U54" s="187"/>
      <c r="V54" s="187"/>
      <c r="W54" s="184"/>
      <c r="X54" s="181"/>
      <c r="Y54" s="588"/>
      <c r="Z54" s="187"/>
      <c r="AA54" s="187"/>
      <c r="AB54" s="184"/>
      <c r="AC54" s="181"/>
      <c r="AD54" s="588"/>
      <c r="AE54" s="187"/>
      <c r="AF54" s="187"/>
      <c r="AG54" s="184"/>
      <c r="AH54" s="181"/>
      <c r="AI54" s="588"/>
      <c r="AJ54" s="187"/>
      <c r="AK54" s="187"/>
      <c r="AL54" s="184"/>
      <c r="AM54" s="181"/>
      <c r="AN54" s="588"/>
      <c r="AO54" s="187"/>
      <c r="AP54" s="187"/>
      <c r="AQ54" s="184"/>
      <c r="AR54" s="181"/>
      <c r="AS54" s="588"/>
      <c r="AT54" s="187"/>
      <c r="AU54" s="187"/>
      <c r="AV54" s="184"/>
      <c r="AW54" s="181"/>
      <c r="AX54" s="588"/>
    </row>
    <row r="55" spans="2:50" ht="14.25" customHeight="1">
      <c r="B55" s="586"/>
      <c r="C55" s="179">
        <v>9</v>
      </c>
      <c r="D55" s="182"/>
      <c r="E55" s="179"/>
      <c r="F55" s="179"/>
      <c r="G55" s="184"/>
      <c r="H55" s="588"/>
      <c r="I55" s="185"/>
      <c r="J55" s="185"/>
      <c r="K55" s="186"/>
      <c r="L55" s="589"/>
      <c r="M55" s="185"/>
      <c r="N55" s="586"/>
      <c r="O55" s="586"/>
      <c r="P55" s="187"/>
      <c r="Q55" s="187"/>
      <c r="R55" s="184"/>
      <c r="S55" s="181"/>
      <c r="T55" s="588"/>
      <c r="U55" s="187"/>
      <c r="V55" s="187"/>
      <c r="W55" s="184"/>
      <c r="X55" s="181"/>
      <c r="Y55" s="588"/>
      <c r="Z55" s="187"/>
      <c r="AA55" s="187"/>
      <c r="AB55" s="184"/>
      <c r="AC55" s="181"/>
      <c r="AD55" s="588"/>
      <c r="AE55" s="187"/>
      <c r="AF55" s="187"/>
      <c r="AG55" s="184"/>
      <c r="AH55" s="181"/>
      <c r="AI55" s="588"/>
      <c r="AJ55" s="187"/>
      <c r="AK55" s="187"/>
      <c r="AL55" s="184"/>
      <c r="AM55" s="181"/>
      <c r="AN55" s="588"/>
      <c r="AO55" s="187"/>
      <c r="AP55" s="187"/>
      <c r="AQ55" s="184"/>
      <c r="AR55" s="181"/>
      <c r="AS55" s="588"/>
      <c r="AT55" s="187"/>
      <c r="AU55" s="187"/>
      <c r="AV55" s="184"/>
      <c r="AW55" s="181"/>
      <c r="AX55" s="588"/>
    </row>
    <row r="56" spans="2:50" ht="14.25" customHeight="1">
      <c r="B56" s="586"/>
      <c r="C56" s="179">
        <v>10</v>
      </c>
      <c r="D56" s="182"/>
      <c r="E56" s="179"/>
      <c r="F56" s="179"/>
      <c r="G56" s="184"/>
      <c r="H56" s="588"/>
      <c r="I56" s="185"/>
      <c r="J56" s="185"/>
      <c r="K56" s="186"/>
      <c r="L56" s="589"/>
      <c r="M56" s="185"/>
      <c r="N56" s="586"/>
      <c r="O56" s="586"/>
      <c r="P56" s="187"/>
      <c r="Q56" s="187"/>
      <c r="R56" s="184"/>
      <c r="S56" s="181"/>
      <c r="T56" s="588"/>
      <c r="U56" s="187"/>
      <c r="V56" s="187"/>
      <c r="W56" s="184"/>
      <c r="X56" s="181"/>
      <c r="Y56" s="588"/>
      <c r="Z56" s="187"/>
      <c r="AA56" s="187"/>
      <c r="AB56" s="184"/>
      <c r="AC56" s="181"/>
      <c r="AD56" s="588"/>
      <c r="AE56" s="187"/>
      <c r="AF56" s="187"/>
      <c r="AG56" s="184"/>
      <c r="AH56" s="181"/>
      <c r="AI56" s="588"/>
      <c r="AJ56" s="187"/>
      <c r="AK56" s="187"/>
      <c r="AL56" s="184"/>
      <c r="AM56" s="181"/>
      <c r="AN56" s="588"/>
      <c r="AO56" s="187"/>
      <c r="AP56" s="187"/>
      <c r="AQ56" s="184"/>
      <c r="AR56" s="181"/>
      <c r="AS56" s="588"/>
      <c r="AT56" s="187"/>
      <c r="AU56" s="187"/>
      <c r="AV56" s="184"/>
      <c r="AW56" s="181"/>
      <c r="AX56" s="588"/>
    </row>
    <row r="57" spans="2:50" ht="14.25" customHeight="1">
      <c r="B57" s="586"/>
      <c r="C57" s="179">
        <v>11</v>
      </c>
      <c r="D57" s="182"/>
      <c r="E57" s="179"/>
      <c r="F57" s="179"/>
      <c r="G57" s="184"/>
      <c r="H57" s="588"/>
      <c r="I57" s="185"/>
      <c r="J57" s="185"/>
      <c r="K57" s="186"/>
      <c r="L57" s="589"/>
      <c r="M57" s="185"/>
      <c r="N57" s="586"/>
      <c r="O57" s="586"/>
      <c r="P57" s="187"/>
      <c r="Q57" s="187"/>
      <c r="R57" s="184"/>
      <c r="S57" s="181"/>
      <c r="T57" s="588"/>
      <c r="U57" s="187"/>
      <c r="V57" s="187"/>
      <c r="W57" s="184"/>
      <c r="X57" s="181"/>
      <c r="Y57" s="588"/>
      <c r="Z57" s="187"/>
      <c r="AA57" s="187"/>
      <c r="AB57" s="184"/>
      <c r="AC57" s="181"/>
      <c r="AD57" s="588"/>
      <c r="AE57" s="187"/>
      <c r="AF57" s="187"/>
      <c r="AG57" s="184"/>
      <c r="AH57" s="181"/>
      <c r="AI57" s="588"/>
      <c r="AJ57" s="187"/>
      <c r="AK57" s="187"/>
      <c r="AL57" s="184"/>
      <c r="AM57" s="181"/>
      <c r="AN57" s="588"/>
      <c r="AO57" s="187"/>
      <c r="AP57" s="187"/>
      <c r="AQ57" s="184"/>
      <c r="AR57" s="181"/>
      <c r="AS57" s="588"/>
      <c r="AT57" s="187"/>
      <c r="AU57" s="187"/>
      <c r="AV57" s="184"/>
      <c r="AW57" s="181"/>
      <c r="AX57" s="588"/>
    </row>
    <row r="58" spans="2:50" ht="14.25" customHeight="1">
      <c r="B58" s="586"/>
      <c r="C58" s="179">
        <v>12</v>
      </c>
      <c r="D58" s="182"/>
      <c r="E58" s="179"/>
      <c r="F58" s="179"/>
      <c r="G58" s="184"/>
      <c r="H58" s="588"/>
      <c r="I58" s="185"/>
      <c r="J58" s="185"/>
      <c r="K58" s="186"/>
      <c r="L58" s="589"/>
      <c r="M58" s="185"/>
      <c r="N58" s="586"/>
      <c r="O58" s="586"/>
      <c r="P58" s="187"/>
      <c r="Q58" s="187"/>
      <c r="R58" s="184"/>
      <c r="S58" s="181"/>
      <c r="T58" s="588"/>
      <c r="U58" s="187"/>
      <c r="V58" s="187"/>
      <c r="W58" s="184"/>
      <c r="X58" s="181"/>
      <c r="Y58" s="588"/>
      <c r="Z58" s="187"/>
      <c r="AA58" s="187"/>
      <c r="AB58" s="184"/>
      <c r="AC58" s="181"/>
      <c r="AD58" s="588"/>
      <c r="AE58" s="187"/>
      <c r="AF58" s="187"/>
      <c r="AG58" s="184"/>
      <c r="AH58" s="181"/>
      <c r="AI58" s="588"/>
      <c r="AJ58" s="187"/>
      <c r="AK58" s="187"/>
      <c r="AL58" s="184"/>
      <c r="AM58" s="181"/>
      <c r="AN58" s="588"/>
      <c r="AO58" s="187"/>
      <c r="AP58" s="187"/>
      <c r="AQ58" s="184"/>
      <c r="AR58" s="181"/>
      <c r="AS58" s="588"/>
      <c r="AT58" s="187"/>
      <c r="AU58" s="187"/>
      <c r="AV58" s="184"/>
      <c r="AW58" s="181"/>
      <c r="AX58" s="588"/>
    </row>
    <row r="59" spans="2:50" ht="14.25" customHeight="1">
      <c r="B59" s="586"/>
      <c r="C59" s="179">
        <v>13</v>
      </c>
      <c r="D59" s="182"/>
      <c r="E59" s="179"/>
      <c r="F59" s="179"/>
      <c r="G59" s="184"/>
      <c r="H59" s="588"/>
      <c r="I59" s="185"/>
      <c r="J59" s="185"/>
      <c r="K59" s="186"/>
      <c r="L59" s="589"/>
      <c r="M59" s="185"/>
      <c r="N59" s="586"/>
      <c r="O59" s="586"/>
      <c r="P59" s="187"/>
      <c r="Q59" s="187"/>
      <c r="R59" s="184"/>
      <c r="S59" s="181"/>
      <c r="T59" s="588"/>
      <c r="U59" s="187"/>
      <c r="V59" s="187"/>
      <c r="W59" s="184"/>
      <c r="X59" s="181"/>
      <c r="Y59" s="588"/>
      <c r="Z59" s="187"/>
      <c r="AA59" s="187"/>
      <c r="AB59" s="184"/>
      <c r="AC59" s="181"/>
      <c r="AD59" s="588"/>
      <c r="AE59" s="187"/>
      <c r="AF59" s="187"/>
      <c r="AG59" s="184"/>
      <c r="AH59" s="181"/>
      <c r="AI59" s="588"/>
      <c r="AJ59" s="187"/>
      <c r="AK59" s="187"/>
      <c r="AL59" s="184"/>
      <c r="AM59" s="181"/>
      <c r="AN59" s="588"/>
      <c r="AO59" s="187"/>
      <c r="AP59" s="187"/>
      <c r="AQ59" s="184"/>
      <c r="AR59" s="181"/>
      <c r="AS59" s="588"/>
      <c r="AT59" s="187"/>
      <c r="AU59" s="187"/>
      <c r="AV59" s="184"/>
      <c r="AW59" s="181"/>
      <c r="AX59" s="588"/>
    </row>
    <row r="60" spans="2:50" ht="14.25" customHeight="1">
      <c r="B60" s="586"/>
      <c r="C60" s="179">
        <v>14</v>
      </c>
      <c r="D60" s="182"/>
      <c r="E60" s="179"/>
      <c r="F60" s="179"/>
      <c r="G60" s="184"/>
      <c r="H60" s="588"/>
      <c r="I60" s="185"/>
      <c r="J60" s="185"/>
      <c r="K60" s="186"/>
      <c r="L60" s="589"/>
      <c r="M60" s="185"/>
      <c r="N60" s="586"/>
      <c r="O60" s="586"/>
      <c r="P60" s="187"/>
      <c r="Q60" s="187"/>
      <c r="R60" s="184"/>
      <c r="S60" s="181"/>
      <c r="T60" s="588"/>
      <c r="U60" s="187"/>
      <c r="V60" s="187"/>
      <c r="W60" s="184"/>
      <c r="X60" s="181"/>
      <c r="Y60" s="588"/>
      <c r="Z60" s="187"/>
      <c r="AA60" s="187"/>
      <c r="AB60" s="184"/>
      <c r="AC60" s="181"/>
      <c r="AD60" s="588"/>
      <c r="AE60" s="187"/>
      <c r="AF60" s="187"/>
      <c r="AG60" s="184"/>
      <c r="AH60" s="181"/>
      <c r="AI60" s="588"/>
      <c r="AJ60" s="187"/>
      <c r="AK60" s="187"/>
      <c r="AL60" s="184"/>
      <c r="AM60" s="181"/>
      <c r="AN60" s="588"/>
      <c r="AO60" s="187"/>
      <c r="AP60" s="187"/>
      <c r="AQ60" s="184"/>
      <c r="AR60" s="181"/>
      <c r="AS60" s="588"/>
      <c r="AT60" s="187"/>
      <c r="AU60" s="187"/>
      <c r="AV60" s="184"/>
      <c r="AW60" s="181"/>
      <c r="AX60" s="588"/>
    </row>
    <row r="61" spans="2:50" ht="14.25" customHeight="1">
      <c r="B61" s="586"/>
      <c r="C61" s="179">
        <v>15</v>
      </c>
      <c r="D61" s="182"/>
      <c r="E61" s="179"/>
      <c r="F61" s="179"/>
      <c r="G61" s="184"/>
      <c r="H61" s="588"/>
      <c r="I61" s="185"/>
      <c r="J61" s="185"/>
      <c r="K61" s="186"/>
      <c r="L61" s="589"/>
      <c r="M61" s="185"/>
      <c r="N61" s="586"/>
      <c r="O61" s="586"/>
      <c r="P61" s="187"/>
      <c r="Q61" s="187"/>
      <c r="R61" s="184"/>
      <c r="S61" s="181"/>
      <c r="T61" s="588"/>
      <c r="U61" s="187"/>
      <c r="V61" s="187"/>
      <c r="W61" s="184"/>
      <c r="X61" s="181"/>
      <c r="Y61" s="588"/>
      <c r="Z61" s="187"/>
      <c r="AA61" s="187"/>
      <c r="AB61" s="184"/>
      <c r="AC61" s="181"/>
      <c r="AD61" s="588"/>
      <c r="AE61" s="187"/>
      <c r="AF61" s="187"/>
      <c r="AG61" s="184"/>
      <c r="AH61" s="181"/>
      <c r="AI61" s="588"/>
      <c r="AJ61" s="187"/>
      <c r="AK61" s="187"/>
      <c r="AL61" s="184"/>
      <c r="AM61" s="181"/>
      <c r="AN61" s="588"/>
      <c r="AO61" s="187"/>
      <c r="AP61" s="187"/>
      <c r="AQ61" s="184"/>
      <c r="AR61" s="181"/>
      <c r="AS61" s="588"/>
      <c r="AT61" s="187"/>
      <c r="AU61" s="187"/>
      <c r="AV61" s="184"/>
      <c r="AW61" s="181"/>
      <c r="AX61" s="588"/>
    </row>
  </sheetData>
  <mergeCells count="177">
    <mergeCell ref="AX47:AX61"/>
    <mergeCell ref="B47:B61"/>
    <mergeCell ref="H47:H61"/>
    <mergeCell ref="L47:L61"/>
    <mergeCell ref="T47:T61"/>
    <mergeCell ref="Y47:Y61"/>
    <mergeCell ref="AD47:AD61"/>
    <mergeCell ref="AI47:AI61"/>
    <mergeCell ref="AN47:AN61"/>
    <mergeCell ref="AS47:AS61"/>
    <mergeCell ref="AI44:AI46"/>
    <mergeCell ref="AJ44:AM44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Z45:AC45"/>
    <mergeCell ref="AE45:AH45"/>
    <mergeCell ref="AJ45:AM45"/>
    <mergeCell ref="AO45:AR45"/>
    <mergeCell ref="AT45:AW45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P44:S44"/>
    <mergeCell ref="T44:T46"/>
    <mergeCell ref="U44:X44"/>
    <mergeCell ref="Y44:Y46"/>
    <mergeCell ref="Z44:AC44"/>
    <mergeCell ref="AD44:AD46"/>
    <mergeCell ref="AE44:AH44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P4:S4"/>
    <mergeCell ref="AI4:AI6"/>
    <mergeCell ref="AJ4:AM4"/>
    <mergeCell ref="AN4:AN6"/>
    <mergeCell ref="AO4:AR4"/>
    <mergeCell ref="AS4:AS6"/>
    <mergeCell ref="AT4:AW4"/>
    <mergeCell ref="T4:T6"/>
    <mergeCell ref="U4:X4"/>
    <mergeCell ref="Y4:Y6"/>
    <mergeCell ref="Z4:AC4"/>
    <mergeCell ref="AD4:AD6"/>
    <mergeCell ref="AT22:AX22"/>
    <mergeCell ref="E5:G5"/>
    <mergeCell ref="I5:K5"/>
    <mergeCell ref="P5:S5"/>
    <mergeCell ref="U5:X5"/>
    <mergeCell ref="Z5:AC5"/>
    <mergeCell ref="AT2:AX2"/>
    <mergeCell ref="P3:T3"/>
    <mergeCell ref="U3:Y3"/>
    <mergeCell ref="Z3:AD3"/>
    <mergeCell ref="AE3:AI3"/>
    <mergeCell ref="AJ3:AN3"/>
    <mergeCell ref="AO3:AS3"/>
    <mergeCell ref="AT3:AX3"/>
    <mergeCell ref="AJ2:AN2"/>
    <mergeCell ref="AO2:AS2"/>
    <mergeCell ref="AE2:AI2"/>
    <mergeCell ref="AJ5:AM5"/>
    <mergeCell ref="AO5:AR5"/>
    <mergeCell ref="AT5:AW5"/>
    <mergeCell ref="L4:L6"/>
    <mergeCell ref="M4:M6"/>
    <mergeCell ref="N4:N21"/>
    <mergeCell ref="O4:O21"/>
    <mergeCell ref="U24:X24"/>
    <mergeCell ref="Y24:Y26"/>
    <mergeCell ref="Z24:AC24"/>
    <mergeCell ref="AD24:AD26"/>
    <mergeCell ref="L24:L26"/>
    <mergeCell ref="M24:M26"/>
    <mergeCell ref="AX4:AX6"/>
    <mergeCell ref="B22:M23"/>
    <mergeCell ref="N22:N23"/>
    <mergeCell ref="O22:O23"/>
    <mergeCell ref="P22:T22"/>
    <mergeCell ref="U22:Y22"/>
    <mergeCell ref="P23:T23"/>
    <mergeCell ref="U23:Y23"/>
    <mergeCell ref="AE4:AH4"/>
    <mergeCell ref="Z23:AD23"/>
    <mergeCell ref="AE23:AI23"/>
    <mergeCell ref="AJ23:AN23"/>
    <mergeCell ref="AO23:AS23"/>
    <mergeCell ref="AT23:AX23"/>
    <mergeCell ref="Z22:AD22"/>
    <mergeCell ref="AE22:AI22"/>
    <mergeCell ref="AJ22:AN22"/>
    <mergeCell ref="AO22:AS22"/>
    <mergeCell ref="AI24:AI26"/>
    <mergeCell ref="AJ24:AM24"/>
    <mergeCell ref="AN24:AN26"/>
    <mergeCell ref="AO24:AR24"/>
    <mergeCell ref="AD27:AD41"/>
    <mergeCell ref="AI27:AI41"/>
    <mergeCell ref="AN27:AN41"/>
    <mergeCell ref="AS27:AS41"/>
    <mergeCell ref="B2:M3"/>
    <mergeCell ref="N2:N3"/>
    <mergeCell ref="O2:O3"/>
    <mergeCell ref="P2:T2"/>
    <mergeCell ref="U2:Y2"/>
    <mergeCell ref="Z2:AD2"/>
    <mergeCell ref="U25:X25"/>
    <mergeCell ref="Z25:AC25"/>
    <mergeCell ref="AE25:AH25"/>
    <mergeCell ref="B4:B6"/>
    <mergeCell ref="C4:D6"/>
    <mergeCell ref="E4:G4"/>
    <mergeCell ref="H4:H6"/>
    <mergeCell ref="AE5:AH5"/>
    <mergeCell ref="I4:K4"/>
    <mergeCell ref="T24:T26"/>
    <mergeCell ref="AX27:AX41"/>
    <mergeCell ref="B27:B41"/>
    <mergeCell ref="H27:H41"/>
    <mergeCell ref="L27:L41"/>
    <mergeCell ref="T27:T41"/>
    <mergeCell ref="Y27:Y41"/>
    <mergeCell ref="N24:N41"/>
    <mergeCell ref="O24:O41"/>
    <mergeCell ref="P24:S24"/>
    <mergeCell ref="B24:B26"/>
    <mergeCell ref="C24:D26"/>
    <mergeCell ref="E24:G24"/>
    <mergeCell ref="H24:H26"/>
    <mergeCell ref="I24:K24"/>
    <mergeCell ref="AS24:AS26"/>
    <mergeCell ref="AT24:AW24"/>
    <mergeCell ref="AX24:AX26"/>
    <mergeCell ref="E25:G25"/>
    <mergeCell ref="I25:K25"/>
    <mergeCell ref="P25:S25"/>
    <mergeCell ref="AJ25:AM25"/>
    <mergeCell ref="AO25:AR25"/>
    <mergeCell ref="AT25:AW25"/>
    <mergeCell ref="AE24:AH24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2">
    <tabColor rgb="FFFFFFCC"/>
  </sheetPr>
  <dimension ref="A1:AX61"/>
  <sheetViews>
    <sheetView zoomScaleNormal="100" workbookViewId="0">
      <pane xSplit="13" ySplit="1" topLeftCell="N32" activePane="bottomRight" state="frozen"/>
      <selection activeCell="B86" sqref="B86:M87"/>
      <selection pane="topRight" activeCell="B86" sqref="B86:M87"/>
      <selection pane="bottomLeft" activeCell="B86" sqref="B86:M87"/>
      <selection pane="bottomRight" activeCell="C1" sqref="C1"/>
    </sheetView>
  </sheetViews>
  <sheetFormatPr defaultColWidth="8.85546875" defaultRowHeight="12"/>
  <cols>
    <col min="1" max="1" width="5.5703125" style="78" customWidth="1"/>
    <col min="2" max="2" width="12.42578125" style="78" customWidth="1"/>
    <col min="3" max="3" width="9.28515625" style="176" bestFit="1" customWidth="1"/>
    <col min="4" max="4" width="26.42578125" style="175" customWidth="1"/>
    <col min="5" max="5" width="7.7109375" style="176" customWidth="1"/>
    <col min="6" max="7" width="8.7109375" style="176" customWidth="1"/>
    <col min="8" max="8" width="10.7109375" style="176" customWidth="1"/>
    <col min="9" max="9" width="7.7109375" style="177" customWidth="1"/>
    <col min="10" max="11" width="8.7109375" style="177" customWidth="1"/>
    <col min="12" max="12" width="10.7109375" style="177" customWidth="1"/>
    <col min="13" max="13" width="5.7109375" style="177" customWidth="1"/>
    <col min="14" max="14" width="9.85546875" style="176" customWidth="1"/>
    <col min="15" max="15" width="7.140625" style="176" customWidth="1"/>
    <col min="16" max="16" width="7.7109375" style="176" customWidth="1"/>
    <col min="17" max="18" width="8.7109375" style="176" customWidth="1"/>
    <col min="19" max="19" width="5.7109375" style="177" customWidth="1"/>
    <col min="20" max="20" width="10.7109375" style="176" customWidth="1"/>
    <col min="21" max="21" width="7.7109375" style="78" customWidth="1"/>
    <col min="22" max="23" width="8.7109375" style="78" customWidth="1"/>
    <col min="24" max="24" width="5.42578125" style="177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77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77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77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78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78" customWidth="1"/>
    <col min="50" max="50" width="10.7109375" style="78" customWidth="1"/>
    <col min="51" max="16384" width="8.85546875" style="78"/>
  </cols>
  <sheetData>
    <row r="1" spans="1:50" ht="21">
      <c r="A1" s="74"/>
      <c r="B1" s="450" t="s">
        <v>672</v>
      </c>
      <c r="C1" s="174">
        <f>AVERAGE(L27,L47)</f>
        <v>84.842849448356418</v>
      </c>
    </row>
    <row r="2" spans="1:50" ht="14.25" customHeight="1">
      <c r="B2" s="612" t="s">
        <v>628</v>
      </c>
      <c r="C2" s="613"/>
      <c r="D2" s="613"/>
      <c r="E2" s="613"/>
      <c r="F2" s="613"/>
      <c r="G2" s="613"/>
      <c r="H2" s="613"/>
      <c r="I2" s="613"/>
      <c r="J2" s="613"/>
      <c r="K2" s="613"/>
      <c r="L2" s="613"/>
      <c r="M2" s="614"/>
      <c r="N2" s="617" t="s">
        <v>341</v>
      </c>
      <c r="O2" s="617" t="s">
        <v>105</v>
      </c>
      <c r="P2" s="600">
        <v>46231</v>
      </c>
      <c r="Q2" s="601"/>
      <c r="R2" s="601"/>
      <c r="S2" s="601"/>
      <c r="T2" s="601"/>
      <c r="U2" s="602">
        <v>46232</v>
      </c>
      <c r="V2" s="603"/>
      <c r="W2" s="603"/>
      <c r="X2" s="603"/>
      <c r="Y2" s="603"/>
      <c r="Z2" s="600">
        <v>46233</v>
      </c>
      <c r="AA2" s="601"/>
      <c r="AB2" s="601"/>
      <c r="AC2" s="601"/>
      <c r="AD2" s="601"/>
      <c r="AE2" s="602">
        <v>46234</v>
      </c>
      <c r="AF2" s="603"/>
      <c r="AG2" s="603"/>
      <c r="AH2" s="603"/>
      <c r="AI2" s="603"/>
      <c r="AJ2" s="609">
        <v>46235</v>
      </c>
      <c r="AK2" s="610"/>
      <c r="AL2" s="610"/>
      <c r="AM2" s="610"/>
      <c r="AN2" s="611"/>
      <c r="AO2" s="602">
        <v>46236</v>
      </c>
      <c r="AP2" s="603"/>
      <c r="AQ2" s="603"/>
      <c r="AR2" s="603"/>
      <c r="AS2" s="603"/>
      <c r="AT2" s="609">
        <v>46237</v>
      </c>
      <c r="AU2" s="610"/>
      <c r="AV2" s="610"/>
      <c r="AW2" s="610"/>
      <c r="AX2" s="611"/>
    </row>
    <row r="3" spans="1:50" ht="14.25" customHeight="1">
      <c r="B3" s="615"/>
      <c r="C3" s="615"/>
      <c r="D3" s="615"/>
      <c r="E3" s="615"/>
      <c r="F3" s="615"/>
      <c r="G3" s="615"/>
      <c r="H3" s="615"/>
      <c r="I3" s="615"/>
      <c r="J3" s="615"/>
      <c r="K3" s="615"/>
      <c r="L3" s="615"/>
      <c r="M3" s="616"/>
      <c r="N3" s="618"/>
      <c r="O3" s="618"/>
      <c r="P3" s="604">
        <v>46196</v>
      </c>
      <c r="Q3" s="604"/>
      <c r="R3" s="604"/>
      <c r="S3" s="604"/>
      <c r="T3" s="604"/>
      <c r="U3" s="605">
        <v>46197</v>
      </c>
      <c r="V3" s="605"/>
      <c r="W3" s="605"/>
      <c r="X3" s="605"/>
      <c r="Y3" s="605"/>
      <c r="Z3" s="604">
        <v>46198</v>
      </c>
      <c r="AA3" s="604"/>
      <c r="AB3" s="604"/>
      <c r="AC3" s="604"/>
      <c r="AD3" s="604"/>
      <c r="AE3" s="605">
        <v>46199</v>
      </c>
      <c r="AF3" s="605"/>
      <c r="AG3" s="605"/>
      <c r="AH3" s="605"/>
      <c r="AI3" s="605"/>
      <c r="AJ3" s="606">
        <v>46200</v>
      </c>
      <c r="AK3" s="607"/>
      <c r="AL3" s="607"/>
      <c r="AM3" s="607"/>
      <c r="AN3" s="608"/>
      <c r="AO3" s="605">
        <v>46201</v>
      </c>
      <c r="AP3" s="605"/>
      <c r="AQ3" s="605"/>
      <c r="AR3" s="605"/>
      <c r="AS3" s="605"/>
      <c r="AT3" s="606">
        <v>46202</v>
      </c>
      <c r="AU3" s="607"/>
      <c r="AV3" s="607"/>
      <c r="AW3" s="607"/>
      <c r="AX3" s="608"/>
    </row>
    <row r="4" spans="1:50" ht="14.25" customHeight="1">
      <c r="B4" s="586" t="s">
        <v>162</v>
      </c>
      <c r="C4" s="586" t="s">
        <v>157</v>
      </c>
      <c r="D4" s="586"/>
      <c r="E4" s="586" t="s">
        <v>158</v>
      </c>
      <c r="F4" s="586"/>
      <c r="G4" s="586"/>
      <c r="H4" s="586" t="s">
        <v>163</v>
      </c>
      <c r="I4" s="592" t="s">
        <v>342</v>
      </c>
      <c r="J4" s="592"/>
      <c r="K4" s="592"/>
      <c r="L4" s="592" t="s">
        <v>163</v>
      </c>
      <c r="M4" s="592" t="s">
        <v>165</v>
      </c>
      <c r="N4" s="586"/>
      <c r="O4" s="586" t="s">
        <v>164</v>
      </c>
      <c r="P4" s="586" t="s">
        <v>160</v>
      </c>
      <c r="Q4" s="586"/>
      <c r="R4" s="586"/>
      <c r="S4" s="586"/>
      <c r="T4" s="586" t="s">
        <v>163</v>
      </c>
      <c r="U4" s="586" t="s">
        <v>160</v>
      </c>
      <c r="V4" s="586"/>
      <c r="W4" s="586"/>
      <c r="X4" s="586"/>
      <c r="Y4" s="586" t="s">
        <v>163</v>
      </c>
      <c r="Z4" s="586" t="s">
        <v>160</v>
      </c>
      <c r="AA4" s="586"/>
      <c r="AB4" s="586"/>
      <c r="AC4" s="586"/>
      <c r="AD4" s="586" t="s">
        <v>163</v>
      </c>
      <c r="AE4" s="586" t="s">
        <v>160</v>
      </c>
      <c r="AF4" s="586"/>
      <c r="AG4" s="586"/>
      <c r="AH4" s="586"/>
      <c r="AI4" s="586" t="s">
        <v>163</v>
      </c>
      <c r="AJ4" s="586" t="s">
        <v>160</v>
      </c>
      <c r="AK4" s="586"/>
      <c r="AL4" s="586"/>
      <c r="AM4" s="586"/>
      <c r="AN4" s="586" t="s">
        <v>163</v>
      </c>
      <c r="AO4" s="586" t="s">
        <v>160</v>
      </c>
      <c r="AP4" s="586"/>
      <c r="AQ4" s="586"/>
      <c r="AR4" s="586"/>
      <c r="AS4" s="586" t="s">
        <v>163</v>
      </c>
      <c r="AT4" s="586" t="s">
        <v>160</v>
      </c>
      <c r="AU4" s="586"/>
      <c r="AV4" s="586"/>
      <c r="AW4" s="586"/>
      <c r="AX4" s="586" t="s">
        <v>163</v>
      </c>
    </row>
    <row r="5" spans="1:50" ht="14.25" customHeight="1">
      <c r="B5" s="586"/>
      <c r="C5" s="586"/>
      <c r="D5" s="586"/>
      <c r="E5" s="586" t="s">
        <v>343</v>
      </c>
      <c r="F5" s="586"/>
      <c r="G5" s="586"/>
      <c r="H5" s="586"/>
      <c r="I5" s="592" t="s">
        <v>343</v>
      </c>
      <c r="J5" s="592"/>
      <c r="K5" s="592"/>
      <c r="L5" s="592"/>
      <c r="M5" s="592"/>
      <c r="N5" s="586"/>
      <c r="O5" s="586"/>
      <c r="P5" s="586" t="s">
        <v>344</v>
      </c>
      <c r="Q5" s="586"/>
      <c r="R5" s="586"/>
      <c r="S5" s="586"/>
      <c r="T5" s="586"/>
      <c r="U5" s="586" t="s">
        <v>344</v>
      </c>
      <c r="V5" s="586"/>
      <c r="W5" s="586"/>
      <c r="X5" s="586"/>
      <c r="Y5" s="586"/>
      <c r="Z5" s="586" t="s">
        <v>344</v>
      </c>
      <c r="AA5" s="586"/>
      <c r="AB5" s="586"/>
      <c r="AC5" s="586"/>
      <c r="AD5" s="586"/>
      <c r="AE5" s="586" t="s">
        <v>344</v>
      </c>
      <c r="AF5" s="586"/>
      <c r="AG5" s="586"/>
      <c r="AH5" s="586"/>
      <c r="AI5" s="586"/>
      <c r="AJ5" s="586" t="s">
        <v>344</v>
      </c>
      <c r="AK5" s="586"/>
      <c r="AL5" s="586"/>
      <c r="AM5" s="586"/>
      <c r="AN5" s="586"/>
      <c r="AO5" s="586" t="s">
        <v>344</v>
      </c>
      <c r="AP5" s="586"/>
      <c r="AQ5" s="586"/>
      <c r="AR5" s="586"/>
      <c r="AS5" s="586"/>
      <c r="AT5" s="586" t="s">
        <v>344</v>
      </c>
      <c r="AU5" s="586"/>
      <c r="AV5" s="586"/>
      <c r="AW5" s="586"/>
      <c r="AX5" s="586"/>
    </row>
    <row r="6" spans="1:50" ht="14.25" customHeight="1">
      <c r="B6" s="586"/>
      <c r="C6" s="586"/>
      <c r="D6" s="586"/>
      <c r="E6" s="179" t="s">
        <v>159</v>
      </c>
      <c r="F6" s="179" t="s">
        <v>345</v>
      </c>
      <c r="G6" s="179" t="s">
        <v>161</v>
      </c>
      <c r="H6" s="586"/>
      <c r="I6" s="180" t="s">
        <v>159</v>
      </c>
      <c r="J6" s="180" t="s">
        <v>345</v>
      </c>
      <c r="K6" s="180" t="s">
        <v>161</v>
      </c>
      <c r="L6" s="592"/>
      <c r="M6" s="592"/>
      <c r="N6" s="586"/>
      <c r="O6" s="586"/>
      <c r="P6" s="179" t="s">
        <v>159</v>
      </c>
      <c r="Q6" s="179" t="s">
        <v>345</v>
      </c>
      <c r="R6" s="179" t="s">
        <v>161</v>
      </c>
      <c r="S6" s="181" t="s">
        <v>165</v>
      </c>
      <c r="T6" s="586"/>
      <c r="U6" s="179" t="s">
        <v>159</v>
      </c>
      <c r="V6" s="179" t="s">
        <v>345</v>
      </c>
      <c r="W6" s="179" t="s">
        <v>161</v>
      </c>
      <c r="X6" s="181" t="s">
        <v>165</v>
      </c>
      <c r="Y6" s="586"/>
      <c r="Z6" s="179" t="s">
        <v>159</v>
      </c>
      <c r="AA6" s="179" t="s">
        <v>345</v>
      </c>
      <c r="AB6" s="179" t="s">
        <v>161</v>
      </c>
      <c r="AC6" s="181" t="s">
        <v>165</v>
      </c>
      <c r="AD6" s="586"/>
      <c r="AE6" s="179" t="s">
        <v>159</v>
      </c>
      <c r="AF6" s="179" t="s">
        <v>345</v>
      </c>
      <c r="AG6" s="179" t="s">
        <v>161</v>
      </c>
      <c r="AH6" s="181" t="s">
        <v>165</v>
      </c>
      <c r="AI6" s="586"/>
      <c r="AJ6" s="179" t="s">
        <v>159</v>
      </c>
      <c r="AK6" s="179" t="s">
        <v>345</v>
      </c>
      <c r="AL6" s="179" t="s">
        <v>161</v>
      </c>
      <c r="AM6" s="181" t="s">
        <v>165</v>
      </c>
      <c r="AN6" s="586"/>
      <c r="AO6" s="179" t="s">
        <v>159</v>
      </c>
      <c r="AP6" s="179" t="s">
        <v>345</v>
      </c>
      <c r="AQ6" s="179" t="s">
        <v>161</v>
      </c>
      <c r="AR6" s="181" t="s">
        <v>165</v>
      </c>
      <c r="AS6" s="586"/>
      <c r="AT6" s="179" t="s">
        <v>159</v>
      </c>
      <c r="AU6" s="179" t="s">
        <v>345</v>
      </c>
      <c r="AV6" s="179" t="s">
        <v>161</v>
      </c>
      <c r="AW6" s="181" t="s">
        <v>165</v>
      </c>
      <c r="AX6" s="586"/>
    </row>
    <row r="7" spans="1:50" ht="14.25" customHeight="1">
      <c r="B7" s="586" t="s">
        <v>327</v>
      </c>
      <c r="C7" s="179">
        <v>1</v>
      </c>
      <c r="D7" s="182" t="s">
        <v>321</v>
      </c>
      <c r="E7" s="183">
        <v>24</v>
      </c>
      <c r="F7" s="179">
        <v>2000</v>
      </c>
      <c r="G7" s="184">
        <f t="shared" ref="G7:G14" si="0">IFERROR(F7/E7,"")</f>
        <v>83.333333333333329</v>
      </c>
      <c r="H7" s="588">
        <f>AVERAGE(G7:G21)</f>
        <v>92.03329882677707</v>
      </c>
      <c r="I7" s="185">
        <f>AVERAGE(P7,U7,Z7,AE7,AJ7,AO7,AT7)</f>
        <v>24</v>
      </c>
      <c r="J7" s="185">
        <f>AVERAGE(Q7,V7,AA7,AF7,AK7,AP7,AU7)</f>
        <v>1798.893059770608</v>
      </c>
      <c r="K7" s="186">
        <f>AVERAGE(R7,W7,AB7,AG7,AL7,AQ7,AV7)</f>
        <v>74.953877490442011</v>
      </c>
      <c r="L7" s="589">
        <f>IFERROR(AVERAGE(K7:K21),"-")</f>
        <v>84.597094492730079</v>
      </c>
      <c r="M7" s="185">
        <f>RANK(K7, K$7:$K$21)</f>
        <v>8</v>
      </c>
      <c r="N7" s="586"/>
      <c r="O7" s="586"/>
      <c r="P7" s="187">
        <v>24</v>
      </c>
      <c r="Q7" s="187">
        <v>1796.7735272345521</v>
      </c>
      <c r="R7" s="184">
        <f>IFERROR(Q7/P7,"")</f>
        <v>74.865563634773011</v>
      </c>
      <c r="S7" s="181">
        <f>RANK(R7, R$7:R$21)</f>
        <v>8</v>
      </c>
      <c r="T7" s="588">
        <f>AVERAGE(R7:R21)</f>
        <v>84.458295268323042</v>
      </c>
      <c r="U7" s="187">
        <v>24</v>
      </c>
      <c r="V7" s="187">
        <v>1797.1735272345522</v>
      </c>
      <c r="W7" s="184">
        <f t="shared" ref="W7:W14" si="1">IFERROR(V7/U7,"")</f>
        <v>74.882230301439677</v>
      </c>
      <c r="X7" s="181">
        <f>RANK(W7, W$7:W$21)</f>
        <v>8</v>
      </c>
      <c r="Y7" s="588">
        <f>AVERAGE(W7:W21)</f>
        <v>84.463161301692907</v>
      </c>
      <c r="Z7" s="187">
        <v>24</v>
      </c>
      <c r="AA7" s="187">
        <v>1797.3735272345521</v>
      </c>
      <c r="AB7" s="184">
        <f>IFERROR(AA7/Z7,"")</f>
        <v>74.890563634773002</v>
      </c>
      <c r="AC7" s="181">
        <f>RANK(AB7, AB$7:AB$21)</f>
        <v>8</v>
      </c>
      <c r="AD7" s="588">
        <f>AVERAGE(AB7:AB21)</f>
        <v>84.553317335506165</v>
      </c>
      <c r="AE7" s="187">
        <v>24</v>
      </c>
      <c r="AF7" s="187">
        <v>1799.6827091726502</v>
      </c>
      <c r="AG7" s="184">
        <f>IFERROR(AF7/AE7,"")</f>
        <v>74.986779548860426</v>
      </c>
      <c r="AH7" s="181">
        <f>RANK(AG7, AG$7:AG$21)</f>
        <v>8</v>
      </c>
      <c r="AI7" s="588">
        <f>AVERAGE(AG7:AG21)</f>
        <v>84.614982039067883</v>
      </c>
      <c r="AJ7" s="187">
        <v>24</v>
      </c>
      <c r="AK7" s="187">
        <v>1800.0827091726503</v>
      </c>
      <c r="AL7" s="184">
        <f>IFERROR(AK7/AJ7,"")</f>
        <v>75.003446215527092</v>
      </c>
      <c r="AM7" s="181">
        <f>RANK(AL7, AL$7:AL$21)</f>
        <v>8</v>
      </c>
      <c r="AN7" s="588">
        <f>AVERAGE(AL7:AL21)</f>
        <v>84.656503195862612</v>
      </c>
      <c r="AO7" s="187">
        <v>24</v>
      </c>
      <c r="AP7" s="187">
        <v>1800.4827091726504</v>
      </c>
      <c r="AQ7" s="184">
        <f>IFERROR(AP7/AO7,"")</f>
        <v>75.020112882193771</v>
      </c>
      <c r="AR7" s="181">
        <f>RANK(AQ7, AQ$7:AQ$21)</f>
        <v>8</v>
      </c>
      <c r="AS7" s="588">
        <f>AVERAGE(AQ7:AQ21)</f>
        <v>84.703713776828067</v>
      </c>
      <c r="AT7" s="187">
        <v>24</v>
      </c>
      <c r="AU7" s="187">
        <v>1800.6827091726502</v>
      </c>
      <c r="AV7" s="184">
        <f>IFERROR(AU7/AT7,"")</f>
        <v>75.028446215527097</v>
      </c>
      <c r="AW7" s="181">
        <f>RANK(AV7, AV$7:AV$21)</f>
        <v>8</v>
      </c>
      <c r="AX7" s="588">
        <f>AVERAGE(AV7:AV21)</f>
        <v>84.729688531829822</v>
      </c>
    </row>
    <row r="8" spans="1:50" ht="14.25" customHeight="1">
      <c r="B8" s="586"/>
      <c r="C8" s="179">
        <v>2</v>
      </c>
      <c r="D8" s="182" t="s">
        <v>580</v>
      </c>
      <c r="E8" s="179">
        <v>21</v>
      </c>
      <c r="F8" s="179">
        <v>1800</v>
      </c>
      <c r="G8" s="184">
        <f t="shared" si="0"/>
        <v>85.714285714285708</v>
      </c>
      <c r="H8" s="588"/>
      <c r="I8" s="185">
        <f t="shared" ref="I8:K14" si="2">AVERAGE(P8,U8,Z8,AE8,AJ8,AO8,AT8)</f>
        <v>21</v>
      </c>
      <c r="J8" s="185">
        <f t="shared" si="2"/>
        <v>1622.6332543740639</v>
      </c>
      <c r="K8" s="186">
        <f t="shared" si="2"/>
        <v>77.268250208288762</v>
      </c>
      <c r="L8" s="589"/>
      <c r="M8" s="185">
        <f>RANK(K8, K$7:$K$21)</f>
        <v>7</v>
      </c>
      <c r="N8" s="586"/>
      <c r="O8" s="586"/>
      <c r="P8" s="187">
        <v>21</v>
      </c>
      <c r="Q8" s="187">
        <v>1623.2761115169208</v>
      </c>
      <c r="R8" s="184">
        <f t="shared" ref="R8:R14" si="3">IFERROR(Q8/P8,"")</f>
        <v>77.2988624531867</v>
      </c>
      <c r="S8" s="181">
        <f t="shared" ref="S8:S14" si="4">RANK(R8, R$7:R$21)</f>
        <v>7</v>
      </c>
      <c r="T8" s="588"/>
      <c r="U8" s="187">
        <v>21</v>
      </c>
      <c r="V8" s="187">
        <v>1622.5561115169212</v>
      </c>
      <c r="W8" s="184">
        <f t="shared" si="1"/>
        <v>77.264576738901013</v>
      </c>
      <c r="X8" s="181">
        <f t="shared" ref="X8:X14" si="5">RANK(W8, W$7:W$21)</f>
        <v>7</v>
      </c>
      <c r="Y8" s="588"/>
      <c r="Z8" s="187">
        <v>21</v>
      </c>
      <c r="AA8" s="187">
        <v>1623.2761115169212</v>
      </c>
      <c r="AB8" s="184">
        <f t="shared" ref="AB8:AB14" si="6">IFERROR(AA8/Z8,"")</f>
        <v>77.298862453186729</v>
      </c>
      <c r="AC8" s="181">
        <f t="shared" ref="AC8:AC14" si="7">RANK(AB8, AB$7:AB$21)</f>
        <v>7</v>
      </c>
      <c r="AD8" s="588"/>
      <c r="AE8" s="187">
        <v>21</v>
      </c>
      <c r="AF8" s="187">
        <v>1622.5561115169214</v>
      </c>
      <c r="AG8" s="184">
        <f t="shared" ref="AG8:AG14" si="8">IFERROR(AF8/AE8,"")</f>
        <v>77.264576738901013</v>
      </c>
      <c r="AH8" s="181">
        <f t="shared" ref="AH8:AH14" si="9">RANK(AG8, AG$7:AG$21)</f>
        <v>7</v>
      </c>
      <c r="AI8" s="588"/>
      <c r="AJ8" s="187">
        <v>21</v>
      </c>
      <c r="AK8" s="187">
        <v>1622.0161115169212</v>
      </c>
      <c r="AL8" s="184">
        <f t="shared" ref="AL8:AL14" si="10">IFERROR(AK8/AJ8,"")</f>
        <v>77.238862453186726</v>
      </c>
      <c r="AM8" s="181">
        <f t="shared" ref="AM8:AM14" si="11">RANK(AL8, AL$7:AL$21)</f>
        <v>7</v>
      </c>
      <c r="AN8" s="588"/>
      <c r="AO8" s="187">
        <v>21</v>
      </c>
      <c r="AP8" s="187">
        <v>1622.0161115169212</v>
      </c>
      <c r="AQ8" s="184">
        <f t="shared" ref="AQ8:AQ14" si="12">IFERROR(AP8/AO8,"")</f>
        <v>77.238862453186726</v>
      </c>
      <c r="AR8" s="181">
        <f t="shared" ref="AR8:AR14" si="13">RANK(AQ8, AQ$7:AQ$21)</f>
        <v>7</v>
      </c>
      <c r="AS8" s="588"/>
      <c r="AT8" s="187">
        <v>21</v>
      </c>
      <c r="AU8" s="187">
        <v>1622.7361115169213</v>
      </c>
      <c r="AV8" s="184">
        <f t="shared" ref="AV8:AV14" si="14">IFERROR(AU8/AT8,"")</f>
        <v>77.273148167472442</v>
      </c>
      <c r="AW8" s="181">
        <f t="shared" ref="AW8:AW14" si="15">RANK(AV8, AV$7:AV$21)</f>
        <v>7</v>
      </c>
      <c r="AX8" s="588"/>
    </row>
    <row r="9" spans="1:50" ht="14.25" customHeight="1">
      <c r="B9" s="586"/>
      <c r="C9" s="179">
        <v>3</v>
      </c>
      <c r="D9" s="182" t="s">
        <v>320</v>
      </c>
      <c r="E9" s="179">
        <v>23</v>
      </c>
      <c r="F9" s="179">
        <v>2000</v>
      </c>
      <c r="G9" s="184">
        <f t="shared" si="0"/>
        <v>86.956521739130437</v>
      </c>
      <c r="H9" s="588"/>
      <c r="I9" s="185">
        <f t="shared" si="2"/>
        <v>23</v>
      </c>
      <c r="J9" s="185">
        <f t="shared" si="2"/>
        <v>1799.4841797594167</v>
      </c>
      <c r="K9" s="186">
        <f t="shared" si="2"/>
        <v>78.238442598235537</v>
      </c>
      <c r="L9" s="589"/>
      <c r="M9" s="185">
        <f>RANK(K9, K$7:$K$21)</f>
        <v>5</v>
      </c>
      <c r="N9" s="586"/>
      <c r="O9" s="586"/>
      <c r="P9" s="187">
        <v>23</v>
      </c>
      <c r="Q9" s="187">
        <v>1797.4892750663485</v>
      </c>
      <c r="R9" s="184">
        <f t="shared" si="3"/>
        <v>78.151707611580363</v>
      </c>
      <c r="S9" s="181">
        <f t="shared" si="4"/>
        <v>5</v>
      </c>
      <c r="T9" s="588"/>
      <c r="U9" s="187">
        <v>23</v>
      </c>
      <c r="V9" s="187">
        <v>1797.6892750663483</v>
      </c>
      <c r="W9" s="184">
        <f t="shared" si="1"/>
        <v>78.160403263754276</v>
      </c>
      <c r="X9" s="181">
        <f t="shared" si="5"/>
        <v>5</v>
      </c>
      <c r="Y9" s="588"/>
      <c r="Z9" s="187">
        <v>23</v>
      </c>
      <c r="AA9" s="187">
        <v>1798.289275066348</v>
      </c>
      <c r="AB9" s="184">
        <f t="shared" si="6"/>
        <v>78.186490220275999</v>
      </c>
      <c r="AC9" s="181">
        <f t="shared" si="7"/>
        <v>4</v>
      </c>
      <c r="AD9" s="588"/>
      <c r="AE9" s="187">
        <v>23</v>
      </c>
      <c r="AF9" s="187">
        <v>1800.4303582792186</v>
      </c>
      <c r="AG9" s="184">
        <f t="shared" si="8"/>
        <v>78.27958079474864</v>
      </c>
      <c r="AH9" s="181">
        <f t="shared" si="9"/>
        <v>4</v>
      </c>
      <c r="AI9" s="588"/>
      <c r="AJ9" s="187">
        <v>23</v>
      </c>
      <c r="AK9" s="187">
        <v>1800.6303582792186</v>
      </c>
      <c r="AL9" s="184">
        <f t="shared" si="10"/>
        <v>78.288276446922552</v>
      </c>
      <c r="AM9" s="181">
        <f t="shared" si="11"/>
        <v>4</v>
      </c>
      <c r="AN9" s="588"/>
      <c r="AO9" s="187">
        <v>23</v>
      </c>
      <c r="AP9" s="187">
        <v>1800.8303582792187</v>
      </c>
      <c r="AQ9" s="184">
        <f t="shared" si="12"/>
        <v>78.296972099096465</v>
      </c>
      <c r="AR9" s="181">
        <f t="shared" si="13"/>
        <v>5</v>
      </c>
      <c r="AS9" s="588"/>
      <c r="AT9" s="187">
        <v>23</v>
      </c>
      <c r="AU9" s="187">
        <v>1801.0303582792189</v>
      </c>
      <c r="AV9" s="184">
        <f t="shared" si="14"/>
        <v>78.305667751270391</v>
      </c>
      <c r="AW9" s="181">
        <f t="shared" si="15"/>
        <v>5</v>
      </c>
      <c r="AX9" s="588"/>
    </row>
    <row r="10" spans="1:50" ht="14.25" customHeight="1">
      <c r="B10" s="586"/>
      <c r="C10" s="179">
        <v>4</v>
      </c>
      <c r="D10" s="182" t="s">
        <v>328</v>
      </c>
      <c r="E10" s="179">
        <v>23</v>
      </c>
      <c r="F10" s="179">
        <v>2000</v>
      </c>
      <c r="G10" s="184">
        <f t="shared" si="0"/>
        <v>86.956521739130437</v>
      </c>
      <c r="H10" s="588"/>
      <c r="I10" s="185">
        <f t="shared" si="2"/>
        <v>23</v>
      </c>
      <c r="J10" s="185">
        <f t="shared" si="2"/>
        <v>1798.2785907695647</v>
      </c>
      <c r="K10" s="186">
        <f t="shared" si="2"/>
        <v>78.18602568563324</v>
      </c>
      <c r="L10" s="589"/>
      <c r="M10" s="185">
        <f>RANK(K10, K$7:$K$21)</f>
        <v>6</v>
      </c>
      <c r="N10" s="586"/>
      <c r="O10" s="586"/>
      <c r="P10" s="187">
        <v>23</v>
      </c>
      <c r="Q10" s="187">
        <v>1797.120388674648</v>
      </c>
      <c r="R10" s="184">
        <f t="shared" si="3"/>
        <v>78.135669072810785</v>
      </c>
      <c r="S10" s="181">
        <f t="shared" si="4"/>
        <v>6</v>
      </c>
      <c r="T10" s="588"/>
      <c r="U10" s="187">
        <v>23</v>
      </c>
      <c r="V10" s="187">
        <v>1797.7203886746477</v>
      </c>
      <c r="W10" s="184">
        <f t="shared" si="1"/>
        <v>78.161756029332508</v>
      </c>
      <c r="X10" s="181">
        <f t="shared" si="5"/>
        <v>4</v>
      </c>
      <c r="Y10" s="588"/>
      <c r="Z10" s="187">
        <v>23</v>
      </c>
      <c r="AA10" s="187">
        <v>1797.9203886746475</v>
      </c>
      <c r="AB10" s="184">
        <f t="shared" si="6"/>
        <v>78.170451681506407</v>
      </c>
      <c r="AC10" s="181">
        <f t="shared" si="7"/>
        <v>5</v>
      </c>
      <c r="AD10" s="588"/>
      <c r="AE10" s="187">
        <v>23</v>
      </c>
      <c r="AF10" s="187">
        <v>1798.1203886746475</v>
      </c>
      <c r="AG10" s="184">
        <f t="shared" si="8"/>
        <v>78.179147333680334</v>
      </c>
      <c r="AH10" s="181">
        <f t="shared" si="9"/>
        <v>6</v>
      </c>
      <c r="AI10" s="588"/>
      <c r="AJ10" s="187">
        <v>23</v>
      </c>
      <c r="AK10" s="187">
        <v>1798.3203886746478</v>
      </c>
      <c r="AL10" s="184">
        <f t="shared" si="10"/>
        <v>78.187842985854246</v>
      </c>
      <c r="AM10" s="181">
        <f t="shared" si="11"/>
        <v>6</v>
      </c>
      <c r="AN10" s="588"/>
      <c r="AO10" s="187">
        <v>23</v>
      </c>
      <c r="AP10" s="187">
        <v>1799.1740960068569</v>
      </c>
      <c r="AQ10" s="184">
        <f t="shared" si="12"/>
        <v>78.224960695950301</v>
      </c>
      <c r="AR10" s="181">
        <f t="shared" si="13"/>
        <v>6</v>
      </c>
      <c r="AS10" s="588"/>
      <c r="AT10" s="187">
        <v>23</v>
      </c>
      <c r="AU10" s="187">
        <v>1799.574096006857</v>
      </c>
      <c r="AV10" s="184">
        <f t="shared" si="14"/>
        <v>78.242352000298126</v>
      </c>
      <c r="AW10" s="181">
        <f t="shared" si="15"/>
        <v>6</v>
      </c>
      <c r="AX10" s="588"/>
    </row>
    <row r="11" spans="1:50" ht="14.25" customHeight="1">
      <c r="B11" s="586"/>
      <c r="C11" s="179">
        <v>5</v>
      </c>
      <c r="D11" s="182" t="s">
        <v>322</v>
      </c>
      <c r="E11" s="179">
        <v>23</v>
      </c>
      <c r="F11" s="179">
        <v>2000</v>
      </c>
      <c r="G11" s="184">
        <f t="shared" si="0"/>
        <v>86.956521739130437</v>
      </c>
      <c r="H11" s="588"/>
      <c r="I11" s="185">
        <f t="shared" si="2"/>
        <v>23</v>
      </c>
      <c r="J11" s="185">
        <f t="shared" si="2"/>
        <v>1799.5063717140899</v>
      </c>
      <c r="K11" s="186">
        <f t="shared" si="2"/>
        <v>78.239407465830013</v>
      </c>
      <c r="L11" s="589"/>
      <c r="M11" s="185">
        <f>RANK(K11, K$7:$K$21)</f>
        <v>4</v>
      </c>
      <c r="N11" s="586"/>
      <c r="O11" s="586"/>
      <c r="P11" s="187">
        <v>23</v>
      </c>
      <c r="Q11" s="187">
        <v>1797.6132557002491</v>
      </c>
      <c r="R11" s="184">
        <f t="shared" si="3"/>
        <v>78.157098073923876</v>
      </c>
      <c r="S11" s="181">
        <f t="shared" si="4"/>
        <v>4</v>
      </c>
      <c r="T11" s="588"/>
      <c r="U11" s="187">
        <v>23</v>
      </c>
      <c r="V11" s="187">
        <v>1797.6132557002491</v>
      </c>
      <c r="W11" s="184">
        <f t="shared" si="1"/>
        <v>78.157098073923876</v>
      </c>
      <c r="X11" s="181">
        <f t="shared" si="5"/>
        <v>6</v>
      </c>
      <c r="Y11" s="588"/>
      <c r="Z11" s="187">
        <v>23</v>
      </c>
      <c r="AA11" s="187">
        <v>1797.8132557002489</v>
      </c>
      <c r="AB11" s="184">
        <f t="shared" si="6"/>
        <v>78.165793726097775</v>
      </c>
      <c r="AC11" s="181">
        <f t="shared" si="7"/>
        <v>6</v>
      </c>
      <c r="AD11" s="588"/>
      <c r="AE11" s="187">
        <v>23</v>
      </c>
      <c r="AF11" s="187">
        <v>1800.4262087244713</v>
      </c>
      <c r="AG11" s="184">
        <f t="shared" si="8"/>
        <v>78.279400379324841</v>
      </c>
      <c r="AH11" s="181">
        <f t="shared" si="9"/>
        <v>5</v>
      </c>
      <c r="AI11" s="588"/>
      <c r="AJ11" s="187">
        <v>23</v>
      </c>
      <c r="AK11" s="187">
        <v>1800.6262087244713</v>
      </c>
      <c r="AL11" s="184">
        <f t="shared" si="10"/>
        <v>78.288096031498753</v>
      </c>
      <c r="AM11" s="181">
        <f t="shared" si="11"/>
        <v>5</v>
      </c>
      <c r="AN11" s="588"/>
      <c r="AO11" s="187">
        <v>23</v>
      </c>
      <c r="AP11" s="187">
        <v>1801.026208724471</v>
      </c>
      <c r="AQ11" s="184">
        <f t="shared" si="12"/>
        <v>78.305487335846564</v>
      </c>
      <c r="AR11" s="181">
        <f t="shared" si="13"/>
        <v>4</v>
      </c>
      <c r="AS11" s="588"/>
      <c r="AT11" s="187">
        <v>23</v>
      </c>
      <c r="AU11" s="187">
        <v>1801.4262087244708</v>
      </c>
      <c r="AV11" s="184">
        <f t="shared" si="14"/>
        <v>78.322878640194389</v>
      </c>
      <c r="AW11" s="181">
        <f t="shared" si="15"/>
        <v>4</v>
      </c>
      <c r="AX11" s="588"/>
    </row>
    <row r="12" spans="1:50" ht="14.25" customHeight="1">
      <c r="B12" s="586"/>
      <c r="C12" s="179">
        <v>6</v>
      </c>
      <c r="D12" s="182" t="s">
        <v>443</v>
      </c>
      <c r="E12" s="179">
        <v>20</v>
      </c>
      <c r="F12" s="179">
        <v>2000</v>
      </c>
      <c r="G12" s="184">
        <f t="shared" si="0"/>
        <v>100</v>
      </c>
      <c r="H12" s="588"/>
      <c r="I12" s="185">
        <f t="shared" si="2"/>
        <v>19</v>
      </c>
      <c r="J12" s="185">
        <f t="shared" si="2"/>
        <v>1795.4511960520019</v>
      </c>
      <c r="K12" s="186">
        <f t="shared" si="2"/>
        <v>94.497431371158001</v>
      </c>
      <c r="L12" s="589"/>
      <c r="M12" s="185">
        <f>RANK(K12, K$7:$K$21)</f>
        <v>2</v>
      </c>
      <c r="N12" s="586"/>
      <c r="O12" s="586"/>
      <c r="P12" s="187">
        <v>19</v>
      </c>
      <c r="Q12" s="187">
        <v>1790.4</v>
      </c>
      <c r="R12" s="184">
        <f t="shared" si="3"/>
        <v>94.231578947368419</v>
      </c>
      <c r="S12" s="181">
        <f t="shared" si="4"/>
        <v>2</v>
      </c>
      <c r="T12" s="588"/>
      <c r="U12" s="187">
        <v>19</v>
      </c>
      <c r="V12" s="187">
        <v>1790.4</v>
      </c>
      <c r="W12" s="184">
        <f t="shared" si="1"/>
        <v>94.231578947368419</v>
      </c>
      <c r="X12" s="181">
        <f t="shared" si="5"/>
        <v>2</v>
      </c>
      <c r="Y12" s="588"/>
      <c r="Z12" s="187">
        <v>19</v>
      </c>
      <c r="AA12" s="187">
        <v>1793.1423312570246</v>
      </c>
      <c r="AB12" s="184">
        <f t="shared" si="6"/>
        <v>94.375912171422343</v>
      </c>
      <c r="AC12" s="181">
        <f t="shared" si="7"/>
        <v>2</v>
      </c>
      <c r="AD12" s="588"/>
      <c r="AE12" s="187">
        <v>19</v>
      </c>
      <c r="AF12" s="187">
        <v>1796.1999999999998</v>
      </c>
      <c r="AG12" s="184">
        <f t="shared" si="8"/>
        <v>94.536842105263148</v>
      </c>
      <c r="AH12" s="181">
        <f t="shared" si="9"/>
        <v>2</v>
      </c>
      <c r="AI12" s="588"/>
      <c r="AJ12" s="187">
        <v>19</v>
      </c>
      <c r="AK12" s="187">
        <v>1798.4846757520409</v>
      </c>
      <c r="AL12" s="184">
        <f t="shared" si="10"/>
        <v>94.657088197475829</v>
      </c>
      <c r="AM12" s="181">
        <f t="shared" si="11"/>
        <v>2</v>
      </c>
      <c r="AN12" s="588"/>
      <c r="AO12" s="187">
        <v>19</v>
      </c>
      <c r="AP12" s="187">
        <v>1799.331365354949</v>
      </c>
      <c r="AQ12" s="184">
        <f t="shared" si="12"/>
        <v>94.701650808155208</v>
      </c>
      <c r="AR12" s="181">
        <f t="shared" si="13"/>
        <v>2</v>
      </c>
      <c r="AS12" s="588"/>
      <c r="AT12" s="187">
        <v>19</v>
      </c>
      <c r="AU12" s="187">
        <v>1800.2000000000003</v>
      </c>
      <c r="AV12" s="184">
        <f t="shared" si="14"/>
        <v>94.747368421052641</v>
      </c>
      <c r="AW12" s="181">
        <f t="shared" si="15"/>
        <v>2</v>
      </c>
      <c r="AX12" s="588"/>
    </row>
    <row r="13" spans="1:50" ht="14.25" customHeight="1">
      <c r="B13" s="586"/>
      <c r="C13" s="179">
        <v>7</v>
      </c>
      <c r="D13" s="182" t="s">
        <v>518</v>
      </c>
      <c r="E13" s="179">
        <v>18</v>
      </c>
      <c r="F13" s="179">
        <v>2000</v>
      </c>
      <c r="G13" s="184">
        <f t="shared" si="0"/>
        <v>111.11111111111111</v>
      </c>
      <c r="H13" s="588"/>
      <c r="I13" s="185">
        <f t="shared" si="2"/>
        <v>17</v>
      </c>
      <c r="J13" s="185">
        <f t="shared" si="2"/>
        <v>1795.6351185148455</v>
      </c>
      <c r="K13" s="186">
        <f t="shared" si="2"/>
        <v>105.62559520675561</v>
      </c>
      <c r="L13" s="589"/>
      <c r="M13" s="185">
        <f>RANK(K13, K$7:$K$21)</f>
        <v>1</v>
      </c>
      <c r="N13" s="586"/>
      <c r="O13" s="586"/>
      <c r="P13" s="187">
        <v>17</v>
      </c>
      <c r="Q13" s="187">
        <v>1790.2</v>
      </c>
      <c r="R13" s="184">
        <f t="shared" si="3"/>
        <v>105.30588235294118</v>
      </c>
      <c r="S13" s="181">
        <f t="shared" si="4"/>
        <v>1</v>
      </c>
      <c r="T13" s="588"/>
      <c r="U13" s="187">
        <v>17</v>
      </c>
      <c r="V13" s="187">
        <v>1790.4</v>
      </c>
      <c r="W13" s="184">
        <f t="shared" si="1"/>
        <v>105.31764705882354</v>
      </c>
      <c r="X13" s="181">
        <f t="shared" si="5"/>
        <v>1</v>
      </c>
      <c r="Y13" s="588"/>
      <c r="Z13" s="187">
        <v>17</v>
      </c>
      <c r="AA13" s="187">
        <v>1795.2265582544769</v>
      </c>
      <c r="AB13" s="184">
        <f t="shared" si="6"/>
        <v>105.60156225026334</v>
      </c>
      <c r="AC13" s="181">
        <f t="shared" si="7"/>
        <v>1</v>
      </c>
      <c r="AD13" s="588"/>
      <c r="AE13" s="187">
        <v>17</v>
      </c>
      <c r="AF13" s="187">
        <v>1795.6</v>
      </c>
      <c r="AG13" s="184">
        <f t="shared" si="8"/>
        <v>105.62352941176471</v>
      </c>
      <c r="AH13" s="181">
        <f t="shared" si="9"/>
        <v>1</v>
      </c>
      <c r="AI13" s="588"/>
      <c r="AJ13" s="187">
        <v>17</v>
      </c>
      <c r="AK13" s="187">
        <v>1797.5415435217242</v>
      </c>
      <c r="AL13" s="184">
        <f t="shared" si="10"/>
        <v>105.73773785421906</v>
      </c>
      <c r="AM13" s="181">
        <f t="shared" si="11"/>
        <v>1</v>
      </c>
      <c r="AN13" s="588"/>
      <c r="AO13" s="187">
        <v>17</v>
      </c>
      <c r="AP13" s="187">
        <v>1799.8777278277169</v>
      </c>
      <c r="AQ13" s="184">
        <f t="shared" si="12"/>
        <v>105.87516046045393</v>
      </c>
      <c r="AR13" s="181">
        <f t="shared" si="13"/>
        <v>1</v>
      </c>
      <c r="AS13" s="588"/>
      <c r="AT13" s="187">
        <v>17</v>
      </c>
      <c r="AU13" s="187">
        <v>1800.6</v>
      </c>
      <c r="AV13" s="184">
        <f t="shared" si="14"/>
        <v>105.91764705882352</v>
      </c>
      <c r="AW13" s="181">
        <f t="shared" si="15"/>
        <v>1</v>
      </c>
      <c r="AX13" s="588"/>
    </row>
    <row r="14" spans="1:50" ht="14.25" customHeight="1">
      <c r="B14" s="586"/>
      <c r="C14" s="179">
        <v>8</v>
      </c>
      <c r="D14" s="182" t="s">
        <v>554</v>
      </c>
      <c r="E14" s="179">
        <v>21</v>
      </c>
      <c r="F14" s="179">
        <v>2000</v>
      </c>
      <c r="G14" s="184">
        <f t="shared" si="0"/>
        <v>95.238095238095241</v>
      </c>
      <c r="H14" s="588"/>
      <c r="I14" s="185">
        <f t="shared" si="2"/>
        <v>20</v>
      </c>
      <c r="J14" s="185">
        <f t="shared" si="2"/>
        <v>1795.3545183099479</v>
      </c>
      <c r="K14" s="186">
        <f t="shared" si="2"/>
        <v>89.767725915497394</v>
      </c>
      <c r="L14" s="589"/>
      <c r="M14" s="185">
        <f>RANK(K14, K$7:$K$21)</f>
        <v>3</v>
      </c>
      <c r="N14" s="586"/>
      <c r="O14" s="586"/>
      <c r="P14" s="187">
        <v>20</v>
      </c>
      <c r="Q14" s="187">
        <v>1790.4</v>
      </c>
      <c r="R14" s="184">
        <f t="shared" si="3"/>
        <v>89.52000000000001</v>
      </c>
      <c r="S14" s="181">
        <f t="shared" si="4"/>
        <v>3</v>
      </c>
      <c r="T14" s="588"/>
      <c r="U14" s="187">
        <v>20</v>
      </c>
      <c r="V14" s="187">
        <v>1790.6</v>
      </c>
      <c r="W14" s="184">
        <f t="shared" si="1"/>
        <v>89.53</v>
      </c>
      <c r="X14" s="181">
        <f t="shared" si="5"/>
        <v>3</v>
      </c>
      <c r="Y14" s="588"/>
      <c r="Z14" s="187">
        <v>20</v>
      </c>
      <c r="AA14" s="187">
        <v>1794.7380509304744</v>
      </c>
      <c r="AB14" s="184">
        <f t="shared" si="6"/>
        <v>89.736902546523723</v>
      </c>
      <c r="AC14" s="181">
        <f t="shared" si="7"/>
        <v>3</v>
      </c>
      <c r="AD14" s="588"/>
      <c r="AE14" s="187">
        <v>20</v>
      </c>
      <c r="AF14" s="187">
        <v>1795.3999999999999</v>
      </c>
      <c r="AG14" s="184">
        <f t="shared" si="8"/>
        <v>89.77</v>
      </c>
      <c r="AH14" s="181">
        <f t="shared" si="9"/>
        <v>3</v>
      </c>
      <c r="AI14" s="588"/>
      <c r="AJ14" s="187">
        <v>20</v>
      </c>
      <c r="AK14" s="187">
        <v>1797.0135076443314</v>
      </c>
      <c r="AL14" s="184">
        <f t="shared" si="10"/>
        <v>89.850675382216565</v>
      </c>
      <c r="AM14" s="181">
        <f t="shared" si="11"/>
        <v>3</v>
      </c>
      <c r="AN14" s="588"/>
      <c r="AO14" s="187">
        <v>20</v>
      </c>
      <c r="AP14" s="187">
        <v>1799.330069594829</v>
      </c>
      <c r="AQ14" s="184">
        <f t="shared" si="12"/>
        <v>89.966503479741448</v>
      </c>
      <c r="AR14" s="181">
        <f t="shared" si="13"/>
        <v>3</v>
      </c>
      <c r="AS14" s="588"/>
      <c r="AT14" s="187">
        <v>20</v>
      </c>
      <c r="AU14" s="187">
        <v>1800</v>
      </c>
      <c r="AV14" s="184">
        <f t="shared" si="14"/>
        <v>90</v>
      </c>
      <c r="AW14" s="181">
        <f t="shared" si="15"/>
        <v>3</v>
      </c>
      <c r="AX14" s="588"/>
    </row>
    <row r="15" spans="1:50" ht="14.25" customHeight="1">
      <c r="B15" s="586"/>
      <c r="C15" s="179">
        <v>9</v>
      </c>
      <c r="D15" s="182"/>
      <c r="E15" s="179"/>
      <c r="F15" s="179"/>
      <c r="G15" s="184"/>
      <c r="H15" s="588"/>
      <c r="I15" s="185"/>
      <c r="J15" s="185"/>
      <c r="K15" s="186"/>
      <c r="L15" s="589"/>
      <c r="M15" s="185"/>
      <c r="N15" s="586"/>
      <c r="O15" s="586"/>
      <c r="P15" s="187"/>
      <c r="Q15" s="187"/>
      <c r="R15" s="184"/>
      <c r="S15" s="181"/>
      <c r="T15" s="588"/>
      <c r="U15" s="187"/>
      <c r="V15" s="187"/>
      <c r="W15" s="184"/>
      <c r="X15" s="181"/>
      <c r="Y15" s="588"/>
      <c r="Z15" s="187"/>
      <c r="AA15" s="187"/>
      <c r="AB15" s="184"/>
      <c r="AC15" s="181"/>
      <c r="AD15" s="588"/>
      <c r="AE15" s="187"/>
      <c r="AF15" s="187"/>
      <c r="AG15" s="184"/>
      <c r="AH15" s="181"/>
      <c r="AI15" s="588"/>
      <c r="AJ15" s="187"/>
      <c r="AK15" s="187"/>
      <c r="AL15" s="184"/>
      <c r="AM15" s="181"/>
      <c r="AN15" s="588"/>
      <c r="AO15" s="187"/>
      <c r="AP15" s="187"/>
      <c r="AQ15" s="184"/>
      <c r="AR15" s="181"/>
      <c r="AS15" s="588"/>
      <c r="AT15" s="187"/>
      <c r="AU15" s="187"/>
      <c r="AV15" s="184"/>
      <c r="AW15" s="181"/>
      <c r="AX15" s="588"/>
    </row>
    <row r="16" spans="1:50" ht="14.25" customHeight="1">
      <c r="B16" s="586"/>
      <c r="C16" s="179">
        <v>10</v>
      </c>
      <c r="D16" s="182"/>
      <c r="E16" s="179"/>
      <c r="F16" s="179"/>
      <c r="G16" s="184"/>
      <c r="H16" s="588"/>
      <c r="I16" s="185"/>
      <c r="J16" s="185"/>
      <c r="K16" s="186"/>
      <c r="L16" s="589"/>
      <c r="M16" s="185"/>
      <c r="N16" s="586"/>
      <c r="O16" s="586"/>
      <c r="P16" s="187"/>
      <c r="Q16" s="187"/>
      <c r="R16" s="184"/>
      <c r="S16" s="181"/>
      <c r="T16" s="588"/>
      <c r="U16" s="187"/>
      <c r="V16" s="187"/>
      <c r="W16" s="184"/>
      <c r="X16" s="181"/>
      <c r="Y16" s="588"/>
      <c r="Z16" s="187"/>
      <c r="AA16" s="187"/>
      <c r="AB16" s="184"/>
      <c r="AC16" s="181"/>
      <c r="AD16" s="588"/>
      <c r="AE16" s="187"/>
      <c r="AF16" s="187"/>
      <c r="AG16" s="184"/>
      <c r="AH16" s="181"/>
      <c r="AI16" s="588"/>
      <c r="AJ16" s="187"/>
      <c r="AK16" s="187"/>
      <c r="AL16" s="184"/>
      <c r="AM16" s="181"/>
      <c r="AN16" s="588"/>
      <c r="AO16" s="187"/>
      <c r="AP16" s="187"/>
      <c r="AQ16" s="184"/>
      <c r="AR16" s="181"/>
      <c r="AS16" s="588"/>
      <c r="AT16" s="187"/>
      <c r="AU16" s="187"/>
      <c r="AV16" s="184"/>
      <c r="AW16" s="181"/>
      <c r="AX16" s="588"/>
    </row>
    <row r="17" spans="2:50" ht="14.25" customHeight="1">
      <c r="B17" s="586"/>
      <c r="C17" s="179">
        <v>11</v>
      </c>
      <c r="D17" s="182"/>
      <c r="E17" s="179"/>
      <c r="F17" s="179"/>
      <c r="G17" s="184"/>
      <c r="H17" s="588"/>
      <c r="I17" s="185"/>
      <c r="J17" s="185"/>
      <c r="K17" s="186"/>
      <c r="L17" s="589"/>
      <c r="M17" s="185"/>
      <c r="N17" s="586"/>
      <c r="O17" s="586"/>
      <c r="P17" s="187"/>
      <c r="Q17" s="187"/>
      <c r="R17" s="184"/>
      <c r="S17" s="181"/>
      <c r="T17" s="588"/>
      <c r="U17" s="187"/>
      <c r="V17" s="187"/>
      <c r="W17" s="184"/>
      <c r="X17" s="181"/>
      <c r="Y17" s="588"/>
      <c r="Z17" s="187"/>
      <c r="AA17" s="187"/>
      <c r="AB17" s="184"/>
      <c r="AC17" s="181"/>
      <c r="AD17" s="588"/>
      <c r="AE17" s="187"/>
      <c r="AF17" s="187"/>
      <c r="AG17" s="184"/>
      <c r="AH17" s="181"/>
      <c r="AI17" s="588"/>
      <c r="AJ17" s="187"/>
      <c r="AK17" s="187"/>
      <c r="AL17" s="184"/>
      <c r="AM17" s="181"/>
      <c r="AN17" s="588"/>
      <c r="AO17" s="187"/>
      <c r="AP17" s="187"/>
      <c r="AQ17" s="184"/>
      <c r="AR17" s="181"/>
      <c r="AS17" s="588"/>
      <c r="AT17" s="187"/>
      <c r="AU17" s="187"/>
      <c r="AV17" s="184"/>
      <c r="AW17" s="181"/>
      <c r="AX17" s="588"/>
    </row>
    <row r="18" spans="2:50" ht="14.25" customHeight="1">
      <c r="B18" s="586"/>
      <c r="C18" s="179">
        <v>12</v>
      </c>
      <c r="D18" s="182"/>
      <c r="E18" s="179"/>
      <c r="F18" s="179"/>
      <c r="G18" s="184"/>
      <c r="H18" s="588"/>
      <c r="I18" s="185"/>
      <c r="J18" s="185"/>
      <c r="K18" s="186"/>
      <c r="L18" s="589"/>
      <c r="M18" s="185"/>
      <c r="N18" s="586"/>
      <c r="O18" s="586"/>
      <c r="P18" s="187"/>
      <c r="Q18" s="187"/>
      <c r="R18" s="184"/>
      <c r="S18" s="181"/>
      <c r="T18" s="588"/>
      <c r="U18" s="187"/>
      <c r="V18" s="187"/>
      <c r="W18" s="184"/>
      <c r="X18" s="181"/>
      <c r="Y18" s="588"/>
      <c r="Z18" s="187"/>
      <c r="AA18" s="187"/>
      <c r="AB18" s="184"/>
      <c r="AC18" s="181"/>
      <c r="AD18" s="588"/>
      <c r="AE18" s="187"/>
      <c r="AF18" s="187"/>
      <c r="AG18" s="184"/>
      <c r="AH18" s="181"/>
      <c r="AI18" s="588"/>
      <c r="AJ18" s="187"/>
      <c r="AK18" s="187"/>
      <c r="AL18" s="184"/>
      <c r="AM18" s="181"/>
      <c r="AN18" s="588"/>
      <c r="AO18" s="187"/>
      <c r="AP18" s="187"/>
      <c r="AQ18" s="184"/>
      <c r="AR18" s="181"/>
      <c r="AS18" s="588"/>
      <c r="AT18" s="187"/>
      <c r="AU18" s="187"/>
      <c r="AV18" s="184"/>
      <c r="AW18" s="181"/>
      <c r="AX18" s="588"/>
    </row>
    <row r="19" spans="2:50" ht="14.25" customHeight="1">
      <c r="B19" s="586"/>
      <c r="C19" s="179">
        <v>13</v>
      </c>
      <c r="D19" s="182"/>
      <c r="E19" s="179"/>
      <c r="F19" s="179"/>
      <c r="G19" s="184"/>
      <c r="H19" s="588"/>
      <c r="I19" s="185"/>
      <c r="J19" s="185"/>
      <c r="K19" s="186"/>
      <c r="L19" s="589"/>
      <c r="M19" s="185"/>
      <c r="N19" s="586"/>
      <c r="O19" s="586"/>
      <c r="P19" s="187"/>
      <c r="Q19" s="187"/>
      <c r="R19" s="184"/>
      <c r="S19" s="181"/>
      <c r="T19" s="588"/>
      <c r="U19" s="187"/>
      <c r="V19" s="187"/>
      <c r="W19" s="184"/>
      <c r="X19" s="181"/>
      <c r="Y19" s="588"/>
      <c r="Z19" s="187"/>
      <c r="AA19" s="187"/>
      <c r="AB19" s="184"/>
      <c r="AC19" s="181"/>
      <c r="AD19" s="588"/>
      <c r="AE19" s="187"/>
      <c r="AF19" s="187"/>
      <c r="AG19" s="184"/>
      <c r="AH19" s="181"/>
      <c r="AI19" s="588"/>
      <c r="AJ19" s="187"/>
      <c r="AK19" s="187"/>
      <c r="AL19" s="184"/>
      <c r="AM19" s="181"/>
      <c r="AN19" s="588"/>
      <c r="AO19" s="187"/>
      <c r="AP19" s="187"/>
      <c r="AQ19" s="184"/>
      <c r="AR19" s="181"/>
      <c r="AS19" s="588"/>
      <c r="AT19" s="187"/>
      <c r="AU19" s="187"/>
      <c r="AV19" s="184"/>
      <c r="AW19" s="181"/>
      <c r="AX19" s="588"/>
    </row>
    <row r="20" spans="2:50" ht="14.25" customHeight="1">
      <c r="B20" s="586"/>
      <c r="C20" s="179">
        <v>14</v>
      </c>
      <c r="D20" s="182"/>
      <c r="E20" s="179"/>
      <c r="F20" s="179"/>
      <c r="G20" s="184"/>
      <c r="H20" s="588"/>
      <c r="I20" s="185"/>
      <c r="J20" s="185"/>
      <c r="K20" s="186"/>
      <c r="L20" s="589"/>
      <c r="M20" s="185"/>
      <c r="N20" s="586"/>
      <c r="O20" s="586"/>
      <c r="P20" s="187"/>
      <c r="Q20" s="187"/>
      <c r="R20" s="184"/>
      <c r="S20" s="181"/>
      <c r="T20" s="588"/>
      <c r="U20" s="187"/>
      <c r="V20" s="187"/>
      <c r="W20" s="184"/>
      <c r="X20" s="181"/>
      <c r="Y20" s="588"/>
      <c r="Z20" s="187"/>
      <c r="AA20" s="187"/>
      <c r="AB20" s="184"/>
      <c r="AC20" s="181"/>
      <c r="AD20" s="588"/>
      <c r="AE20" s="187"/>
      <c r="AF20" s="187"/>
      <c r="AG20" s="184"/>
      <c r="AH20" s="181"/>
      <c r="AI20" s="588"/>
      <c r="AJ20" s="187"/>
      <c r="AK20" s="187"/>
      <c r="AL20" s="184"/>
      <c r="AM20" s="181"/>
      <c r="AN20" s="588"/>
      <c r="AO20" s="187"/>
      <c r="AP20" s="187"/>
      <c r="AQ20" s="184"/>
      <c r="AR20" s="181"/>
      <c r="AS20" s="588"/>
      <c r="AT20" s="187"/>
      <c r="AU20" s="187"/>
      <c r="AV20" s="184"/>
      <c r="AW20" s="181"/>
      <c r="AX20" s="588"/>
    </row>
    <row r="21" spans="2:50" ht="14.25" customHeight="1">
      <c r="B21" s="586"/>
      <c r="C21" s="179">
        <v>15</v>
      </c>
      <c r="D21" s="182"/>
      <c r="E21" s="179"/>
      <c r="F21" s="179"/>
      <c r="G21" s="184"/>
      <c r="H21" s="588"/>
      <c r="I21" s="185"/>
      <c r="J21" s="185"/>
      <c r="K21" s="186"/>
      <c r="L21" s="589"/>
      <c r="M21" s="185"/>
      <c r="N21" s="586"/>
      <c r="O21" s="586"/>
      <c r="P21" s="187"/>
      <c r="Q21" s="187"/>
      <c r="R21" s="184"/>
      <c r="S21" s="181"/>
      <c r="T21" s="588"/>
      <c r="U21" s="187"/>
      <c r="V21" s="187"/>
      <c r="W21" s="184"/>
      <c r="X21" s="181"/>
      <c r="Y21" s="588"/>
      <c r="Z21" s="187"/>
      <c r="AA21" s="187"/>
      <c r="AB21" s="184"/>
      <c r="AC21" s="181"/>
      <c r="AD21" s="588"/>
      <c r="AE21" s="187"/>
      <c r="AF21" s="187"/>
      <c r="AG21" s="184"/>
      <c r="AH21" s="181"/>
      <c r="AI21" s="588"/>
      <c r="AJ21" s="187"/>
      <c r="AK21" s="187"/>
      <c r="AL21" s="184"/>
      <c r="AM21" s="181"/>
      <c r="AN21" s="588"/>
      <c r="AO21" s="187"/>
      <c r="AP21" s="187"/>
      <c r="AQ21" s="184"/>
      <c r="AR21" s="181"/>
      <c r="AS21" s="588"/>
      <c r="AT21" s="187"/>
      <c r="AU21" s="187"/>
      <c r="AV21" s="184"/>
      <c r="AW21" s="181"/>
      <c r="AX21" s="588"/>
    </row>
    <row r="22" spans="2:50" ht="14.25" customHeight="1">
      <c r="B22" s="612" t="s">
        <v>689</v>
      </c>
      <c r="C22" s="613"/>
      <c r="D22" s="613"/>
      <c r="E22" s="613"/>
      <c r="F22" s="613"/>
      <c r="G22" s="613"/>
      <c r="H22" s="613"/>
      <c r="I22" s="613"/>
      <c r="J22" s="613"/>
      <c r="K22" s="613"/>
      <c r="L22" s="613"/>
      <c r="M22" s="614"/>
      <c r="N22" s="617" t="s">
        <v>341</v>
      </c>
      <c r="O22" s="617" t="s">
        <v>105</v>
      </c>
      <c r="P22" s="600">
        <v>46238</v>
      </c>
      <c r="Q22" s="601"/>
      <c r="R22" s="601"/>
      <c r="S22" s="601"/>
      <c r="T22" s="601"/>
      <c r="U22" s="602">
        <v>46239</v>
      </c>
      <c r="V22" s="603"/>
      <c r="W22" s="603"/>
      <c r="X22" s="603"/>
      <c r="Y22" s="603"/>
      <c r="Z22" s="600">
        <v>46240</v>
      </c>
      <c r="AA22" s="601"/>
      <c r="AB22" s="601"/>
      <c r="AC22" s="601"/>
      <c r="AD22" s="601"/>
      <c r="AE22" s="602">
        <v>46241</v>
      </c>
      <c r="AF22" s="603"/>
      <c r="AG22" s="603"/>
      <c r="AH22" s="603"/>
      <c r="AI22" s="603"/>
      <c r="AJ22" s="609">
        <v>46242</v>
      </c>
      <c r="AK22" s="610"/>
      <c r="AL22" s="610"/>
      <c r="AM22" s="610"/>
      <c r="AN22" s="611"/>
      <c r="AO22" s="602">
        <v>46243</v>
      </c>
      <c r="AP22" s="603"/>
      <c r="AQ22" s="603"/>
      <c r="AR22" s="603"/>
      <c r="AS22" s="603"/>
      <c r="AT22" s="609">
        <v>46244</v>
      </c>
      <c r="AU22" s="610"/>
      <c r="AV22" s="610"/>
      <c r="AW22" s="610"/>
      <c r="AX22" s="611"/>
    </row>
    <row r="23" spans="2:50" ht="14.25" customHeight="1">
      <c r="B23" s="615"/>
      <c r="C23" s="615"/>
      <c r="D23" s="615"/>
      <c r="E23" s="615"/>
      <c r="F23" s="615"/>
      <c r="G23" s="615"/>
      <c r="H23" s="615"/>
      <c r="I23" s="615"/>
      <c r="J23" s="615"/>
      <c r="K23" s="615"/>
      <c r="L23" s="615"/>
      <c r="M23" s="616"/>
      <c r="N23" s="618"/>
      <c r="O23" s="618"/>
      <c r="P23" s="604">
        <v>46196</v>
      </c>
      <c r="Q23" s="604"/>
      <c r="R23" s="604"/>
      <c r="S23" s="604"/>
      <c r="T23" s="604"/>
      <c r="U23" s="605">
        <v>46197</v>
      </c>
      <c r="V23" s="605"/>
      <c r="W23" s="605"/>
      <c r="X23" s="605"/>
      <c r="Y23" s="605"/>
      <c r="Z23" s="604">
        <v>46198</v>
      </c>
      <c r="AA23" s="604"/>
      <c r="AB23" s="604"/>
      <c r="AC23" s="604"/>
      <c r="AD23" s="604"/>
      <c r="AE23" s="605">
        <v>46199</v>
      </c>
      <c r="AF23" s="605"/>
      <c r="AG23" s="605"/>
      <c r="AH23" s="605"/>
      <c r="AI23" s="605"/>
      <c r="AJ23" s="606">
        <v>46200</v>
      </c>
      <c r="AK23" s="607"/>
      <c r="AL23" s="607"/>
      <c r="AM23" s="607"/>
      <c r="AN23" s="608"/>
      <c r="AO23" s="605">
        <v>46201</v>
      </c>
      <c r="AP23" s="605"/>
      <c r="AQ23" s="605"/>
      <c r="AR23" s="605"/>
      <c r="AS23" s="605"/>
      <c r="AT23" s="606">
        <v>46202</v>
      </c>
      <c r="AU23" s="607"/>
      <c r="AV23" s="607"/>
      <c r="AW23" s="607"/>
      <c r="AX23" s="608"/>
    </row>
    <row r="24" spans="2:50" ht="14.25" customHeight="1">
      <c r="B24" s="586" t="s">
        <v>162</v>
      </c>
      <c r="C24" s="586" t="s">
        <v>157</v>
      </c>
      <c r="D24" s="586"/>
      <c r="E24" s="586" t="s">
        <v>158</v>
      </c>
      <c r="F24" s="586"/>
      <c r="G24" s="586"/>
      <c r="H24" s="586" t="s">
        <v>163</v>
      </c>
      <c r="I24" s="592" t="s">
        <v>342</v>
      </c>
      <c r="J24" s="592"/>
      <c r="K24" s="592"/>
      <c r="L24" s="592" t="s">
        <v>163</v>
      </c>
      <c r="M24" s="592" t="s">
        <v>165</v>
      </c>
      <c r="N24" s="586"/>
      <c r="O24" s="586" t="s">
        <v>164</v>
      </c>
      <c r="P24" s="586" t="s">
        <v>160</v>
      </c>
      <c r="Q24" s="586"/>
      <c r="R24" s="586"/>
      <c r="S24" s="586"/>
      <c r="T24" s="586" t="s">
        <v>163</v>
      </c>
      <c r="U24" s="586" t="s">
        <v>160</v>
      </c>
      <c r="V24" s="586"/>
      <c r="W24" s="586"/>
      <c r="X24" s="586"/>
      <c r="Y24" s="586" t="s">
        <v>163</v>
      </c>
      <c r="Z24" s="586" t="s">
        <v>160</v>
      </c>
      <c r="AA24" s="586"/>
      <c r="AB24" s="586"/>
      <c r="AC24" s="586"/>
      <c r="AD24" s="586" t="s">
        <v>163</v>
      </c>
      <c r="AE24" s="586" t="s">
        <v>160</v>
      </c>
      <c r="AF24" s="586"/>
      <c r="AG24" s="586"/>
      <c r="AH24" s="586"/>
      <c r="AI24" s="586" t="s">
        <v>163</v>
      </c>
      <c r="AJ24" s="586" t="s">
        <v>160</v>
      </c>
      <c r="AK24" s="586"/>
      <c r="AL24" s="586"/>
      <c r="AM24" s="586"/>
      <c r="AN24" s="586" t="s">
        <v>163</v>
      </c>
      <c r="AO24" s="586" t="s">
        <v>160</v>
      </c>
      <c r="AP24" s="586"/>
      <c r="AQ24" s="586"/>
      <c r="AR24" s="586"/>
      <c r="AS24" s="586" t="s">
        <v>163</v>
      </c>
      <c r="AT24" s="586" t="s">
        <v>160</v>
      </c>
      <c r="AU24" s="586"/>
      <c r="AV24" s="586"/>
      <c r="AW24" s="586"/>
      <c r="AX24" s="586" t="s">
        <v>163</v>
      </c>
    </row>
    <row r="25" spans="2:50" ht="14.25" customHeight="1">
      <c r="B25" s="586"/>
      <c r="C25" s="586"/>
      <c r="D25" s="586"/>
      <c r="E25" s="586" t="s">
        <v>343</v>
      </c>
      <c r="F25" s="586"/>
      <c r="G25" s="586"/>
      <c r="H25" s="586"/>
      <c r="I25" s="592" t="s">
        <v>343</v>
      </c>
      <c r="J25" s="592"/>
      <c r="K25" s="592"/>
      <c r="L25" s="592"/>
      <c r="M25" s="592"/>
      <c r="N25" s="586"/>
      <c r="O25" s="586"/>
      <c r="P25" s="586" t="s">
        <v>344</v>
      </c>
      <c r="Q25" s="586"/>
      <c r="R25" s="586"/>
      <c r="S25" s="586"/>
      <c r="T25" s="586"/>
      <c r="U25" s="586" t="s">
        <v>344</v>
      </c>
      <c r="V25" s="586"/>
      <c r="W25" s="586"/>
      <c r="X25" s="586"/>
      <c r="Y25" s="586"/>
      <c r="Z25" s="586" t="s">
        <v>344</v>
      </c>
      <c r="AA25" s="586"/>
      <c r="AB25" s="586"/>
      <c r="AC25" s="586"/>
      <c r="AD25" s="586"/>
      <c r="AE25" s="586" t="s">
        <v>344</v>
      </c>
      <c r="AF25" s="586"/>
      <c r="AG25" s="586"/>
      <c r="AH25" s="586"/>
      <c r="AI25" s="586"/>
      <c r="AJ25" s="586" t="s">
        <v>344</v>
      </c>
      <c r="AK25" s="586"/>
      <c r="AL25" s="586"/>
      <c r="AM25" s="586"/>
      <c r="AN25" s="586"/>
      <c r="AO25" s="586" t="s">
        <v>344</v>
      </c>
      <c r="AP25" s="586"/>
      <c r="AQ25" s="586"/>
      <c r="AR25" s="586"/>
      <c r="AS25" s="586"/>
      <c r="AT25" s="586" t="s">
        <v>344</v>
      </c>
      <c r="AU25" s="586"/>
      <c r="AV25" s="586"/>
      <c r="AW25" s="586"/>
      <c r="AX25" s="586"/>
    </row>
    <row r="26" spans="2:50" ht="14.25" customHeight="1">
      <c r="B26" s="586"/>
      <c r="C26" s="586"/>
      <c r="D26" s="586"/>
      <c r="E26" s="179" t="s">
        <v>159</v>
      </c>
      <c r="F26" s="179" t="s">
        <v>345</v>
      </c>
      <c r="G26" s="179" t="s">
        <v>161</v>
      </c>
      <c r="H26" s="586"/>
      <c r="I26" s="180" t="s">
        <v>159</v>
      </c>
      <c r="J26" s="180" t="s">
        <v>345</v>
      </c>
      <c r="K26" s="180" t="s">
        <v>161</v>
      </c>
      <c r="L26" s="592"/>
      <c r="M26" s="592"/>
      <c r="N26" s="586"/>
      <c r="O26" s="586"/>
      <c r="P26" s="179" t="s">
        <v>159</v>
      </c>
      <c r="Q26" s="179" t="s">
        <v>345</v>
      </c>
      <c r="R26" s="179" t="s">
        <v>161</v>
      </c>
      <c r="S26" s="181" t="s">
        <v>165</v>
      </c>
      <c r="T26" s="586"/>
      <c r="U26" s="179" t="s">
        <v>159</v>
      </c>
      <c r="V26" s="179" t="s">
        <v>345</v>
      </c>
      <c r="W26" s="179" t="s">
        <v>161</v>
      </c>
      <c r="X26" s="181" t="s">
        <v>165</v>
      </c>
      <c r="Y26" s="586"/>
      <c r="Z26" s="179" t="s">
        <v>159</v>
      </c>
      <c r="AA26" s="179" t="s">
        <v>345</v>
      </c>
      <c r="AB26" s="179" t="s">
        <v>161</v>
      </c>
      <c r="AC26" s="181" t="s">
        <v>165</v>
      </c>
      <c r="AD26" s="586"/>
      <c r="AE26" s="179" t="s">
        <v>159</v>
      </c>
      <c r="AF26" s="179" t="s">
        <v>345</v>
      </c>
      <c r="AG26" s="179" t="s">
        <v>161</v>
      </c>
      <c r="AH26" s="181" t="s">
        <v>165</v>
      </c>
      <c r="AI26" s="586"/>
      <c r="AJ26" s="179" t="s">
        <v>159</v>
      </c>
      <c r="AK26" s="179" t="s">
        <v>345</v>
      </c>
      <c r="AL26" s="179" t="s">
        <v>161</v>
      </c>
      <c r="AM26" s="181" t="s">
        <v>165</v>
      </c>
      <c r="AN26" s="586"/>
      <c r="AO26" s="179" t="s">
        <v>159</v>
      </c>
      <c r="AP26" s="179" t="s">
        <v>345</v>
      </c>
      <c r="AQ26" s="179" t="s">
        <v>161</v>
      </c>
      <c r="AR26" s="181" t="s">
        <v>165</v>
      </c>
      <c r="AS26" s="586"/>
      <c r="AT26" s="179" t="s">
        <v>159</v>
      </c>
      <c r="AU26" s="179" t="s">
        <v>345</v>
      </c>
      <c r="AV26" s="179" t="s">
        <v>161</v>
      </c>
      <c r="AW26" s="181" t="s">
        <v>165</v>
      </c>
      <c r="AX26" s="586"/>
    </row>
    <row r="27" spans="2:50" ht="14.25" customHeight="1">
      <c r="B27" s="586" t="s">
        <v>327</v>
      </c>
      <c r="C27" s="179">
        <v>1</v>
      </c>
      <c r="D27" s="182" t="s">
        <v>321</v>
      </c>
      <c r="E27" s="183">
        <v>24</v>
      </c>
      <c r="F27" s="179">
        <v>2000</v>
      </c>
      <c r="G27" s="184">
        <f t="shared" ref="G27:G34" si="16">IFERROR(F27/E27,"")</f>
        <v>83.333333333333329</v>
      </c>
      <c r="H27" s="588">
        <f>AVERAGE(G27:G41)</f>
        <v>92.03329882677707</v>
      </c>
      <c r="I27" s="185">
        <f>AVERAGE(P27,U27,Z27,AE27,AJ27,AO27,AT27)</f>
        <v>24</v>
      </c>
      <c r="J27" s="185">
        <f>AVERAGE(Q27,V27,AA27,AF27,AK27,AP27,AU27)</f>
        <v>1803.7159486916662</v>
      </c>
      <c r="K27" s="186">
        <f>AVERAGE(R27,W27,AB27,AG27,AL27,AQ27,AV27)</f>
        <v>75.154831195486096</v>
      </c>
      <c r="L27" s="589">
        <f>IFERROR(AVERAGE(K27:K41),"-")</f>
        <v>84.821164294369154</v>
      </c>
      <c r="M27" s="185">
        <f>RANK(K27, K$27:$K$41)</f>
        <v>8</v>
      </c>
      <c r="N27" s="586"/>
      <c r="O27" s="586"/>
      <c r="P27" s="187">
        <v>24</v>
      </c>
      <c r="Q27" s="187">
        <v>1801.2827091726506</v>
      </c>
      <c r="R27" s="184">
        <f>IFERROR(Q27/P27,"")</f>
        <v>75.053446215527103</v>
      </c>
      <c r="S27" s="181">
        <f>RANK(R27, R$27:R$41)</f>
        <v>8</v>
      </c>
      <c r="T27" s="588">
        <f>AVERAGE(R27:R41)</f>
        <v>84.734191433104755</v>
      </c>
      <c r="U27" s="187">
        <v>24</v>
      </c>
      <c r="V27" s="187">
        <v>1803.5548219448356</v>
      </c>
      <c r="W27" s="184">
        <f t="shared" ref="W27:W34" si="17">IFERROR(V27/U27,"")</f>
        <v>75.148117581034811</v>
      </c>
      <c r="X27" s="181">
        <f>RANK(W27, W$27:W$41)</f>
        <v>8</v>
      </c>
      <c r="Y27" s="588">
        <f>AVERAGE(W27:W41)</f>
        <v>84.813241287045415</v>
      </c>
      <c r="Z27" s="187">
        <v>24</v>
      </c>
      <c r="AA27" s="187">
        <v>1803.7548219448354</v>
      </c>
      <c r="AB27" s="184">
        <f>IFERROR(AA27/Z27,"")</f>
        <v>75.156450914368136</v>
      </c>
      <c r="AC27" s="181">
        <f>RANK(AB27, AB$27:AB$41)</f>
        <v>8</v>
      </c>
      <c r="AD27" s="588">
        <f>AVERAGE(AB27:AB41)</f>
        <v>84.826167163835109</v>
      </c>
      <c r="AE27" s="187">
        <v>24</v>
      </c>
      <c r="AF27" s="187">
        <v>1803.9548219448357</v>
      </c>
      <c r="AG27" s="184">
        <f>IFERROR(AF27/AE27,"")</f>
        <v>75.16478424770149</v>
      </c>
      <c r="AH27" s="181">
        <f>RANK(AG27, AG$27:AG$41)</f>
        <v>8</v>
      </c>
      <c r="AI27" s="588">
        <f>AVERAGE(AG27:AG41)</f>
        <v>84.83682152111578</v>
      </c>
      <c r="AJ27" s="187">
        <v>24</v>
      </c>
      <c r="AK27" s="187">
        <v>1803.9548219448357</v>
      </c>
      <c r="AL27" s="184">
        <f>IFERROR(AK27/AJ27,"")</f>
        <v>75.16478424770149</v>
      </c>
      <c r="AM27" s="181">
        <f>RANK(AL27, AL$27:AL$41)</f>
        <v>8</v>
      </c>
      <c r="AN27" s="588">
        <f>AVERAGE(AL27:AL41)</f>
        <v>84.830942773735813</v>
      </c>
      <c r="AO27" s="187">
        <v>24</v>
      </c>
      <c r="AP27" s="187">
        <v>1804.5548219448356</v>
      </c>
      <c r="AQ27" s="184">
        <f>IFERROR(AP27/AO27,"")</f>
        <v>75.189784247701482</v>
      </c>
      <c r="AR27" s="181">
        <f>RANK(AQ27, AQ$27:AQ$41)</f>
        <v>8</v>
      </c>
      <c r="AS27" s="588">
        <f>AVERAGE(AQ27:AQ41)</f>
        <v>84.848475452138985</v>
      </c>
      <c r="AT27" s="187">
        <v>24</v>
      </c>
      <c r="AU27" s="187">
        <v>1804.9548219448354</v>
      </c>
      <c r="AV27" s="184">
        <f>IFERROR(AU27/AT27,"")</f>
        <v>75.206450914368148</v>
      </c>
      <c r="AW27" s="181">
        <f>RANK(AV27, AV$27:AV$41)</f>
        <v>8</v>
      </c>
      <c r="AX27" s="588">
        <f>AVERAGE(AV27:AV41)</f>
        <v>84.858310429608238</v>
      </c>
    </row>
    <row r="28" spans="2:50" ht="14.25" customHeight="1">
      <c r="B28" s="586"/>
      <c r="C28" s="179">
        <v>2</v>
      </c>
      <c r="D28" s="182" t="s">
        <v>580</v>
      </c>
      <c r="E28" s="179">
        <v>21</v>
      </c>
      <c r="F28" s="179">
        <v>1800</v>
      </c>
      <c r="G28" s="184">
        <f t="shared" si="16"/>
        <v>85.714285714285708</v>
      </c>
      <c r="H28" s="588"/>
      <c r="I28" s="185">
        <f t="shared" ref="I28:K34" si="18">AVERAGE(P28,U28,Z28,AE28,AJ28,AO28,AT28)</f>
        <v>21</v>
      </c>
      <c r="J28" s="185">
        <f t="shared" si="18"/>
        <v>1622.7852637302269</v>
      </c>
      <c r="K28" s="186">
        <f t="shared" si="18"/>
        <v>77.275488749058397</v>
      </c>
      <c r="L28" s="589"/>
      <c r="M28" s="185">
        <f>RANK(K28, K$27:$K$41)</f>
        <v>7</v>
      </c>
      <c r="N28" s="586"/>
      <c r="O28" s="586"/>
      <c r="P28" s="187">
        <v>21</v>
      </c>
      <c r="Q28" s="187">
        <v>1622.0161115169212</v>
      </c>
      <c r="R28" s="184">
        <f t="shared" ref="R28:R34" si="19">IFERROR(Q28/P28,"")</f>
        <v>77.238862453186726</v>
      </c>
      <c r="S28" s="181">
        <f t="shared" ref="S28:S34" si="20">RANK(R28, R$27:R$41)</f>
        <v>7</v>
      </c>
      <c r="T28" s="588"/>
      <c r="U28" s="187">
        <v>21</v>
      </c>
      <c r="V28" s="187">
        <v>1622.7361115169215</v>
      </c>
      <c r="W28" s="184">
        <f t="shared" si="17"/>
        <v>77.273148167472456</v>
      </c>
      <c r="X28" s="181">
        <f t="shared" ref="X28:X34" si="21">RANK(W28, W$27:W$41)</f>
        <v>7</v>
      </c>
      <c r="Y28" s="588"/>
      <c r="Z28" s="187">
        <v>21</v>
      </c>
      <c r="AA28" s="187">
        <v>1622.804924615549</v>
      </c>
      <c r="AB28" s="184">
        <f t="shared" ref="AB28:AB34" si="22">IFERROR(AA28/Z28,"")</f>
        <v>77.276424981692813</v>
      </c>
      <c r="AC28" s="181">
        <f t="shared" ref="AC28:AC34" si="23">RANK(AB28, AB$27:AB$41)</f>
        <v>7</v>
      </c>
      <c r="AD28" s="588"/>
      <c r="AE28" s="187">
        <v>21</v>
      </c>
      <c r="AF28" s="187">
        <v>1623.3449246155492</v>
      </c>
      <c r="AG28" s="184">
        <f t="shared" ref="AG28:AG34" si="24">IFERROR(AF28/AE28,"")</f>
        <v>77.3021392674071</v>
      </c>
      <c r="AH28" s="181">
        <f t="shared" ref="AH28:AH34" si="25">RANK(AG28, AG$27:AG$41)</f>
        <v>7</v>
      </c>
      <c r="AI28" s="588"/>
      <c r="AJ28" s="187">
        <v>21</v>
      </c>
      <c r="AK28" s="187">
        <v>1622.4449246155491</v>
      </c>
      <c r="AL28" s="184">
        <f t="shared" ref="AL28:AL34" si="26">IFERROR(AK28/AJ28,"")</f>
        <v>77.259282124549955</v>
      </c>
      <c r="AM28" s="181">
        <f t="shared" ref="AM28:AM34" si="27">RANK(AL28, AL$27:AL$41)</f>
        <v>7</v>
      </c>
      <c r="AN28" s="588"/>
      <c r="AO28" s="187">
        <v>21</v>
      </c>
      <c r="AP28" s="187">
        <v>1622.6249246155492</v>
      </c>
      <c r="AQ28" s="184">
        <f t="shared" ref="AQ28:AQ34" si="28">IFERROR(AP28/AO28,"")</f>
        <v>77.267853553121384</v>
      </c>
      <c r="AR28" s="181">
        <f t="shared" ref="AR28:AR34" si="29">RANK(AQ28, AQ$27:AQ$41)</f>
        <v>7</v>
      </c>
      <c r="AS28" s="588"/>
      <c r="AT28" s="187">
        <v>21</v>
      </c>
      <c r="AU28" s="187">
        <v>1623.5249246155488</v>
      </c>
      <c r="AV28" s="184">
        <f t="shared" ref="AV28:AV34" si="30">IFERROR(AU28/AT28,"")</f>
        <v>77.310710695978514</v>
      </c>
      <c r="AW28" s="181">
        <f t="shared" ref="AW28:AW34" si="31">RANK(AV28, AV$27:AV$41)</f>
        <v>7</v>
      </c>
      <c r="AX28" s="588"/>
    </row>
    <row r="29" spans="2:50" ht="14.25" customHeight="1">
      <c r="B29" s="586"/>
      <c r="C29" s="179">
        <v>3</v>
      </c>
      <c r="D29" s="182" t="s">
        <v>320</v>
      </c>
      <c r="E29" s="179">
        <v>23</v>
      </c>
      <c r="F29" s="179">
        <v>2000</v>
      </c>
      <c r="G29" s="184">
        <f t="shared" si="16"/>
        <v>86.956521739130437</v>
      </c>
      <c r="H29" s="588"/>
      <c r="I29" s="185">
        <f t="shared" si="18"/>
        <v>23</v>
      </c>
      <c r="J29" s="185">
        <f t="shared" si="18"/>
        <v>1802.1446439935044</v>
      </c>
      <c r="K29" s="186">
        <f t="shared" si="18"/>
        <v>78.354114956239314</v>
      </c>
      <c r="L29" s="589"/>
      <c r="M29" s="185">
        <f>RANK(K29, K$27:$K$41)</f>
        <v>6</v>
      </c>
      <c r="N29" s="586"/>
      <c r="O29" s="586"/>
      <c r="P29" s="187">
        <v>23</v>
      </c>
      <c r="Q29" s="187">
        <v>1801.4303582792188</v>
      </c>
      <c r="R29" s="184">
        <f t="shared" si="19"/>
        <v>78.323059055618202</v>
      </c>
      <c r="S29" s="181">
        <f t="shared" si="20"/>
        <v>5</v>
      </c>
      <c r="T29" s="588"/>
      <c r="U29" s="187">
        <v>23</v>
      </c>
      <c r="V29" s="187">
        <v>1801.4303582792184</v>
      </c>
      <c r="W29" s="184">
        <f t="shared" si="17"/>
        <v>78.323059055618188</v>
      </c>
      <c r="X29" s="181">
        <f t="shared" si="21"/>
        <v>6</v>
      </c>
      <c r="Y29" s="588"/>
      <c r="Z29" s="187">
        <v>23</v>
      </c>
      <c r="AA29" s="187">
        <v>1801.8303582792184</v>
      </c>
      <c r="AB29" s="184">
        <f t="shared" si="22"/>
        <v>78.340450359966013</v>
      </c>
      <c r="AC29" s="181">
        <f t="shared" si="23"/>
        <v>6</v>
      </c>
      <c r="AD29" s="588"/>
      <c r="AE29" s="187">
        <v>23</v>
      </c>
      <c r="AF29" s="187">
        <v>1801.8303582792184</v>
      </c>
      <c r="AG29" s="184">
        <f t="shared" si="24"/>
        <v>78.340450359966013</v>
      </c>
      <c r="AH29" s="181">
        <f t="shared" si="25"/>
        <v>6</v>
      </c>
      <c r="AI29" s="588"/>
      <c r="AJ29" s="187">
        <v>23</v>
      </c>
      <c r="AK29" s="187">
        <v>1802.4303582792186</v>
      </c>
      <c r="AL29" s="184">
        <f t="shared" si="26"/>
        <v>78.366537316487765</v>
      </c>
      <c r="AM29" s="181">
        <f t="shared" si="27"/>
        <v>6</v>
      </c>
      <c r="AN29" s="588"/>
      <c r="AO29" s="187">
        <v>23</v>
      </c>
      <c r="AP29" s="187">
        <v>1803.0303582792185</v>
      </c>
      <c r="AQ29" s="184">
        <f t="shared" si="28"/>
        <v>78.392624273009503</v>
      </c>
      <c r="AR29" s="181">
        <f t="shared" si="29"/>
        <v>6</v>
      </c>
      <c r="AS29" s="588"/>
      <c r="AT29" s="187">
        <v>23</v>
      </c>
      <c r="AU29" s="187">
        <v>1803.0303582792185</v>
      </c>
      <c r="AV29" s="184">
        <f t="shared" si="30"/>
        <v>78.392624273009503</v>
      </c>
      <c r="AW29" s="181">
        <f t="shared" si="31"/>
        <v>6</v>
      </c>
      <c r="AX29" s="588"/>
    </row>
    <row r="30" spans="2:50" ht="14.25" customHeight="1">
      <c r="B30" s="586"/>
      <c r="C30" s="179">
        <v>4</v>
      </c>
      <c r="D30" s="182" t="s">
        <v>328</v>
      </c>
      <c r="E30" s="179">
        <v>23</v>
      </c>
      <c r="F30" s="179">
        <v>2000</v>
      </c>
      <c r="G30" s="184">
        <f t="shared" si="16"/>
        <v>86.956521739130437</v>
      </c>
      <c r="H30" s="588"/>
      <c r="I30" s="185">
        <f t="shared" si="18"/>
        <v>23</v>
      </c>
      <c r="J30" s="185">
        <f t="shared" si="18"/>
        <v>1802.5498218137109</v>
      </c>
      <c r="K30" s="186">
        <f t="shared" si="18"/>
        <v>78.371731383204832</v>
      </c>
      <c r="L30" s="589"/>
      <c r="M30" s="185">
        <f>RANK(K30, K$27:$K$41)</f>
        <v>5</v>
      </c>
      <c r="N30" s="586"/>
      <c r="O30" s="586"/>
      <c r="P30" s="187">
        <v>23</v>
      </c>
      <c r="Q30" s="187">
        <v>1799.7740960068568</v>
      </c>
      <c r="R30" s="184">
        <f t="shared" si="19"/>
        <v>78.251047652472039</v>
      </c>
      <c r="S30" s="181">
        <f t="shared" si="20"/>
        <v>6</v>
      </c>
      <c r="T30" s="588"/>
      <c r="U30" s="187">
        <v>23</v>
      </c>
      <c r="V30" s="187">
        <v>1801.8791094481865</v>
      </c>
      <c r="W30" s="184">
        <f t="shared" si="17"/>
        <v>78.342569976008107</v>
      </c>
      <c r="X30" s="181">
        <f t="shared" si="21"/>
        <v>5</v>
      </c>
      <c r="Y30" s="588"/>
      <c r="Z30" s="187">
        <v>23</v>
      </c>
      <c r="AA30" s="187">
        <v>1802.2791094481863</v>
      </c>
      <c r="AB30" s="184">
        <f t="shared" si="22"/>
        <v>78.359961280355932</v>
      </c>
      <c r="AC30" s="181">
        <f t="shared" si="23"/>
        <v>5</v>
      </c>
      <c r="AD30" s="588"/>
      <c r="AE30" s="187">
        <v>23</v>
      </c>
      <c r="AF30" s="187">
        <v>1802.6791094481864</v>
      </c>
      <c r="AG30" s="184">
        <f t="shared" si="24"/>
        <v>78.377352584703758</v>
      </c>
      <c r="AH30" s="181">
        <f t="shared" si="25"/>
        <v>5</v>
      </c>
      <c r="AI30" s="588"/>
      <c r="AJ30" s="187">
        <v>23</v>
      </c>
      <c r="AK30" s="187">
        <v>1803.2791094481865</v>
      </c>
      <c r="AL30" s="184">
        <f t="shared" si="26"/>
        <v>78.403439541225495</v>
      </c>
      <c r="AM30" s="181">
        <f t="shared" si="27"/>
        <v>5</v>
      </c>
      <c r="AN30" s="588"/>
      <c r="AO30" s="187">
        <v>23</v>
      </c>
      <c r="AP30" s="187">
        <v>1803.8791094481862</v>
      </c>
      <c r="AQ30" s="184">
        <f t="shared" si="28"/>
        <v>78.429526497747233</v>
      </c>
      <c r="AR30" s="181">
        <f t="shared" si="29"/>
        <v>5</v>
      </c>
      <c r="AS30" s="588"/>
      <c r="AT30" s="187">
        <v>23</v>
      </c>
      <c r="AU30" s="187">
        <v>1804.0791094481863</v>
      </c>
      <c r="AV30" s="184">
        <f t="shared" si="30"/>
        <v>78.438222149921145</v>
      </c>
      <c r="AW30" s="181">
        <f t="shared" si="31"/>
        <v>5</v>
      </c>
      <c r="AX30" s="588"/>
    </row>
    <row r="31" spans="2:50" ht="14.25" customHeight="1">
      <c r="B31" s="586"/>
      <c r="C31" s="179">
        <v>5</v>
      </c>
      <c r="D31" s="182" t="s">
        <v>322</v>
      </c>
      <c r="E31" s="179">
        <v>23</v>
      </c>
      <c r="F31" s="179">
        <v>2000</v>
      </c>
      <c r="G31" s="184">
        <f t="shared" si="16"/>
        <v>86.956521739130437</v>
      </c>
      <c r="H31" s="588"/>
      <c r="I31" s="185">
        <f t="shared" si="18"/>
        <v>23</v>
      </c>
      <c r="J31" s="185">
        <f t="shared" si="18"/>
        <v>1804.2050013523046</v>
      </c>
      <c r="K31" s="186">
        <f t="shared" si="18"/>
        <v>78.443695710969749</v>
      </c>
      <c r="L31" s="589"/>
      <c r="M31" s="185">
        <f>RANK(K31, K$27:$K$41)</f>
        <v>4</v>
      </c>
      <c r="N31" s="586"/>
      <c r="O31" s="586"/>
      <c r="P31" s="187">
        <v>23</v>
      </c>
      <c r="Q31" s="187">
        <v>1801.6262087244711</v>
      </c>
      <c r="R31" s="184">
        <f t="shared" si="19"/>
        <v>78.331574292368302</v>
      </c>
      <c r="S31" s="181">
        <f t="shared" si="20"/>
        <v>4</v>
      </c>
      <c r="T31" s="588"/>
      <c r="U31" s="187">
        <v>23</v>
      </c>
      <c r="V31" s="187">
        <v>1803.8014667902771</v>
      </c>
      <c r="W31" s="184">
        <f t="shared" si="17"/>
        <v>78.426150730012054</v>
      </c>
      <c r="X31" s="181">
        <f t="shared" si="21"/>
        <v>4</v>
      </c>
      <c r="Y31" s="588"/>
      <c r="Z31" s="187">
        <v>23</v>
      </c>
      <c r="AA31" s="187">
        <v>1804.2014667902772</v>
      </c>
      <c r="AB31" s="184">
        <f t="shared" si="22"/>
        <v>78.443542034359879</v>
      </c>
      <c r="AC31" s="181">
        <f t="shared" si="23"/>
        <v>4</v>
      </c>
      <c r="AD31" s="588"/>
      <c r="AE31" s="187">
        <v>23</v>
      </c>
      <c r="AF31" s="187">
        <v>1804.8014667902769</v>
      </c>
      <c r="AG31" s="184">
        <f t="shared" si="24"/>
        <v>78.469628990881603</v>
      </c>
      <c r="AH31" s="181">
        <f t="shared" si="25"/>
        <v>4</v>
      </c>
      <c r="AI31" s="588"/>
      <c r="AJ31" s="187">
        <v>23</v>
      </c>
      <c r="AK31" s="187">
        <v>1804.8014667902767</v>
      </c>
      <c r="AL31" s="184">
        <f t="shared" si="26"/>
        <v>78.469628990881588</v>
      </c>
      <c r="AM31" s="181">
        <f t="shared" si="27"/>
        <v>4</v>
      </c>
      <c r="AN31" s="588"/>
      <c r="AO31" s="187">
        <v>23</v>
      </c>
      <c r="AP31" s="187">
        <v>1805.0014667902765</v>
      </c>
      <c r="AQ31" s="184">
        <f t="shared" si="28"/>
        <v>78.478324643055501</v>
      </c>
      <c r="AR31" s="181">
        <f t="shared" si="29"/>
        <v>4</v>
      </c>
      <c r="AS31" s="588"/>
      <c r="AT31" s="187">
        <v>23</v>
      </c>
      <c r="AU31" s="187">
        <v>1805.2014667902763</v>
      </c>
      <c r="AV31" s="184">
        <f t="shared" si="30"/>
        <v>78.487020295229399</v>
      </c>
      <c r="AW31" s="181">
        <f t="shared" si="31"/>
        <v>4</v>
      </c>
      <c r="AX31" s="588"/>
    </row>
    <row r="32" spans="2:50" ht="14.25" customHeight="1">
      <c r="B32" s="586"/>
      <c r="C32" s="179">
        <v>6</v>
      </c>
      <c r="D32" s="182" t="s">
        <v>443</v>
      </c>
      <c r="E32" s="179">
        <v>20</v>
      </c>
      <c r="F32" s="179">
        <v>2000</v>
      </c>
      <c r="G32" s="184">
        <f t="shared" si="16"/>
        <v>100</v>
      </c>
      <c r="H32" s="588"/>
      <c r="I32" s="185">
        <f t="shared" si="18"/>
        <v>19</v>
      </c>
      <c r="J32" s="185">
        <f t="shared" si="18"/>
        <v>1802.0000000000002</v>
      </c>
      <c r="K32" s="186">
        <f t="shared" si="18"/>
        <v>94.84210526315789</v>
      </c>
      <c r="L32" s="589"/>
      <c r="M32" s="185">
        <f>RANK(K32, K$27:$K$41)</f>
        <v>2</v>
      </c>
      <c r="N32" s="586"/>
      <c r="O32" s="586"/>
      <c r="P32" s="187">
        <v>19</v>
      </c>
      <c r="Q32" s="187">
        <v>1800.4</v>
      </c>
      <c r="R32" s="184">
        <f t="shared" si="19"/>
        <v>94.757894736842104</v>
      </c>
      <c r="S32" s="181">
        <f t="shared" si="20"/>
        <v>2</v>
      </c>
      <c r="T32" s="588"/>
      <c r="U32" s="187">
        <v>19</v>
      </c>
      <c r="V32" s="187">
        <v>1802.1999999999998</v>
      </c>
      <c r="W32" s="184">
        <f t="shared" si="17"/>
        <v>94.852631578947353</v>
      </c>
      <c r="X32" s="181">
        <f t="shared" si="21"/>
        <v>2</v>
      </c>
      <c r="Y32" s="588"/>
      <c r="Z32" s="187">
        <v>19</v>
      </c>
      <c r="AA32" s="187">
        <v>1802.6</v>
      </c>
      <c r="AB32" s="184">
        <f t="shared" si="22"/>
        <v>94.873684210526307</v>
      </c>
      <c r="AC32" s="181">
        <f t="shared" si="23"/>
        <v>2</v>
      </c>
      <c r="AD32" s="588"/>
      <c r="AE32" s="187">
        <v>19</v>
      </c>
      <c r="AF32" s="187">
        <v>1802.4</v>
      </c>
      <c r="AG32" s="184">
        <f t="shared" si="24"/>
        <v>94.863157894736844</v>
      </c>
      <c r="AH32" s="181">
        <f t="shared" si="25"/>
        <v>2</v>
      </c>
      <c r="AI32" s="588"/>
      <c r="AJ32" s="187">
        <v>19</v>
      </c>
      <c r="AK32" s="187">
        <v>1802</v>
      </c>
      <c r="AL32" s="184">
        <f t="shared" si="26"/>
        <v>94.84210526315789</v>
      </c>
      <c r="AM32" s="181">
        <f t="shared" si="27"/>
        <v>2</v>
      </c>
      <c r="AN32" s="588"/>
      <c r="AO32" s="187">
        <v>19</v>
      </c>
      <c r="AP32" s="187">
        <v>1802.2</v>
      </c>
      <c r="AQ32" s="184">
        <f t="shared" si="28"/>
        <v>94.852631578947367</v>
      </c>
      <c r="AR32" s="181">
        <f t="shared" si="29"/>
        <v>2</v>
      </c>
      <c r="AS32" s="588"/>
      <c r="AT32" s="187">
        <v>19</v>
      </c>
      <c r="AU32" s="187">
        <v>1802.2</v>
      </c>
      <c r="AV32" s="184">
        <f t="shared" si="30"/>
        <v>94.852631578947367</v>
      </c>
      <c r="AW32" s="181">
        <f t="shared" si="31"/>
        <v>2</v>
      </c>
      <c r="AX32" s="588"/>
    </row>
    <row r="33" spans="2:50" ht="14.25" customHeight="1">
      <c r="B33" s="586"/>
      <c r="C33" s="179">
        <v>7</v>
      </c>
      <c r="D33" s="182" t="s">
        <v>518</v>
      </c>
      <c r="E33" s="179">
        <v>18</v>
      </c>
      <c r="F33" s="179">
        <v>2000</v>
      </c>
      <c r="G33" s="184">
        <f t="shared" si="16"/>
        <v>111.11111111111111</v>
      </c>
      <c r="H33" s="588"/>
      <c r="I33" s="185">
        <f t="shared" si="18"/>
        <v>17</v>
      </c>
      <c r="J33" s="185">
        <f t="shared" si="18"/>
        <v>1802.3920435033706</v>
      </c>
      <c r="K33" s="186">
        <f t="shared" si="18"/>
        <v>106.02306138255121</v>
      </c>
      <c r="L33" s="589"/>
      <c r="M33" s="185">
        <f>RANK(K33, K$27:$K$41)</f>
        <v>1</v>
      </c>
      <c r="N33" s="586"/>
      <c r="O33" s="586"/>
      <c r="P33" s="187">
        <v>17</v>
      </c>
      <c r="Q33" s="187">
        <v>1800.5999999999997</v>
      </c>
      <c r="R33" s="184">
        <f t="shared" si="19"/>
        <v>105.9176470588235</v>
      </c>
      <c r="S33" s="181">
        <f t="shared" si="20"/>
        <v>1</v>
      </c>
      <c r="T33" s="588"/>
      <c r="U33" s="187">
        <v>17</v>
      </c>
      <c r="V33" s="187">
        <v>1802.3443045235954</v>
      </c>
      <c r="W33" s="184">
        <f t="shared" si="17"/>
        <v>106.02025320727031</v>
      </c>
      <c r="X33" s="181">
        <f t="shared" si="21"/>
        <v>1</v>
      </c>
      <c r="Y33" s="588"/>
      <c r="Z33" s="187">
        <v>17</v>
      </c>
      <c r="AA33" s="187">
        <v>1803</v>
      </c>
      <c r="AB33" s="184">
        <f t="shared" si="22"/>
        <v>106.05882352941177</v>
      </c>
      <c r="AC33" s="181">
        <f t="shared" si="23"/>
        <v>1</v>
      </c>
      <c r="AD33" s="588"/>
      <c r="AE33" s="187">
        <v>17</v>
      </c>
      <c r="AF33" s="187">
        <v>1802.8</v>
      </c>
      <c r="AG33" s="184">
        <f t="shared" si="24"/>
        <v>106.04705882352941</v>
      </c>
      <c r="AH33" s="181">
        <f t="shared" si="25"/>
        <v>1</v>
      </c>
      <c r="AI33" s="588"/>
      <c r="AJ33" s="187">
        <v>17</v>
      </c>
      <c r="AK33" s="187">
        <v>1802.1999999999998</v>
      </c>
      <c r="AL33" s="184">
        <f t="shared" si="26"/>
        <v>106.01176470588234</v>
      </c>
      <c r="AM33" s="181">
        <f t="shared" si="27"/>
        <v>1</v>
      </c>
      <c r="AN33" s="588"/>
      <c r="AO33" s="187">
        <v>17</v>
      </c>
      <c r="AP33" s="187">
        <v>1802.8</v>
      </c>
      <c r="AQ33" s="184">
        <f t="shared" si="28"/>
        <v>106.04705882352941</v>
      </c>
      <c r="AR33" s="181">
        <f t="shared" si="29"/>
        <v>1</v>
      </c>
      <c r="AS33" s="588"/>
      <c r="AT33" s="187">
        <v>17</v>
      </c>
      <c r="AU33" s="187">
        <v>1803</v>
      </c>
      <c r="AV33" s="184">
        <f t="shared" si="30"/>
        <v>106.05882352941177</v>
      </c>
      <c r="AW33" s="181">
        <f t="shared" si="31"/>
        <v>1</v>
      </c>
      <c r="AX33" s="588"/>
    </row>
    <row r="34" spans="2:50" ht="14.25" customHeight="1">
      <c r="B34" s="586"/>
      <c r="C34" s="179">
        <v>8</v>
      </c>
      <c r="D34" s="182" t="s">
        <v>554</v>
      </c>
      <c r="E34" s="179">
        <v>21</v>
      </c>
      <c r="F34" s="179">
        <v>2000</v>
      </c>
      <c r="G34" s="184">
        <f t="shared" si="16"/>
        <v>95.238095238095241</v>
      </c>
      <c r="H34" s="588"/>
      <c r="I34" s="185">
        <f t="shared" si="18"/>
        <v>20</v>
      </c>
      <c r="J34" s="185">
        <f t="shared" si="18"/>
        <v>1802.0857142857144</v>
      </c>
      <c r="K34" s="186">
        <f t="shared" si="18"/>
        <v>90.104285714285723</v>
      </c>
      <c r="L34" s="589"/>
      <c r="M34" s="185">
        <f>RANK(K34, K$27:$K$41)</f>
        <v>3</v>
      </c>
      <c r="N34" s="586"/>
      <c r="O34" s="586"/>
      <c r="P34" s="187">
        <v>20</v>
      </c>
      <c r="Q34" s="187">
        <v>1800</v>
      </c>
      <c r="R34" s="184">
        <f t="shared" si="19"/>
        <v>90</v>
      </c>
      <c r="S34" s="181">
        <f t="shared" si="20"/>
        <v>3</v>
      </c>
      <c r="T34" s="588"/>
      <c r="U34" s="187">
        <v>20</v>
      </c>
      <c r="V34" s="187">
        <v>1802.4</v>
      </c>
      <c r="W34" s="184">
        <f t="shared" si="17"/>
        <v>90.12</v>
      </c>
      <c r="X34" s="181">
        <f t="shared" si="21"/>
        <v>3</v>
      </c>
      <c r="Y34" s="588"/>
      <c r="Z34" s="187">
        <v>20</v>
      </c>
      <c r="AA34" s="187">
        <v>1802</v>
      </c>
      <c r="AB34" s="184">
        <f t="shared" si="22"/>
        <v>90.1</v>
      </c>
      <c r="AC34" s="181">
        <f t="shared" si="23"/>
        <v>3</v>
      </c>
      <c r="AD34" s="588"/>
      <c r="AE34" s="187">
        <v>20</v>
      </c>
      <c r="AF34" s="187">
        <v>1802.6</v>
      </c>
      <c r="AG34" s="184">
        <f t="shared" si="24"/>
        <v>90.13</v>
      </c>
      <c r="AH34" s="181">
        <f t="shared" si="25"/>
        <v>3</v>
      </c>
      <c r="AI34" s="588"/>
      <c r="AJ34" s="187">
        <v>20</v>
      </c>
      <c r="AK34" s="187">
        <v>1802.6</v>
      </c>
      <c r="AL34" s="184">
        <f t="shared" si="26"/>
        <v>90.13</v>
      </c>
      <c r="AM34" s="181">
        <f t="shared" si="27"/>
        <v>3</v>
      </c>
      <c r="AN34" s="588"/>
      <c r="AO34" s="187">
        <v>20</v>
      </c>
      <c r="AP34" s="187">
        <v>1802.6</v>
      </c>
      <c r="AQ34" s="184">
        <f t="shared" si="28"/>
        <v>90.13</v>
      </c>
      <c r="AR34" s="181">
        <f t="shared" si="29"/>
        <v>3</v>
      </c>
      <c r="AS34" s="588"/>
      <c r="AT34" s="187">
        <v>20</v>
      </c>
      <c r="AU34" s="187">
        <v>1802.3999999999999</v>
      </c>
      <c r="AV34" s="184">
        <f t="shared" si="30"/>
        <v>90.11999999999999</v>
      </c>
      <c r="AW34" s="181">
        <f t="shared" si="31"/>
        <v>3</v>
      </c>
      <c r="AX34" s="588"/>
    </row>
    <row r="35" spans="2:50" ht="14.25" customHeight="1">
      <c r="B35" s="586"/>
      <c r="C35" s="179">
        <v>9</v>
      </c>
      <c r="D35" s="182"/>
      <c r="E35" s="179"/>
      <c r="F35" s="179"/>
      <c r="G35" s="184"/>
      <c r="H35" s="588"/>
      <c r="I35" s="185"/>
      <c r="J35" s="185"/>
      <c r="K35" s="186"/>
      <c r="L35" s="589"/>
      <c r="M35" s="185"/>
      <c r="N35" s="586"/>
      <c r="O35" s="586"/>
      <c r="P35" s="187"/>
      <c r="Q35" s="187"/>
      <c r="R35" s="184"/>
      <c r="S35" s="181"/>
      <c r="T35" s="588"/>
      <c r="U35" s="187"/>
      <c r="V35" s="187"/>
      <c r="W35" s="184"/>
      <c r="X35" s="181"/>
      <c r="Y35" s="588"/>
      <c r="Z35" s="187"/>
      <c r="AA35" s="187"/>
      <c r="AB35" s="184"/>
      <c r="AC35" s="181"/>
      <c r="AD35" s="588"/>
      <c r="AE35" s="187"/>
      <c r="AF35" s="187"/>
      <c r="AG35" s="184"/>
      <c r="AH35" s="181"/>
      <c r="AI35" s="588"/>
      <c r="AJ35" s="187"/>
      <c r="AK35" s="187"/>
      <c r="AL35" s="184"/>
      <c r="AM35" s="181"/>
      <c r="AN35" s="588"/>
      <c r="AO35" s="187"/>
      <c r="AP35" s="187"/>
      <c r="AQ35" s="184"/>
      <c r="AR35" s="181"/>
      <c r="AS35" s="588"/>
      <c r="AT35" s="187"/>
      <c r="AU35" s="187"/>
      <c r="AV35" s="184"/>
      <c r="AW35" s="181"/>
      <c r="AX35" s="588"/>
    </row>
    <row r="36" spans="2:50" ht="14.25" customHeight="1">
      <c r="B36" s="586"/>
      <c r="C36" s="179">
        <v>10</v>
      </c>
      <c r="D36" s="182"/>
      <c r="E36" s="179"/>
      <c r="F36" s="179"/>
      <c r="G36" s="184"/>
      <c r="H36" s="588"/>
      <c r="I36" s="185"/>
      <c r="J36" s="185"/>
      <c r="K36" s="186"/>
      <c r="L36" s="589"/>
      <c r="M36" s="185"/>
      <c r="N36" s="586"/>
      <c r="O36" s="586"/>
      <c r="P36" s="187"/>
      <c r="Q36" s="187"/>
      <c r="R36" s="184"/>
      <c r="S36" s="181"/>
      <c r="T36" s="588"/>
      <c r="U36" s="187"/>
      <c r="V36" s="187"/>
      <c r="W36" s="184"/>
      <c r="X36" s="181"/>
      <c r="Y36" s="588"/>
      <c r="Z36" s="187"/>
      <c r="AA36" s="187"/>
      <c r="AB36" s="184"/>
      <c r="AC36" s="181"/>
      <c r="AD36" s="588"/>
      <c r="AE36" s="187"/>
      <c r="AF36" s="187"/>
      <c r="AG36" s="184"/>
      <c r="AH36" s="181"/>
      <c r="AI36" s="588"/>
      <c r="AJ36" s="187"/>
      <c r="AK36" s="187"/>
      <c r="AL36" s="184"/>
      <c r="AM36" s="181"/>
      <c r="AN36" s="588"/>
      <c r="AO36" s="187"/>
      <c r="AP36" s="187"/>
      <c r="AQ36" s="184"/>
      <c r="AR36" s="181"/>
      <c r="AS36" s="588"/>
      <c r="AT36" s="187"/>
      <c r="AU36" s="187"/>
      <c r="AV36" s="184"/>
      <c r="AW36" s="181"/>
      <c r="AX36" s="588"/>
    </row>
    <row r="37" spans="2:50" ht="14.25" customHeight="1">
      <c r="B37" s="586"/>
      <c r="C37" s="179">
        <v>11</v>
      </c>
      <c r="D37" s="182"/>
      <c r="E37" s="179"/>
      <c r="F37" s="179"/>
      <c r="G37" s="184"/>
      <c r="H37" s="588"/>
      <c r="I37" s="185"/>
      <c r="J37" s="185"/>
      <c r="K37" s="186"/>
      <c r="L37" s="589"/>
      <c r="M37" s="185"/>
      <c r="N37" s="586"/>
      <c r="O37" s="586"/>
      <c r="P37" s="187"/>
      <c r="Q37" s="187"/>
      <c r="R37" s="184"/>
      <c r="S37" s="181"/>
      <c r="T37" s="588"/>
      <c r="U37" s="187"/>
      <c r="V37" s="187"/>
      <c r="W37" s="184"/>
      <c r="X37" s="181"/>
      <c r="Y37" s="588"/>
      <c r="Z37" s="187"/>
      <c r="AA37" s="187"/>
      <c r="AB37" s="184"/>
      <c r="AC37" s="181"/>
      <c r="AD37" s="588"/>
      <c r="AE37" s="187"/>
      <c r="AF37" s="187"/>
      <c r="AG37" s="184"/>
      <c r="AH37" s="181"/>
      <c r="AI37" s="588"/>
      <c r="AJ37" s="187"/>
      <c r="AK37" s="187"/>
      <c r="AL37" s="184"/>
      <c r="AM37" s="181"/>
      <c r="AN37" s="588"/>
      <c r="AO37" s="187"/>
      <c r="AP37" s="187"/>
      <c r="AQ37" s="184"/>
      <c r="AR37" s="181"/>
      <c r="AS37" s="588"/>
      <c r="AT37" s="187"/>
      <c r="AU37" s="187"/>
      <c r="AV37" s="184"/>
      <c r="AW37" s="181"/>
      <c r="AX37" s="588"/>
    </row>
    <row r="38" spans="2:50" ht="14.25" customHeight="1">
      <c r="B38" s="586"/>
      <c r="C38" s="179">
        <v>12</v>
      </c>
      <c r="D38" s="182"/>
      <c r="E38" s="179"/>
      <c r="F38" s="179"/>
      <c r="G38" s="184"/>
      <c r="H38" s="588"/>
      <c r="I38" s="185"/>
      <c r="J38" s="185"/>
      <c r="K38" s="186"/>
      <c r="L38" s="589"/>
      <c r="M38" s="185"/>
      <c r="N38" s="586"/>
      <c r="O38" s="586"/>
      <c r="P38" s="187"/>
      <c r="Q38" s="187"/>
      <c r="R38" s="184"/>
      <c r="S38" s="181"/>
      <c r="T38" s="588"/>
      <c r="U38" s="187"/>
      <c r="V38" s="187"/>
      <c r="W38" s="184"/>
      <c r="X38" s="181"/>
      <c r="Y38" s="588"/>
      <c r="Z38" s="187"/>
      <c r="AA38" s="187"/>
      <c r="AB38" s="184"/>
      <c r="AC38" s="181"/>
      <c r="AD38" s="588"/>
      <c r="AE38" s="187"/>
      <c r="AF38" s="187"/>
      <c r="AG38" s="184"/>
      <c r="AH38" s="181"/>
      <c r="AI38" s="588"/>
      <c r="AJ38" s="187"/>
      <c r="AK38" s="187"/>
      <c r="AL38" s="184"/>
      <c r="AM38" s="181"/>
      <c r="AN38" s="588"/>
      <c r="AO38" s="187"/>
      <c r="AP38" s="187"/>
      <c r="AQ38" s="184"/>
      <c r="AR38" s="181"/>
      <c r="AS38" s="588"/>
      <c r="AT38" s="187"/>
      <c r="AU38" s="187"/>
      <c r="AV38" s="184"/>
      <c r="AW38" s="181"/>
      <c r="AX38" s="588"/>
    </row>
    <row r="39" spans="2:50" ht="14.25" customHeight="1">
      <c r="B39" s="586"/>
      <c r="C39" s="179">
        <v>13</v>
      </c>
      <c r="D39" s="182"/>
      <c r="E39" s="179"/>
      <c r="F39" s="179"/>
      <c r="G39" s="184"/>
      <c r="H39" s="588"/>
      <c r="I39" s="185"/>
      <c r="J39" s="185"/>
      <c r="K39" s="186"/>
      <c r="L39" s="589"/>
      <c r="M39" s="185"/>
      <c r="N39" s="586"/>
      <c r="O39" s="586"/>
      <c r="P39" s="187"/>
      <c r="Q39" s="187"/>
      <c r="R39" s="184"/>
      <c r="S39" s="181"/>
      <c r="T39" s="588"/>
      <c r="U39" s="187"/>
      <c r="V39" s="187"/>
      <c r="W39" s="184"/>
      <c r="X39" s="181"/>
      <c r="Y39" s="588"/>
      <c r="Z39" s="187"/>
      <c r="AA39" s="187"/>
      <c r="AB39" s="184"/>
      <c r="AC39" s="181"/>
      <c r="AD39" s="588"/>
      <c r="AE39" s="187"/>
      <c r="AF39" s="187"/>
      <c r="AG39" s="184"/>
      <c r="AH39" s="181"/>
      <c r="AI39" s="588"/>
      <c r="AJ39" s="187"/>
      <c r="AK39" s="187"/>
      <c r="AL39" s="184"/>
      <c r="AM39" s="181"/>
      <c r="AN39" s="588"/>
      <c r="AO39" s="187"/>
      <c r="AP39" s="187"/>
      <c r="AQ39" s="184"/>
      <c r="AR39" s="181"/>
      <c r="AS39" s="588"/>
      <c r="AT39" s="187"/>
      <c r="AU39" s="187"/>
      <c r="AV39" s="184"/>
      <c r="AW39" s="181"/>
      <c r="AX39" s="588"/>
    </row>
    <row r="40" spans="2:50" ht="14.25" customHeight="1">
      <c r="B40" s="586"/>
      <c r="C40" s="179">
        <v>14</v>
      </c>
      <c r="D40" s="182"/>
      <c r="E40" s="179"/>
      <c r="F40" s="179"/>
      <c r="G40" s="184"/>
      <c r="H40" s="588"/>
      <c r="I40" s="185"/>
      <c r="J40" s="185"/>
      <c r="K40" s="186"/>
      <c r="L40" s="589"/>
      <c r="M40" s="185"/>
      <c r="N40" s="586"/>
      <c r="O40" s="586"/>
      <c r="P40" s="187"/>
      <c r="Q40" s="187"/>
      <c r="R40" s="184"/>
      <c r="S40" s="181"/>
      <c r="T40" s="588"/>
      <c r="U40" s="187"/>
      <c r="V40" s="187"/>
      <c r="W40" s="184"/>
      <c r="X40" s="181"/>
      <c r="Y40" s="588"/>
      <c r="Z40" s="187"/>
      <c r="AA40" s="187"/>
      <c r="AB40" s="184"/>
      <c r="AC40" s="181"/>
      <c r="AD40" s="588"/>
      <c r="AE40" s="187"/>
      <c r="AF40" s="187"/>
      <c r="AG40" s="184"/>
      <c r="AH40" s="181"/>
      <c r="AI40" s="588"/>
      <c r="AJ40" s="187"/>
      <c r="AK40" s="187"/>
      <c r="AL40" s="184"/>
      <c r="AM40" s="181"/>
      <c r="AN40" s="588"/>
      <c r="AO40" s="187"/>
      <c r="AP40" s="187"/>
      <c r="AQ40" s="184"/>
      <c r="AR40" s="181"/>
      <c r="AS40" s="588"/>
      <c r="AT40" s="187"/>
      <c r="AU40" s="187"/>
      <c r="AV40" s="184"/>
      <c r="AW40" s="181"/>
      <c r="AX40" s="588"/>
    </row>
    <row r="41" spans="2:50" ht="14.25" customHeight="1">
      <c r="B41" s="586"/>
      <c r="C41" s="179">
        <v>15</v>
      </c>
      <c r="D41" s="182"/>
      <c r="E41" s="179"/>
      <c r="F41" s="179"/>
      <c r="G41" s="184"/>
      <c r="H41" s="588"/>
      <c r="I41" s="185"/>
      <c r="J41" s="185"/>
      <c r="K41" s="186"/>
      <c r="L41" s="589"/>
      <c r="M41" s="185"/>
      <c r="N41" s="586"/>
      <c r="O41" s="586"/>
      <c r="P41" s="187"/>
      <c r="Q41" s="187"/>
      <c r="R41" s="184"/>
      <c r="S41" s="181"/>
      <c r="T41" s="588"/>
      <c r="U41" s="187"/>
      <c r="V41" s="187"/>
      <c r="W41" s="184"/>
      <c r="X41" s="181"/>
      <c r="Y41" s="588"/>
      <c r="Z41" s="187"/>
      <c r="AA41" s="187"/>
      <c r="AB41" s="184"/>
      <c r="AC41" s="181"/>
      <c r="AD41" s="588"/>
      <c r="AE41" s="187"/>
      <c r="AF41" s="187"/>
      <c r="AG41" s="184"/>
      <c r="AH41" s="181"/>
      <c r="AI41" s="588"/>
      <c r="AJ41" s="187"/>
      <c r="AK41" s="187"/>
      <c r="AL41" s="184"/>
      <c r="AM41" s="181"/>
      <c r="AN41" s="588"/>
      <c r="AO41" s="187"/>
      <c r="AP41" s="187"/>
      <c r="AQ41" s="184"/>
      <c r="AR41" s="181"/>
      <c r="AS41" s="588"/>
      <c r="AT41" s="187"/>
      <c r="AU41" s="187"/>
      <c r="AV41" s="184"/>
      <c r="AW41" s="181"/>
      <c r="AX41" s="588"/>
    </row>
    <row r="42" spans="2:50" ht="14.25" customHeight="1">
      <c r="B42" s="612" t="s">
        <v>712</v>
      </c>
      <c r="C42" s="613"/>
      <c r="D42" s="613"/>
      <c r="E42" s="613"/>
      <c r="F42" s="613"/>
      <c r="G42" s="613"/>
      <c r="H42" s="613"/>
      <c r="I42" s="613"/>
      <c r="J42" s="613"/>
      <c r="K42" s="613"/>
      <c r="L42" s="613"/>
      <c r="M42" s="614"/>
      <c r="N42" s="617" t="s">
        <v>341</v>
      </c>
      <c r="O42" s="617" t="s">
        <v>105</v>
      </c>
      <c r="P42" s="600">
        <v>46245</v>
      </c>
      <c r="Q42" s="601"/>
      <c r="R42" s="601"/>
      <c r="S42" s="601"/>
      <c r="T42" s="601"/>
      <c r="U42" s="602">
        <v>46246</v>
      </c>
      <c r="V42" s="603"/>
      <c r="W42" s="603"/>
      <c r="X42" s="603"/>
      <c r="Y42" s="603"/>
      <c r="Z42" s="600">
        <v>46247</v>
      </c>
      <c r="AA42" s="601"/>
      <c r="AB42" s="601"/>
      <c r="AC42" s="601"/>
      <c r="AD42" s="601"/>
      <c r="AE42" s="602">
        <v>46248</v>
      </c>
      <c r="AF42" s="603"/>
      <c r="AG42" s="603"/>
      <c r="AH42" s="603"/>
      <c r="AI42" s="603"/>
      <c r="AJ42" s="609">
        <v>46249</v>
      </c>
      <c r="AK42" s="610"/>
      <c r="AL42" s="610"/>
      <c r="AM42" s="610"/>
      <c r="AN42" s="611"/>
      <c r="AO42" s="602">
        <v>46250</v>
      </c>
      <c r="AP42" s="603"/>
      <c r="AQ42" s="603"/>
      <c r="AR42" s="603"/>
      <c r="AS42" s="603"/>
      <c r="AT42" s="609">
        <v>46251</v>
      </c>
      <c r="AU42" s="610"/>
      <c r="AV42" s="610"/>
      <c r="AW42" s="610"/>
      <c r="AX42" s="611"/>
    </row>
    <row r="43" spans="2:50" ht="14.25" customHeight="1">
      <c r="B43" s="615"/>
      <c r="C43" s="615"/>
      <c r="D43" s="615"/>
      <c r="E43" s="615"/>
      <c r="F43" s="615"/>
      <c r="G43" s="615"/>
      <c r="H43" s="615"/>
      <c r="I43" s="615"/>
      <c r="J43" s="615"/>
      <c r="K43" s="615"/>
      <c r="L43" s="615"/>
      <c r="M43" s="616"/>
      <c r="N43" s="618"/>
      <c r="O43" s="618"/>
      <c r="P43" s="604">
        <v>46196</v>
      </c>
      <c r="Q43" s="604"/>
      <c r="R43" s="604"/>
      <c r="S43" s="604"/>
      <c r="T43" s="604"/>
      <c r="U43" s="605">
        <v>46197</v>
      </c>
      <c r="V43" s="605"/>
      <c r="W43" s="605"/>
      <c r="X43" s="605"/>
      <c r="Y43" s="605"/>
      <c r="Z43" s="604">
        <v>46198</v>
      </c>
      <c r="AA43" s="604"/>
      <c r="AB43" s="604"/>
      <c r="AC43" s="604"/>
      <c r="AD43" s="604"/>
      <c r="AE43" s="605">
        <v>46199</v>
      </c>
      <c r="AF43" s="605"/>
      <c r="AG43" s="605"/>
      <c r="AH43" s="605"/>
      <c r="AI43" s="605"/>
      <c r="AJ43" s="606">
        <v>46200</v>
      </c>
      <c r="AK43" s="607"/>
      <c r="AL43" s="607"/>
      <c r="AM43" s="607"/>
      <c r="AN43" s="608"/>
      <c r="AO43" s="605">
        <v>46201</v>
      </c>
      <c r="AP43" s="605"/>
      <c r="AQ43" s="605"/>
      <c r="AR43" s="605"/>
      <c r="AS43" s="605"/>
      <c r="AT43" s="606">
        <v>46202</v>
      </c>
      <c r="AU43" s="607"/>
      <c r="AV43" s="607"/>
      <c r="AW43" s="607"/>
      <c r="AX43" s="608"/>
    </row>
    <row r="44" spans="2:50" ht="14.25" customHeight="1">
      <c r="B44" s="586" t="s">
        <v>162</v>
      </c>
      <c r="C44" s="586" t="s">
        <v>157</v>
      </c>
      <c r="D44" s="586"/>
      <c r="E44" s="586" t="s">
        <v>158</v>
      </c>
      <c r="F44" s="586"/>
      <c r="G44" s="586"/>
      <c r="H44" s="586" t="s">
        <v>163</v>
      </c>
      <c r="I44" s="592" t="s">
        <v>342</v>
      </c>
      <c r="J44" s="592"/>
      <c r="K44" s="592"/>
      <c r="L44" s="592" t="s">
        <v>163</v>
      </c>
      <c r="M44" s="592" t="s">
        <v>165</v>
      </c>
      <c r="N44" s="586"/>
      <c r="O44" s="586" t="s">
        <v>164</v>
      </c>
      <c r="P44" s="586" t="s">
        <v>160</v>
      </c>
      <c r="Q44" s="586"/>
      <c r="R44" s="586"/>
      <c r="S44" s="586"/>
      <c r="T44" s="586" t="s">
        <v>163</v>
      </c>
      <c r="U44" s="586" t="s">
        <v>160</v>
      </c>
      <c r="V44" s="586"/>
      <c r="W44" s="586"/>
      <c r="X44" s="586"/>
      <c r="Y44" s="586" t="s">
        <v>163</v>
      </c>
      <c r="Z44" s="586" t="s">
        <v>160</v>
      </c>
      <c r="AA44" s="586"/>
      <c r="AB44" s="586"/>
      <c r="AC44" s="586"/>
      <c r="AD44" s="586" t="s">
        <v>163</v>
      </c>
      <c r="AE44" s="586" t="s">
        <v>160</v>
      </c>
      <c r="AF44" s="586"/>
      <c r="AG44" s="586"/>
      <c r="AH44" s="586"/>
      <c r="AI44" s="586" t="s">
        <v>163</v>
      </c>
      <c r="AJ44" s="586" t="s">
        <v>160</v>
      </c>
      <c r="AK44" s="586"/>
      <c r="AL44" s="586"/>
      <c r="AM44" s="586"/>
      <c r="AN44" s="586" t="s">
        <v>163</v>
      </c>
      <c r="AO44" s="586" t="s">
        <v>160</v>
      </c>
      <c r="AP44" s="586"/>
      <c r="AQ44" s="586"/>
      <c r="AR44" s="586"/>
      <c r="AS44" s="586" t="s">
        <v>163</v>
      </c>
      <c r="AT44" s="586" t="s">
        <v>160</v>
      </c>
      <c r="AU44" s="586"/>
      <c r="AV44" s="586"/>
      <c r="AW44" s="586"/>
      <c r="AX44" s="586" t="s">
        <v>163</v>
      </c>
    </row>
    <row r="45" spans="2:50" ht="14.25" customHeight="1">
      <c r="B45" s="586"/>
      <c r="C45" s="586"/>
      <c r="D45" s="586"/>
      <c r="E45" s="586" t="s">
        <v>343</v>
      </c>
      <c r="F45" s="586"/>
      <c r="G45" s="586"/>
      <c r="H45" s="586"/>
      <c r="I45" s="592" t="s">
        <v>343</v>
      </c>
      <c r="J45" s="592"/>
      <c r="K45" s="592"/>
      <c r="L45" s="592"/>
      <c r="M45" s="592"/>
      <c r="N45" s="586"/>
      <c r="O45" s="586"/>
      <c r="P45" s="586" t="s">
        <v>344</v>
      </c>
      <c r="Q45" s="586"/>
      <c r="R45" s="586"/>
      <c r="S45" s="586"/>
      <c r="T45" s="586"/>
      <c r="U45" s="586" t="s">
        <v>344</v>
      </c>
      <c r="V45" s="586"/>
      <c r="W45" s="586"/>
      <c r="X45" s="586"/>
      <c r="Y45" s="586"/>
      <c r="Z45" s="586" t="s">
        <v>344</v>
      </c>
      <c r="AA45" s="586"/>
      <c r="AB45" s="586"/>
      <c r="AC45" s="586"/>
      <c r="AD45" s="586"/>
      <c r="AE45" s="586" t="s">
        <v>344</v>
      </c>
      <c r="AF45" s="586"/>
      <c r="AG45" s="586"/>
      <c r="AH45" s="586"/>
      <c r="AI45" s="586"/>
      <c r="AJ45" s="586" t="s">
        <v>344</v>
      </c>
      <c r="AK45" s="586"/>
      <c r="AL45" s="586"/>
      <c r="AM45" s="586"/>
      <c r="AN45" s="586"/>
      <c r="AO45" s="586" t="s">
        <v>344</v>
      </c>
      <c r="AP45" s="586"/>
      <c r="AQ45" s="586"/>
      <c r="AR45" s="586"/>
      <c r="AS45" s="586"/>
      <c r="AT45" s="586" t="s">
        <v>344</v>
      </c>
      <c r="AU45" s="586"/>
      <c r="AV45" s="586"/>
      <c r="AW45" s="586"/>
      <c r="AX45" s="586"/>
    </row>
    <row r="46" spans="2:50" ht="14.25" customHeight="1">
      <c r="B46" s="586"/>
      <c r="C46" s="586"/>
      <c r="D46" s="586"/>
      <c r="E46" s="179" t="s">
        <v>159</v>
      </c>
      <c r="F46" s="179" t="s">
        <v>345</v>
      </c>
      <c r="G46" s="179" t="s">
        <v>161</v>
      </c>
      <c r="H46" s="586"/>
      <c r="I46" s="180" t="s">
        <v>159</v>
      </c>
      <c r="J46" s="180" t="s">
        <v>345</v>
      </c>
      <c r="K46" s="180" t="s">
        <v>161</v>
      </c>
      <c r="L46" s="592"/>
      <c r="M46" s="592"/>
      <c r="N46" s="586"/>
      <c r="O46" s="586"/>
      <c r="P46" s="179" t="s">
        <v>159</v>
      </c>
      <c r="Q46" s="179" t="s">
        <v>345</v>
      </c>
      <c r="R46" s="179" t="s">
        <v>161</v>
      </c>
      <c r="S46" s="181" t="s">
        <v>165</v>
      </c>
      <c r="T46" s="586"/>
      <c r="U46" s="179" t="s">
        <v>159</v>
      </c>
      <c r="V46" s="179" t="s">
        <v>345</v>
      </c>
      <c r="W46" s="179" t="s">
        <v>161</v>
      </c>
      <c r="X46" s="181" t="s">
        <v>165</v>
      </c>
      <c r="Y46" s="586"/>
      <c r="Z46" s="179" t="s">
        <v>159</v>
      </c>
      <c r="AA46" s="179" t="s">
        <v>345</v>
      </c>
      <c r="AB46" s="179" t="s">
        <v>161</v>
      </c>
      <c r="AC46" s="181" t="s">
        <v>165</v>
      </c>
      <c r="AD46" s="586"/>
      <c r="AE46" s="179" t="s">
        <v>159</v>
      </c>
      <c r="AF46" s="179" t="s">
        <v>345</v>
      </c>
      <c r="AG46" s="179" t="s">
        <v>161</v>
      </c>
      <c r="AH46" s="181" t="s">
        <v>165</v>
      </c>
      <c r="AI46" s="586"/>
      <c r="AJ46" s="179" t="s">
        <v>159</v>
      </c>
      <c r="AK46" s="179" t="s">
        <v>345</v>
      </c>
      <c r="AL46" s="179" t="s">
        <v>161</v>
      </c>
      <c r="AM46" s="181" t="s">
        <v>165</v>
      </c>
      <c r="AN46" s="586"/>
      <c r="AO46" s="179" t="s">
        <v>159</v>
      </c>
      <c r="AP46" s="179" t="s">
        <v>345</v>
      </c>
      <c r="AQ46" s="179" t="s">
        <v>161</v>
      </c>
      <c r="AR46" s="181" t="s">
        <v>165</v>
      </c>
      <c r="AS46" s="586"/>
      <c r="AT46" s="179" t="s">
        <v>159</v>
      </c>
      <c r="AU46" s="179" t="s">
        <v>345</v>
      </c>
      <c r="AV46" s="179" t="s">
        <v>161</v>
      </c>
      <c r="AW46" s="181" t="s">
        <v>165</v>
      </c>
      <c r="AX46" s="586"/>
    </row>
    <row r="47" spans="2:50" ht="14.25" customHeight="1">
      <c r="B47" s="586" t="s">
        <v>327</v>
      </c>
      <c r="C47" s="179">
        <v>1</v>
      </c>
      <c r="D47" s="182" t="s">
        <v>321</v>
      </c>
      <c r="E47" s="183">
        <v>24</v>
      </c>
      <c r="F47" s="179">
        <v>2000</v>
      </c>
      <c r="G47" s="184">
        <f t="shared" ref="G47:G54" si="32">IFERROR(F47/E47,"")</f>
        <v>83.333333333333329</v>
      </c>
      <c r="H47" s="588">
        <f>AVERAGE(G47:G61)</f>
        <v>92.03329882677707</v>
      </c>
      <c r="I47" s="185">
        <f>AVERAGE(P47,U47,Z47,AE47,AJ47,AO47,AT47)</f>
        <v>24</v>
      </c>
      <c r="J47" s="185">
        <f>AVERAGE(Q47,V47,AA47,AF47,AK47,AP47,AU47)</f>
        <v>1805.354821944836</v>
      </c>
      <c r="K47" s="186">
        <f>AVERAGE(R47,W47,AB47,AG47,AL47,AQ47,AV47)</f>
        <v>75.223117581034828</v>
      </c>
      <c r="L47" s="589">
        <f>IFERROR(AVERAGE(K47:K61),"-")</f>
        <v>84.864534602343696</v>
      </c>
      <c r="M47" s="185">
        <f>RANK(K47, K$47:$K$61)</f>
        <v>8</v>
      </c>
      <c r="N47" s="586"/>
      <c r="O47" s="586"/>
      <c r="P47" s="187">
        <v>24</v>
      </c>
      <c r="Q47" s="187">
        <v>1804.9548219448357</v>
      </c>
      <c r="R47" s="184">
        <f>IFERROR(Q47/P47,"")</f>
        <v>75.206450914368148</v>
      </c>
      <c r="S47" s="181">
        <f>RANK(R47, R$47:R$61)</f>
        <v>8</v>
      </c>
      <c r="T47" s="588">
        <f>AVERAGE(R47:R61)</f>
        <v>84.863518638750008</v>
      </c>
      <c r="U47" s="187">
        <v>24</v>
      </c>
      <c r="V47" s="187">
        <v>1805.354821944836</v>
      </c>
      <c r="W47" s="184">
        <f t="shared" ref="W47:W54" si="33">IFERROR(V47/U47,"")</f>
        <v>75.223117581034828</v>
      </c>
      <c r="X47" s="181">
        <f>RANK(W47, W$47:W$61)</f>
        <v>8</v>
      </c>
      <c r="Y47" s="588">
        <f>AVERAGE(W47:W61)</f>
        <v>84.863482887607447</v>
      </c>
      <c r="Z47" s="187">
        <v>24</v>
      </c>
      <c r="AA47" s="187">
        <v>1805.5548219448358</v>
      </c>
      <c r="AB47" s="184">
        <f>IFERROR(AA47/Z47,"")</f>
        <v>75.231450914368153</v>
      </c>
      <c r="AC47" s="181">
        <f>RANK(AB47, AB$47:AB$61)</f>
        <v>8</v>
      </c>
      <c r="AD47" s="588">
        <f>AVERAGE(AB47:AB61)</f>
        <v>84.860407868698289</v>
      </c>
      <c r="AE47" s="187">
        <v>24</v>
      </c>
      <c r="AF47" s="187">
        <v>1804.9548219448359</v>
      </c>
      <c r="AG47" s="184">
        <f>IFERROR(AF47/AE47,"")</f>
        <v>75.206450914368162</v>
      </c>
      <c r="AH47" s="181">
        <f>RANK(AG47, AG$47:AG$61)</f>
        <v>8</v>
      </c>
      <c r="AI47" s="588">
        <f>AVERAGE(AG47:AG61)</f>
        <v>84.859189609655544</v>
      </c>
      <c r="AJ47" s="187">
        <v>24</v>
      </c>
      <c r="AK47" s="187">
        <v>1805.5548219448358</v>
      </c>
      <c r="AL47" s="184">
        <f>IFERROR(AK47/AJ47,"")</f>
        <v>75.231450914368153</v>
      </c>
      <c r="AM47" s="181">
        <f>RANK(AL47, AL$47:AL$61)</f>
        <v>8</v>
      </c>
      <c r="AN47" s="588">
        <f>AVERAGE(AL47:AL61)</f>
        <v>84.854208971519284</v>
      </c>
      <c r="AO47" s="187">
        <v>24</v>
      </c>
      <c r="AP47" s="187">
        <v>1805.554821944836</v>
      </c>
      <c r="AQ47" s="184">
        <f>IFERROR(AP47/AO47,"")</f>
        <v>75.231450914368168</v>
      </c>
      <c r="AR47" s="181">
        <f>RANK(AQ47, AQ$47:AQ$61)</f>
        <v>8</v>
      </c>
      <c r="AS47" s="588">
        <f>AVERAGE(AQ47:AQ61)</f>
        <v>84.875943510872773</v>
      </c>
      <c r="AT47" s="187">
        <v>24</v>
      </c>
      <c r="AU47" s="187">
        <v>1805.5548219448362</v>
      </c>
      <c r="AV47" s="184">
        <f>IFERROR(AU47/AT47,"")</f>
        <v>75.231450914368182</v>
      </c>
      <c r="AW47" s="181">
        <f>RANK(AV47, AV$47:AV$61)</f>
        <v>8</v>
      </c>
      <c r="AX47" s="588">
        <f>AVERAGE(AV47:AV61)</f>
        <v>84.874990729302482</v>
      </c>
    </row>
    <row r="48" spans="2:50" ht="14.25" customHeight="1">
      <c r="B48" s="586"/>
      <c r="C48" s="179">
        <v>2</v>
      </c>
      <c r="D48" s="182" t="s">
        <v>580</v>
      </c>
      <c r="E48" s="179">
        <v>21</v>
      </c>
      <c r="F48" s="179">
        <v>1800</v>
      </c>
      <c r="G48" s="184">
        <f t="shared" si="32"/>
        <v>85.714285714285708</v>
      </c>
      <c r="H48" s="588"/>
      <c r="I48" s="185">
        <f t="shared" ref="I48:K54" si="34">AVERAGE(P48,U48,Z48,AE48,AJ48,AO48,AT48)</f>
        <v>21</v>
      </c>
      <c r="J48" s="185">
        <f t="shared" si="34"/>
        <v>1623.8077817584067</v>
      </c>
      <c r="K48" s="186">
        <f t="shared" si="34"/>
        <v>77.324180083733637</v>
      </c>
      <c r="L48" s="589"/>
      <c r="M48" s="185">
        <f>RANK(K48, K$47:$K$61)</f>
        <v>7</v>
      </c>
      <c r="N48" s="586"/>
      <c r="O48" s="586"/>
      <c r="P48" s="187">
        <v>21</v>
      </c>
      <c r="Q48" s="187">
        <v>1623.8849246155487</v>
      </c>
      <c r="R48" s="184">
        <f t="shared" ref="R48:R54" si="35">IFERROR(Q48/P48,"")</f>
        <v>77.327853553121372</v>
      </c>
      <c r="S48" s="181">
        <f t="shared" ref="S48:S54" si="36">RANK(R48, R$47:R$61)</f>
        <v>7</v>
      </c>
      <c r="T48" s="588"/>
      <c r="U48" s="187">
        <v>21</v>
      </c>
      <c r="V48" s="187">
        <v>1623.3449246155492</v>
      </c>
      <c r="W48" s="184">
        <f t="shared" si="33"/>
        <v>77.3021392674071</v>
      </c>
      <c r="X48" s="181">
        <f t="shared" ref="X48:X54" si="37">RANK(W48, W$47:W$61)</f>
        <v>7</v>
      </c>
      <c r="Y48" s="588"/>
      <c r="Z48" s="187">
        <v>21</v>
      </c>
      <c r="AA48" s="187">
        <v>1623.5249246155493</v>
      </c>
      <c r="AB48" s="184">
        <f t="shared" ref="AB48:AB54" si="38">IFERROR(AA48/Z48,"")</f>
        <v>77.310710695978543</v>
      </c>
      <c r="AC48" s="181">
        <f t="shared" ref="AC48:AC54" si="39">RANK(AB48, AB$47:AB$61)</f>
        <v>7</v>
      </c>
      <c r="AD48" s="588"/>
      <c r="AE48" s="187">
        <v>21</v>
      </c>
      <c r="AF48" s="187">
        <v>1624.0649246155494</v>
      </c>
      <c r="AG48" s="184">
        <f t="shared" ref="AG48:AG54" si="40">IFERROR(AF48/AE48,"")</f>
        <v>77.336424981692829</v>
      </c>
      <c r="AH48" s="181">
        <f t="shared" ref="AH48:AH54" si="41">RANK(AG48, AG$47:AG$61)</f>
        <v>7</v>
      </c>
      <c r="AI48" s="588"/>
      <c r="AJ48" s="187">
        <v>21</v>
      </c>
      <c r="AK48" s="187">
        <v>1623.7049246155495</v>
      </c>
      <c r="AL48" s="184">
        <f t="shared" ref="AL48:AL54" si="42">IFERROR(AK48/AJ48,"")</f>
        <v>77.319282124549972</v>
      </c>
      <c r="AM48" s="181">
        <f t="shared" ref="AM48:AM54" si="43">RANK(AL48, AL$47:AL$61)</f>
        <v>7</v>
      </c>
      <c r="AN48" s="588"/>
      <c r="AO48" s="187">
        <v>21</v>
      </c>
      <c r="AP48" s="187">
        <v>1623.8849246155496</v>
      </c>
      <c r="AQ48" s="184">
        <f t="shared" ref="AQ48:AQ54" si="44">IFERROR(AP48/AO48,"")</f>
        <v>77.327853553121415</v>
      </c>
      <c r="AR48" s="181">
        <f t="shared" ref="AR48:AR54" si="45">RANK(AQ48, AQ$47:AQ$61)</f>
        <v>7</v>
      </c>
      <c r="AS48" s="588"/>
      <c r="AT48" s="187">
        <v>21</v>
      </c>
      <c r="AU48" s="187">
        <v>1624.2449246155495</v>
      </c>
      <c r="AV48" s="184">
        <f t="shared" ref="AV48:AV54" si="46">IFERROR(AU48/AT48,"")</f>
        <v>77.344996410264258</v>
      </c>
      <c r="AW48" s="181">
        <f t="shared" ref="AW48:AW54" si="47">RANK(AV48, AV$47:AV$61)</f>
        <v>7</v>
      </c>
      <c r="AX48" s="588"/>
    </row>
    <row r="49" spans="2:50" ht="14.25" customHeight="1">
      <c r="B49" s="586"/>
      <c r="C49" s="179">
        <v>3</v>
      </c>
      <c r="D49" s="182" t="s">
        <v>320</v>
      </c>
      <c r="E49" s="179">
        <v>23</v>
      </c>
      <c r="F49" s="179">
        <v>2000</v>
      </c>
      <c r="G49" s="184">
        <f t="shared" si="32"/>
        <v>86.956521739130437</v>
      </c>
      <c r="H49" s="588"/>
      <c r="I49" s="185">
        <f t="shared" si="34"/>
        <v>23</v>
      </c>
      <c r="J49" s="185">
        <f t="shared" si="34"/>
        <v>1802.544643993504</v>
      </c>
      <c r="K49" s="186">
        <f t="shared" si="34"/>
        <v>78.371506260587125</v>
      </c>
      <c r="L49" s="589"/>
      <c r="M49" s="185">
        <f>RANK(K49, K$47:$K$61)</f>
        <v>6</v>
      </c>
      <c r="N49" s="586"/>
      <c r="O49" s="586"/>
      <c r="P49" s="187">
        <v>23</v>
      </c>
      <c r="Q49" s="187">
        <v>1804.0303582792183</v>
      </c>
      <c r="R49" s="184">
        <f t="shared" si="35"/>
        <v>78.436102533879051</v>
      </c>
      <c r="S49" s="181">
        <f t="shared" si="36"/>
        <v>6</v>
      </c>
      <c r="T49" s="588"/>
      <c r="U49" s="187">
        <v>23</v>
      </c>
      <c r="V49" s="187">
        <v>1804.030358279218</v>
      </c>
      <c r="W49" s="184">
        <f t="shared" si="33"/>
        <v>78.436102533879051</v>
      </c>
      <c r="X49" s="181">
        <f t="shared" si="37"/>
        <v>6</v>
      </c>
      <c r="Y49" s="588"/>
      <c r="Z49" s="187">
        <v>23</v>
      </c>
      <c r="AA49" s="187">
        <v>1803.0303582792183</v>
      </c>
      <c r="AB49" s="184">
        <f t="shared" si="38"/>
        <v>78.392624273009488</v>
      </c>
      <c r="AC49" s="181">
        <f t="shared" si="39"/>
        <v>6</v>
      </c>
      <c r="AD49" s="588"/>
      <c r="AE49" s="187">
        <v>23</v>
      </c>
      <c r="AF49" s="187">
        <v>1802.2303582792183</v>
      </c>
      <c r="AG49" s="184">
        <f t="shared" si="40"/>
        <v>78.357841664313838</v>
      </c>
      <c r="AH49" s="181">
        <f t="shared" si="41"/>
        <v>6</v>
      </c>
      <c r="AI49" s="588"/>
      <c r="AJ49" s="187">
        <v>23</v>
      </c>
      <c r="AK49" s="187">
        <v>1801.4303582792184</v>
      </c>
      <c r="AL49" s="184">
        <f t="shared" si="42"/>
        <v>78.323059055618188</v>
      </c>
      <c r="AM49" s="181">
        <f t="shared" si="43"/>
        <v>6</v>
      </c>
      <c r="AN49" s="588"/>
      <c r="AO49" s="187">
        <v>23</v>
      </c>
      <c r="AP49" s="187">
        <v>1801.6303582792186</v>
      </c>
      <c r="AQ49" s="184">
        <f t="shared" si="44"/>
        <v>78.331754707792115</v>
      </c>
      <c r="AR49" s="181">
        <f t="shared" si="45"/>
        <v>6</v>
      </c>
      <c r="AS49" s="588"/>
      <c r="AT49" s="187">
        <v>23</v>
      </c>
      <c r="AU49" s="187">
        <v>1801.4303582792188</v>
      </c>
      <c r="AV49" s="184">
        <f t="shared" si="46"/>
        <v>78.323059055618202</v>
      </c>
      <c r="AW49" s="181">
        <f t="shared" si="47"/>
        <v>6</v>
      </c>
      <c r="AX49" s="588"/>
    </row>
    <row r="50" spans="2:50" ht="14.25" customHeight="1">
      <c r="B50" s="586"/>
      <c r="C50" s="179">
        <v>4</v>
      </c>
      <c r="D50" s="182" t="s">
        <v>328</v>
      </c>
      <c r="E50" s="179">
        <v>23</v>
      </c>
      <c r="F50" s="179">
        <v>2000</v>
      </c>
      <c r="G50" s="184">
        <f t="shared" si="32"/>
        <v>86.956521739130437</v>
      </c>
      <c r="H50" s="588"/>
      <c r="I50" s="185">
        <f t="shared" si="34"/>
        <v>23</v>
      </c>
      <c r="J50" s="185">
        <f t="shared" si="34"/>
        <v>1805.1648237339011</v>
      </c>
      <c r="K50" s="186">
        <f t="shared" si="34"/>
        <v>78.485427118865246</v>
      </c>
      <c r="L50" s="589"/>
      <c r="M50" s="185">
        <f>RANK(K50, K$47:$K$61)</f>
        <v>5</v>
      </c>
      <c r="N50" s="586"/>
      <c r="O50" s="586"/>
      <c r="P50" s="187">
        <v>23</v>
      </c>
      <c r="Q50" s="187">
        <v>1804.8791094481862</v>
      </c>
      <c r="R50" s="184">
        <f t="shared" si="35"/>
        <v>78.473004758616796</v>
      </c>
      <c r="S50" s="181">
        <f t="shared" si="36"/>
        <v>4</v>
      </c>
      <c r="T50" s="588"/>
      <c r="U50" s="187">
        <v>23</v>
      </c>
      <c r="V50" s="187">
        <v>1804.2791094481865</v>
      </c>
      <c r="W50" s="184">
        <f t="shared" si="33"/>
        <v>78.446917802095072</v>
      </c>
      <c r="X50" s="181">
        <f t="shared" si="37"/>
        <v>5</v>
      </c>
      <c r="Y50" s="588"/>
      <c r="Z50" s="187">
        <v>23</v>
      </c>
      <c r="AA50" s="187">
        <v>1804.279109448187</v>
      </c>
      <c r="AB50" s="184">
        <f t="shared" si="38"/>
        <v>78.446917802095086</v>
      </c>
      <c r="AC50" s="181">
        <f t="shared" si="39"/>
        <v>5</v>
      </c>
      <c r="AD50" s="588"/>
      <c r="AE50" s="187">
        <v>23</v>
      </c>
      <c r="AF50" s="187">
        <v>1804.4791094481868</v>
      </c>
      <c r="AG50" s="184">
        <f t="shared" si="40"/>
        <v>78.455613454268999</v>
      </c>
      <c r="AH50" s="181">
        <f t="shared" si="41"/>
        <v>5</v>
      </c>
      <c r="AI50" s="588"/>
      <c r="AJ50" s="187">
        <v>23</v>
      </c>
      <c r="AK50" s="187">
        <v>1805.4791094481868</v>
      </c>
      <c r="AL50" s="184">
        <f t="shared" si="42"/>
        <v>78.499091715138562</v>
      </c>
      <c r="AM50" s="181">
        <f t="shared" si="43"/>
        <v>5</v>
      </c>
      <c r="AN50" s="588"/>
      <c r="AO50" s="187">
        <v>23</v>
      </c>
      <c r="AP50" s="187">
        <v>1806.0791094481865</v>
      </c>
      <c r="AQ50" s="184">
        <f t="shared" si="44"/>
        <v>78.525178671660285</v>
      </c>
      <c r="AR50" s="181">
        <f t="shared" si="45"/>
        <v>5</v>
      </c>
      <c r="AS50" s="588"/>
      <c r="AT50" s="187">
        <v>23</v>
      </c>
      <c r="AU50" s="187">
        <v>1806.6791094481862</v>
      </c>
      <c r="AV50" s="184">
        <f t="shared" si="46"/>
        <v>78.551265628182009</v>
      </c>
      <c r="AW50" s="181">
        <f t="shared" si="47"/>
        <v>5</v>
      </c>
      <c r="AX50" s="588"/>
    </row>
    <row r="51" spans="2:50" ht="14.25" customHeight="1">
      <c r="B51" s="586"/>
      <c r="C51" s="179">
        <v>5</v>
      </c>
      <c r="D51" s="182" t="s">
        <v>322</v>
      </c>
      <c r="E51" s="179">
        <v>23</v>
      </c>
      <c r="F51" s="179">
        <v>2000</v>
      </c>
      <c r="G51" s="184">
        <f t="shared" si="32"/>
        <v>86.956521739130437</v>
      </c>
      <c r="H51" s="588"/>
      <c r="I51" s="185">
        <f t="shared" si="34"/>
        <v>23</v>
      </c>
      <c r="J51" s="185">
        <f t="shared" si="34"/>
        <v>1806.4586096474184</v>
      </c>
      <c r="K51" s="186">
        <f t="shared" si="34"/>
        <v>78.541678680322534</v>
      </c>
      <c r="L51" s="589"/>
      <c r="M51" s="185">
        <f>RANK(K51, K$47:$K$61)</f>
        <v>4</v>
      </c>
      <c r="N51" s="586"/>
      <c r="O51" s="586"/>
      <c r="P51" s="187">
        <v>23</v>
      </c>
      <c r="Q51" s="187">
        <v>1804.8014667902762</v>
      </c>
      <c r="R51" s="184">
        <f t="shared" si="35"/>
        <v>78.469628990881574</v>
      </c>
      <c r="S51" s="181">
        <f t="shared" si="36"/>
        <v>5</v>
      </c>
      <c r="T51" s="588"/>
      <c r="U51" s="187">
        <v>23</v>
      </c>
      <c r="V51" s="187">
        <v>1805.4014667902761</v>
      </c>
      <c r="W51" s="184">
        <f t="shared" si="33"/>
        <v>78.495715947403312</v>
      </c>
      <c r="X51" s="181">
        <f t="shared" si="37"/>
        <v>4</v>
      </c>
      <c r="Y51" s="588"/>
      <c r="Z51" s="187">
        <v>23</v>
      </c>
      <c r="AA51" s="187">
        <v>1805.801466790276</v>
      </c>
      <c r="AB51" s="184">
        <f t="shared" si="38"/>
        <v>78.513107251751123</v>
      </c>
      <c r="AC51" s="181">
        <f t="shared" si="39"/>
        <v>4</v>
      </c>
      <c r="AD51" s="588"/>
      <c r="AE51" s="187">
        <v>23</v>
      </c>
      <c r="AF51" s="187">
        <v>1806.2014667902754</v>
      </c>
      <c r="AG51" s="184">
        <f t="shared" si="40"/>
        <v>78.530498556098934</v>
      </c>
      <c r="AH51" s="181">
        <f t="shared" si="41"/>
        <v>4</v>
      </c>
      <c r="AI51" s="588"/>
      <c r="AJ51" s="187">
        <v>23</v>
      </c>
      <c r="AK51" s="187">
        <v>1807.2014667902752</v>
      </c>
      <c r="AL51" s="184">
        <f t="shared" si="42"/>
        <v>78.573976816968482</v>
      </c>
      <c r="AM51" s="181">
        <f t="shared" si="43"/>
        <v>4</v>
      </c>
      <c r="AN51" s="588"/>
      <c r="AO51" s="187">
        <v>23</v>
      </c>
      <c r="AP51" s="187">
        <v>1807.401466790275</v>
      </c>
      <c r="AQ51" s="184">
        <f t="shared" si="44"/>
        <v>78.582672469142395</v>
      </c>
      <c r="AR51" s="181">
        <f t="shared" si="45"/>
        <v>4</v>
      </c>
      <c r="AS51" s="588"/>
      <c r="AT51" s="187">
        <v>23</v>
      </c>
      <c r="AU51" s="187">
        <v>1808.401466790275</v>
      </c>
      <c r="AV51" s="184">
        <f t="shared" si="46"/>
        <v>78.626150730011958</v>
      </c>
      <c r="AW51" s="181">
        <f t="shared" si="47"/>
        <v>4</v>
      </c>
      <c r="AX51" s="588"/>
    </row>
    <row r="52" spans="2:50" ht="14.25" customHeight="1">
      <c r="B52" s="586"/>
      <c r="C52" s="179">
        <v>6</v>
      </c>
      <c r="D52" s="182" t="s">
        <v>443</v>
      </c>
      <c r="E52" s="179">
        <v>20</v>
      </c>
      <c r="F52" s="179">
        <v>2000</v>
      </c>
      <c r="G52" s="184">
        <f t="shared" si="32"/>
        <v>100</v>
      </c>
      <c r="H52" s="588"/>
      <c r="I52" s="185">
        <f t="shared" si="34"/>
        <v>19</v>
      </c>
      <c r="J52" s="185">
        <f t="shared" si="34"/>
        <v>1801.9142857142858</v>
      </c>
      <c r="K52" s="186">
        <f t="shared" si="34"/>
        <v>94.83759398496241</v>
      </c>
      <c r="L52" s="589"/>
      <c r="M52" s="185">
        <f>RANK(K52, K$47:$K$61)</f>
        <v>2</v>
      </c>
      <c r="N52" s="586"/>
      <c r="O52" s="586"/>
      <c r="P52" s="187">
        <v>19</v>
      </c>
      <c r="Q52" s="187">
        <v>1801.8000000000002</v>
      </c>
      <c r="R52" s="184">
        <f t="shared" si="35"/>
        <v>94.831578947368428</v>
      </c>
      <c r="S52" s="181">
        <f t="shared" si="36"/>
        <v>2</v>
      </c>
      <c r="T52" s="588"/>
      <c r="U52" s="187">
        <v>19</v>
      </c>
      <c r="V52" s="187">
        <v>1802</v>
      </c>
      <c r="W52" s="184">
        <f t="shared" si="33"/>
        <v>94.84210526315789</v>
      </c>
      <c r="X52" s="181">
        <f t="shared" si="37"/>
        <v>2</v>
      </c>
      <c r="Y52" s="588"/>
      <c r="Z52" s="187">
        <v>19</v>
      </c>
      <c r="AA52" s="187">
        <v>1802.4</v>
      </c>
      <c r="AB52" s="184">
        <f t="shared" si="38"/>
        <v>94.863157894736844</v>
      </c>
      <c r="AC52" s="181">
        <f t="shared" si="39"/>
        <v>2</v>
      </c>
      <c r="AD52" s="588"/>
      <c r="AE52" s="187">
        <v>19</v>
      </c>
      <c r="AF52" s="187">
        <v>1802.3999999999999</v>
      </c>
      <c r="AG52" s="184">
        <f t="shared" si="40"/>
        <v>94.86315789473683</v>
      </c>
      <c r="AH52" s="181">
        <f t="shared" si="41"/>
        <v>2</v>
      </c>
      <c r="AI52" s="588"/>
      <c r="AJ52" s="187">
        <v>19</v>
      </c>
      <c r="AK52" s="187">
        <v>1802</v>
      </c>
      <c r="AL52" s="184">
        <f t="shared" si="42"/>
        <v>94.84210526315789</v>
      </c>
      <c r="AM52" s="181">
        <f t="shared" si="43"/>
        <v>2</v>
      </c>
      <c r="AN52" s="588"/>
      <c r="AO52" s="187">
        <v>19</v>
      </c>
      <c r="AP52" s="187">
        <v>1801.8000000000002</v>
      </c>
      <c r="AQ52" s="184">
        <f t="shared" si="44"/>
        <v>94.831578947368428</v>
      </c>
      <c r="AR52" s="181">
        <f t="shared" si="45"/>
        <v>2</v>
      </c>
      <c r="AS52" s="588"/>
      <c r="AT52" s="187">
        <v>19</v>
      </c>
      <c r="AU52" s="187">
        <v>1801.0000000000002</v>
      </c>
      <c r="AV52" s="184">
        <f t="shared" si="46"/>
        <v>94.789473684210535</v>
      </c>
      <c r="AW52" s="181">
        <f t="shared" si="47"/>
        <v>2</v>
      </c>
      <c r="AX52" s="588"/>
    </row>
    <row r="53" spans="2:50" ht="14.25" customHeight="1">
      <c r="B53" s="586"/>
      <c r="C53" s="179">
        <v>7</v>
      </c>
      <c r="D53" s="182" t="s">
        <v>518</v>
      </c>
      <c r="E53" s="179">
        <v>18</v>
      </c>
      <c r="F53" s="179">
        <v>2000</v>
      </c>
      <c r="G53" s="184">
        <f t="shared" si="32"/>
        <v>111.11111111111111</v>
      </c>
      <c r="H53" s="588"/>
      <c r="I53" s="185">
        <f t="shared" si="34"/>
        <v>17</v>
      </c>
      <c r="J53" s="185">
        <f t="shared" si="34"/>
        <v>1802.3142857142852</v>
      </c>
      <c r="K53" s="186">
        <f t="shared" si="34"/>
        <v>106.01848739495797</v>
      </c>
      <c r="L53" s="589"/>
      <c r="M53" s="185">
        <f>RANK(K53, K$47:$K$61)</f>
        <v>1</v>
      </c>
      <c r="N53" s="586"/>
      <c r="O53" s="586"/>
      <c r="P53" s="187">
        <v>17</v>
      </c>
      <c r="Q53" s="187">
        <v>1802.3999999999999</v>
      </c>
      <c r="R53" s="184">
        <f t="shared" si="35"/>
        <v>106.0235294117647</v>
      </c>
      <c r="S53" s="181">
        <f t="shared" si="36"/>
        <v>1</v>
      </c>
      <c r="T53" s="588"/>
      <c r="U53" s="187">
        <v>17</v>
      </c>
      <c r="V53" s="187">
        <v>1802.1999999999998</v>
      </c>
      <c r="W53" s="184">
        <f t="shared" si="33"/>
        <v>106.01176470588234</v>
      </c>
      <c r="X53" s="181">
        <f t="shared" si="37"/>
        <v>1</v>
      </c>
      <c r="Y53" s="588"/>
      <c r="Z53" s="187">
        <v>17</v>
      </c>
      <c r="AA53" s="187">
        <v>1802.6</v>
      </c>
      <c r="AB53" s="184">
        <f t="shared" si="38"/>
        <v>106.03529411764706</v>
      </c>
      <c r="AC53" s="181">
        <f t="shared" si="39"/>
        <v>1</v>
      </c>
      <c r="AD53" s="588"/>
      <c r="AE53" s="187">
        <v>17</v>
      </c>
      <c r="AF53" s="187">
        <v>1802.4</v>
      </c>
      <c r="AG53" s="184">
        <f t="shared" si="40"/>
        <v>106.02352941176471</v>
      </c>
      <c r="AH53" s="181">
        <f t="shared" si="41"/>
        <v>1</v>
      </c>
      <c r="AI53" s="588"/>
      <c r="AJ53" s="187">
        <v>17</v>
      </c>
      <c r="AK53" s="187">
        <v>1801.4000000000003</v>
      </c>
      <c r="AL53" s="184">
        <f t="shared" si="42"/>
        <v>105.96470588235296</v>
      </c>
      <c r="AM53" s="181">
        <f t="shared" si="43"/>
        <v>1</v>
      </c>
      <c r="AN53" s="588"/>
      <c r="AO53" s="187">
        <v>17</v>
      </c>
      <c r="AP53" s="187">
        <v>1802.7999999999997</v>
      </c>
      <c r="AQ53" s="184">
        <f t="shared" si="44"/>
        <v>106.0470588235294</v>
      </c>
      <c r="AR53" s="181">
        <f t="shared" si="45"/>
        <v>1</v>
      </c>
      <c r="AS53" s="588"/>
      <c r="AT53" s="187">
        <v>17</v>
      </c>
      <c r="AU53" s="187">
        <v>1802.3999999999999</v>
      </c>
      <c r="AV53" s="184">
        <f t="shared" si="46"/>
        <v>106.0235294117647</v>
      </c>
      <c r="AW53" s="181">
        <f t="shared" si="47"/>
        <v>1</v>
      </c>
      <c r="AX53" s="588"/>
    </row>
    <row r="54" spans="2:50" ht="14.25" customHeight="1">
      <c r="B54" s="586"/>
      <c r="C54" s="179">
        <v>8</v>
      </c>
      <c r="D54" s="182" t="s">
        <v>554</v>
      </c>
      <c r="E54" s="179">
        <v>21</v>
      </c>
      <c r="F54" s="179">
        <v>2000</v>
      </c>
      <c r="G54" s="184">
        <f t="shared" si="32"/>
        <v>95.238095238095241</v>
      </c>
      <c r="H54" s="588"/>
      <c r="I54" s="185">
        <f t="shared" si="34"/>
        <v>20</v>
      </c>
      <c r="J54" s="185">
        <f t="shared" si="34"/>
        <v>1802.2857142857142</v>
      </c>
      <c r="K54" s="186">
        <f t="shared" si="34"/>
        <v>90.114285714285728</v>
      </c>
      <c r="L54" s="589"/>
      <c r="M54" s="185">
        <f>RANK(K54, K$47:$K$61)</f>
        <v>3</v>
      </c>
      <c r="N54" s="586"/>
      <c r="O54" s="586"/>
      <c r="P54" s="187">
        <v>20</v>
      </c>
      <c r="Q54" s="187">
        <v>1802.8</v>
      </c>
      <c r="R54" s="184">
        <f t="shared" si="35"/>
        <v>90.14</v>
      </c>
      <c r="S54" s="181">
        <f t="shared" si="36"/>
        <v>3</v>
      </c>
      <c r="T54" s="588"/>
      <c r="U54" s="187">
        <v>20</v>
      </c>
      <c r="V54" s="187">
        <v>1803</v>
      </c>
      <c r="W54" s="184">
        <f t="shared" si="33"/>
        <v>90.15</v>
      </c>
      <c r="X54" s="181">
        <f t="shared" si="37"/>
        <v>3</v>
      </c>
      <c r="Y54" s="588"/>
      <c r="Z54" s="187">
        <v>20</v>
      </c>
      <c r="AA54" s="187">
        <v>1801.8000000000002</v>
      </c>
      <c r="AB54" s="184">
        <f t="shared" si="38"/>
        <v>90.09</v>
      </c>
      <c r="AC54" s="181">
        <f t="shared" si="39"/>
        <v>3</v>
      </c>
      <c r="AD54" s="588"/>
      <c r="AE54" s="187">
        <v>20</v>
      </c>
      <c r="AF54" s="187">
        <v>1802</v>
      </c>
      <c r="AG54" s="184">
        <f t="shared" si="40"/>
        <v>90.1</v>
      </c>
      <c r="AH54" s="181">
        <f t="shared" si="41"/>
        <v>3</v>
      </c>
      <c r="AI54" s="588"/>
      <c r="AJ54" s="187">
        <v>20</v>
      </c>
      <c r="AK54" s="187">
        <v>1801.6000000000004</v>
      </c>
      <c r="AL54" s="184">
        <f t="shared" si="42"/>
        <v>90.080000000000013</v>
      </c>
      <c r="AM54" s="181">
        <f t="shared" si="43"/>
        <v>3</v>
      </c>
      <c r="AN54" s="588"/>
      <c r="AO54" s="187">
        <v>20</v>
      </c>
      <c r="AP54" s="187">
        <v>1802.5999999999997</v>
      </c>
      <c r="AQ54" s="184">
        <f t="shared" si="44"/>
        <v>90.129999999999981</v>
      </c>
      <c r="AR54" s="181">
        <f t="shared" si="45"/>
        <v>3</v>
      </c>
      <c r="AS54" s="588"/>
      <c r="AT54" s="187">
        <v>20</v>
      </c>
      <c r="AU54" s="187">
        <v>1802.1999999999998</v>
      </c>
      <c r="AV54" s="184">
        <f t="shared" si="46"/>
        <v>90.109999999999985</v>
      </c>
      <c r="AW54" s="181">
        <f t="shared" si="47"/>
        <v>3</v>
      </c>
      <c r="AX54" s="588"/>
    </row>
    <row r="55" spans="2:50" ht="14.25" customHeight="1">
      <c r="B55" s="586"/>
      <c r="C55" s="179">
        <v>9</v>
      </c>
      <c r="D55" s="182"/>
      <c r="E55" s="179"/>
      <c r="F55" s="179"/>
      <c r="G55" s="184"/>
      <c r="H55" s="588"/>
      <c r="I55" s="185"/>
      <c r="J55" s="185"/>
      <c r="K55" s="186"/>
      <c r="L55" s="589"/>
      <c r="M55" s="185"/>
      <c r="N55" s="586"/>
      <c r="O55" s="586"/>
      <c r="P55" s="187"/>
      <c r="Q55" s="187"/>
      <c r="R55" s="184"/>
      <c r="S55" s="181"/>
      <c r="T55" s="588"/>
      <c r="U55" s="187"/>
      <c r="V55" s="187"/>
      <c r="W55" s="184"/>
      <c r="X55" s="181"/>
      <c r="Y55" s="588"/>
      <c r="Z55" s="187"/>
      <c r="AA55" s="187"/>
      <c r="AB55" s="184"/>
      <c r="AC55" s="181"/>
      <c r="AD55" s="588"/>
      <c r="AE55" s="187"/>
      <c r="AF55" s="187"/>
      <c r="AG55" s="184"/>
      <c r="AH55" s="181"/>
      <c r="AI55" s="588"/>
      <c r="AJ55" s="187"/>
      <c r="AK55" s="187"/>
      <c r="AL55" s="184"/>
      <c r="AM55" s="181"/>
      <c r="AN55" s="588"/>
      <c r="AO55" s="187"/>
      <c r="AP55" s="187"/>
      <c r="AQ55" s="184"/>
      <c r="AR55" s="181"/>
      <c r="AS55" s="588"/>
      <c r="AT55" s="187"/>
      <c r="AU55" s="187"/>
      <c r="AV55" s="184"/>
      <c r="AW55" s="181"/>
      <c r="AX55" s="588"/>
    </row>
    <row r="56" spans="2:50" ht="14.25" customHeight="1">
      <c r="B56" s="586"/>
      <c r="C56" s="179">
        <v>10</v>
      </c>
      <c r="D56" s="182"/>
      <c r="E56" s="179"/>
      <c r="F56" s="179"/>
      <c r="G56" s="184"/>
      <c r="H56" s="588"/>
      <c r="I56" s="185"/>
      <c r="J56" s="185"/>
      <c r="K56" s="186"/>
      <c r="L56" s="589"/>
      <c r="M56" s="185"/>
      <c r="N56" s="586"/>
      <c r="O56" s="586"/>
      <c r="P56" s="187"/>
      <c r="Q56" s="187"/>
      <c r="R56" s="184"/>
      <c r="S56" s="181"/>
      <c r="T56" s="588"/>
      <c r="U56" s="187"/>
      <c r="V56" s="187"/>
      <c r="W56" s="184"/>
      <c r="X56" s="181"/>
      <c r="Y56" s="588"/>
      <c r="Z56" s="187"/>
      <c r="AA56" s="187"/>
      <c r="AB56" s="184"/>
      <c r="AC56" s="181"/>
      <c r="AD56" s="588"/>
      <c r="AE56" s="187"/>
      <c r="AF56" s="187"/>
      <c r="AG56" s="184"/>
      <c r="AH56" s="181"/>
      <c r="AI56" s="588"/>
      <c r="AJ56" s="187"/>
      <c r="AK56" s="187"/>
      <c r="AL56" s="184"/>
      <c r="AM56" s="181"/>
      <c r="AN56" s="588"/>
      <c r="AO56" s="187"/>
      <c r="AP56" s="187"/>
      <c r="AQ56" s="184"/>
      <c r="AR56" s="181"/>
      <c r="AS56" s="588"/>
      <c r="AT56" s="187"/>
      <c r="AU56" s="187"/>
      <c r="AV56" s="184"/>
      <c r="AW56" s="181"/>
      <c r="AX56" s="588"/>
    </row>
    <row r="57" spans="2:50" ht="14.25" customHeight="1">
      <c r="B57" s="586"/>
      <c r="C57" s="179">
        <v>11</v>
      </c>
      <c r="D57" s="182"/>
      <c r="E57" s="179"/>
      <c r="F57" s="179"/>
      <c r="G57" s="184"/>
      <c r="H57" s="588"/>
      <c r="I57" s="185"/>
      <c r="J57" s="185"/>
      <c r="K57" s="186"/>
      <c r="L57" s="589"/>
      <c r="M57" s="185"/>
      <c r="N57" s="586"/>
      <c r="O57" s="586"/>
      <c r="P57" s="187"/>
      <c r="Q57" s="187"/>
      <c r="R57" s="184"/>
      <c r="S57" s="181"/>
      <c r="T57" s="588"/>
      <c r="U57" s="187"/>
      <c r="V57" s="187"/>
      <c r="W57" s="184"/>
      <c r="X57" s="181"/>
      <c r="Y57" s="588"/>
      <c r="Z57" s="187"/>
      <c r="AA57" s="187"/>
      <c r="AB57" s="184"/>
      <c r="AC57" s="181"/>
      <c r="AD57" s="588"/>
      <c r="AE57" s="187"/>
      <c r="AF57" s="187"/>
      <c r="AG57" s="184"/>
      <c r="AH57" s="181"/>
      <c r="AI57" s="588"/>
      <c r="AJ57" s="187"/>
      <c r="AK57" s="187"/>
      <c r="AL57" s="184"/>
      <c r="AM57" s="181"/>
      <c r="AN57" s="588"/>
      <c r="AO57" s="187"/>
      <c r="AP57" s="187"/>
      <c r="AQ57" s="184"/>
      <c r="AR57" s="181"/>
      <c r="AS57" s="588"/>
      <c r="AT57" s="187"/>
      <c r="AU57" s="187"/>
      <c r="AV57" s="184"/>
      <c r="AW57" s="181"/>
      <c r="AX57" s="588"/>
    </row>
    <row r="58" spans="2:50" ht="14.25" customHeight="1">
      <c r="B58" s="586"/>
      <c r="C58" s="179">
        <v>12</v>
      </c>
      <c r="D58" s="182"/>
      <c r="E58" s="179"/>
      <c r="F58" s="179"/>
      <c r="G58" s="184"/>
      <c r="H58" s="588"/>
      <c r="I58" s="185"/>
      <c r="J58" s="185"/>
      <c r="K58" s="186"/>
      <c r="L58" s="589"/>
      <c r="M58" s="185"/>
      <c r="N58" s="586"/>
      <c r="O58" s="586"/>
      <c r="P58" s="187"/>
      <c r="Q58" s="187"/>
      <c r="R58" s="184"/>
      <c r="S58" s="181"/>
      <c r="T58" s="588"/>
      <c r="U58" s="187"/>
      <c r="V58" s="187"/>
      <c r="W58" s="184"/>
      <c r="X58" s="181"/>
      <c r="Y58" s="588"/>
      <c r="Z58" s="187"/>
      <c r="AA58" s="187"/>
      <c r="AB58" s="184"/>
      <c r="AC58" s="181"/>
      <c r="AD58" s="588"/>
      <c r="AE58" s="187"/>
      <c r="AF58" s="187"/>
      <c r="AG58" s="184"/>
      <c r="AH58" s="181"/>
      <c r="AI58" s="588"/>
      <c r="AJ58" s="187"/>
      <c r="AK58" s="187"/>
      <c r="AL58" s="184"/>
      <c r="AM58" s="181"/>
      <c r="AN58" s="588"/>
      <c r="AO58" s="187"/>
      <c r="AP58" s="187"/>
      <c r="AQ58" s="184"/>
      <c r="AR58" s="181"/>
      <c r="AS58" s="588"/>
      <c r="AT58" s="187"/>
      <c r="AU58" s="187"/>
      <c r="AV58" s="184"/>
      <c r="AW58" s="181"/>
      <c r="AX58" s="588"/>
    </row>
    <row r="59" spans="2:50" ht="14.25" customHeight="1">
      <c r="B59" s="586"/>
      <c r="C59" s="179">
        <v>13</v>
      </c>
      <c r="D59" s="182"/>
      <c r="E59" s="179"/>
      <c r="F59" s="179"/>
      <c r="G59" s="184"/>
      <c r="H59" s="588"/>
      <c r="I59" s="185"/>
      <c r="J59" s="185"/>
      <c r="K59" s="186"/>
      <c r="L59" s="589"/>
      <c r="M59" s="185"/>
      <c r="N59" s="586"/>
      <c r="O59" s="586"/>
      <c r="P59" s="187"/>
      <c r="Q59" s="187"/>
      <c r="R59" s="184"/>
      <c r="S59" s="181"/>
      <c r="T59" s="588"/>
      <c r="U59" s="187"/>
      <c r="V59" s="187"/>
      <c r="W59" s="184"/>
      <c r="X59" s="181"/>
      <c r="Y59" s="588"/>
      <c r="Z59" s="187"/>
      <c r="AA59" s="187"/>
      <c r="AB59" s="184"/>
      <c r="AC59" s="181"/>
      <c r="AD59" s="588"/>
      <c r="AE59" s="187"/>
      <c r="AF59" s="187"/>
      <c r="AG59" s="184"/>
      <c r="AH59" s="181"/>
      <c r="AI59" s="588"/>
      <c r="AJ59" s="187"/>
      <c r="AK59" s="187"/>
      <c r="AL59" s="184"/>
      <c r="AM59" s="181"/>
      <c r="AN59" s="588"/>
      <c r="AO59" s="187"/>
      <c r="AP59" s="187"/>
      <c r="AQ59" s="184"/>
      <c r="AR59" s="181"/>
      <c r="AS59" s="588"/>
      <c r="AT59" s="187"/>
      <c r="AU59" s="187"/>
      <c r="AV59" s="184"/>
      <c r="AW59" s="181"/>
      <c r="AX59" s="588"/>
    </row>
    <row r="60" spans="2:50" ht="14.25" customHeight="1">
      <c r="B60" s="586"/>
      <c r="C60" s="179">
        <v>14</v>
      </c>
      <c r="D60" s="182"/>
      <c r="E60" s="179"/>
      <c r="F60" s="179"/>
      <c r="G60" s="184"/>
      <c r="H60" s="588"/>
      <c r="I60" s="185"/>
      <c r="J60" s="185"/>
      <c r="K60" s="186"/>
      <c r="L60" s="589"/>
      <c r="M60" s="185"/>
      <c r="N60" s="586"/>
      <c r="O60" s="586"/>
      <c r="P60" s="187"/>
      <c r="Q60" s="187"/>
      <c r="R60" s="184"/>
      <c r="S60" s="181"/>
      <c r="T60" s="588"/>
      <c r="U60" s="187"/>
      <c r="V60" s="187"/>
      <c r="W60" s="184"/>
      <c r="X60" s="181"/>
      <c r="Y60" s="588"/>
      <c r="Z60" s="187"/>
      <c r="AA60" s="187"/>
      <c r="AB60" s="184"/>
      <c r="AC60" s="181"/>
      <c r="AD60" s="588"/>
      <c r="AE60" s="187"/>
      <c r="AF60" s="187"/>
      <c r="AG60" s="184"/>
      <c r="AH60" s="181"/>
      <c r="AI60" s="588"/>
      <c r="AJ60" s="187"/>
      <c r="AK60" s="187"/>
      <c r="AL60" s="184"/>
      <c r="AM60" s="181"/>
      <c r="AN60" s="588"/>
      <c r="AO60" s="187"/>
      <c r="AP60" s="187"/>
      <c r="AQ60" s="184"/>
      <c r="AR60" s="181"/>
      <c r="AS60" s="588"/>
      <c r="AT60" s="187"/>
      <c r="AU60" s="187"/>
      <c r="AV60" s="184"/>
      <c r="AW60" s="181"/>
      <c r="AX60" s="588"/>
    </row>
    <row r="61" spans="2:50" ht="14.25" customHeight="1">
      <c r="B61" s="586"/>
      <c r="C61" s="179">
        <v>15</v>
      </c>
      <c r="D61" s="182"/>
      <c r="E61" s="179"/>
      <c r="F61" s="179"/>
      <c r="G61" s="184"/>
      <c r="H61" s="588"/>
      <c r="I61" s="185"/>
      <c r="J61" s="185"/>
      <c r="K61" s="186"/>
      <c r="L61" s="589"/>
      <c r="M61" s="185"/>
      <c r="N61" s="586"/>
      <c r="O61" s="586"/>
      <c r="P61" s="187"/>
      <c r="Q61" s="187"/>
      <c r="R61" s="184"/>
      <c r="S61" s="181"/>
      <c r="T61" s="588"/>
      <c r="U61" s="187"/>
      <c r="V61" s="187"/>
      <c r="W61" s="184"/>
      <c r="X61" s="181"/>
      <c r="Y61" s="588"/>
      <c r="Z61" s="187"/>
      <c r="AA61" s="187"/>
      <c r="AB61" s="184"/>
      <c r="AC61" s="181"/>
      <c r="AD61" s="588"/>
      <c r="AE61" s="187"/>
      <c r="AF61" s="187"/>
      <c r="AG61" s="184"/>
      <c r="AH61" s="181"/>
      <c r="AI61" s="588"/>
      <c r="AJ61" s="187"/>
      <c r="AK61" s="187"/>
      <c r="AL61" s="184"/>
      <c r="AM61" s="181"/>
      <c r="AN61" s="588"/>
      <c r="AO61" s="187"/>
      <c r="AP61" s="187"/>
      <c r="AQ61" s="184"/>
      <c r="AR61" s="181"/>
      <c r="AS61" s="588"/>
      <c r="AT61" s="187"/>
      <c r="AU61" s="187"/>
      <c r="AV61" s="184"/>
      <c r="AW61" s="181"/>
      <c r="AX61" s="588"/>
    </row>
  </sheetData>
  <mergeCells count="177">
    <mergeCell ref="AX47:AX61"/>
    <mergeCell ref="B47:B61"/>
    <mergeCell ref="H47:H61"/>
    <mergeCell ref="L47:L61"/>
    <mergeCell ref="T47:T61"/>
    <mergeCell ref="Y47:Y61"/>
    <mergeCell ref="AD47:AD61"/>
    <mergeCell ref="AI47:AI61"/>
    <mergeCell ref="AN47:AN61"/>
    <mergeCell ref="AS47:AS61"/>
    <mergeCell ref="AI44:AI46"/>
    <mergeCell ref="AJ44:AM44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Z45:AC45"/>
    <mergeCell ref="AE45:AH45"/>
    <mergeCell ref="AJ45:AM45"/>
    <mergeCell ref="AO45:AR45"/>
    <mergeCell ref="AT45:AW45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P44:S44"/>
    <mergeCell ref="T44:T46"/>
    <mergeCell ref="U44:X44"/>
    <mergeCell ref="Y44:Y46"/>
    <mergeCell ref="Z44:AC44"/>
    <mergeCell ref="AD44:AD46"/>
    <mergeCell ref="AE44:AH44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P4:S4"/>
    <mergeCell ref="AI4:AI6"/>
    <mergeCell ref="AJ4:AM4"/>
    <mergeCell ref="AN4:AN6"/>
    <mergeCell ref="AO4:AR4"/>
    <mergeCell ref="AS4:AS6"/>
    <mergeCell ref="AT4:AW4"/>
    <mergeCell ref="T4:T6"/>
    <mergeCell ref="U4:X4"/>
    <mergeCell ref="Y4:Y6"/>
    <mergeCell ref="Z4:AC4"/>
    <mergeCell ref="AD4:AD6"/>
    <mergeCell ref="AT22:AX22"/>
    <mergeCell ref="E5:G5"/>
    <mergeCell ref="I5:K5"/>
    <mergeCell ref="P5:S5"/>
    <mergeCell ref="U5:X5"/>
    <mergeCell ref="Z5:AC5"/>
    <mergeCell ref="AT2:AX2"/>
    <mergeCell ref="P3:T3"/>
    <mergeCell ref="U3:Y3"/>
    <mergeCell ref="Z3:AD3"/>
    <mergeCell ref="AE3:AI3"/>
    <mergeCell ref="AJ3:AN3"/>
    <mergeCell ref="AO3:AS3"/>
    <mergeCell ref="AT3:AX3"/>
    <mergeCell ref="AJ2:AN2"/>
    <mergeCell ref="AO2:AS2"/>
    <mergeCell ref="AE2:AI2"/>
    <mergeCell ref="AJ5:AM5"/>
    <mergeCell ref="AO5:AR5"/>
    <mergeCell ref="AT5:AW5"/>
    <mergeCell ref="L4:L6"/>
    <mergeCell ref="M4:M6"/>
    <mergeCell ref="N4:N21"/>
    <mergeCell ref="O4:O21"/>
    <mergeCell ref="U24:X24"/>
    <mergeCell ref="Y24:Y26"/>
    <mergeCell ref="Z24:AC24"/>
    <mergeCell ref="AD24:AD26"/>
    <mergeCell ref="L24:L26"/>
    <mergeCell ref="M24:M26"/>
    <mergeCell ref="AX4:AX6"/>
    <mergeCell ref="B22:M23"/>
    <mergeCell ref="N22:N23"/>
    <mergeCell ref="O22:O23"/>
    <mergeCell ref="P22:T22"/>
    <mergeCell ref="U22:Y22"/>
    <mergeCell ref="P23:T23"/>
    <mergeCell ref="U23:Y23"/>
    <mergeCell ref="AE4:AH4"/>
    <mergeCell ref="Z23:AD23"/>
    <mergeCell ref="AE23:AI23"/>
    <mergeCell ref="AJ23:AN23"/>
    <mergeCell ref="AO23:AS23"/>
    <mergeCell ref="AT23:AX23"/>
    <mergeCell ref="Z22:AD22"/>
    <mergeCell ref="AE22:AI22"/>
    <mergeCell ref="AJ22:AN22"/>
    <mergeCell ref="AO22:AS22"/>
    <mergeCell ref="AI24:AI26"/>
    <mergeCell ref="AJ24:AM24"/>
    <mergeCell ref="AN24:AN26"/>
    <mergeCell ref="AO24:AR24"/>
    <mergeCell ref="AD27:AD41"/>
    <mergeCell ref="AI27:AI41"/>
    <mergeCell ref="AN27:AN41"/>
    <mergeCell ref="AS27:AS41"/>
    <mergeCell ref="B2:M3"/>
    <mergeCell ref="N2:N3"/>
    <mergeCell ref="O2:O3"/>
    <mergeCell ref="P2:T2"/>
    <mergeCell ref="U2:Y2"/>
    <mergeCell ref="Z2:AD2"/>
    <mergeCell ref="U25:X25"/>
    <mergeCell ref="Z25:AC25"/>
    <mergeCell ref="AE25:AH25"/>
    <mergeCell ref="B4:B6"/>
    <mergeCell ref="C4:D6"/>
    <mergeCell ref="E4:G4"/>
    <mergeCell ref="H4:H6"/>
    <mergeCell ref="AE5:AH5"/>
    <mergeCell ref="I4:K4"/>
    <mergeCell ref="T24:T26"/>
    <mergeCell ref="AX27:AX41"/>
    <mergeCell ref="B27:B41"/>
    <mergeCell ref="H27:H41"/>
    <mergeCell ref="L27:L41"/>
    <mergeCell ref="T27:T41"/>
    <mergeCell ref="Y27:Y41"/>
    <mergeCell ref="N24:N41"/>
    <mergeCell ref="O24:O41"/>
    <mergeCell ref="P24:S24"/>
    <mergeCell ref="B24:B26"/>
    <mergeCell ref="C24:D26"/>
    <mergeCell ref="E24:G24"/>
    <mergeCell ref="H24:H26"/>
    <mergeCell ref="I24:K24"/>
    <mergeCell ref="AS24:AS26"/>
    <mergeCell ref="AT24:AW24"/>
    <mergeCell ref="AX24:AX26"/>
    <mergeCell ref="E25:G25"/>
    <mergeCell ref="I25:K25"/>
    <mergeCell ref="P25:S25"/>
    <mergeCell ref="AJ25:AM25"/>
    <mergeCell ref="AO25:AR25"/>
    <mergeCell ref="AT25:AW25"/>
    <mergeCell ref="AE24:AH24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tabColor rgb="FFFFFFCC"/>
  </sheetPr>
  <dimension ref="A1:AX61"/>
  <sheetViews>
    <sheetView zoomScaleNormal="100" workbookViewId="0">
      <pane xSplit="13" ySplit="1" topLeftCell="N32" activePane="bottomRight" state="frozen"/>
      <selection activeCell="B86" sqref="B86:M87"/>
      <selection pane="topRight" activeCell="B86" sqref="B86:M87"/>
      <selection pane="bottomLeft" activeCell="B86" sqref="B86:M87"/>
      <selection pane="bottomRight" activeCell="AW47" sqref="AW47:AW54"/>
    </sheetView>
  </sheetViews>
  <sheetFormatPr defaultColWidth="8.85546875" defaultRowHeight="12"/>
  <cols>
    <col min="1" max="1" width="5.5703125" style="78" customWidth="1"/>
    <col min="2" max="2" width="12.42578125" style="78" customWidth="1"/>
    <col min="3" max="3" width="9.28515625" style="176" bestFit="1" customWidth="1"/>
    <col min="4" max="4" width="26.42578125" style="175" customWidth="1"/>
    <col min="5" max="5" width="7.7109375" style="176" customWidth="1"/>
    <col min="6" max="7" width="8.7109375" style="176" customWidth="1"/>
    <col min="8" max="8" width="10.7109375" style="176" customWidth="1"/>
    <col min="9" max="9" width="7.7109375" style="177" customWidth="1"/>
    <col min="10" max="11" width="8.7109375" style="177" customWidth="1"/>
    <col min="12" max="12" width="10.7109375" style="177" customWidth="1"/>
    <col min="13" max="13" width="5.7109375" style="177" customWidth="1"/>
    <col min="14" max="14" width="9.85546875" style="176" customWidth="1"/>
    <col min="15" max="15" width="7.140625" style="176" customWidth="1"/>
    <col min="16" max="16" width="7.7109375" style="176" customWidth="1"/>
    <col min="17" max="18" width="8.7109375" style="176" customWidth="1"/>
    <col min="19" max="19" width="5.7109375" style="177" customWidth="1"/>
    <col min="20" max="20" width="10.7109375" style="176" customWidth="1"/>
    <col min="21" max="21" width="7.7109375" style="78" customWidth="1"/>
    <col min="22" max="23" width="8.7109375" style="78" customWidth="1"/>
    <col min="24" max="24" width="5.42578125" style="177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77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77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77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78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78" customWidth="1"/>
    <col min="50" max="50" width="10.7109375" style="78" customWidth="1"/>
    <col min="51" max="16384" width="8.85546875" style="78"/>
  </cols>
  <sheetData>
    <row r="1" spans="1:50" ht="21">
      <c r="A1" s="74"/>
      <c r="B1" s="450" t="s">
        <v>672</v>
      </c>
      <c r="C1" s="174">
        <f>AVERAGE(L27,L47)</f>
        <v>80.046922101245883</v>
      </c>
    </row>
    <row r="2" spans="1:50" ht="14.25" customHeight="1">
      <c r="B2" s="612" t="s">
        <v>628</v>
      </c>
      <c r="C2" s="613"/>
      <c r="D2" s="613"/>
      <c r="E2" s="613"/>
      <c r="F2" s="613"/>
      <c r="G2" s="613"/>
      <c r="H2" s="613"/>
      <c r="I2" s="613"/>
      <c r="J2" s="613"/>
      <c r="K2" s="613"/>
      <c r="L2" s="613"/>
      <c r="M2" s="614"/>
      <c r="N2" s="617" t="s">
        <v>341</v>
      </c>
      <c r="O2" s="617" t="s">
        <v>105</v>
      </c>
      <c r="P2" s="600">
        <v>46231</v>
      </c>
      <c r="Q2" s="601"/>
      <c r="R2" s="601"/>
      <c r="S2" s="601"/>
      <c r="T2" s="601"/>
      <c r="U2" s="602">
        <v>46232</v>
      </c>
      <c r="V2" s="603"/>
      <c r="W2" s="603"/>
      <c r="X2" s="603"/>
      <c r="Y2" s="603"/>
      <c r="Z2" s="600">
        <v>46233</v>
      </c>
      <c r="AA2" s="601"/>
      <c r="AB2" s="601"/>
      <c r="AC2" s="601"/>
      <c r="AD2" s="601"/>
      <c r="AE2" s="602">
        <v>46234</v>
      </c>
      <c r="AF2" s="603"/>
      <c r="AG2" s="603"/>
      <c r="AH2" s="603"/>
      <c r="AI2" s="603"/>
      <c r="AJ2" s="609">
        <v>46235</v>
      </c>
      <c r="AK2" s="610"/>
      <c r="AL2" s="610"/>
      <c r="AM2" s="610"/>
      <c r="AN2" s="611"/>
      <c r="AO2" s="602">
        <v>46236</v>
      </c>
      <c r="AP2" s="603"/>
      <c r="AQ2" s="603"/>
      <c r="AR2" s="603"/>
      <c r="AS2" s="603"/>
      <c r="AT2" s="609">
        <v>46237</v>
      </c>
      <c r="AU2" s="610"/>
      <c r="AV2" s="610"/>
      <c r="AW2" s="610"/>
      <c r="AX2" s="611"/>
    </row>
    <row r="3" spans="1:50" ht="14.25" customHeight="1">
      <c r="B3" s="615"/>
      <c r="C3" s="615"/>
      <c r="D3" s="615"/>
      <c r="E3" s="615"/>
      <c r="F3" s="615"/>
      <c r="G3" s="615"/>
      <c r="H3" s="615"/>
      <c r="I3" s="615"/>
      <c r="J3" s="615"/>
      <c r="K3" s="615"/>
      <c r="L3" s="615"/>
      <c r="M3" s="616"/>
      <c r="N3" s="618"/>
      <c r="O3" s="618"/>
      <c r="P3" s="604">
        <v>46196</v>
      </c>
      <c r="Q3" s="604"/>
      <c r="R3" s="604"/>
      <c r="S3" s="604"/>
      <c r="T3" s="604"/>
      <c r="U3" s="605">
        <v>46197</v>
      </c>
      <c r="V3" s="605"/>
      <c r="W3" s="605"/>
      <c r="X3" s="605"/>
      <c r="Y3" s="605"/>
      <c r="Z3" s="604">
        <v>46198</v>
      </c>
      <c r="AA3" s="604"/>
      <c r="AB3" s="604"/>
      <c r="AC3" s="604"/>
      <c r="AD3" s="604"/>
      <c r="AE3" s="605">
        <v>46199</v>
      </c>
      <c r="AF3" s="605"/>
      <c r="AG3" s="605"/>
      <c r="AH3" s="605"/>
      <c r="AI3" s="605"/>
      <c r="AJ3" s="606">
        <v>46200</v>
      </c>
      <c r="AK3" s="607"/>
      <c r="AL3" s="607"/>
      <c r="AM3" s="607"/>
      <c r="AN3" s="608"/>
      <c r="AO3" s="605">
        <v>46201</v>
      </c>
      <c r="AP3" s="605"/>
      <c r="AQ3" s="605"/>
      <c r="AR3" s="605"/>
      <c r="AS3" s="605"/>
      <c r="AT3" s="606">
        <v>46202</v>
      </c>
      <c r="AU3" s="607"/>
      <c r="AV3" s="607"/>
      <c r="AW3" s="607"/>
      <c r="AX3" s="608"/>
    </row>
    <row r="4" spans="1:50" ht="14.25" customHeight="1">
      <c r="B4" s="586" t="s">
        <v>162</v>
      </c>
      <c r="C4" s="586" t="s">
        <v>157</v>
      </c>
      <c r="D4" s="586"/>
      <c r="E4" s="586" t="s">
        <v>158</v>
      </c>
      <c r="F4" s="586"/>
      <c r="G4" s="586"/>
      <c r="H4" s="586" t="s">
        <v>163</v>
      </c>
      <c r="I4" s="592" t="s">
        <v>342</v>
      </c>
      <c r="J4" s="592"/>
      <c r="K4" s="592"/>
      <c r="L4" s="592" t="s">
        <v>163</v>
      </c>
      <c r="M4" s="592" t="s">
        <v>165</v>
      </c>
      <c r="N4" s="586"/>
      <c r="O4" s="586" t="s">
        <v>164</v>
      </c>
      <c r="P4" s="586" t="s">
        <v>160</v>
      </c>
      <c r="Q4" s="586"/>
      <c r="R4" s="586"/>
      <c r="S4" s="586"/>
      <c r="T4" s="586" t="s">
        <v>163</v>
      </c>
      <c r="U4" s="586" t="s">
        <v>160</v>
      </c>
      <c r="V4" s="586"/>
      <c r="W4" s="586"/>
      <c r="X4" s="586"/>
      <c r="Y4" s="586" t="s">
        <v>163</v>
      </c>
      <c r="Z4" s="586" t="s">
        <v>160</v>
      </c>
      <c r="AA4" s="586"/>
      <c r="AB4" s="586"/>
      <c r="AC4" s="586"/>
      <c r="AD4" s="586" t="s">
        <v>163</v>
      </c>
      <c r="AE4" s="586" t="s">
        <v>160</v>
      </c>
      <c r="AF4" s="586"/>
      <c r="AG4" s="586"/>
      <c r="AH4" s="586"/>
      <c r="AI4" s="586" t="s">
        <v>163</v>
      </c>
      <c r="AJ4" s="586" t="s">
        <v>160</v>
      </c>
      <c r="AK4" s="586"/>
      <c r="AL4" s="586"/>
      <c r="AM4" s="586"/>
      <c r="AN4" s="586" t="s">
        <v>163</v>
      </c>
      <c r="AO4" s="586" t="s">
        <v>160</v>
      </c>
      <c r="AP4" s="586"/>
      <c r="AQ4" s="586"/>
      <c r="AR4" s="586"/>
      <c r="AS4" s="586" t="s">
        <v>163</v>
      </c>
      <c r="AT4" s="586" t="s">
        <v>160</v>
      </c>
      <c r="AU4" s="586"/>
      <c r="AV4" s="586"/>
      <c r="AW4" s="586"/>
      <c r="AX4" s="586" t="s">
        <v>163</v>
      </c>
    </row>
    <row r="5" spans="1:50" ht="14.25" customHeight="1">
      <c r="B5" s="586"/>
      <c r="C5" s="586"/>
      <c r="D5" s="586"/>
      <c r="E5" s="586" t="s">
        <v>343</v>
      </c>
      <c r="F5" s="586"/>
      <c r="G5" s="586"/>
      <c r="H5" s="586"/>
      <c r="I5" s="592" t="s">
        <v>343</v>
      </c>
      <c r="J5" s="592"/>
      <c r="K5" s="592"/>
      <c r="L5" s="592"/>
      <c r="M5" s="592"/>
      <c r="N5" s="586"/>
      <c r="O5" s="586"/>
      <c r="P5" s="586" t="s">
        <v>344</v>
      </c>
      <c r="Q5" s="586"/>
      <c r="R5" s="586"/>
      <c r="S5" s="586"/>
      <c r="T5" s="586"/>
      <c r="U5" s="586" t="s">
        <v>344</v>
      </c>
      <c r="V5" s="586"/>
      <c r="W5" s="586"/>
      <c r="X5" s="586"/>
      <c r="Y5" s="586"/>
      <c r="Z5" s="586" t="s">
        <v>344</v>
      </c>
      <c r="AA5" s="586"/>
      <c r="AB5" s="586"/>
      <c r="AC5" s="586"/>
      <c r="AD5" s="586"/>
      <c r="AE5" s="586" t="s">
        <v>344</v>
      </c>
      <c r="AF5" s="586"/>
      <c r="AG5" s="586"/>
      <c r="AH5" s="586"/>
      <c r="AI5" s="586"/>
      <c r="AJ5" s="586" t="s">
        <v>344</v>
      </c>
      <c r="AK5" s="586"/>
      <c r="AL5" s="586"/>
      <c r="AM5" s="586"/>
      <c r="AN5" s="586"/>
      <c r="AO5" s="586" t="s">
        <v>344</v>
      </c>
      <c r="AP5" s="586"/>
      <c r="AQ5" s="586"/>
      <c r="AR5" s="586"/>
      <c r="AS5" s="586"/>
      <c r="AT5" s="586" t="s">
        <v>344</v>
      </c>
      <c r="AU5" s="586"/>
      <c r="AV5" s="586"/>
      <c r="AW5" s="586"/>
      <c r="AX5" s="586"/>
    </row>
    <row r="6" spans="1:50" ht="14.25" customHeight="1">
      <c r="B6" s="586"/>
      <c r="C6" s="586"/>
      <c r="D6" s="586"/>
      <c r="E6" s="179" t="s">
        <v>159</v>
      </c>
      <c r="F6" s="179" t="s">
        <v>345</v>
      </c>
      <c r="G6" s="179" t="s">
        <v>161</v>
      </c>
      <c r="H6" s="586"/>
      <c r="I6" s="180" t="s">
        <v>159</v>
      </c>
      <c r="J6" s="180" t="s">
        <v>345</v>
      </c>
      <c r="K6" s="180" t="s">
        <v>161</v>
      </c>
      <c r="L6" s="592"/>
      <c r="M6" s="592"/>
      <c r="N6" s="586"/>
      <c r="O6" s="586"/>
      <c r="P6" s="179" t="s">
        <v>159</v>
      </c>
      <c r="Q6" s="179" t="s">
        <v>345</v>
      </c>
      <c r="R6" s="179" t="s">
        <v>161</v>
      </c>
      <c r="S6" s="181" t="s">
        <v>165</v>
      </c>
      <c r="T6" s="586"/>
      <c r="U6" s="179" t="s">
        <v>159</v>
      </c>
      <c r="V6" s="179" t="s">
        <v>345</v>
      </c>
      <c r="W6" s="179" t="s">
        <v>161</v>
      </c>
      <c r="X6" s="181" t="s">
        <v>165</v>
      </c>
      <c r="Y6" s="586"/>
      <c r="Z6" s="179" t="s">
        <v>159</v>
      </c>
      <c r="AA6" s="179" t="s">
        <v>345</v>
      </c>
      <c r="AB6" s="179" t="s">
        <v>161</v>
      </c>
      <c r="AC6" s="181" t="s">
        <v>165</v>
      </c>
      <c r="AD6" s="586"/>
      <c r="AE6" s="179" t="s">
        <v>159</v>
      </c>
      <c r="AF6" s="179" t="s">
        <v>345</v>
      </c>
      <c r="AG6" s="179" t="s">
        <v>161</v>
      </c>
      <c r="AH6" s="181" t="s">
        <v>165</v>
      </c>
      <c r="AI6" s="586"/>
      <c r="AJ6" s="179" t="s">
        <v>159</v>
      </c>
      <c r="AK6" s="179" t="s">
        <v>345</v>
      </c>
      <c r="AL6" s="179" t="s">
        <v>161</v>
      </c>
      <c r="AM6" s="181" t="s">
        <v>165</v>
      </c>
      <c r="AN6" s="586"/>
      <c r="AO6" s="179" t="s">
        <v>159</v>
      </c>
      <c r="AP6" s="179" t="s">
        <v>345</v>
      </c>
      <c r="AQ6" s="179" t="s">
        <v>161</v>
      </c>
      <c r="AR6" s="181" t="s">
        <v>165</v>
      </c>
      <c r="AS6" s="586"/>
      <c r="AT6" s="179" t="s">
        <v>159</v>
      </c>
      <c r="AU6" s="179" t="s">
        <v>345</v>
      </c>
      <c r="AV6" s="179" t="s">
        <v>161</v>
      </c>
      <c r="AW6" s="181" t="s">
        <v>165</v>
      </c>
      <c r="AX6" s="586"/>
    </row>
    <row r="7" spans="1:50" ht="14.25" customHeight="1">
      <c r="B7" s="586" t="s">
        <v>137</v>
      </c>
      <c r="C7" s="179">
        <v>1</v>
      </c>
      <c r="D7" s="182" t="s">
        <v>330</v>
      </c>
      <c r="E7" s="183">
        <v>24</v>
      </c>
      <c r="F7" s="179">
        <v>2000</v>
      </c>
      <c r="G7" s="184">
        <f t="shared" ref="G7:G15" si="0">IFERROR(F7/E7,"")</f>
        <v>83.333333333333329</v>
      </c>
      <c r="H7" s="588">
        <f>AVERAGE(G7:G21)</f>
        <v>88.716146977016535</v>
      </c>
      <c r="I7" s="185">
        <f>AVERAGE(P7,U7,Z7,AE7,AJ7,AO7,AT7)</f>
        <v>24</v>
      </c>
      <c r="J7" s="185">
        <f>AVERAGE(Q7,V7,AA7,AF7,AK7,AP7,AU7)</f>
        <v>1799.7255861173473</v>
      </c>
      <c r="K7" s="186">
        <f>AVERAGE(R7,W7,AB7,AG7,AL7,AQ7,AV7)</f>
        <v>74.988566088222811</v>
      </c>
      <c r="L7" s="589">
        <f>IFERROR(AVERAGE(K7:K21),"-")</f>
        <v>79.776973679343911</v>
      </c>
      <c r="M7" s="185">
        <f>RANK(K7, K$7:$K$21)</f>
        <v>7</v>
      </c>
      <c r="N7" s="586"/>
      <c r="O7" s="586"/>
      <c r="P7" s="187">
        <v>24</v>
      </c>
      <c r="Q7" s="187">
        <v>1798.0116725059725</v>
      </c>
      <c r="R7" s="184">
        <f>IFERROR(Q7/P7,"")</f>
        <v>74.917153021082186</v>
      </c>
      <c r="S7" s="181">
        <f>RANK(R7, R$7:R$21)</f>
        <v>7</v>
      </c>
      <c r="T7" s="588">
        <f>AVERAGE(R7:R21)</f>
        <v>79.714393949650059</v>
      </c>
      <c r="U7" s="187">
        <v>24</v>
      </c>
      <c r="V7" s="187">
        <v>1798.6116725059726</v>
      </c>
      <c r="W7" s="184">
        <f t="shared" ref="W7:W15" si="1">IFERROR(V7/U7,"")</f>
        <v>74.942153021082191</v>
      </c>
      <c r="X7" s="181">
        <f>RANK(W7, W$7:W$21)</f>
        <v>7</v>
      </c>
      <c r="Y7" s="588">
        <f>AVERAGE(W7:W21)</f>
        <v>79.725925789790594</v>
      </c>
      <c r="Z7" s="187">
        <v>24</v>
      </c>
      <c r="AA7" s="187">
        <v>1799.2116725059727</v>
      </c>
      <c r="AB7" s="184">
        <f>IFERROR(AA7/Z7,"")</f>
        <v>74.967153021082197</v>
      </c>
      <c r="AC7" s="181">
        <f>RANK(AB7, AB$7:AB$21)</f>
        <v>7</v>
      </c>
      <c r="AD7" s="588">
        <f>AVERAGE(AB7:AB21)</f>
        <v>79.739648817165801</v>
      </c>
      <c r="AE7" s="187">
        <v>24</v>
      </c>
      <c r="AF7" s="187">
        <v>1799.6116725059728</v>
      </c>
      <c r="AG7" s="184">
        <f>IFERROR(AF7/AE7,"")</f>
        <v>74.983819687748863</v>
      </c>
      <c r="AH7" s="181">
        <f>RANK(AG7, AG$7:AG$21)</f>
        <v>7</v>
      </c>
      <c r="AI7" s="588">
        <f>AVERAGE(AG7:AG21)</f>
        <v>79.770372065335138</v>
      </c>
      <c r="AJ7" s="187">
        <v>24</v>
      </c>
      <c r="AK7" s="187">
        <v>1800.0116725059727</v>
      </c>
      <c r="AL7" s="184">
        <f>IFERROR(AK7/AJ7,"")</f>
        <v>75.000486354415528</v>
      </c>
      <c r="AM7" s="181">
        <f>RANK(AL7, AL$7:AL$21)</f>
        <v>7</v>
      </c>
      <c r="AN7" s="588">
        <f>AVERAGE(AL7:AL21)</f>
        <v>79.785068156683394</v>
      </c>
      <c r="AO7" s="187">
        <v>24</v>
      </c>
      <c r="AP7" s="187">
        <v>1801.3103701457844</v>
      </c>
      <c r="AQ7" s="184">
        <f>IFERROR(AP7/AO7,"")</f>
        <v>75.054598756074355</v>
      </c>
      <c r="AR7" s="181">
        <f>RANK(AQ7, AQ$7:AQ$21)</f>
        <v>7</v>
      </c>
      <c r="AS7" s="588">
        <f>AVERAGE(AQ7:AQ21)</f>
        <v>79.844134475798938</v>
      </c>
      <c r="AT7" s="187">
        <v>24</v>
      </c>
      <c r="AU7" s="187">
        <v>1801.3103701457846</v>
      </c>
      <c r="AV7" s="184">
        <f>IFERROR(AU7/AT7,"")</f>
        <v>75.054598756074355</v>
      </c>
      <c r="AW7" s="181">
        <f>RANK(AV7, AV$7:AV$21)</f>
        <v>7</v>
      </c>
      <c r="AX7" s="588">
        <f>AVERAGE(AV7:AV21)</f>
        <v>79.859272500983536</v>
      </c>
    </row>
    <row r="8" spans="1:50" ht="14.25" customHeight="1">
      <c r="B8" s="586"/>
      <c r="C8" s="179">
        <v>2</v>
      </c>
      <c r="D8" s="182" t="s">
        <v>331</v>
      </c>
      <c r="E8" s="179">
        <v>23</v>
      </c>
      <c r="F8" s="179">
        <v>2000</v>
      </c>
      <c r="G8" s="184">
        <f t="shared" si="0"/>
        <v>86.956521739130437</v>
      </c>
      <c r="H8" s="588"/>
      <c r="I8" s="185">
        <f t="shared" ref="I8:K15" si="2">AVERAGE(P8,U8,Z8,AE8,AJ8,AO8,AT8)</f>
        <v>23</v>
      </c>
      <c r="J8" s="185">
        <f t="shared" si="2"/>
        <v>1798.047943840837</v>
      </c>
      <c r="K8" s="186">
        <f t="shared" si="2"/>
        <v>78.175997558297254</v>
      </c>
      <c r="L8" s="589"/>
      <c r="M8" s="185">
        <f>RANK(K8, K$7:$K$21)</f>
        <v>5</v>
      </c>
      <c r="N8" s="586"/>
      <c r="O8" s="586"/>
      <c r="P8" s="187">
        <v>23</v>
      </c>
      <c r="Q8" s="187">
        <v>1796.2544326799957</v>
      </c>
      <c r="R8" s="184">
        <f t="shared" ref="R8:R15" si="3">IFERROR(Q8/P8,"")</f>
        <v>78.09801881217372</v>
      </c>
      <c r="S8" s="181">
        <f t="shared" ref="S8:S15" si="4">RANK(R8, R$7:R$21)</f>
        <v>6</v>
      </c>
      <c r="T8" s="588"/>
      <c r="U8" s="187">
        <v>23</v>
      </c>
      <c r="V8" s="187">
        <v>1796.2544326799959</v>
      </c>
      <c r="W8" s="184">
        <f t="shared" si="1"/>
        <v>78.098018812173734</v>
      </c>
      <c r="X8" s="181">
        <f t="shared" ref="X8:X15" si="5">RANK(W8, W$7:W$21)</f>
        <v>6</v>
      </c>
      <c r="Y8" s="588"/>
      <c r="Z8" s="187">
        <v>23</v>
      </c>
      <c r="AA8" s="187">
        <v>1796.6544326799958</v>
      </c>
      <c r="AB8" s="184">
        <f t="shared" ref="AB8:AB15" si="6">IFERROR(AA8/Z8,"")</f>
        <v>78.115410116521559</v>
      </c>
      <c r="AC8" s="181">
        <f t="shared" ref="AC8:AC15" si="7">RANK(AB8, AB$7:AB$21)</f>
        <v>6</v>
      </c>
      <c r="AD8" s="588"/>
      <c r="AE8" s="187">
        <v>23</v>
      </c>
      <c r="AF8" s="187">
        <v>1798.1619808337709</v>
      </c>
      <c r="AG8" s="184">
        <f t="shared" ref="AG8:AG15" si="8">IFERROR(AF8/AE8,"")</f>
        <v>78.180955688424817</v>
      </c>
      <c r="AH8" s="181">
        <f t="shared" ref="AH8:AH15" si="9">RANK(AG8, AG$7:AG$21)</f>
        <v>5</v>
      </c>
      <c r="AI8" s="588"/>
      <c r="AJ8" s="187">
        <v>23</v>
      </c>
      <c r="AK8" s="187">
        <v>1798.5619808337708</v>
      </c>
      <c r="AL8" s="184">
        <f t="shared" ref="AL8:AL15" si="10">IFERROR(AK8/AJ8,"")</f>
        <v>78.198346992772642</v>
      </c>
      <c r="AM8" s="181">
        <f t="shared" ref="AM8:AM15" si="11">RANK(AL8, AL$7:AL$21)</f>
        <v>5</v>
      </c>
      <c r="AN8" s="588"/>
      <c r="AO8" s="187">
        <v>23</v>
      </c>
      <c r="AP8" s="187">
        <v>1799.786766770437</v>
      </c>
      <c r="AQ8" s="184">
        <f t="shared" ref="AQ8:AQ15" si="12">IFERROR(AP8/AO8,"")</f>
        <v>78.251598555236384</v>
      </c>
      <c r="AR8" s="181">
        <f t="shared" ref="AR8:AR15" si="13">RANK(AQ8, AQ$7:AQ$21)</f>
        <v>4</v>
      </c>
      <c r="AS8" s="588"/>
      <c r="AT8" s="187">
        <v>23</v>
      </c>
      <c r="AU8" s="187">
        <v>1800.6615804078915</v>
      </c>
      <c r="AV8" s="184">
        <f t="shared" ref="AV8:AV15" si="14">IFERROR(AU8/AT8,"")</f>
        <v>78.289633930777896</v>
      </c>
      <c r="AW8" s="181">
        <f t="shared" ref="AW8:AW15" si="15">RANK(AV8, AV$7:AV$21)</f>
        <v>4</v>
      </c>
      <c r="AX8" s="588"/>
    </row>
    <row r="9" spans="1:50" ht="14.25" customHeight="1">
      <c r="B9" s="586"/>
      <c r="C9" s="179">
        <v>3</v>
      </c>
      <c r="D9" s="182" t="s">
        <v>329</v>
      </c>
      <c r="E9" s="179">
        <v>23</v>
      </c>
      <c r="F9" s="179">
        <v>2000</v>
      </c>
      <c r="G9" s="184">
        <f t="shared" si="0"/>
        <v>86.956521739130437</v>
      </c>
      <c r="H9" s="588"/>
      <c r="I9" s="185">
        <f t="shared" si="2"/>
        <v>23</v>
      </c>
      <c r="J9" s="185">
        <f t="shared" si="2"/>
        <v>1798.4173487769492</v>
      </c>
      <c r="K9" s="186">
        <f t="shared" si="2"/>
        <v>78.192058642476042</v>
      </c>
      <c r="L9" s="589"/>
      <c r="M9" s="185">
        <f>RANK(K9, K$7:$K$21)</f>
        <v>4</v>
      </c>
      <c r="N9" s="586"/>
      <c r="O9" s="586"/>
      <c r="P9" s="187">
        <v>23</v>
      </c>
      <c r="Q9" s="187">
        <v>1797.4080972519832</v>
      </c>
      <c r="R9" s="184">
        <f t="shared" si="3"/>
        <v>78.148178141390574</v>
      </c>
      <c r="S9" s="181">
        <f t="shared" si="4"/>
        <v>4</v>
      </c>
      <c r="T9" s="588"/>
      <c r="U9" s="187">
        <v>23</v>
      </c>
      <c r="V9" s="187">
        <v>1797.6080972519833</v>
      </c>
      <c r="W9" s="184">
        <f t="shared" si="1"/>
        <v>78.156873793564486</v>
      </c>
      <c r="X9" s="181">
        <f t="shared" si="5"/>
        <v>4</v>
      </c>
      <c r="Y9" s="588"/>
      <c r="Z9" s="187">
        <v>23</v>
      </c>
      <c r="AA9" s="187">
        <v>1798.2080972519834</v>
      </c>
      <c r="AB9" s="184">
        <f t="shared" si="6"/>
        <v>78.182960750086238</v>
      </c>
      <c r="AC9" s="181">
        <f t="shared" si="7"/>
        <v>4</v>
      </c>
      <c r="AD9" s="588"/>
      <c r="AE9" s="187">
        <v>23</v>
      </c>
      <c r="AF9" s="187">
        <v>1798.6080972519831</v>
      </c>
      <c r="AG9" s="184">
        <f t="shared" si="8"/>
        <v>78.200352054434049</v>
      </c>
      <c r="AH9" s="181">
        <f t="shared" si="9"/>
        <v>4</v>
      </c>
      <c r="AI9" s="588"/>
      <c r="AJ9" s="187">
        <v>23</v>
      </c>
      <c r="AK9" s="187">
        <v>1798.8080972519831</v>
      </c>
      <c r="AL9" s="184">
        <f t="shared" si="10"/>
        <v>78.209047706607961</v>
      </c>
      <c r="AM9" s="181">
        <f t="shared" si="11"/>
        <v>4</v>
      </c>
      <c r="AN9" s="588"/>
      <c r="AO9" s="187">
        <v>23</v>
      </c>
      <c r="AP9" s="187">
        <v>1799.0404775893642</v>
      </c>
      <c r="AQ9" s="184">
        <f t="shared" si="12"/>
        <v>78.219151199537578</v>
      </c>
      <c r="AR9" s="181">
        <f t="shared" si="13"/>
        <v>6</v>
      </c>
      <c r="AS9" s="588"/>
      <c r="AT9" s="187">
        <v>23</v>
      </c>
      <c r="AU9" s="187">
        <v>1799.2404775893642</v>
      </c>
      <c r="AV9" s="184">
        <f t="shared" si="14"/>
        <v>78.22784685171149</v>
      </c>
      <c r="AW9" s="181">
        <f t="shared" si="15"/>
        <v>6</v>
      </c>
      <c r="AX9" s="588"/>
    </row>
    <row r="10" spans="1:50" ht="14.25" customHeight="1">
      <c r="B10" s="586"/>
      <c r="C10" s="179">
        <v>4</v>
      </c>
      <c r="D10" s="182" t="s">
        <v>411</v>
      </c>
      <c r="E10" s="179">
        <v>23</v>
      </c>
      <c r="F10" s="179">
        <v>2000</v>
      </c>
      <c r="G10" s="184">
        <f t="shared" si="0"/>
        <v>86.956521739130437</v>
      </c>
      <c r="H10" s="588"/>
      <c r="I10" s="185">
        <f t="shared" si="2"/>
        <v>23</v>
      </c>
      <c r="J10" s="185">
        <f t="shared" si="2"/>
        <v>1797.9481808238481</v>
      </c>
      <c r="K10" s="186">
        <f t="shared" si="2"/>
        <v>78.171660035819485</v>
      </c>
      <c r="L10" s="589"/>
      <c r="M10" s="185">
        <f>RANK(K10, K$7:$K$21)</f>
        <v>6</v>
      </c>
      <c r="N10" s="586"/>
      <c r="O10" s="586"/>
      <c r="P10" s="187">
        <v>23</v>
      </c>
      <c r="Q10" s="187">
        <v>1796.8576036313932</v>
      </c>
      <c r="R10" s="184">
        <f t="shared" si="3"/>
        <v>78.124243636147526</v>
      </c>
      <c r="S10" s="181">
        <f t="shared" si="4"/>
        <v>5</v>
      </c>
      <c r="T10" s="588"/>
      <c r="U10" s="187">
        <v>23</v>
      </c>
      <c r="V10" s="187">
        <v>1796.857603631393</v>
      </c>
      <c r="W10" s="184">
        <f t="shared" si="1"/>
        <v>78.124243636147526</v>
      </c>
      <c r="X10" s="181">
        <f t="shared" si="5"/>
        <v>5</v>
      </c>
      <c r="Y10" s="588"/>
      <c r="Z10" s="187">
        <v>23</v>
      </c>
      <c r="AA10" s="187">
        <v>1797.057603631393</v>
      </c>
      <c r="AB10" s="184">
        <f t="shared" si="6"/>
        <v>78.132939288321438</v>
      </c>
      <c r="AC10" s="181">
        <f t="shared" si="7"/>
        <v>5</v>
      </c>
      <c r="AD10" s="588"/>
      <c r="AE10" s="187">
        <v>23</v>
      </c>
      <c r="AF10" s="187">
        <v>1797.6576036313927</v>
      </c>
      <c r="AG10" s="184">
        <f t="shared" si="8"/>
        <v>78.159026244843162</v>
      </c>
      <c r="AH10" s="181">
        <f t="shared" si="9"/>
        <v>6</v>
      </c>
      <c r="AI10" s="588"/>
      <c r="AJ10" s="187">
        <v>23</v>
      </c>
      <c r="AK10" s="187">
        <v>1798.2576036313926</v>
      </c>
      <c r="AL10" s="184">
        <f t="shared" si="10"/>
        <v>78.185113201364899</v>
      </c>
      <c r="AM10" s="181">
        <f t="shared" si="11"/>
        <v>6</v>
      </c>
      <c r="AN10" s="588"/>
      <c r="AO10" s="187">
        <v>23</v>
      </c>
      <c r="AP10" s="187">
        <v>1799.1746238049861</v>
      </c>
      <c r="AQ10" s="184">
        <f t="shared" si="12"/>
        <v>78.224983643695055</v>
      </c>
      <c r="AR10" s="181">
        <f t="shared" si="13"/>
        <v>5</v>
      </c>
      <c r="AS10" s="588"/>
      <c r="AT10" s="187">
        <v>23</v>
      </c>
      <c r="AU10" s="187">
        <v>1799.7746238049858</v>
      </c>
      <c r="AV10" s="184">
        <f t="shared" si="14"/>
        <v>78.251070600216778</v>
      </c>
      <c r="AW10" s="181">
        <f t="shared" si="15"/>
        <v>5</v>
      </c>
      <c r="AX10" s="588"/>
    </row>
    <row r="11" spans="1:50" ht="14.25" customHeight="1">
      <c r="B11" s="586"/>
      <c r="C11" s="179">
        <v>5</v>
      </c>
      <c r="D11" s="182" t="s">
        <v>413</v>
      </c>
      <c r="E11" s="179">
        <v>22</v>
      </c>
      <c r="F11" s="179">
        <v>2000</v>
      </c>
      <c r="G11" s="184">
        <f t="shared" si="0"/>
        <v>90.909090909090907</v>
      </c>
      <c r="H11" s="588"/>
      <c r="I11" s="185">
        <f t="shared" si="2"/>
        <v>22</v>
      </c>
      <c r="J11" s="185">
        <f t="shared" si="2"/>
        <v>1798.0689357827664</v>
      </c>
      <c r="K11" s="186">
        <f t="shared" si="2"/>
        <v>81.73040617194394</v>
      </c>
      <c r="L11" s="589"/>
      <c r="M11" s="185">
        <f>RANK(K11, K$7:$K$21)</f>
        <v>3</v>
      </c>
      <c r="N11" s="586"/>
      <c r="O11" s="586"/>
      <c r="P11" s="187">
        <v>22</v>
      </c>
      <c r="Q11" s="187">
        <v>1797.0029044857413</v>
      </c>
      <c r="R11" s="184">
        <f t="shared" si="3"/>
        <v>81.68195020389733</v>
      </c>
      <c r="S11" s="181">
        <f t="shared" si="4"/>
        <v>3</v>
      </c>
      <c r="T11" s="588"/>
      <c r="U11" s="187">
        <v>22</v>
      </c>
      <c r="V11" s="187">
        <v>1797.2029044857411</v>
      </c>
      <c r="W11" s="184">
        <f t="shared" si="1"/>
        <v>81.691041112988231</v>
      </c>
      <c r="X11" s="181">
        <f t="shared" si="5"/>
        <v>3</v>
      </c>
      <c r="Y11" s="588"/>
      <c r="Z11" s="187">
        <v>22</v>
      </c>
      <c r="AA11" s="187">
        <v>1797.2029044857413</v>
      </c>
      <c r="AB11" s="184">
        <f t="shared" si="6"/>
        <v>81.691041112988245</v>
      </c>
      <c r="AC11" s="181">
        <f t="shared" si="7"/>
        <v>3</v>
      </c>
      <c r="AD11" s="588"/>
      <c r="AE11" s="187">
        <v>22</v>
      </c>
      <c r="AF11" s="187">
        <v>1797.8029044857412</v>
      </c>
      <c r="AG11" s="184">
        <f t="shared" si="8"/>
        <v>81.718313840260961</v>
      </c>
      <c r="AH11" s="181">
        <f t="shared" si="9"/>
        <v>3</v>
      </c>
      <c r="AI11" s="588"/>
      <c r="AJ11" s="187">
        <v>22</v>
      </c>
      <c r="AK11" s="187">
        <v>1798.0029044857411</v>
      </c>
      <c r="AL11" s="184">
        <f t="shared" si="10"/>
        <v>81.727404749351862</v>
      </c>
      <c r="AM11" s="181">
        <f t="shared" si="11"/>
        <v>3</v>
      </c>
      <c r="AN11" s="588"/>
      <c r="AO11" s="187">
        <v>22</v>
      </c>
      <c r="AP11" s="187">
        <v>1799.5340140253297</v>
      </c>
      <c r="AQ11" s="184">
        <f t="shared" si="12"/>
        <v>81.797000637514984</v>
      </c>
      <c r="AR11" s="181">
        <f t="shared" si="13"/>
        <v>3</v>
      </c>
      <c r="AS11" s="588"/>
      <c r="AT11" s="187">
        <v>22</v>
      </c>
      <c r="AU11" s="187">
        <v>1799.7340140253298</v>
      </c>
      <c r="AV11" s="184">
        <f t="shared" si="14"/>
        <v>81.806091546605899</v>
      </c>
      <c r="AW11" s="181">
        <f t="shared" si="15"/>
        <v>3</v>
      </c>
      <c r="AX11" s="588"/>
    </row>
    <row r="12" spans="1:50" ht="14.25" customHeight="1">
      <c r="B12" s="586"/>
      <c r="C12" s="179">
        <v>6</v>
      </c>
      <c r="D12" s="182" t="s">
        <v>415</v>
      </c>
      <c r="E12" s="179">
        <v>20</v>
      </c>
      <c r="F12" s="179">
        <v>2000</v>
      </c>
      <c r="G12" s="184">
        <f t="shared" si="0"/>
        <v>100</v>
      </c>
      <c r="H12" s="588"/>
      <c r="I12" s="185">
        <f t="shared" si="2"/>
        <v>20</v>
      </c>
      <c r="J12" s="185">
        <f t="shared" si="2"/>
        <v>1797.09388324867</v>
      </c>
      <c r="K12" s="186">
        <f t="shared" si="2"/>
        <v>89.854694162433503</v>
      </c>
      <c r="L12" s="589"/>
      <c r="M12" s="185">
        <f>RANK(K12, K$7:$K$21)</f>
        <v>2</v>
      </c>
      <c r="N12" s="586"/>
      <c r="O12" s="586"/>
      <c r="P12" s="187">
        <v>20</v>
      </c>
      <c r="Q12" s="187">
        <v>1795.3440496233434</v>
      </c>
      <c r="R12" s="184">
        <f t="shared" si="3"/>
        <v>89.767202481167175</v>
      </c>
      <c r="S12" s="181">
        <f t="shared" si="4"/>
        <v>2</v>
      </c>
      <c r="T12" s="588"/>
      <c r="U12" s="187">
        <v>20</v>
      </c>
      <c r="V12" s="187">
        <v>1795.5440496233432</v>
      </c>
      <c r="W12" s="184">
        <f t="shared" si="1"/>
        <v>89.777202481167166</v>
      </c>
      <c r="X12" s="181">
        <f t="shared" si="5"/>
        <v>2</v>
      </c>
      <c r="Y12" s="588"/>
      <c r="Z12" s="187">
        <v>20</v>
      </c>
      <c r="AA12" s="187">
        <v>1795.744049623343</v>
      </c>
      <c r="AB12" s="184">
        <f t="shared" si="6"/>
        <v>89.787202481167157</v>
      </c>
      <c r="AC12" s="181">
        <f t="shared" si="7"/>
        <v>2</v>
      </c>
      <c r="AD12" s="588"/>
      <c r="AE12" s="187">
        <v>20</v>
      </c>
      <c r="AF12" s="187">
        <v>1797.121636426243</v>
      </c>
      <c r="AG12" s="184">
        <f t="shared" si="8"/>
        <v>89.856081821312145</v>
      </c>
      <c r="AH12" s="181">
        <f t="shared" si="9"/>
        <v>2</v>
      </c>
      <c r="AI12" s="588"/>
      <c r="AJ12" s="187">
        <v>20</v>
      </c>
      <c r="AK12" s="187">
        <v>1797.321636426243</v>
      </c>
      <c r="AL12" s="184">
        <f t="shared" si="10"/>
        <v>89.86608182131215</v>
      </c>
      <c r="AM12" s="181">
        <f t="shared" si="11"/>
        <v>2</v>
      </c>
      <c r="AN12" s="588"/>
      <c r="AO12" s="187">
        <v>20</v>
      </c>
      <c r="AP12" s="187">
        <v>1799.1908805090873</v>
      </c>
      <c r="AQ12" s="184">
        <f t="shared" si="12"/>
        <v>89.959544025454363</v>
      </c>
      <c r="AR12" s="181">
        <f t="shared" si="13"/>
        <v>2</v>
      </c>
      <c r="AS12" s="588"/>
      <c r="AT12" s="187">
        <v>20</v>
      </c>
      <c r="AU12" s="187">
        <v>1799.3908805090875</v>
      </c>
      <c r="AV12" s="184">
        <f t="shared" si="14"/>
        <v>89.969544025454383</v>
      </c>
      <c r="AW12" s="181">
        <f t="shared" si="15"/>
        <v>2</v>
      </c>
      <c r="AX12" s="588"/>
    </row>
    <row r="13" spans="1:50" ht="14.25" customHeight="1">
      <c r="B13" s="586"/>
      <c r="C13" s="179">
        <v>7</v>
      </c>
      <c r="D13" s="182" t="s">
        <v>471</v>
      </c>
      <c r="E13" s="179">
        <v>25</v>
      </c>
      <c r="F13" s="179">
        <v>2000</v>
      </c>
      <c r="G13" s="184">
        <f t="shared" si="0"/>
        <v>80</v>
      </c>
      <c r="H13" s="588"/>
      <c r="I13" s="185">
        <f t="shared" si="2"/>
        <v>25</v>
      </c>
      <c r="J13" s="185">
        <f t="shared" si="2"/>
        <v>1798.3579812124076</v>
      </c>
      <c r="K13" s="186">
        <f t="shared" si="2"/>
        <v>71.934319248496294</v>
      </c>
      <c r="L13" s="589"/>
      <c r="M13" s="185">
        <f>RANK(K13, K$7:$K$21)</f>
        <v>9</v>
      </c>
      <c r="N13" s="586"/>
      <c r="O13" s="586"/>
      <c r="P13" s="187">
        <v>25</v>
      </c>
      <c r="Q13" s="187">
        <v>1796.6925320816308</v>
      </c>
      <c r="R13" s="184">
        <f t="shared" si="3"/>
        <v>71.867701283265234</v>
      </c>
      <c r="S13" s="181">
        <f t="shared" si="4"/>
        <v>9</v>
      </c>
      <c r="T13" s="588"/>
      <c r="U13" s="187">
        <v>25</v>
      </c>
      <c r="V13" s="187">
        <v>1797.0925320816311</v>
      </c>
      <c r="W13" s="184">
        <f t="shared" si="1"/>
        <v>71.883701283265239</v>
      </c>
      <c r="X13" s="181">
        <f t="shared" si="5"/>
        <v>9</v>
      </c>
      <c r="Y13" s="588"/>
      <c r="Z13" s="187">
        <v>25</v>
      </c>
      <c r="AA13" s="187">
        <v>1797.292532081631</v>
      </c>
      <c r="AB13" s="184">
        <f t="shared" si="6"/>
        <v>71.891701283265235</v>
      </c>
      <c r="AC13" s="181">
        <f t="shared" si="7"/>
        <v>9</v>
      </c>
      <c r="AD13" s="588"/>
      <c r="AE13" s="187">
        <v>25</v>
      </c>
      <c r="AF13" s="187">
        <v>1797.492532081631</v>
      </c>
      <c r="AG13" s="184">
        <f t="shared" si="8"/>
        <v>71.899701283265244</v>
      </c>
      <c r="AH13" s="181">
        <f t="shared" si="9"/>
        <v>9</v>
      </c>
      <c r="AI13" s="588"/>
      <c r="AJ13" s="187">
        <v>25</v>
      </c>
      <c r="AK13" s="187">
        <v>1797.8925320816309</v>
      </c>
      <c r="AL13" s="184">
        <f t="shared" si="10"/>
        <v>71.915701283265236</v>
      </c>
      <c r="AM13" s="181">
        <f t="shared" si="11"/>
        <v>9</v>
      </c>
      <c r="AN13" s="588"/>
      <c r="AO13" s="187">
        <v>25</v>
      </c>
      <c r="AP13" s="187">
        <v>1800.8216040393497</v>
      </c>
      <c r="AQ13" s="184">
        <f t="shared" si="12"/>
        <v>72.032864161573983</v>
      </c>
      <c r="AR13" s="181">
        <f t="shared" si="13"/>
        <v>9</v>
      </c>
      <c r="AS13" s="588"/>
      <c r="AT13" s="187">
        <v>25</v>
      </c>
      <c r="AU13" s="187">
        <v>1801.2216040393496</v>
      </c>
      <c r="AV13" s="184">
        <f t="shared" si="14"/>
        <v>72.048864161573988</v>
      </c>
      <c r="AW13" s="181">
        <f t="shared" si="15"/>
        <v>9</v>
      </c>
      <c r="AX13" s="588"/>
    </row>
    <row r="14" spans="1:50" ht="14.25" customHeight="1">
      <c r="B14" s="586"/>
      <c r="C14" s="179">
        <v>8</v>
      </c>
      <c r="D14" s="182" t="s">
        <v>525</v>
      </c>
      <c r="E14" s="179">
        <v>20</v>
      </c>
      <c r="F14" s="179">
        <v>2000</v>
      </c>
      <c r="G14" s="184">
        <f t="shared" si="0"/>
        <v>100</v>
      </c>
      <c r="H14" s="588"/>
      <c r="I14" s="185">
        <f t="shared" si="2"/>
        <v>20</v>
      </c>
      <c r="J14" s="185">
        <f t="shared" si="2"/>
        <v>1799.6744781929467</v>
      </c>
      <c r="K14" s="186">
        <f t="shared" si="2"/>
        <v>89.983723909647338</v>
      </c>
      <c r="L14" s="589"/>
      <c r="M14" s="185">
        <f>RANK(K14, K$7:$K$21)</f>
        <v>1</v>
      </c>
      <c r="N14" s="586"/>
      <c r="O14" s="586"/>
      <c r="P14" s="187">
        <v>20</v>
      </c>
      <c r="Q14" s="187">
        <v>1798.6459067643755</v>
      </c>
      <c r="R14" s="184">
        <f t="shared" si="3"/>
        <v>89.932295338218779</v>
      </c>
      <c r="S14" s="181">
        <f t="shared" si="4"/>
        <v>1</v>
      </c>
      <c r="T14" s="588"/>
      <c r="U14" s="187">
        <v>20</v>
      </c>
      <c r="V14" s="187">
        <v>1798.8459067643753</v>
      </c>
      <c r="W14" s="184">
        <f t="shared" si="1"/>
        <v>89.94229533821877</v>
      </c>
      <c r="X14" s="181">
        <f t="shared" si="5"/>
        <v>1</v>
      </c>
      <c r="Y14" s="588"/>
      <c r="Z14" s="187">
        <v>20</v>
      </c>
      <c r="AA14" s="187">
        <v>1799.2459067643754</v>
      </c>
      <c r="AB14" s="184">
        <f t="shared" si="6"/>
        <v>89.962295338218766</v>
      </c>
      <c r="AC14" s="181">
        <f t="shared" si="7"/>
        <v>1</v>
      </c>
      <c r="AD14" s="588"/>
      <c r="AE14" s="187">
        <v>20</v>
      </c>
      <c r="AF14" s="187">
        <v>1799.8459067643753</v>
      </c>
      <c r="AG14" s="184">
        <f t="shared" si="8"/>
        <v>89.992295338218767</v>
      </c>
      <c r="AH14" s="181">
        <f t="shared" si="9"/>
        <v>1</v>
      </c>
      <c r="AI14" s="588"/>
      <c r="AJ14" s="187">
        <v>20</v>
      </c>
      <c r="AK14" s="187">
        <v>1800.2459067643754</v>
      </c>
      <c r="AL14" s="184">
        <f t="shared" si="10"/>
        <v>90.012295338218763</v>
      </c>
      <c r="AM14" s="181">
        <f t="shared" si="11"/>
        <v>1</v>
      </c>
      <c r="AN14" s="588"/>
      <c r="AO14" s="187">
        <v>20</v>
      </c>
      <c r="AP14" s="187">
        <v>1800.2459067643751</v>
      </c>
      <c r="AQ14" s="184">
        <f t="shared" si="12"/>
        <v>90.012295338218763</v>
      </c>
      <c r="AR14" s="181">
        <f t="shared" si="13"/>
        <v>1</v>
      </c>
      <c r="AS14" s="588"/>
      <c r="AT14" s="187">
        <v>20</v>
      </c>
      <c r="AU14" s="187">
        <v>1800.6459067643752</v>
      </c>
      <c r="AV14" s="184">
        <f t="shared" si="14"/>
        <v>90.032295338218759</v>
      </c>
      <c r="AW14" s="181">
        <f t="shared" si="15"/>
        <v>1</v>
      </c>
      <c r="AX14" s="588"/>
    </row>
    <row r="15" spans="1:50" ht="14.25" customHeight="1">
      <c r="B15" s="586"/>
      <c r="C15" s="179">
        <v>9</v>
      </c>
      <c r="D15" s="182" t="s">
        <v>564</v>
      </c>
      <c r="E15" s="179">
        <v>24</v>
      </c>
      <c r="F15" s="179">
        <v>2000</v>
      </c>
      <c r="G15" s="184">
        <f t="shared" si="0"/>
        <v>83.333333333333329</v>
      </c>
      <c r="H15" s="588"/>
      <c r="I15" s="185">
        <f t="shared" si="2"/>
        <v>24</v>
      </c>
      <c r="J15" s="185">
        <f t="shared" si="2"/>
        <v>1799.0720951222054</v>
      </c>
      <c r="K15" s="186">
        <f t="shared" si="2"/>
        <v>74.961337296758558</v>
      </c>
      <c r="L15" s="589"/>
      <c r="M15" s="185">
        <f>RANK(K15, K$7:$K$21)</f>
        <v>8</v>
      </c>
      <c r="N15" s="586"/>
      <c r="O15" s="586"/>
      <c r="P15" s="187">
        <v>24</v>
      </c>
      <c r="Q15" s="187">
        <v>1797.4272631081922</v>
      </c>
      <c r="R15" s="184">
        <f t="shared" si="3"/>
        <v>74.892802629508012</v>
      </c>
      <c r="S15" s="181">
        <f t="shared" si="4"/>
        <v>8</v>
      </c>
      <c r="T15" s="588"/>
      <c r="U15" s="187">
        <v>24</v>
      </c>
      <c r="V15" s="187">
        <v>1798.0272631081925</v>
      </c>
      <c r="W15" s="184">
        <f t="shared" si="1"/>
        <v>74.917802629508017</v>
      </c>
      <c r="X15" s="181">
        <f t="shared" si="5"/>
        <v>8</v>
      </c>
      <c r="Y15" s="588"/>
      <c r="Z15" s="187">
        <v>24</v>
      </c>
      <c r="AA15" s="187">
        <v>1798.2272631081928</v>
      </c>
      <c r="AB15" s="184">
        <f t="shared" si="6"/>
        <v>74.926135962841371</v>
      </c>
      <c r="AC15" s="181">
        <f t="shared" si="7"/>
        <v>8</v>
      </c>
      <c r="AD15" s="588"/>
      <c r="AE15" s="187">
        <v>24</v>
      </c>
      <c r="AF15" s="187">
        <v>1798.6272631081929</v>
      </c>
      <c r="AG15" s="184">
        <f t="shared" si="8"/>
        <v>74.942802629508037</v>
      </c>
      <c r="AH15" s="181">
        <f t="shared" si="9"/>
        <v>8</v>
      </c>
      <c r="AI15" s="588"/>
      <c r="AJ15" s="187">
        <v>24</v>
      </c>
      <c r="AK15" s="187">
        <v>1798.8272631081929</v>
      </c>
      <c r="AL15" s="184">
        <f t="shared" si="10"/>
        <v>74.951135962841377</v>
      </c>
      <c r="AM15" s="181">
        <f t="shared" si="11"/>
        <v>8</v>
      </c>
      <c r="AN15" s="588"/>
      <c r="AO15" s="187">
        <v>24</v>
      </c>
      <c r="AP15" s="187">
        <v>1801.0841751572375</v>
      </c>
      <c r="AQ15" s="184">
        <f t="shared" si="12"/>
        <v>75.045173964884896</v>
      </c>
      <c r="AR15" s="181">
        <f t="shared" si="13"/>
        <v>8</v>
      </c>
      <c r="AS15" s="588"/>
      <c r="AT15" s="187">
        <v>24</v>
      </c>
      <c r="AU15" s="187">
        <v>1801.2841751572373</v>
      </c>
      <c r="AV15" s="184">
        <f t="shared" si="14"/>
        <v>75.053507298218221</v>
      </c>
      <c r="AW15" s="181">
        <f t="shared" si="15"/>
        <v>8</v>
      </c>
      <c r="AX15" s="588"/>
    </row>
    <row r="16" spans="1:50" ht="14.25" customHeight="1">
      <c r="B16" s="586"/>
      <c r="C16" s="179">
        <v>10</v>
      </c>
      <c r="D16" s="182"/>
      <c r="E16" s="179"/>
      <c r="F16" s="179"/>
      <c r="G16" s="184"/>
      <c r="H16" s="588"/>
      <c r="I16" s="185"/>
      <c r="J16" s="185"/>
      <c r="K16" s="186"/>
      <c r="L16" s="589"/>
      <c r="M16" s="185"/>
      <c r="N16" s="586"/>
      <c r="O16" s="586"/>
      <c r="P16" s="187"/>
      <c r="Q16" s="187"/>
      <c r="R16" s="184"/>
      <c r="S16" s="181"/>
      <c r="T16" s="588"/>
      <c r="U16" s="187"/>
      <c r="V16" s="187"/>
      <c r="W16" s="184"/>
      <c r="X16" s="181"/>
      <c r="Y16" s="588"/>
      <c r="Z16" s="187"/>
      <c r="AA16" s="187"/>
      <c r="AB16" s="184"/>
      <c r="AC16" s="181"/>
      <c r="AD16" s="588"/>
      <c r="AE16" s="187"/>
      <c r="AF16" s="187"/>
      <c r="AG16" s="184"/>
      <c r="AH16" s="181"/>
      <c r="AI16" s="588"/>
      <c r="AJ16" s="187"/>
      <c r="AK16" s="187"/>
      <c r="AL16" s="184"/>
      <c r="AM16" s="181"/>
      <c r="AN16" s="588"/>
      <c r="AO16" s="187"/>
      <c r="AP16" s="187"/>
      <c r="AQ16" s="184"/>
      <c r="AR16" s="181"/>
      <c r="AS16" s="588"/>
      <c r="AT16" s="187"/>
      <c r="AU16" s="187"/>
      <c r="AV16" s="184"/>
      <c r="AW16" s="181"/>
      <c r="AX16" s="588"/>
    </row>
    <row r="17" spans="2:50" ht="14.25" customHeight="1">
      <c r="B17" s="586"/>
      <c r="C17" s="179">
        <v>11</v>
      </c>
      <c r="D17" s="182"/>
      <c r="E17" s="179"/>
      <c r="F17" s="179"/>
      <c r="G17" s="184"/>
      <c r="H17" s="588"/>
      <c r="I17" s="185"/>
      <c r="J17" s="185"/>
      <c r="K17" s="186"/>
      <c r="L17" s="589"/>
      <c r="M17" s="185"/>
      <c r="N17" s="586"/>
      <c r="O17" s="586"/>
      <c r="P17" s="187"/>
      <c r="Q17" s="187"/>
      <c r="R17" s="184"/>
      <c r="S17" s="181"/>
      <c r="T17" s="588"/>
      <c r="U17" s="187"/>
      <c r="V17" s="187"/>
      <c r="W17" s="184"/>
      <c r="X17" s="181"/>
      <c r="Y17" s="588"/>
      <c r="Z17" s="187"/>
      <c r="AA17" s="187"/>
      <c r="AB17" s="184"/>
      <c r="AC17" s="181"/>
      <c r="AD17" s="588"/>
      <c r="AE17" s="187"/>
      <c r="AF17" s="187"/>
      <c r="AG17" s="184"/>
      <c r="AH17" s="181"/>
      <c r="AI17" s="588"/>
      <c r="AJ17" s="187"/>
      <c r="AK17" s="187"/>
      <c r="AL17" s="184"/>
      <c r="AM17" s="181"/>
      <c r="AN17" s="588"/>
      <c r="AO17" s="187"/>
      <c r="AP17" s="187"/>
      <c r="AQ17" s="184"/>
      <c r="AR17" s="181"/>
      <c r="AS17" s="588"/>
      <c r="AT17" s="187"/>
      <c r="AU17" s="187"/>
      <c r="AV17" s="184"/>
      <c r="AW17" s="181"/>
      <c r="AX17" s="588"/>
    </row>
    <row r="18" spans="2:50" ht="14.25" customHeight="1">
      <c r="B18" s="586"/>
      <c r="C18" s="179">
        <v>12</v>
      </c>
      <c r="D18" s="182"/>
      <c r="E18" s="179"/>
      <c r="F18" s="179"/>
      <c r="G18" s="184"/>
      <c r="H18" s="588"/>
      <c r="I18" s="185"/>
      <c r="J18" s="185"/>
      <c r="K18" s="186"/>
      <c r="L18" s="589"/>
      <c r="M18" s="185"/>
      <c r="N18" s="586"/>
      <c r="O18" s="586"/>
      <c r="P18" s="187"/>
      <c r="Q18" s="187"/>
      <c r="R18" s="184"/>
      <c r="S18" s="181"/>
      <c r="T18" s="588"/>
      <c r="U18" s="187"/>
      <c r="V18" s="187"/>
      <c r="W18" s="184"/>
      <c r="X18" s="181"/>
      <c r="Y18" s="588"/>
      <c r="Z18" s="187"/>
      <c r="AA18" s="187"/>
      <c r="AB18" s="184"/>
      <c r="AC18" s="181"/>
      <c r="AD18" s="588"/>
      <c r="AE18" s="187"/>
      <c r="AF18" s="187"/>
      <c r="AG18" s="184"/>
      <c r="AH18" s="181"/>
      <c r="AI18" s="588"/>
      <c r="AJ18" s="187"/>
      <c r="AK18" s="187"/>
      <c r="AL18" s="184"/>
      <c r="AM18" s="181"/>
      <c r="AN18" s="588"/>
      <c r="AO18" s="187"/>
      <c r="AP18" s="187"/>
      <c r="AQ18" s="184"/>
      <c r="AR18" s="181"/>
      <c r="AS18" s="588"/>
      <c r="AT18" s="187"/>
      <c r="AU18" s="187"/>
      <c r="AV18" s="184"/>
      <c r="AW18" s="181"/>
      <c r="AX18" s="588"/>
    </row>
    <row r="19" spans="2:50" ht="14.25" customHeight="1">
      <c r="B19" s="586"/>
      <c r="C19" s="179">
        <v>13</v>
      </c>
      <c r="D19" s="182"/>
      <c r="E19" s="179"/>
      <c r="F19" s="179"/>
      <c r="G19" s="184"/>
      <c r="H19" s="588"/>
      <c r="I19" s="185"/>
      <c r="J19" s="185"/>
      <c r="K19" s="186"/>
      <c r="L19" s="589"/>
      <c r="M19" s="185"/>
      <c r="N19" s="586"/>
      <c r="O19" s="586"/>
      <c r="P19" s="187"/>
      <c r="Q19" s="187"/>
      <c r="R19" s="184"/>
      <c r="S19" s="181"/>
      <c r="T19" s="588"/>
      <c r="U19" s="187"/>
      <c r="V19" s="187"/>
      <c r="W19" s="184"/>
      <c r="X19" s="181"/>
      <c r="Y19" s="588"/>
      <c r="Z19" s="187"/>
      <c r="AA19" s="187"/>
      <c r="AB19" s="184"/>
      <c r="AC19" s="181"/>
      <c r="AD19" s="588"/>
      <c r="AE19" s="187"/>
      <c r="AF19" s="187"/>
      <c r="AG19" s="184"/>
      <c r="AH19" s="181"/>
      <c r="AI19" s="588"/>
      <c r="AJ19" s="187"/>
      <c r="AK19" s="187"/>
      <c r="AL19" s="184"/>
      <c r="AM19" s="181"/>
      <c r="AN19" s="588"/>
      <c r="AO19" s="187"/>
      <c r="AP19" s="187"/>
      <c r="AQ19" s="184"/>
      <c r="AR19" s="181"/>
      <c r="AS19" s="588"/>
      <c r="AT19" s="187"/>
      <c r="AU19" s="187"/>
      <c r="AV19" s="184"/>
      <c r="AW19" s="181"/>
      <c r="AX19" s="588"/>
    </row>
    <row r="20" spans="2:50" ht="14.25" customHeight="1">
      <c r="B20" s="586"/>
      <c r="C20" s="179">
        <v>14</v>
      </c>
      <c r="D20" s="182"/>
      <c r="E20" s="179"/>
      <c r="F20" s="179"/>
      <c r="G20" s="184"/>
      <c r="H20" s="588"/>
      <c r="I20" s="185"/>
      <c r="J20" s="185"/>
      <c r="K20" s="186"/>
      <c r="L20" s="589"/>
      <c r="M20" s="185"/>
      <c r="N20" s="586"/>
      <c r="O20" s="586"/>
      <c r="P20" s="187"/>
      <c r="Q20" s="187"/>
      <c r="R20" s="184"/>
      <c r="S20" s="181"/>
      <c r="T20" s="588"/>
      <c r="U20" s="187"/>
      <c r="V20" s="187"/>
      <c r="W20" s="184"/>
      <c r="X20" s="181"/>
      <c r="Y20" s="588"/>
      <c r="Z20" s="187"/>
      <c r="AA20" s="187"/>
      <c r="AB20" s="184"/>
      <c r="AC20" s="181"/>
      <c r="AD20" s="588"/>
      <c r="AE20" s="187"/>
      <c r="AF20" s="187"/>
      <c r="AG20" s="184"/>
      <c r="AH20" s="181"/>
      <c r="AI20" s="588"/>
      <c r="AJ20" s="187"/>
      <c r="AK20" s="187"/>
      <c r="AL20" s="184"/>
      <c r="AM20" s="181"/>
      <c r="AN20" s="588"/>
      <c r="AO20" s="187"/>
      <c r="AP20" s="187"/>
      <c r="AQ20" s="184"/>
      <c r="AR20" s="181"/>
      <c r="AS20" s="588"/>
      <c r="AT20" s="187"/>
      <c r="AU20" s="187"/>
      <c r="AV20" s="184"/>
      <c r="AW20" s="181"/>
      <c r="AX20" s="588"/>
    </row>
    <row r="21" spans="2:50" ht="14.25" customHeight="1">
      <c r="B21" s="586"/>
      <c r="C21" s="179">
        <v>15</v>
      </c>
      <c r="D21" s="182"/>
      <c r="E21" s="179"/>
      <c r="F21" s="179"/>
      <c r="G21" s="184"/>
      <c r="H21" s="588"/>
      <c r="I21" s="185"/>
      <c r="J21" s="185"/>
      <c r="K21" s="186"/>
      <c r="L21" s="589"/>
      <c r="M21" s="185"/>
      <c r="N21" s="586"/>
      <c r="O21" s="586"/>
      <c r="P21" s="187"/>
      <c r="Q21" s="187"/>
      <c r="R21" s="184"/>
      <c r="S21" s="181"/>
      <c r="T21" s="588"/>
      <c r="U21" s="187"/>
      <c r="V21" s="187"/>
      <c r="W21" s="184"/>
      <c r="X21" s="181"/>
      <c r="Y21" s="588"/>
      <c r="Z21" s="187"/>
      <c r="AA21" s="187"/>
      <c r="AB21" s="184"/>
      <c r="AC21" s="181"/>
      <c r="AD21" s="588"/>
      <c r="AE21" s="187"/>
      <c r="AF21" s="187"/>
      <c r="AG21" s="184"/>
      <c r="AH21" s="181"/>
      <c r="AI21" s="588"/>
      <c r="AJ21" s="187"/>
      <c r="AK21" s="187"/>
      <c r="AL21" s="184"/>
      <c r="AM21" s="181"/>
      <c r="AN21" s="588"/>
      <c r="AO21" s="187"/>
      <c r="AP21" s="187"/>
      <c r="AQ21" s="184"/>
      <c r="AR21" s="181"/>
      <c r="AS21" s="588"/>
      <c r="AT21" s="187"/>
      <c r="AU21" s="187"/>
      <c r="AV21" s="184"/>
      <c r="AW21" s="181"/>
      <c r="AX21" s="588"/>
    </row>
    <row r="22" spans="2:50" ht="14.25" customHeight="1">
      <c r="B22" s="612" t="s">
        <v>689</v>
      </c>
      <c r="C22" s="613"/>
      <c r="D22" s="613"/>
      <c r="E22" s="613"/>
      <c r="F22" s="613"/>
      <c r="G22" s="613"/>
      <c r="H22" s="613"/>
      <c r="I22" s="613"/>
      <c r="J22" s="613"/>
      <c r="K22" s="613"/>
      <c r="L22" s="613"/>
      <c r="M22" s="614"/>
      <c r="N22" s="617" t="s">
        <v>341</v>
      </c>
      <c r="O22" s="617" t="s">
        <v>105</v>
      </c>
      <c r="P22" s="600">
        <v>46238</v>
      </c>
      <c r="Q22" s="601"/>
      <c r="R22" s="601"/>
      <c r="S22" s="601"/>
      <c r="T22" s="601"/>
      <c r="U22" s="602">
        <v>46239</v>
      </c>
      <c r="V22" s="603"/>
      <c r="W22" s="603"/>
      <c r="X22" s="603"/>
      <c r="Y22" s="603"/>
      <c r="Z22" s="600">
        <v>46240</v>
      </c>
      <c r="AA22" s="601"/>
      <c r="AB22" s="601"/>
      <c r="AC22" s="601"/>
      <c r="AD22" s="601"/>
      <c r="AE22" s="602">
        <v>46241</v>
      </c>
      <c r="AF22" s="603"/>
      <c r="AG22" s="603"/>
      <c r="AH22" s="603"/>
      <c r="AI22" s="603"/>
      <c r="AJ22" s="609">
        <v>46242</v>
      </c>
      <c r="AK22" s="610"/>
      <c r="AL22" s="610"/>
      <c r="AM22" s="610"/>
      <c r="AN22" s="611"/>
      <c r="AO22" s="602">
        <v>46243</v>
      </c>
      <c r="AP22" s="603"/>
      <c r="AQ22" s="603"/>
      <c r="AR22" s="603"/>
      <c r="AS22" s="603"/>
      <c r="AT22" s="609">
        <v>46244</v>
      </c>
      <c r="AU22" s="610"/>
      <c r="AV22" s="610"/>
      <c r="AW22" s="610"/>
      <c r="AX22" s="611"/>
    </row>
    <row r="23" spans="2:50" ht="14.25" customHeight="1">
      <c r="B23" s="615"/>
      <c r="C23" s="615"/>
      <c r="D23" s="615"/>
      <c r="E23" s="615"/>
      <c r="F23" s="615"/>
      <c r="G23" s="615"/>
      <c r="H23" s="615"/>
      <c r="I23" s="615"/>
      <c r="J23" s="615"/>
      <c r="K23" s="615"/>
      <c r="L23" s="615"/>
      <c r="M23" s="616"/>
      <c r="N23" s="618"/>
      <c r="O23" s="618"/>
      <c r="P23" s="604">
        <v>46196</v>
      </c>
      <c r="Q23" s="604"/>
      <c r="R23" s="604"/>
      <c r="S23" s="604"/>
      <c r="T23" s="604"/>
      <c r="U23" s="605">
        <v>46197</v>
      </c>
      <c r="V23" s="605"/>
      <c r="W23" s="605"/>
      <c r="X23" s="605"/>
      <c r="Y23" s="605"/>
      <c r="Z23" s="604">
        <v>46198</v>
      </c>
      <c r="AA23" s="604"/>
      <c r="AB23" s="604"/>
      <c r="AC23" s="604"/>
      <c r="AD23" s="604"/>
      <c r="AE23" s="605">
        <v>46199</v>
      </c>
      <c r="AF23" s="605"/>
      <c r="AG23" s="605"/>
      <c r="AH23" s="605"/>
      <c r="AI23" s="605"/>
      <c r="AJ23" s="606">
        <v>46200</v>
      </c>
      <c r="AK23" s="607"/>
      <c r="AL23" s="607"/>
      <c r="AM23" s="607"/>
      <c r="AN23" s="608"/>
      <c r="AO23" s="605">
        <v>46201</v>
      </c>
      <c r="AP23" s="605"/>
      <c r="AQ23" s="605"/>
      <c r="AR23" s="605"/>
      <c r="AS23" s="605"/>
      <c r="AT23" s="606">
        <v>46202</v>
      </c>
      <c r="AU23" s="607"/>
      <c r="AV23" s="607"/>
      <c r="AW23" s="607"/>
      <c r="AX23" s="608"/>
    </row>
    <row r="24" spans="2:50" ht="14.25" customHeight="1">
      <c r="B24" s="586" t="s">
        <v>162</v>
      </c>
      <c r="C24" s="586" t="s">
        <v>157</v>
      </c>
      <c r="D24" s="586"/>
      <c r="E24" s="586" t="s">
        <v>158</v>
      </c>
      <c r="F24" s="586"/>
      <c r="G24" s="586"/>
      <c r="H24" s="586" t="s">
        <v>163</v>
      </c>
      <c r="I24" s="592" t="s">
        <v>342</v>
      </c>
      <c r="J24" s="592"/>
      <c r="K24" s="592"/>
      <c r="L24" s="592" t="s">
        <v>163</v>
      </c>
      <c r="M24" s="592" t="s">
        <v>165</v>
      </c>
      <c r="N24" s="586"/>
      <c r="O24" s="586" t="s">
        <v>164</v>
      </c>
      <c r="P24" s="586" t="s">
        <v>160</v>
      </c>
      <c r="Q24" s="586"/>
      <c r="R24" s="586"/>
      <c r="S24" s="586"/>
      <c r="T24" s="586" t="s">
        <v>163</v>
      </c>
      <c r="U24" s="586" t="s">
        <v>160</v>
      </c>
      <c r="V24" s="586"/>
      <c r="W24" s="586"/>
      <c r="X24" s="586"/>
      <c r="Y24" s="586" t="s">
        <v>163</v>
      </c>
      <c r="Z24" s="586" t="s">
        <v>160</v>
      </c>
      <c r="AA24" s="586"/>
      <c r="AB24" s="586"/>
      <c r="AC24" s="586"/>
      <c r="AD24" s="586" t="s">
        <v>163</v>
      </c>
      <c r="AE24" s="586" t="s">
        <v>160</v>
      </c>
      <c r="AF24" s="586"/>
      <c r="AG24" s="586"/>
      <c r="AH24" s="586"/>
      <c r="AI24" s="586" t="s">
        <v>163</v>
      </c>
      <c r="AJ24" s="586" t="s">
        <v>160</v>
      </c>
      <c r="AK24" s="586"/>
      <c r="AL24" s="586"/>
      <c r="AM24" s="586"/>
      <c r="AN24" s="586" t="s">
        <v>163</v>
      </c>
      <c r="AO24" s="586" t="s">
        <v>160</v>
      </c>
      <c r="AP24" s="586"/>
      <c r="AQ24" s="586"/>
      <c r="AR24" s="586"/>
      <c r="AS24" s="586" t="s">
        <v>163</v>
      </c>
      <c r="AT24" s="586" t="s">
        <v>160</v>
      </c>
      <c r="AU24" s="586"/>
      <c r="AV24" s="586"/>
      <c r="AW24" s="586"/>
      <c r="AX24" s="586" t="s">
        <v>163</v>
      </c>
    </row>
    <row r="25" spans="2:50" ht="14.25" customHeight="1">
      <c r="B25" s="586"/>
      <c r="C25" s="586"/>
      <c r="D25" s="586"/>
      <c r="E25" s="586" t="s">
        <v>343</v>
      </c>
      <c r="F25" s="586"/>
      <c r="G25" s="586"/>
      <c r="H25" s="586"/>
      <c r="I25" s="592" t="s">
        <v>343</v>
      </c>
      <c r="J25" s="592"/>
      <c r="K25" s="592"/>
      <c r="L25" s="592"/>
      <c r="M25" s="592"/>
      <c r="N25" s="586"/>
      <c r="O25" s="586"/>
      <c r="P25" s="586" t="s">
        <v>344</v>
      </c>
      <c r="Q25" s="586"/>
      <c r="R25" s="586"/>
      <c r="S25" s="586"/>
      <c r="T25" s="586"/>
      <c r="U25" s="586" t="s">
        <v>344</v>
      </c>
      <c r="V25" s="586"/>
      <c r="W25" s="586"/>
      <c r="X25" s="586"/>
      <c r="Y25" s="586"/>
      <c r="Z25" s="586" t="s">
        <v>344</v>
      </c>
      <c r="AA25" s="586"/>
      <c r="AB25" s="586"/>
      <c r="AC25" s="586"/>
      <c r="AD25" s="586"/>
      <c r="AE25" s="586" t="s">
        <v>344</v>
      </c>
      <c r="AF25" s="586"/>
      <c r="AG25" s="586"/>
      <c r="AH25" s="586"/>
      <c r="AI25" s="586"/>
      <c r="AJ25" s="586" t="s">
        <v>344</v>
      </c>
      <c r="AK25" s="586"/>
      <c r="AL25" s="586"/>
      <c r="AM25" s="586"/>
      <c r="AN25" s="586"/>
      <c r="AO25" s="586" t="s">
        <v>344</v>
      </c>
      <c r="AP25" s="586"/>
      <c r="AQ25" s="586"/>
      <c r="AR25" s="586"/>
      <c r="AS25" s="586"/>
      <c r="AT25" s="586" t="s">
        <v>344</v>
      </c>
      <c r="AU25" s="586"/>
      <c r="AV25" s="586"/>
      <c r="AW25" s="586"/>
      <c r="AX25" s="586"/>
    </row>
    <row r="26" spans="2:50" ht="14.25" customHeight="1">
      <c r="B26" s="586"/>
      <c r="C26" s="586"/>
      <c r="D26" s="586"/>
      <c r="E26" s="179" t="s">
        <v>159</v>
      </c>
      <c r="F26" s="179" t="s">
        <v>345</v>
      </c>
      <c r="G26" s="179" t="s">
        <v>161</v>
      </c>
      <c r="H26" s="586"/>
      <c r="I26" s="180" t="s">
        <v>159</v>
      </c>
      <c r="J26" s="180" t="s">
        <v>345</v>
      </c>
      <c r="K26" s="180" t="s">
        <v>161</v>
      </c>
      <c r="L26" s="592"/>
      <c r="M26" s="592"/>
      <c r="N26" s="586"/>
      <c r="O26" s="586"/>
      <c r="P26" s="179" t="s">
        <v>159</v>
      </c>
      <c r="Q26" s="179" t="s">
        <v>345</v>
      </c>
      <c r="R26" s="179" t="s">
        <v>161</v>
      </c>
      <c r="S26" s="181" t="s">
        <v>165</v>
      </c>
      <c r="T26" s="586"/>
      <c r="U26" s="179" t="s">
        <v>159</v>
      </c>
      <c r="V26" s="179" t="s">
        <v>345</v>
      </c>
      <c r="W26" s="179" t="s">
        <v>161</v>
      </c>
      <c r="X26" s="181" t="s">
        <v>165</v>
      </c>
      <c r="Y26" s="586"/>
      <c r="Z26" s="179" t="s">
        <v>159</v>
      </c>
      <c r="AA26" s="179" t="s">
        <v>345</v>
      </c>
      <c r="AB26" s="179" t="s">
        <v>161</v>
      </c>
      <c r="AC26" s="181" t="s">
        <v>165</v>
      </c>
      <c r="AD26" s="586"/>
      <c r="AE26" s="179" t="s">
        <v>159</v>
      </c>
      <c r="AF26" s="179" t="s">
        <v>345</v>
      </c>
      <c r="AG26" s="179" t="s">
        <v>161</v>
      </c>
      <c r="AH26" s="181" t="s">
        <v>165</v>
      </c>
      <c r="AI26" s="586"/>
      <c r="AJ26" s="179" t="s">
        <v>159</v>
      </c>
      <c r="AK26" s="179" t="s">
        <v>345</v>
      </c>
      <c r="AL26" s="179" t="s">
        <v>161</v>
      </c>
      <c r="AM26" s="181" t="s">
        <v>165</v>
      </c>
      <c r="AN26" s="586"/>
      <c r="AO26" s="179" t="s">
        <v>159</v>
      </c>
      <c r="AP26" s="179" t="s">
        <v>345</v>
      </c>
      <c r="AQ26" s="179" t="s">
        <v>161</v>
      </c>
      <c r="AR26" s="181" t="s">
        <v>165</v>
      </c>
      <c r="AS26" s="586"/>
      <c r="AT26" s="179" t="s">
        <v>159</v>
      </c>
      <c r="AU26" s="179" t="s">
        <v>345</v>
      </c>
      <c r="AV26" s="179" t="s">
        <v>161</v>
      </c>
      <c r="AW26" s="181" t="s">
        <v>165</v>
      </c>
      <c r="AX26" s="586"/>
    </row>
    <row r="27" spans="2:50" ht="14.25" customHeight="1">
      <c r="B27" s="586" t="s">
        <v>137</v>
      </c>
      <c r="C27" s="179">
        <v>1</v>
      </c>
      <c r="D27" s="182" t="s">
        <v>330</v>
      </c>
      <c r="E27" s="183">
        <v>24</v>
      </c>
      <c r="F27" s="179">
        <v>2000</v>
      </c>
      <c r="G27" s="184">
        <f t="shared" ref="G27:G35" si="16">IFERROR(F27/E27,"")</f>
        <v>83.333333333333329</v>
      </c>
      <c r="H27" s="588">
        <f>AVERAGE(G27:G41)</f>
        <v>88.716146977016535</v>
      </c>
      <c r="I27" s="185">
        <f>AVERAGE(P27,U27,Z27,AE27,AJ27,AO27,AT27)</f>
        <v>24</v>
      </c>
      <c r="J27" s="185">
        <f>AVERAGE(Q27,V27,AA27,AF27,AK27,AP27,AU27)</f>
        <v>1803.0817987172129</v>
      </c>
      <c r="K27" s="186">
        <f>AVERAGE(R27,W27,AB27,AG27,AL27,AQ27,AV27)</f>
        <v>75.128408279883871</v>
      </c>
      <c r="L27" s="589">
        <f>IFERROR(AVERAGE(K27:K41),"-")</f>
        <v>79.933962470071478</v>
      </c>
      <c r="M27" s="185">
        <f>RANK(K27, K$27:$K$41)</f>
        <v>8</v>
      </c>
      <c r="N27" s="586"/>
      <c r="O27" s="586"/>
      <c r="P27" s="187">
        <v>24</v>
      </c>
      <c r="Q27" s="187">
        <v>1801.9103701457841</v>
      </c>
      <c r="R27" s="184">
        <f>IFERROR(Q27/P27,"")</f>
        <v>75.079598756074333</v>
      </c>
      <c r="S27" s="181">
        <f>RANK(R27, R$27:R$41)</f>
        <v>7</v>
      </c>
      <c r="T27" s="588">
        <f>AVERAGE(R27:R41)</f>
        <v>79.864831277151012</v>
      </c>
      <c r="U27" s="187">
        <v>24</v>
      </c>
      <c r="V27" s="187">
        <v>1802.510370145784</v>
      </c>
      <c r="W27" s="184">
        <f t="shared" ref="W27:W35" si="17">IFERROR(V27/U27,"")</f>
        <v>75.104598756074338</v>
      </c>
      <c r="X27" s="181">
        <f>RANK(W27, W$27:W$41)</f>
        <v>8</v>
      </c>
      <c r="Y27" s="588">
        <f>AVERAGE(W27:W41)</f>
        <v>79.924089075585755</v>
      </c>
      <c r="Z27" s="187">
        <v>24</v>
      </c>
      <c r="AA27" s="187">
        <v>1802.9103701457843</v>
      </c>
      <c r="AB27" s="184">
        <f>IFERROR(AA27/Z27,"")</f>
        <v>75.121265422741018</v>
      </c>
      <c r="AC27" s="181">
        <f>RANK(AB27, AB$27:AB$41)</f>
        <v>7</v>
      </c>
      <c r="AD27" s="588">
        <f>AVERAGE(AB27:AB41)</f>
        <v>80.131470053519465</v>
      </c>
      <c r="AE27" s="187">
        <v>24</v>
      </c>
      <c r="AF27" s="187">
        <v>1802.9103701457843</v>
      </c>
      <c r="AG27" s="184">
        <f>IFERROR(AF27/AE27,"")</f>
        <v>75.121265422741018</v>
      </c>
      <c r="AH27" s="181">
        <f>RANK(AG27, AG$27:AG$41)</f>
        <v>7</v>
      </c>
      <c r="AI27" s="588">
        <f>AVERAGE(AG27:AG41)</f>
        <v>80.141204243242768</v>
      </c>
      <c r="AJ27" s="187">
        <v>24</v>
      </c>
      <c r="AK27" s="187">
        <v>1803.3103701457844</v>
      </c>
      <c r="AL27" s="184">
        <f>IFERROR(AK27/AJ27,"")</f>
        <v>75.137932089407684</v>
      </c>
      <c r="AM27" s="181">
        <f>RANK(AL27, AL$27:AL$41)</f>
        <v>7</v>
      </c>
      <c r="AN27" s="588">
        <f>AVERAGE(AL27:AL41)</f>
        <v>80.156972359184806</v>
      </c>
      <c r="AO27" s="187">
        <v>24</v>
      </c>
      <c r="AP27" s="187">
        <v>1803.9103701457846</v>
      </c>
      <c r="AQ27" s="184">
        <f>IFERROR(AP27/AO27,"")</f>
        <v>75.16293208940769</v>
      </c>
      <c r="AR27" s="181">
        <f>RANK(AQ27, AQ$27:AQ$41)</f>
        <v>7</v>
      </c>
      <c r="AS27" s="588">
        <f>AVERAGE(AQ27:AQ41)</f>
        <v>80.168267649039876</v>
      </c>
      <c r="AT27" s="187">
        <v>24</v>
      </c>
      <c r="AU27" s="187">
        <v>1804.1103701457846</v>
      </c>
      <c r="AV27" s="184">
        <f>IFERROR(AU27/AT27,"")</f>
        <v>75.17126542274103</v>
      </c>
      <c r="AW27" s="181">
        <f>RANK(AV27, AV$27:AV$41)</f>
        <v>7</v>
      </c>
      <c r="AX27" s="588">
        <f>AVERAGE(AV27:AV41)</f>
        <v>80.184899566035924</v>
      </c>
    </row>
    <row r="28" spans="2:50" ht="14.25" customHeight="1">
      <c r="B28" s="586"/>
      <c r="C28" s="179">
        <v>2</v>
      </c>
      <c r="D28" s="182" t="s">
        <v>331</v>
      </c>
      <c r="E28" s="179">
        <v>23</v>
      </c>
      <c r="F28" s="179">
        <v>2000</v>
      </c>
      <c r="G28" s="184">
        <f t="shared" si="16"/>
        <v>86.956521739130437</v>
      </c>
      <c r="H28" s="588"/>
      <c r="I28" s="185">
        <f t="shared" ref="I28:K35" si="18">AVERAGE(P28,U28,Z28,AE28,AJ28,AO28,AT28)</f>
        <v>23</v>
      </c>
      <c r="J28" s="185">
        <f t="shared" si="18"/>
        <v>1801.6901518364623</v>
      </c>
      <c r="K28" s="186">
        <f t="shared" si="18"/>
        <v>78.334354427672267</v>
      </c>
      <c r="L28" s="589"/>
      <c r="M28" s="185">
        <f>RANK(K28, K$27:$K$41)</f>
        <v>5</v>
      </c>
      <c r="N28" s="586"/>
      <c r="O28" s="586"/>
      <c r="P28" s="187">
        <v>23</v>
      </c>
      <c r="Q28" s="187">
        <v>1800.8615804078913</v>
      </c>
      <c r="R28" s="184">
        <f t="shared" ref="R28:R35" si="19">IFERROR(Q28/P28,"")</f>
        <v>78.298329582951794</v>
      </c>
      <c r="S28" s="181">
        <f t="shared" ref="S28:S35" si="20">RANK(R28, R$27:R$41)</f>
        <v>4</v>
      </c>
      <c r="T28" s="588"/>
      <c r="U28" s="187">
        <v>23</v>
      </c>
      <c r="V28" s="187">
        <v>1801.2615804078914</v>
      </c>
      <c r="W28" s="184">
        <f t="shared" si="17"/>
        <v>78.315720887299634</v>
      </c>
      <c r="X28" s="181">
        <f t="shared" ref="X28:X35" si="21">RANK(W28, W$27:W$41)</f>
        <v>6</v>
      </c>
      <c r="Y28" s="588"/>
      <c r="Z28" s="187">
        <v>23</v>
      </c>
      <c r="AA28" s="187">
        <v>1801.2615804078912</v>
      </c>
      <c r="AB28" s="184">
        <f t="shared" ref="AB28:AB35" si="22">IFERROR(AA28/Z28,"")</f>
        <v>78.315720887299619</v>
      </c>
      <c r="AC28" s="181">
        <f t="shared" ref="AC28:AC35" si="23">RANK(AB28, AB$27:AB$41)</f>
        <v>5</v>
      </c>
      <c r="AD28" s="588"/>
      <c r="AE28" s="187">
        <v>23</v>
      </c>
      <c r="AF28" s="187">
        <v>1801.6615804078911</v>
      </c>
      <c r="AG28" s="184">
        <f t="shared" ref="AG28:AG35" si="24">IFERROR(AF28/AE28,"")</f>
        <v>78.33311219164743</v>
      </c>
      <c r="AH28" s="181">
        <f>RANK(AG28, AG$27:AG$41)</f>
        <v>5</v>
      </c>
      <c r="AI28" s="588"/>
      <c r="AJ28" s="187">
        <v>23</v>
      </c>
      <c r="AK28" s="187">
        <v>1802.0615804078905</v>
      </c>
      <c r="AL28" s="184">
        <f t="shared" ref="AL28:AL35" si="25">IFERROR(AK28/AJ28,"")</f>
        <v>78.350503495995241</v>
      </c>
      <c r="AM28" s="181">
        <f>RANK(AL28, AL$27:AL$41)</f>
        <v>5</v>
      </c>
      <c r="AN28" s="588"/>
      <c r="AO28" s="187">
        <v>23</v>
      </c>
      <c r="AP28" s="187">
        <v>1802.0615804078905</v>
      </c>
      <c r="AQ28" s="184">
        <f t="shared" ref="AQ28:AQ35" si="26">IFERROR(AP28/AO28,"")</f>
        <v>78.350503495995241</v>
      </c>
      <c r="AR28" s="181">
        <f>RANK(AQ28, AQ$27:AQ$41)</f>
        <v>5</v>
      </c>
      <c r="AS28" s="588"/>
      <c r="AT28" s="187">
        <v>23</v>
      </c>
      <c r="AU28" s="187">
        <v>1802.6615804078906</v>
      </c>
      <c r="AV28" s="184">
        <f t="shared" ref="AV28:AV35" si="27">IFERROR(AU28/AT28,"")</f>
        <v>78.376590452516979</v>
      </c>
      <c r="AW28" s="181">
        <f>RANK(AV28, AV$27:AV$41)</f>
        <v>5</v>
      </c>
      <c r="AX28" s="588"/>
    </row>
    <row r="29" spans="2:50" ht="14.25" customHeight="1">
      <c r="B29" s="586"/>
      <c r="C29" s="179">
        <v>3</v>
      </c>
      <c r="D29" s="182" t="s">
        <v>329</v>
      </c>
      <c r="E29" s="179">
        <v>23</v>
      </c>
      <c r="F29" s="179">
        <v>2000</v>
      </c>
      <c r="G29" s="184">
        <f t="shared" si="16"/>
        <v>86.956521739130437</v>
      </c>
      <c r="H29" s="588"/>
      <c r="I29" s="185">
        <f t="shared" si="18"/>
        <v>23</v>
      </c>
      <c r="J29" s="185">
        <f t="shared" si="18"/>
        <v>1800.7934707697732</v>
      </c>
      <c r="K29" s="186">
        <f t="shared" si="18"/>
        <v>78.295368294337962</v>
      </c>
      <c r="L29" s="589"/>
      <c r="M29" s="185">
        <f>RANK(K29, K$27:$K$41)</f>
        <v>6</v>
      </c>
      <c r="N29" s="586"/>
      <c r="O29" s="586"/>
      <c r="P29" s="187">
        <v>23</v>
      </c>
      <c r="Q29" s="187">
        <v>1799.2404775893644</v>
      </c>
      <c r="R29" s="184">
        <f t="shared" si="19"/>
        <v>78.227846851711504</v>
      </c>
      <c r="S29" s="181">
        <f t="shared" si="20"/>
        <v>6</v>
      </c>
      <c r="T29" s="588"/>
      <c r="U29" s="187">
        <v>23</v>
      </c>
      <c r="V29" s="187">
        <v>1802.3464639501817</v>
      </c>
      <c r="W29" s="184">
        <f t="shared" si="17"/>
        <v>78.362889736964419</v>
      </c>
      <c r="X29" s="181">
        <f t="shared" si="21"/>
        <v>4</v>
      </c>
      <c r="Y29" s="588"/>
      <c r="Z29" s="187"/>
      <c r="AA29" s="187"/>
      <c r="AB29" s="184"/>
      <c r="AC29" s="181"/>
      <c r="AD29" s="588"/>
      <c r="AE29" s="187"/>
      <c r="AF29" s="187"/>
      <c r="AG29" s="184"/>
      <c r="AH29" s="181"/>
      <c r="AI29" s="588"/>
      <c r="AJ29" s="187"/>
      <c r="AK29" s="187"/>
      <c r="AL29" s="184"/>
      <c r="AM29" s="181"/>
      <c r="AN29" s="588"/>
      <c r="AO29" s="187"/>
      <c r="AP29" s="187"/>
      <c r="AQ29" s="184"/>
      <c r="AR29" s="181"/>
      <c r="AS29" s="588"/>
      <c r="AT29" s="187"/>
      <c r="AU29" s="187"/>
      <c r="AV29" s="184"/>
      <c r="AW29" s="181"/>
      <c r="AX29" s="588"/>
    </row>
    <row r="30" spans="2:50" ht="14.25" customHeight="1">
      <c r="B30" s="586"/>
      <c r="C30" s="179">
        <v>4</v>
      </c>
      <c r="D30" s="182" t="s">
        <v>411</v>
      </c>
      <c r="E30" s="179">
        <v>23</v>
      </c>
      <c r="F30" s="179">
        <v>2000</v>
      </c>
      <c r="G30" s="184">
        <f t="shared" si="16"/>
        <v>86.956521739130437</v>
      </c>
      <c r="H30" s="588"/>
      <c r="I30" s="185">
        <f t="shared" si="18"/>
        <v>23</v>
      </c>
      <c r="J30" s="185">
        <f t="shared" si="18"/>
        <v>1801.7218122051327</v>
      </c>
      <c r="K30" s="186">
        <f t="shared" si="18"/>
        <v>78.335730965440561</v>
      </c>
      <c r="L30" s="589"/>
      <c r="M30" s="185">
        <f>RANK(K30, K$27:$K$41)</f>
        <v>4</v>
      </c>
      <c r="N30" s="586"/>
      <c r="O30" s="586"/>
      <c r="P30" s="187">
        <v>23</v>
      </c>
      <c r="Q30" s="187">
        <v>1799.7746238049858</v>
      </c>
      <c r="R30" s="184">
        <f t="shared" si="19"/>
        <v>78.251070600216778</v>
      </c>
      <c r="S30" s="181">
        <f t="shared" si="20"/>
        <v>5</v>
      </c>
      <c r="T30" s="588"/>
      <c r="U30" s="187">
        <v>23</v>
      </c>
      <c r="V30" s="187">
        <v>1801.3796769384905</v>
      </c>
      <c r="W30" s="184">
        <f t="shared" si="17"/>
        <v>78.320855519064807</v>
      </c>
      <c r="X30" s="181">
        <f t="shared" si="21"/>
        <v>5</v>
      </c>
      <c r="Y30" s="588"/>
      <c r="Z30" s="187">
        <v>23</v>
      </c>
      <c r="AA30" s="187">
        <v>1801.3796769384908</v>
      </c>
      <c r="AB30" s="184">
        <f t="shared" si="22"/>
        <v>78.320855519064821</v>
      </c>
      <c r="AC30" s="181">
        <f t="shared" si="23"/>
        <v>4</v>
      </c>
      <c r="AD30" s="588"/>
      <c r="AE30" s="187">
        <v>23</v>
      </c>
      <c r="AF30" s="187">
        <v>1801.7796769384909</v>
      </c>
      <c r="AG30" s="184">
        <f t="shared" si="24"/>
        <v>78.338246823412646</v>
      </c>
      <c r="AH30" s="181">
        <f>RANK(AG30, AG$27:AG$41)</f>
        <v>4</v>
      </c>
      <c r="AI30" s="588"/>
      <c r="AJ30" s="187">
        <v>23</v>
      </c>
      <c r="AK30" s="187">
        <v>1802.3796769384905</v>
      </c>
      <c r="AL30" s="184">
        <f t="shared" si="25"/>
        <v>78.36433377993437</v>
      </c>
      <c r="AM30" s="181">
        <f>RANK(AL30, AL$27:AL$41)</f>
        <v>4</v>
      </c>
      <c r="AN30" s="588"/>
      <c r="AO30" s="187">
        <v>23</v>
      </c>
      <c r="AP30" s="187">
        <v>1802.5796769384906</v>
      </c>
      <c r="AQ30" s="184">
        <f t="shared" si="26"/>
        <v>78.373029432108282</v>
      </c>
      <c r="AR30" s="181">
        <f>RANK(AQ30, AQ$27:AQ$41)</f>
        <v>4</v>
      </c>
      <c r="AS30" s="588"/>
      <c r="AT30" s="187">
        <v>23</v>
      </c>
      <c r="AU30" s="187">
        <v>1802.7796769384902</v>
      </c>
      <c r="AV30" s="184">
        <f t="shared" si="27"/>
        <v>78.381725084282181</v>
      </c>
      <c r="AW30" s="181">
        <f>RANK(AV30, AV$27:AV$41)</f>
        <v>4</v>
      </c>
      <c r="AX30" s="588"/>
    </row>
    <row r="31" spans="2:50" ht="14.25" customHeight="1">
      <c r="B31" s="586"/>
      <c r="C31" s="179">
        <v>5</v>
      </c>
      <c r="D31" s="182" t="s">
        <v>413</v>
      </c>
      <c r="E31" s="179">
        <v>22</v>
      </c>
      <c r="F31" s="179">
        <v>2000</v>
      </c>
      <c r="G31" s="184">
        <f t="shared" si="16"/>
        <v>90.909090909090907</v>
      </c>
      <c r="H31" s="588"/>
      <c r="I31" s="185">
        <f t="shared" si="18"/>
        <v>22</v>
      </c>
      <c r="J31" s="185">
        <f t="shared" si="18"/>
        <v>1801.8309791959143</v>
      </c>
      <c r="K31" s="186">
        <f t="shared" si="18"/>
        <v>81.901408145268832</v>
      </c>
      <c r="L31" s="589"/>
      <c r="M31" s="185">
        <f>RANK(K31, K$27:$K$41)</f>
        <v>3</v>
      </c>
      <c r="N31" s="586"/>
      <c r="O31" s="586"/>
      <c r="P31" s="187">
        <v>22</v>
      </c>
      <c r="Q31" s="187">
        <v>1799.7340140253298</v>
      </c>
      <c r="R31" s="184">
        <f t="shared" si="19"/>
        <v>81.806091546605899</v>
      </c>
      <c r="S31" s="181">
        <f t="shared" si="20"/>
        <v>3</v>
      </c>
      <c r="T31" s="588"/>
      <c r="U31" s="187">
        <v>22</v>
      </c>
      <c r="V31" s="187">
        <v>1801.6138067243453</v>
      </c>
      <c r="W31" s="184">
        <f t="shared" si="17"/>
        <v>81.891536669288428</v>
      </c>
      <c r="X31" s="181">
        <f t="shared" si="21"/>
        <v>3</v>
      </c>
      <c r="Y31" s="588"/>
      <c r="Z31" s="187">
        <v>22</v>
      </c>
      <c r="AA31" s="187">
        <v>1802.0138067243452</v>
      </c>
      <c r="AB31" s="184">
        <f t="shared" si="22"/>
        <v>81.909718487470229</v>
      </c>
      <c r="AC31" s="181">
        <f t="shared" si="23"/>
        <v>3</v>
      </c>
      <c r="AD31" s="588"/>
      <c r="AE31" s="187">
        <v>22</v>
      </c>
      <c r="AF31" s="187">
        <v>1802.213806724345</v>
      </c>
      <c r="AG31" s="184">
        <f t="shared" si="24"/>
        <v>81.91880939656113</v>
      </c>
      <c r="AH31" s="181">
        <f t="shared" ref="AH31:AH35" si="28">RANK(AG31, AG$27:AG$41)</f>
        <v>3</v>
      </c>
      <c r="AI31" s="588"/>
      <c r="AJ31" s="187">
        <v>22</v>
      </c>
      <c r="AK31" s="187">
        <v>1802.213806724345</v>
      </c>
      <c r="AL31" s="184">
        <f t="shared" si="25"/>
        <v>81.91880939656113</v>
      </c>
      <c r="AM31" s="181">
        <f t="shared" ref="AM31:AM35" si="29">RANK(AL31, AL$27:AL$41)</f>
        <v>3</v>
      </c>
      <c r="AN31" s="588"/>
      <c r="AO31" s="187">
        <v>22</v>
      </c>
      <c r="AP31" s="187">
        <v>1802.2138067243447</v>
      </c>
      <c r="AQ31" s="184">
        <f t="shared" si="26"/>
        <v>81.91880939656113</v>
      </c>
      <c r="AR31" s="181">
        <f t="shared" ref="AR31:AR35" si="30">RANK(AQ31, AQ$27:AQ$41)</f>
        <v>3</v>
      </c>
      <c r="AS31" s="588"/>
      <c r="AT31" s="187">
        <v>22</v>
      </c>
      <c r="AU31" s="187">
        <v>1802.8138067243449</v>
      </c>
      <c r="AV31" s="184">
        <f t="shared" si="27"/>
        <v>81.946082123833861</v>
      </c>
      <c r="AW31" s="181">
        <f t="shared" ref="AW31:AW35" si="31">RANK(AV31, AV$27:AV$41)</f>
        <v>3</v>
      </c>
      <c r="AX31" s="588"/>
    </row>
    <row r="32" spans="2:50" ht="14.25" customHeight="1">
      <c r="B32" s="586"/>
      <c r="C32" s="179">
        <v>6</v>
      </c>
      <c r="D32" s="182" t="s">
        <v>415</v>
      </c>
      <c r="E32" s="179">
        <v>20</v>
      </c>
      <c r="F32" s="179">
        <v>2000</v>
      </c>
      <c r="G32" s="184">
        <f t="shared" si="16"/>
        <v>100</v>
      </c>
      <c r="H32" s="588"/>
      <c r="I32" s="185">
        <f t="shared" si="18"/>
        <v>20</v>
      </c>
      <c r="J32" s="185">
        <f t="shared" si="18"/>
        <v>1801.4971662737767</v>
      </c>
      <c r="K32" s="186">
        <f t="shared" si="18"/>
        <v>90.074858313688807</v>
      </c>
      <c r="L32" s="589"/>
      <c r="M32" s="185">
        <f>RANK(K32, K$27:$K$41)</f>
        <v>2</v>
      </c>
      <c r="N32" s="586"/>
      <c r="O32" s="586"/>
      <c r="P32" s="187">
        <v>20</v>
      </c>
      <c r="Q32" s="187">
        <v>1799.390880509088</v>
      </c>
      <c r="R32" s="184">
        <f t="shared" si="19"/>
        <v>89.969544025454397</v>
      </c>
      <c r="S32" s="181">
        <f t="shared" si="20"/>
        <v>2</v>
      </c>
      <c r="T32" s="588"/>
      <c r="U32" s="187">
        <v>20</v>
      </c>
      <c r="V32" s="187">
        <v>1801.1482139012244</v>
      </c>
      <c r="W32" s="184">
        <f t="shared" si="17"/>
        <v>90.057410695061222</v>
      </c>
      <c r="X32" s="181">
        <f t="shared" si="21"/>
        <v>2</v>
      </c>
      <c r="Y32" s="588"/>
      <c r="Z32" s="187">
        <v>20</v>
      </c>
      <c r="AA32" s="187">
        <v>1801.3482139012242</v>
      </c>
      <c r="AB32" s="184">
        <f t="shared" si="22"/>
        <v>90.067410695061213</v>
      </c>
      <c r="AC32" s="181">
        <f t="shared" si="23"/>
        <v>2</v>
      </c>
      <c r="AD32" s="588"/>
      <c r="AE32" s="187">
        <v>20</v>
      </c>
      <c r="AF32" s="187">
        <v>1801.5482139012242</v>
      </c>
      <c r="AG32" s="184">
        <f t="shared" si="24"/>
        <v>90.077410695061218</v>
      </c>
      <c r="AH32" s="181">
        <f t="shared" si="28"/>
        <v>2</v>
      </c>
      <c r="AI32" s="588"/>
      <c r="AJ32" s="187">
        <v>20</v>
      </c>
      <c r="AK32" s="187">
        <v>1801.9482139012246</v>
      </c>
      <c r="AL32" s="184">
        <f t="shared" si="25"/>
        <v>90.097410695061228</v>
      </c>
      <c r="AM32" s="181">
        <f t="shared" si="29"/>
        <v>2</v>
      </c>
      <c r="AN32" s="588"/>
      <c r="AO32" s="187">
        <v>20</v>
      </c>
      <c r="AP32" s="187">
        <v>1802.3482139012247</v>
      </c>
      <c r="AQ32" s="184">
        <f t="shared" si="26"/>
        <v>90.117410695061238</v>
      </c>
      <c r="AR32" s="181">
        <f t="shared" si="30"/>
        <v>2</v>
      </c>
      <c r="AS32" s="588"/>
      <c r="AT32" s="187">
        <v>20</v>
      </c>
      <c r="AU32" s="187">
        <v>1802.7482139012247</v>
      </c>
      <c r="AV32" s="184">
        <f t="shared" si="27"/>
        <v>90.137410695061234</v>
      </c>
      <c r="AW32" s="181">
        <f t="shared" si="31"/>
        <v>2</v>
      </c>
      <c r="AX32" s="588"/>
    </row>
    <row r="33" spans="2:50" ht="14.25" customHeight="1">
      <c r="B33" s="586"/>
      <c r="C33" s="179">
        <v>7</v>
      </c>
      <c r="D33" s="182" t="s">
        <v>471</v>
      </c>
      <c r="E33" s="179">
        <v>25</v>
      </c>
      <c r="F33" s="179">
        <v>2000</v>
      </c>
      <c r="G33" s="184">
        <f t="shared" si="16"/>
        <v>80</v>
      </c>
      <c r="H33" s="588"/>
      <c r="I33" s="185">
        <f t="shared" si="18"/>
        <v>25</v>
      </c>
      <c r="J33" s="185">
        <f t="shared" si="18"/>
        <v>1802.4787468964926</v>
      </c>
      <c r="K33" s="186">
        <f t="shared" si="18"/>
        <v>72.099149875859695</v>
      </c>
      <c r="L33" s="589"/>
      <c r="M33" s="185">
        <f>RANK(K33, K$27:$K$41)</f>
        <v>9</v>
      </c>
      <c r="N33" s="586"/>
      <c r="O33" s="586"/>
      <c r="P33" s="187">
        <v>25</v>
      </c>
      <c r="Q33" s="187">
        <v>1801.4216040393496</v>
      </c>
      <c r="R33" s="184">
        <f t="shared" si="19"/>
        <v>72.056864161573984</v>
      </c>
      <c r="S33" s="181">
        <f t="shared" si="20"/>
        <v>9</v>
      </c>
      <c r="T33" s="588"/>
      <c r="U33" s="187">
        <v>25</v>
      </c>
      <c r="V33" s="187">
        <v>1801.8216040393497</v>
      </c>
      <c r="W33" s="184">
        <f t="shared" si="17"/>
        <v>72.072864161573989</v>
      </c>
      <c r="X33" s="181">
        <f t="shared" si="21"/>
        <v>9</v>
      </c>
      <c r="Y33" s="588"/>
      <c r="Z33" s="187">
        <v>25</v>
      </c>
      <c r="AA33" s="187">
        <v>1802.0216040393498</v>
      </c>
      <c r="AB33" s="184">
        <f t="shared" si="22"/>
        <v>72.080864161573984</v>
      </c>
      <c r="AC33" s="181">
        <f t="shared" si="23"/>
        <v>8</v>
      </c>
      <c r="AD33" s="588"/>
      <c r="AE33" s="187">
        <v>25</v>
      </c>
      <c r="AF33" s="187">
        <v>1802.6216040393497</v>
      </c>
      <c r="AG33" s="184">
        <f t="shared" si="24"/>
        <v>72.104864161573985</v>
      </c>
      <c r="AH33" s="181">
        <f t="shared" si="28"/>
        <v>8</v>
      </c>
      <c r="AI33" s="588"/>
      <c r="AJ33" s="187">
        <v>25</v>
      </c>
      <c r="AK33" s="187">
        <v>1803.0216040393495</v>
      </c>
      <c r="AL33" s="184">
        <f t="shared" si="25"/>
        <v>72.120864161573977</v>
      </c>
      <c r="AM33" s="181">
        <f t="shared" si="29"/>
        <v>8</v>
      </c>
      <c r="AN33" s="588"/>
      <c r="AO33" s="187">
        <v>25</v>
      </c>
      <c r="AP33" s="187">
        <v>1803.0216040393495</v>
      </c>
      <c r="AQ33" s="184">
        <f t="shared" si="26"/>
        <v>72.120864161573977</v>
      </c>
      <c r="AR33" s="181">
        <f t="shared" si="30"/>
        <v>8</v>
      </c>
      <c r="AS33" s="588"/>
      <c r="AT33" s="187">
        <v>25</v>
      </c>
      <c r="AU33" s="187">
        <v>1803.4216040393492</v>
      </c>
      <c r="AV33" s="184">
        <f t="shared" si="27"/>
        <v>72.136864161573968</v>
      </c>
      <c r="AW33" s="181">
        <f t="shared" si="31"/>
        <v>8</v>
      </c>
      <c r="AX33" s="588"/>
    </row>
    <row r="34" spans="2:50" ht="14.25" customHeight="1">
      <c r="B34" s="586"/>
      <c r="C34" s="179">
        <v>8</v>
      </c>
      <c r="D34" s="182" t="s">
        <v>525</v>
      </c>
      <c r="E34" s="179">
        <v>20</v>
      </c>
      <c r="F34" s="179">
        <v>2000</v>
      </c>
      <c r="G34" s="184">
        <f t="shared" si="16"/>
        <v>100</v>
      </c>
      <c r="H34" s="588"/>
      <c r="I34" s="185">
        <f t="shared" si="18"/>
        <v>20</v>
      </c>
      <c r="J34" s="185">
        <f t="shared" si="18"/>
        <v>1801.7891523454018</v>
      </c>
      <c r="K34" s="186">
        <f t="shared" si="18"/>
        <v>90.089457617270099</v>
      </c>
      <c r="L34" s="589"/>
      <c r="M34" s="185">
        <f>RANK(K34, K$27:$K$41)</f>
        <v>1</v>
      </c>
      <c r="N34" s="586"/>
      <c r="O34" s="586"/>
      <c r="P34" s="187">
        <v>20</v>
      </c>
      <c r="Q34" s="187">
        <v>1800.6459067643752</v>
      </c>
      <c r="R34" s="184">
        <f t="shared" si="19"/>
        <v>90.032295338218759</v>
      </c>
      <c r="S34" s="181">
        <f t="shared" si="20"/>
        <v>1</v>
      </c>
      <c r="T34" s="588"/>
      <c r="U34" s="187">
        <v>20</v>
      </c>
      <c r="V34" s="187">
        <v>1801.1796932755731</v>
      </c>
      <c r="W34" s="184">
        <f t="shared" si="17"/>
        <v>90.058984663778659</v>
      </c>
      <c r="X34" s="181">
        <f t="shared" si="21"/>
        <v>1</v>
      </c>
      <c r="Y34" s="588"/>
      <c r="Z34" s="187">
        <v>20</v>
      </c>
      <c r="AA34" s="187">
        <v>1801.5796932755732</v>
      </c>
      <c r="AB34" s="184">
        <f t="shared" si="22"/>
        <v>90.078984663778655</v>
      </c>
      <c r="AC34" s="181">
        <f t="shared" si="23"/>
        <v>1</v>
      </c>
      <c r="AD34" s="588"/>
      <c r="AE34" s="187">
        <v>20</v>
      </c>
      <c r="AF34" s="187">
        <v>1801.5796932755732</v>
      </c>
      <c r="AG34" s="184">
        <f t="shared" si="24"/>
        <v>90.078984663778655</v>
      </c>
      <c r="AH34" s="181">
        <f t="shared" si="28"/>
        <v>1</v>
      </c>
      <c r="AI34" s="588"/>
      <c r="AJ34" s="187">
        <v>20</v>
      </c>
      <c r="AK34" s="187">
        <v>1802.1796932755731</v>
      </c>
      <c r="AL34" s="184">
        <f t="shared" si="25"/>
        <v>90.108984663778656</v>
      </c>
      <c r="AM34" s="181">
        <f t="shared" si="29"/>
        <v>1</v>
      </c>
      <c r="AN34" s="588"/>
      <c r="AO34" s="187">
        <v>20</v>
      </c>
      <c r="AP34" s="187">
        <v>1802.5796932755732</v>
      </c>
      <c r="AQ34" s="184">
        <f t="shared" si="26"/>
        <v>90.128984663778652</v>
      </c>
      <c r="AR34" s="181">
        <f t="shared" si="30"/>
        <v>1</v>
      </c>
      <c r="AS34" s="588"/>
      <c r="AT34" s="187">
        <v>20</v>
      </c>
      <c r="AU34" s="187">
        <v>1802.7796932755728</v>
      </c>
      <c r="AV34" s="184">
        <f t="shared" si="27"/>
        <v>90.138984663778643</v>
      </c>
      <c r="AW34" s="181">
        <f t="shared" si="31"/>
        <v>1</v>
      </c>
      <c r="AX34" s="588"/>
    </row>
    <row r="35" spans="2:50" ht="14.25" customHeight="1">
      <c r="B35" s="586"/>
      <c r="C35" s="179">
        <v>9</v>
      </c>
      <c r="D35" s="182" t="s">
        <v>564</v>
      </c>
      <c r="E35" s="179">
        <v>24</v>
      </c>
      <c r="F35" s="179">
        <v>2000</v>
      </c>
      <c r="G35" s="184">
        <f t="shared" si="16"/>
        <v>83.333333333333329</v>
      </c>
      <c r="H35" s="588"/>
      <c r="I35" s="185">
        <f t="shared" si="18"/>
        <v>24</v>
      </c>
      <c r="J35" s="185">
        <f t="shared" si="18"/>
        <v>1803.5262314693098</v>
      </c>
      <c r="K35" s="186">
        <f t="shared" si="18"/>
        <v>75.146926311221236</v>
      </c>
      <c r="L35" s="589"/>
      <c r="M35" s="185">
        <f>RANK(K35, K$27:$K$41)</f>
        <v>7</v>
      </c>
      <c r="N35" s="586"/>
      <c r="O35" s="586"/>
      <c r="P35" s="187">
        <v>24</v>
      </c>
      <c r="Q35" s="187">
        <v>1801.4841751572374</v>
      </c>
      <c r="R35" s="184">
        <f t="shared" si="19"/>
        <v>75.061840631551561</v>
      </c>
      <c r="S35" s="181">
        <f t="shared" si="20"/>
        <v>8</v>
      </c>
      <c r="T35" s="588"/>
      <c r="U35" s="187">
        <v>24</v>
      </c>
      <c r="V35" s="187">
        <v>1803.1665741879888</v>
      </c>
      <c r="W35" s="184">
        <f t="shared" si="17"/>
        <v>75.131940591166199</v>
      </c>
      <c r="X35" s="181">
        <f t="shared" si="21"/>
        <v>7</v>
      </c>
      <c r="Y35" s="588"/>
      <c r="Z35" s="187">
        <v>24</v>
      </c>
      <c r="AA35" s="187">
        <v>1803.7665741879889</v>
      </c>
      <c r="AB35" s="184">
        <f t="shared" si="22"/>
        <v>75.156940591166205</v>
      </c>
      <c r="AC35" s="181">
        <f t="shared" si="23"/>
        <v>6</v>
      </c>
      <c r="AD35" s="588"/>
      <c r="AE35" s="187">
        <v>24</v>
      </c>
      <c r="AF35" s="187">
        <v>1803.7665741879887</v>
      </c>
      <c r="AG35" s="184">
        <f t="shared" si="24"/>
        <v>75.15694059116619</v>
      </c>
      <c r="AH35" s="181">
        <f t="shared" si="28"/>
        <v>6</v>
      </c>
      <c r="AI35" s="588"/>
      <c r="AJ35" s="187">
        <v>24</v>
      </c>
      <c r="AK35" s="187">
        <v>1803.7665741879887</v>
      </c>
      <c r="AL35" s="184">
        <f t="shared" si="25"/>
        <v>75.15694059116619</v>
      </c>
      <c r="AM35" s="181">
        <f t="shared" si="29"/>
        <v>6</v>
      </c>
      <c r="AN35" s="588"/>
      <c r="AO35" s="187">
        <v>24</v>
      </c>
      <c r="AP35" s="187">
        <v>1804.1665741879883</v>
      </c>
      <c r="AQ35" s="184">
        <f t="shared" si="26"/>
        <v>75.173607257832842</v>
      </c>
      <c r="AR35" s="181">
        <f t="shared" si="30"/>
        <v>6</v>
      </c>
      <c r="AS35" s="588"/>
      <c r="AT35" s="187">
        <v>24</v>
      </c>
      <c r="AU35" s="187">
        <v>1804.5665741879882</v>
      </c>
      <c r="AV35" s="184">
        <f t="shared" si="27"/>
        <v>75.190273924499508</v>
      </c>
      <c r="AW35" s="181">
        <f t="shared" si="31"/>
        <v>6</v>
      </c>
      <c r="AX35" s="588"/>
    </row>
    <row r="36" spans="2:50" ht="14.25" customHeight="1">
      <c r="B36" s="586"/>
      <c r="C36" s="179">
        <v>10</v>
      </c>
      <c r="D36" s="182"/>
      <c r="E36" s="179"/>
      <c r="F36" s="179"/>
      <c r="G36" s="184"/>
      <c r="H36" s="588"/>
      <c r="I36" s="185"/>
      <c r="J36" s="185"/>
      <c r="K36" s="186"/>
      <c r="L36" s="589"/>
      <c r="M36" s="185"/>
      <c r="N36" s="586"/>
      <c r="O36" s="586"/>
      <c r="P36" s="187"/>
      <c r="Q36" s="187"/>
      <c r="R36" s="184"/>
      <c r="S36" s="181"/>
      <c r="T36" s="588"/>
      <c r="U36" s="187"/>
      <c r="V36" s="187"/>
      <c r="W36" s="184"/>
      <c r="X36" s="181"/>
      <c r="Y36" s="588"/>
      <c r="Z36" s="187"/>
      <c r="AA36" s="187"/>
      <c r="AB36" s="184"/>
      <c r="AC36" s="181"/>
      <c r="AD36" s="588"/>
      <c r="AE36" s="187"/>
      <c r="AF36" s="187"/>
      <c r="AG36" s="184"/>
      <c r="AH36" s="181"/>
      <c r="AI36" s="588"/>
      <c r="AJ36" s="187"/>
      <c r="AK36" s="187"/>
      <c r="AL36" s="184"/>
      <c r="AM36" s="181"/>
      <c r="AN36" s="588"/>
      <c r="AO36" s="187"/>
      <c r="AP36" s="187"/>
      <c r="AQ36" s="184"/>
      <c r="AR36" s="181"/>
      <c r="AS36" s="588"/>
      <c r="AT36" s="187"/>
      <c r="AU36" s="187"/>
      <c r="AV36" s="184"/>
      <c r="AW36" s="181"/>
      <c r="AX36" s="588"/>
    </row>
    <row r="37" spans="2:50" ht="14.25" customHeight="1">
      <c r="B37" s="586"/>
      <c r="C37" s="179">
        <v>11</v>
      </c>
      <c r="D37" s="182"/>
      <c r="E37" s="179"/>
      <c r="F37" s="179"/>
      <c r="G37" s="184"/>
      <c r="H37" s="588"/>
      <c r="I37" s="185"/>
      <c r="J37" s="185"/>
      <c r="K37" s="186"/>
      <c r="L37" s="589"/>
      <c r="M37" s="185"/>
      <c r="N37" s="586"/>
      <c r="O37" s="586"/>
      <c r="P37" s="187"/>
      <c r="Q37" s="187"/>
      <c r="R37" s="184"/>
      <c r="S37" s="181"/>
      <c r="T37" s="588"/>
      <c r="U37" s="187"/>
      <c r="V37" s="187"/>
      <c r="W37" s="184"/>
      <c r="X37" s="181"/>
      <c r="Y37" s="588"/>
      <c r="Z37" s="187"/>
      <c r="AA37" s="187"/>
      <c r="AB37" s="184"/>
      <c r="AC37" s="181"/>
      <c r="AD37" s="588"/>
      <c r="AE37" s="187"/>
      <c r="AF37" s="187"/>
      <c r="AG37" s="184"/>
      <c r="AH37" s="181"/>
      <c r="AI37" s="588"/>
      <c r="AJ37" s="187"/>
      <c r="AK37" s="187"/>
      <c r="AL37" s="184"/>
      <c r="AM37" s="181"/>
      <c r="AN37" s="588"/>
      <c r="AO37" s="187"/>
      <c r="AP37" s="187"/>
      <c r="AQ37" s="184"/>
      <c r="AR37" s="181"/>
      <c r="AS37" s="588"/>
      <c r="AT37" s="187"/>
      <c r="AU37" s="187"/>
      <c r="AV37" s="184"/>
      <c r="AW37" s="181"/>
      <c r="AX37" s="588"/>
    </row>
    <row r="38" spans="2:50" ht="14.25" customHeight="1">
      <c r="B38" s="586"/>
      <c r="C38" s="179">
        <v>12</v>
      </c>
      <c r="D38" s="182"/>
      <c r="E38" s="179"/>
      <c r="F38" s="179"/>
      <c r="G38" s="184"/>
      <c r="H38" s="588"/>
      <c r="I38" s="185"/>
      <c r="J38" s="185"/>
      <c r="K38" s="186"/>
      <c r="L38" s="589"/>
      <c r="M38" s="185"/>
      <c r="N38" s="586"/>
      <c r="O38" s="586"/>
      <c r="P38" s="187"/>
      <c r="Q38" s="187"/>
      <c r="R38" s="184"/>
      <c r="S38" s="181"/>
      <c r="T38" s="588"/>
      <c r="U38" s="187"/>
      <c r="V38" s="187"/>
      <c r="W38" s="184"/>
      <c r="X38" s="181"/>
      <c r="Y38" s="588"/>
      <c r="Z38" s="187"/>
      <c r="AA38" s="187"/>
      <c r="AB38" s="184"/>
      <c r="AC38" s="181"/>
      <c r="AD38" s="588"/>
      <c r="AE38" s="187"/>
      <c r="AF38" s="187"/>
      <c r="AG38" s="184"/>
      <c r="AH38" s="181"/>
      <c r="AI38" s="588"/>
      <c r="AJ38" s="187"/>
      <c r="AK38" s="187"/>
      <c r="AL38" s="184"/>
      <c r="AM38" s="181"/>
      <c r="AN38" s="588"/>
      <c r="AO38" s="187"/>
      <c r="AP38" s="187"/>
      <c r="AQ38" s="184"/>
      <c r="AR38" s="181"/>
      <c r="AS38" s="588"/>
      <c r="AT38" s="187"/>
      <c r="AU38" s="187"/>
      <c r="AV38" s="184"/>
      <c r="AW38" s="181"/>
      <c r="AX38" s="588"/>
    </row>
    <row r="39" spans="2:50" ht="14.25" customHeight="1">
      <c r="B39" s="586"/>
      <c r="C39" s="179">
        <v>13</v>
      </c>
      <c r="D39" s="182"/>
      <c r="E39" s="179"/>
      <c r="F39" s="179"/>
      <c r="G39" s="184"/>
      <c r="H39" s="588"/>
      <c r="I39" s="185"/>
      <c r="J39" s="185"/>
      <c r="K39" s="186"/>
      <c r="L39" s="589"/>
      <c r="M39" s="185"/>
      <c r="N39" s="586"/>
      <c r="O39" s="586"/>
      <c r="P39" s="187"/>
      <c r="Q39" s="187"/>
      <c r="R39" s="184"/>
      <c r="S39" s="181"/>
      <c r="T39" s="588"/>
      <c r="U39" s="187"/>
      <c r="V39" s="187"/>
      <c r="W39" s="184"/>
      <c r="X39" s="181"/>
      <c r="Y39" s="588"/>
      <c r="Z39" s="187"/>
      <c r="AA39" s="187"/>
      <c r="AB39" s="184"/>
      <c r="AC39" s="181"/>
      <c r="AD39" s="588"/>
      <c r="AE39" s="187"/>
      <c r="AF39" s="187"/>
      <c r="AG39" s="184"/>
      <c r="AH39" s="181"/>
      <c r="AI39" s="588"/>
      <c r="AJ39" s="187"/>
      <c r="AK39" s="187"/>
      <c r="AL39" s="184"/>
      <c r="AM39" s="181"/>
      <c r="AN39" s="588"/>
      <c r="AO39" s="187"/>
      <c r="AP39" s="187"/>
      <c r="AQ39" s="184"/>
      <c r="AR39" s="181"/>
      <c r="AS39" s="588"/>
      <c r="AT39" s="187"/>
      <c r="AU39" s="187"/>
      <c r="AV39" s="184"/>
      <c r="AW39" s="181"/>
      <c r="AX39" s="588"/>
    </row>
    <row r="40" spans="2:50" ht="14.25" customHeight="1">
      <c r="B40" s="586"/>
      <c r="C40" s="179">
        <v>14</v>
      </c>
      <c r="D40" s="182"/>
      <c r="E40" s="179"/>
      <c r="F40" s="179"/>
      <c r="G40" s="184"/>
      <c r="H40" s="588"/>
      <c r="I40" s="185"/>
      <c r="J40" s="185"/>
      <c r="K40" s="186"/>
      <c r="L40" s="589"/>
      <c r="M40" s="185"/>
      <c r="N40" s="586"/>
      <c r="O40" s="586"/>
      <c r="P40" s="187"/>
      <c r="Q40" s="187"/>
      <c r="R40" s="184"/>
      <c r="S40" s="181"/>
      <c r="T40" s="588"/>
      <c r="U40" s="187"/>
      <c r="V40" s="187"/>
      <c r="W40" s="184"/>
      <c r="X40" s="181"/>
      <c r="Y40" s="588"/>
      <c r="Z40" s="187"/>
      <c r="AA40" s="187"/>
      <c r="AB40" s="184"/>
      <c r="AC40" s="181"/>
      <c r="AD40" s="588"/>
      <c r="AE40" s="187"/>
      <c r="AF40" s="187"/>
      <c r="AG40" s="184"/>
      <c r="AH40" s="181"/>
      <c r="AI40" s="588"/>
      <c r="AJ40" s="187"/>
      <c r="AK40" s="187"/>
      <c r="AL40" s="184"/>
      <c r="AM40" s="181"/>
      <c r="AN40" s="588"/>
      <c r="AO40" s="187"/>
      <c r="AP40" s="187"/>
      <c r="AQ40" s="184"/>
      <c r="AR40" s="181"/>
      <c r="AS40" s="588"/>
      <c r="AT40" s="187"/>
      <c r="AU40" s="187"/>
      <c r="AV40" s="184"/>
      <c r="AW40" s="181"/>
      <c r="AX40" s="588"/>
    </row>
    <row r="41" spans="2:50" ht="14.25" customHeight="1">
      <c r="B41" s="586"/>
      <c r="C41" s="179">
        <v>15</v>
      </c>
      <c r="D41" s="182"/>
      <c r="E41" s="179"/>
      <c r="F41" s="179"/>
      <c r="G41" s="184"/>
      <c r="H41" s="588"/>
      <c r="I41" s="185"/>
      <c r="J41" s="185"/>
      <c r="K41" s="186"/>
      <c r="L41" s="589"/>
      <c r="M41" s="185"/>
      <c r="N41" s="586"/>
      <c r="O41" s="586"/>
      <c r="P41" s="187"/>
      <c r="Q41" s="187"/>
      <c r="R41" s="184"/>
      <c r="S41" s="181"/>
      <c r="T41" s="588"/>
      <c r="U41" s="187"/>
      <c r="V41" s="187"/>
      <c r="W41" s="184"/>
      <c r="X41" s="181"/>
      <c r="Y41" s="588"/>
      <c r="Z41" s="187"/>
      <c r="AA41" s="187"/>
      <c r="AB41" s="184"/>
      <c r="AC41" s="181"/>
      <c r="AD41" s="588"/>
      <c r="AE41" s="187"/>
      <c r="AF41" s="187"/>
      <c r="AG41" s="184"/>
      <c r="AH41" s="181"/>
      <c r="AI41" s="588"/>
      <c r="AJ41" s="187"/>
      <c r="AK41" s="187"/>
      <c r="AL41" s="184"/>
      <c r="AM41" s="181"/>
      <c r="AN41" s="588"/>
      <c r="AO41" s="187"/>
      <c r="AP41" s="187"/>
      <c r="AQ41" s="184"/>
      <c r="AR41" s="181"/>
      <c r="AS41" s="588"/>
      <c r="AT41" s="187"/>
      <c r="AU41" s="187"/>
      <c r="AV41" s="184"/>
      <c r="AW41" s="181"/>
      <c r="AX41" s="588"/>
    </row>
    <row r="42" spans="2:50" ht="14.25" customHeight="1">
      <c r="B42" s="612" t="s">
        <v>712</v>
      </c>
      <c r="C42" s="613"/>
      <c r="D42" s="613"/>
      <c r="E42" s="613"/>
      <c r="F42" s="613"/>
      <c r="G42" s="613"/>
      <c r="H42" s="613"/>
      <c r="I42" s="613"/>
      <c r="J42" s="613"/>
      <c r="K42" s="613"/>
      <c r="L42" s="613"/>
      <c r="M42" s="614"/>
      <c r="N42" s="617" t="s">
        <v>341</v>
      </c>
      <c r="O42" s="617" t="s">
        <v>105</v>
      </c>
      <c r="P42" s="600">
        <v>46245</v>
      </c>
      <c r="Q42" s="601"/>
      <c r="R42" s="601"/>
      <c r="S42" s="601"/>
      <c r="T42" s="601"/>
      <c r="U42" s="602">
        <v>46246</v>
      </c>
      <c r="V42" s="603"/>
      <c r="W42" s="603"/>
      <c r="X42" s="603"/>
      <c r="Y42" s="603"/>
      <c r="Z42" s="600">
        <v>46247</v>
      </c>
      <c r="AA42" s="601"/>
      <c r="AB42" s="601"/>
      <c r="AC42" s="601"/>
      <c r="AD42" s="601"/>
      <c r="AE42" s="602">
        <v>46248</v>
      </c>
      <c r="AF42" s="603"/>
      <c r="AG42" s="603"/>
      <c r="AH42" s="603"/>
      <c r="AI42" s="603"/>
      <c r="AJ42" s="609">
        <v>46249</v>
      </c>
      <c r="AK42" s="610"/>
      <c r="AL42" s="610"/>
      <c r="AM42" s="610"/>
      <c r="AN42" s="611"/>
      <c r="AO42" s="602">
        <v>46250</v>
      </c>
      <c r="AP42" s="603"/>
      <c r="AQ42" s="603"/>
      <c r="AR42" s="603"/>
      <c r="AS42" s="603"/>
      <c r="AT42" s="609">
        <v>46251</v>
      </c>
      <c r="AU42" s="610"/>
      <c r="AV42" s="610"/>
      <c r="AW42" s="610"/>
      <c r="AX42" s="611"/>
    </row>
    <row r="43" spans="2:50" ht="14.25" customHeight="1">
      <c r="B43" s="615"/>
      <c r="C43" s="615"/>
      <c r="D43" s="615"/>
      <c r="E43" s="615"/>
      <c r="F43" s="615"/>
      <c r="G43" s="615"/>
      <c r="H43" s="615"/>
      <c r="I43" s="615"/>
      <c r="J43" s="615"/>
      <c r="K43" s="615"/>
      <c r="L43" s="615"/>
      <c r="M43" s="616"/>
      <c r="N43" s="618"/>
      <c r="O43" s="618"/>
      <c r="P43" s="604">
        <v>46196</v>
      </c>
      <c r="Q43" s="604"/>
      <c r="R43" s="604"/>
      <c r="S43" s="604"/>
      <c r="T43" s="604"/>
      <c r="U43" s="605">
        <v>46197</v>
      </c>
      <c r="V43" s="605"/>
      <c r="W43" s="605"/>
      <c r="X43" s="605"/>
      <c r="Y43" s="605"/>
      <c r="Z43" s="604">
        <v>46198</v>
      </c>
      <c r="AA43" s="604"/>
      <c r="AB43" s="604"/>
      <c r="AC43" s="604"/>
      <c r="AD43" s="604"/>
      <c r="AE43" s="605">
        <v>46199</v>
      </c>
      <c r="AF43" s="605"/>
      <c r="AG43" s="605"/>
      <c r="AH43" s="605"/>
      <c r="AI43" s="605"/>
      <c r="AJ43" s="606">
        <v>46200</v>
      </c>
      <c r="AK43" s="607"/>
      <c r="AL43" s="607"/>
      <c r="AM43" s="607"/>
      <c r="AN43" s="608"/>
      <c r="AO43" s="605">
        <v>46201</v>
      </c>
      <c r="AP43" s="605"/>
      <c r="AQ43" s="605"/>
      <c r="AR43" s="605"/>
      <c r="AS43" s="605"/>
      <c r="AT43" s="606">
        <v>46202</v>
      </c>
      <c r="AU43" s="607"/>
      <c r="AV43" s="607"/>
      <c r="AW43" s="607"/>
      <c r="AX43" s="608"/>
    </row>
    <row r="44" spans="2:50" ht="14.25" customHeight="1">
      <c r="B44" s="586" t="s">
        <v>162</v>
      </c>
      <c r="C44" s="586" t="s">
        <v>157</v>
      </c>
      <c r="D44" s="586"/>
      <c r="E44" s="586" t="s">
        <v>158</v>
      </c>
      <c r="F44" s="586"/>
      <c r="G44" s="586"/>
      <c r="H44" s="586" t="s">
        <v>163</v>
      </c>
      <c r="I44" s="592" t="s">
        <v>342</v>
      </c>
      <c r="J44" s="592"/>
      <c r="K44" s="592"/>
      <c r="L44" s="592" t="s">
        <v>163</v>
      </c>
      <c r="M44" s="592" t="s">
        <v>165</v>
      </c>
      <c r="N44" s="586"/>
      <c r="O44" s="586" t="s">
        <v>164</v>
      </c>
      <c r="P44" s="586" t="s">
        <v>160</v>
      </c>
      <c r="Q44" s="586"/>
      <c r="R44" s="586"/>
      <c r="S44" s="586"/>
      <c r="T44" s="586" t="s">
        <v>163</v>
      </c>
      <c r="U44" s="586" t="s">
        <v>160</v>
      </c>
      <c r="V44" s="586"/>
      <c r="W44" s="586"/>
      <c r="X44" s="586"/>
      <c r="Y44" s="586" t="s">
        <v>163</v>
      </c>
      <c r="Z44" s="586" t="s">
        <v>160</v>
      </c>
      <c r="AA44" s="586"/>
      <c r="AB44" s="586"/>
      <c r="AC44" s="586"/>
      <c r="AD44" s="586" t="s">
        <v>163</v>
      </c>
      <c r="AE44" s="586" t="s">
        <v>160</v>
      </c>
      <c r="AF44" s="586"/>
      <c r="AG44" s="586"/>
      <c r="AH44" s="586"/>
      <c r="AI44" s="586" t="s">
        <v>163</v>
      </c>
      <c r="AJ44" s="586" t="s">
        <v>160</v>
      </c>
      <c r="AK44" s="586"/>
      <c r="AL44" s="586"/>
      <c r="AM44" s="586"/>
      <c r="AN44" s="586" t="s">
        <v>163</v>
      </c>
      <c r="AO44" s="586" t="s">
        <v>160</v>
      </c>
      <c r="AP44" s="586"/>
      <c r="AQ44" s="586"/>
      <c r="AR44" s="586"/>
      <c r="AS44" s="586" t="s">
        <v>163</v>
      </c>
      <c r="AT44" s="586" t="s">
        <v>160</v>
      </c>
      <c r="AU44" s="586"/>
      <c r="AV44" s="586"/>
      <c r="AW44" s="586"/>
      <c r="AX44" s="586" t="s">
        <v>163</v>
      </c>
    </row>
    <row r="45" spans="2:50" ht="14.25" customHeight="1">
      <c r="B45" s="586"/>
      <c r="C45" s="586"/>
      <c r="D45" s="586"/>
      <c r="E45" s="586" t="s">
        <v>343</v>
      </c>
      <c r="F45" s="586"/>
      <c r="G45" s="586"/>
      <c r="H45" s="586"/>
      <c r="I45" s="592" t="s">
        <v>343</v>
      </c>
      <c r="J45" s="592"/>
      <c r="K45" s="592"/>
      <c r="L45" s="592"/>
      <c r="M45" s="592"/>
      <c r="N45" s="586"/>
      <c r="O45" s="586"/>
      <c r="P45" s="586" t="s">
        <v>344</v>
      </c>
      <c r="Q45" s="586"/>
      <c r="R45" s="586"/>
      <c r="S45" s="586"/>
      <c r="T45" s="586"/>
      <c r="U45" s="586" t="s">
        <v>344</v>
      </c>
      <c r="V45" s="586"/>
      <c r="W45" s="586"/>
      <c r="X45" s="586"/>
      <c r="Y45" s="586"/>
      <c r="Z45" s="586" t="s">
        <v>344</v>
      </c>
      <c r="AA45" s="586"/>
      <c r="AB45" s="586"/>
      <c r="AC45" s="586"/>
      <c r="AD45" s="586"/>
      <c r="AE45" s="586" t="s">
        <v>344</v>
      </c>
      <c r="AF45" s="586"/>
      <c r="AG45" s="586"/>
      <c r="AH45" s="586"/>
      <c r="AI45" s="586"/>
      <c r="AJ45" s="586" t="s">
        <v>344</v>
      </c>
      <c r="AK45" s="586"/>
      <c r="AL45" s="586"/>
      <c r="AM45" s="586"/>
      <c r="AN45" s="586"/>
      <c r="AO45" s="586" t="s">
        <v>344</v>
      </c>
      <c r="AP45" s="586"/>
      <c r="AQ45" s="586"/>
      <c r="AR45" s="586"/>
      <c r="AS45" s="586"/>
      <c r="AT45" s="586" t="s">
        <v>344</v>
      </c>
      <c r="AU45" s="586"/>
      <c r="AV45" s="586"/>
      <c r="AW45" s="586"/>
      <c r="AX45" s="586"/>
    </row>
    <row r="46" spans="2:50" ht="14.25" customHeight="1">
      <c r="B46" s="586"/>
      <c r="C46" s="586"/>
      <c r="D46" s="586"/>
      <c r="E46" s="179" t="s">
        <v>159</v>
      </c>
      <c r="F46" s="179" t="s">
        <v>345</v>
      </c>
      <c r="G46" s="179" t="s">
        <v>161</v>
      </c>
      <c r="H46" s="586"/>
      <c r="I46" s="180" t="s">
        <v>159</v>
      </c>
      <c r="J46" s="180" t="s">
        <v>345</v>
      </c>
      <c r="K46" s="180" t="s">
        <v>161</v>
      </c>
      <c r="L46" s="592"/>
      <c r="M46" s="592"/>
      <c r="N46" s="586"/>
      <c r="O46" s="586"/>
      <c r="P46" s="179" t="s">
        <v>159</v>
      </c>
      <c r="Q46" s="179" t="s">
        <v>345</v>
      </c>
      <c r="R46" s="179" t="s">
        <v>161</v>
      </c>
      <c r="S46" s="181" t="s">
        <v>165</v>
      </c>
      <c r="T46" s="586"/>
      <c r="U46" s="179" t="s">
        <v>159</v>
      </c>
      <c r="V46" s="179" t="s">
        <v>345</v>
      </c>
      <c r="W46" s="179" t="s">
        <v>161</v>
      </c>
      <c r="X46" s="181" t="s">
        <v>165</v>
      </c>
      <c r="Y46" s="586"/>
      <c r="Z46" s="179" t="s">
        <v>159</v>
      </c>
      <c r="AA46" s="179" t="s">
        <v>345</v>
      </c>
      <c r="AB46" s="179" t="s">
        <v>161</v>
      </c>
      <c r="AC46" s="181" t="s">
        <v>165</v>
      </c>
      <c r="AD46" s="586"/>
      <c r="AE46" s="179" t="s">
        <v>159</v>
      </c>
      <c r="AF46" s="179" t="s">
        <v>345</v>
      </c>
      <c r="AG46" s="179" t="s">
        <v>161</v>
      </c>
      <c r="AH46" s="181" t="s">
        <v>165</v>
      </c>
      <c r="AI46" s="586"/>
      <c r="AJ46" s="179" t="s">
        <v>159</v>
      </c>
      <c r="AK46" s="179" t="s">
        <v>345</v>
      </c>
      <c r="AL46" s="179" t="s">
        <v>161</v>
      </c>
      <c r="AM46" s="181" t="s">
        <v>165</v>
      </c>
      <c r="AN46" s="586"/>
      <c r="AO46" s="179" t="s">
        <v>159</v>
      </c>
      <c r="AP46" s="179" t="s">
        <v>345</v>
      </c>
      <c r="AQ46" s="179" t="s">
        <v>161</v>
      </c>
      <c r="AR46" s="181" t="s">
        <v>165</v>
      </c>
      <c r="AS46" s="586"/>
      <c r="AT46" s="179" t="s">
        <v>159</v>
      </c>
      <c r="AU46" s="179" t="s">
        <v>345</v>
      </c>
      <c r="AV46" s="179" t="s">
        <v>161</v>
      </c>
      <c r="AW46" s="181" t="s">
        <v>165</v>
      </c>
      <c r="AX46" s="586"/>
    </row>
    <row r="47" spans="2:50" ht="14.25" customHeight="1">
      <c r="B47" s="586" t="s">
        <v>137</v>
      </c>
      <c r="C47" s="179">
        <v>1</v>
      </c>
      <c r="D47" s="182" t="s">
        <v>330</v>
      </c>
      <c r="E47" s="183">
        <v>24</v>
      </c>
      <c r="F47" s="179">
        <v>2000</v>
      </c>
      <c r="G47" s="184">
        <f t="shared" ref="G47:G54" si="32">IFERROR(F47/E47,"")</f>
        <v>83.333333333333329</v>
      </c>
      <c r="H47" s="588">
        <f>AVERAGE(G47:G61)</f>
        <v>88.936100131752312</v>
      </c>
      <c r="I47" s="185">
        <f>AVERAGE(P47,U47,Z47,AE47,AJ47,AO47,AT47)</f>
        <v>24</v>
      </c>
      <c r="J47" s="185">
        <f>AVERAGE(Q47,V47,AA47,AF47,AK47,AP47,AU47)</f>
        <v>1804.3103701457853</v>
      </c>
      <c r="K47" s="186">
        <f>AVERAGE(R47,W47,AB47,AG47,AL47,AQ47,AV47)</f>
        <v>75.179598756074384</v>
      </c>
      <c r="L47" s="589">
        <f>IFERROR(AVERAGE(K47:K61),"-")</f>
        <v>80.159881732420288</v>
      </c>
      <c r="M47" s="185">
        <f>RANK(K47, K$47:$K$61)</f>
        <v>6</v>
      </c>
      <c r="N47" s="586"/>
      <c r="O47" s="586"/>
      <c r="P47" s="187">
        <v>24</v>
      </c>
      <c r="Q47" s="187">
        <v>1804.1103701457851</v>
      </c>
      <c r="R47" s="184">
        <f>IFERROR(Q47/P47,"")</f>
        <v>75.171265422741044</v>
      </c>
      <c r="S47" s="181">
        <f>RANK(R47, R$47:R$61)</f>
        <v>7</v>
      </c>
      <c r="T47" s="588">
        <f>AVERAGE(R47:R61)</f>
        <v>80.168733393440405</v>
      </c>
      <c r="U47" s="187">
        <v>24</v>
      </c>
      <c r="V47" s="187">
        <v>1803.5103701457856</v>
      </c>
      <c r="W47" s="184">
        <f t="shared" ref="W47:W54" si="33">IFERROR(V47/U47,"")</f>
        <v>75.146265422741067</v>
      </c>
      <c r="X47" s="181">
        <f>RANK(W47, W$47:W$61)</f>
        <v>7</v>
      </c>
      <c r="Y47" s="588">
        <f>AVERAGE(W47:W61)</f>
        <v>80.170157141793524</v>
      </c>
      <c r="Z47" s="187">
        <v>24</v>
      </c>
      <c r="AA47" s="187">
        <v>1803.9103701457857</v>
      </c>
      <c r="AB47" s="184">
        <f>IFERROR(AA47/Z47,"")</f>
        <v>75.162932089407732</v>
      </c>
      <c r="AC47" s="181">
        <f>RANK(AB47, AB$47:AB$61)</f>
        <v>6</v>
      </c>
      <c r="AD47" s="588">
        <f>AVERAGE(AB47:AB61)</f>
        <v>80.157536917814582</v>
      </c>
      <c r="AE47" s="187">
        <v>24</v>
      </c>
      <c r="AF47" s="187">
        <v>1804.9103701457855</v>
      </c>
      <c r="AG47" s="184">
        <f>IFERROR(AF47/AE47,"")</f>
        <v>75.20459875607439</v>
      </c>
      <c r="AH47" s="181">
        <f>RANK(AG47, AG$47:AG$61)</f>
        <v>6</v>
      </c>
      <c r="AI47" s="588">
        <f>AVERAGE(AG47:AG61)</f>
        <v>80.150905165508917</v>
      </c>
      <c r="AJ47" s="187">
        <v>24</v>
      </c>
      <c r="AK47" s="187">
        <v>1804.7103701457854</v>
      </c>
      <c r="AL47" s="184">
        <f>IFERROR(AK47/AJ47,"")</f>
        <v>75.196265422741064</v>
      </c>
      <c r="AM47" s="181">
        <f>RANK(AL47, AL$47:AL$61)</f>
        <v>6</v>
      </c>
      <c r="AN47" s="588">
        <f>AVERAGE(AL47:AL61)</f>
        <v>80.159431351279679</v>
      </c>
      <c r="AO47" s="187">
        <v>24</v>
      </c>
      <c r="AP47" s="187">
        <v>1804.1103701457857</v>
      </c>
      <c r="AQ47" s="184">
        <f>IFERROR(AP47/AO47,"")</f>
        <v>75.171265422741072</v>
      </c>
      <c r="AR47" s="181">
        <f>RANK(AQ47, AQ$47:AQ$61)</f>
        <v>7</v>
      </c>
      <c r="AS47" s="588">
        <f>AVERAGE(AQ47:AQ61)</f>
        <v>80.15625645009392</v>
      </c>
      <c r="AT47" s="187">
        <v>24</v>
      </c>
      <c r="AU47" s="187">
        <v>1804.9103701457857</v>
      </c>
      <c r="AV47" s="184">
        <f>IFERROR(AU47/AT47,"")</f>
        <v>75.204598756074404</v>
      </c>
      <c r="AW47" s="181">
        <f>RANK(AV47, AV$47:AV$61)</f>
        <v>7</v>
      </c>
      <c r="AX47" s="588">
        <f>AVERAGE(AV47:AV61)</f>
        <v>80.156151707010906</v>
      </c>
    </row>
    <row r="48" spans="2:50" ht="14.25" customHeight="1">
      <c r="B48" s="586"/>
      <c r="C48" s="179">
        <v>2</v>
      </c>
      <c r="D48" s="182" t="s">
        <v>331</v>
      </c>
      <c r="E48" s="179">
        <v>23</v>
      </c>
      <c r="F48" s="179">
        <v>2000</v>
      </c>
      <c r="G48" s="184">
        <f t="shared" si="32"/>
        <v>86.956521739130437</v>
      </c>
      <c r="H48" s="588"/>
      <c r="I48" s="185">
        <f t="shared" ref="I48:K54" si="34">AVERAGE(P48,U48,Z48,AE48,AJ48,AO48,AT48)</f>
        <v>23</v>
      </c>
      <c r="J48" s="185">
        <f t="shared" si="34"/>
        <v>1801.8330089793192</v>
      </c>
      <c r="K48" s="186">
        <f t="shared" si="34"/>
        <v>78.340565607796492</v>
      </c>
      <c r="L48" s="589"/>
      <c r="M48" s="185">
        <f>RANK(K48, K$47:$K$61)</f>
        <v>5</v>
      </c>
      <c r="N48" s="586"/>
      <c r="O48" s="586"/>
      <c r="P48" s="187">
        <v>23</v>
      </c>
      <c r="Q48" s="187">
        <v>1802.0615804078907</v>
      </c>
      <c r="R48" s="184">
        <f t="shared" ref="R48:R54" si="35">IFERROR(Q48/P48,"")</f>
        <v>78.350503495995241</v>
      </c>
      <c r="S48" s="181">
        <f t="shared" ref="S48:S54" si="36">RANK(R48, R$47:R$61)</f>
        <v>5</v>
      </c>
      <c r="T48" s="588"/>
      <c r="U48" s="187">
        <v>23</v>
      </c>
      <c r="V48" s="187">
        <v>1803.0615804078905</v>
      </c>
      <c r="W48" s="184">
        <f t="shared" si="33"/>
        <v>78.393981756864804</v>
      </c>
      <c r="X48" s="181">
        <f t="shared" ref="X48:X54" si="37">RANK(W48, W$47:W$61)</f>
        <v>4</v>
      </c>
      <c r="Y48" s="588"/>
      <c r="Z48" s="187">
        <v>23</v>
      </c>
      <c r="AA48" s="187">
        <v>1802.2615804078905</v>
      </c>
      <c r="AB48" s="184">
        <f t="shared" ref="AB48:AB54" si="38">IFERROR(AA48/Z48,"")</f>
        <v>78.359199148169154</v>
      </c>
      <c r="AC48" s="181">
        <f t="shared" ref="AC48:AC54" si="39">RANK(AB48, AB$47:AB$61)</f>
        <v>4</v>
      </c>
      <c r="AD48" s="588"/>
      <c r="AE48" s="187">
        <v>23</v>
      </c>
      <c r="AF48" s="187">
        <v>1801.8615804078906</v>
      </c>
      <c r="AG48" s="184">
        <f t="shared" ref="AG48:AG54" si="40">IFERROR(AF48/AE48,"")</f>
        <v>78.341807843821329</v>
      </c>
      <c r="AH48" s="181">
        <f t="shared" ref="AH48:AH54" si="41">RANK(AG48, AG$47:AG$61)</f>
        <v>4</v>
      </c>
      <c r="AI48" s="588"/>
      <c r="AJ48" s="187">
        <v>23</v>
      </c>
      <c r="AK48" s="187">
        <v>1801.261580407891</v>
      </c>
      <c r="AL48" s="184">
        <f t="shared" ref="AL48:AL54" si="42">IFERROR(AK48/AJ48,"")</f>
        <v>78.315720887299605</v>
      </c>
      <c r="AM48" s="181">
        <f t="shared" ref="AM48:AM54" si="43">RANK(AL48, AL$47:AL$61)</f>
        <v>5</v>
      </c>
      <c r="AN48" s="588"/>
      <c r="AO48" s="187">
        <v>23</v>
      </c>
      <c r="AP48" s="187">
        <v>1801.6615804078904</v>
      </c>
      <c r="AQ48" s="184">
        <f t="shared" ref="AQ48:AQ54" si="44">IFERROR(AP48/AO48,"")</f>
        <v>78.333112191647402</v>
      </c>
      <c r="AR48" s="181">
        <f t="shared" ref="AR48:AR54" si="45">RANK(AQ48, AQ$47:AQ$61)</f>
        <v>5</v>
      </c>
      <c r="AS48" s="588"/>
      <c r="AT48" s="187">
        <v>23</v>
      </c>
      <c r="AU48" s="187">
        <v>1800.6615804078904</v>
      </c>
      <c r="AV48" s="184">
        <f t="shared" ref="AV48:AV54" si="46">IFERROR(AU48/AT48,"")</f>
        <v>78.289633930777839</v>
      </c>
      <c r="AW48" s="181">
        <f t="shared" ref="AW48:AW54" si="47">RANK(AV48, AV$47:AV$61)</f>
        <v>5</v>
      </c>
      <c r="AX48" s="588"/>
    </row>
    <row r="49" spans="2:50" ht="14.25" customHeight="1">
      <c r="B49" s="586"/>
      <c r="C49" s="179">
        <v>3</v>
      </c>
      <c r="D49" s="182" t="s">
        <v>411</v>
      </c>
      <c r="E49" s="179">
        <v>23</v>
      </c>
      <c r="F49" s="179">
        <v>2000</v>
      </c>
      <c r="G49" s="184">
        <f t="shared" si="32"/>
        <v>86.956521739130437</v>
      </c>
      <c r="H49" s="588"/>
      <c r="I49" s="185">
        <f t="shared" si="34"/>
        <v>23</v>
      </c>
      <c r="J49" s="185">
        <f t="shared" si="34"/>
        <v>1802.2653912242042</v>
      </c>
      <c r="K49" s="186">
        <f t="shared" si="34"/>
        <v>78.359364835834981</v>
      </c>
      <c r="L49" s="589"/>
      <c r="M49" s="185">
        <f>RANK(K49, K$47:$K$61)</f>
        <v>4</v>
      </c>
      <c r="N49" s="586"/>
      <c r="O49" s="586"/>
      <c r="P49" s="187">
        <v>23</v>
      </c>
      <c r="Q49" s="187">
        <v>1802.77967693849</v>
      </c>
      <c r="R49" s="184">
        <f t="shared" si="35"/>
        <v>78.381725084282166</v>
      </c>
      <c r="S49" s="181">
        <f t="shared" si="36"/>
        <v>4</v>
      </c>
      <c r="T49" s="588"/>
      <c r="U49" s="187">
        <v>23</v>
      </c>
      <c r="V49" s="187">
        <v>1802.3796769384901</v>
      </c>
      <c r="W49" s="184">
        <f t="shared" si="33"/>
        <v>78.364333779934356</v>
      </c>
      <c r="X49" s="181">
        <f t="shared" si="37"/>
        <v>5</v>
      </c>
      <c r="Y49" s="588"/>
      <c r="Z49" s="187">
        <v>23</v>
      </c>
      <c r="AA49" s="187">
        <v>1801.9796769384902</v>
      </c>
      <c r="AB49" s="184">
        <f t="shared" si="38"/>
        <v>78.34694247558653</v>
      </c>
      <c r="AC49" s="181">
        <f t="shared" si="39"/>
        <v>5</v>
      </c>
      <c r="AD49" s="588"/>
      <c r="AE49" s="187">
        <v>23</v>
      </c>
      <c r="AF49" s="187">
        <v>1801.3796769384903</v>
      </c>
      <c r="AG49" s="184">
        <f t="shared" si="40"/>
        <v>78.320855519064793</v>
      </c>
      <c r="AH49" s="181">
        <f t="shared" si="41"/>
        <v>5</v>
      </c>
      <c r="AI49" s="588"/>
      <c r="AJ49" s="187">
        <v>23</v>
      </c>
      <c r="AK49" s="187">
        <v>1802.3796769384903</v>
      </c>
      <c r="AL49" s="184">
        <f t="shared" si="42"/>
        <v>78.364333779934356</v>
      </c>
      <c r="AM49" s="181">
        <f t="shared" si="43"/>
        <v>4</v>
      </c>
      <c r="AN49" s="588"/>
      <c r="AO49" s="187">
        <v>23</v>
      </c>
      <c r="AP49" s="187">
        <v>1802.77967693849</v>
      </c>
      <c r="AQ49" s="184">
        <f t="shared" si="44"/>
        <v>78.381725084282166</v>
      </c>
      <c r="AR49" s="181">
        <f t="shared" si="45"/>
        <v>4</v>
      </c>
      <c r="AS49" s="588"/>
      <c r="AT49" s="187">
        <v>23</v>
      </c>
      <c r="AU49" s="187">
        <v>1802.17967693849</v>
      </c>
      <c r="AV49" s="184">
        <f t="shared" si="46"/>
        <v>78.355638127760443</v>
      </c>
      <c r="AW49" s="181">
        <f t="shared" si="47"/>
        <v>4</v>
      </c>
      <c r="AX49" s="588"/>
    </row>
    <row r="50" spans="2:50" ht="14.25" customHeight="1">
      <c r="B50" s="586"/>
      <c r="C50" s="179">
        <v>4</v>
      </c>
      <c r="D50" s="182" t="s">
        <v>413</v>
      </c>
      <c r="E50" s="179">
        <v>22</v>
      </c>
      <c r="F50" s="179">
        <v>2000</v>
      </c>
      <c r="G50" s="184">
        <f t="shared" si="32"/>
        <v>90.909090909090907</v>
      </c>
      <c r="H50" s="588"/>
      <c r="I50" s="185">
        <f t="shared" si="34"/>
        <v>22</v>
      </c>
      <c r="J50" s="185">
        <f t="shared" si="34"/>
        <v>1801.356663867203</v>
      </c>
      <c r="K50" s="186">
        <f t="shared" si="34"/>
        <v>81.879848357600139</v>
      </c>
      <c r="L50" s="589"/>
      <c r="M50" s="185">
        <f>RANK(K50, K$47:$K$61)</f>
        <v>3</v>
      </c>
      <c r="N50" s="586"/>
      <c r="O50" s="586"/>
      <c r="P50" s="187">
        <v>22</v>
      </c>
      <c r="Q50" s="187">
        <v>1803.0138067243454</v>
      </c>
      <c r="R50" s="184">
        <f t="shared" si="35"/>
        <v>81.95517303292479</v>
      </c>
      <c r="S50" s="181">
        <f t="shared" si="36"/>
        <v>3</v>
      </c>
      <c r="T50" s="588"/>
      <c r="U50" s="187">
        <v>22</v>
      </c>
      <c r="V50" s="187">
        <v>1802.2138067243454</v>
      </c>
      <c r="W50" s="184">
        <f t="shared" si="33"/>
        <v>81.918809396561159</v>
      </c>
      <c r="X50" s="181">
        <f t="shared" si="37"/>
        <v>3</v>
      </c>
      <c r="Y50" s="588"/>
      <c r="Z50" s="187">
        <v>22</v>
      </c>
      <c r="AA50" s="187">
        <v>1801.2138067243454</v>
      </c>
      <c r="AB50" s="184">
        <f t="shared" si="38"/>
        <v>81.873354851106612</v>
      </c>
      <c r="AC50" s="181">
        <f t="shared" si="39"/>
        <v>3</v>
      </c>
      <c r="AD50" s="588"/>
      <c r="AE50" s="187">
        <v>22</v>
      </c>
      <c r="AF50" s="187">
        <v>1801.4138067243455</v>
      </c>
      <c r="AG50" s="184">
        <f t="shared" si="40"/>
        <v>81.882445760197527</v>
      </c>
      <c r="AH50" s="181">
        <f t="shared" si="41"/>
        <v>3</v>
      </c>
      <c r="AI50" s="588"/>
      <c r="AJ50" s="187">
        <v>22</v>
      </c>
      <c r="AK50" s="187">
        <v>1801.0138067243458</v>
      </c>
      <c r="AL50" s="184">
        <f t="shared" si="42"/>
        <v>81.864263942015725</v>
      </c>
      <c r="AM50" s="181">
        <f t="shared" si="43"/>
        <v>3</v>
      </c>
      <c r="AN50" s="588"/>
      <c r="AO50" s="187">
        <v>22</v>
      </c>
      <c r="AP50" s="187">
        <v>1800.613806724346</v>
      </c>
      <c r="AQ50" s="184">
        <f t="shared" si="44"/>
        <v>81.846082123833909</v>
      </c>
      <c r="AR50" s="181">
        <f t="shared" si="45"/>
        <v>3</v>
      </c>
      <c r="AS50" s="588"/>
      <c r="AT50" s="187">
        <v>22</v>
      </c>
      <c r="AU50" s="187">
        <v>1800.0138067243463</v>
      </c>
      <c r="AV50" s="184">
        <f t="shared" si="46"/>
        <v>81.818809396561193</v>
      </c>
      <c r="AW50" s="181">
        <f t="shared" si="47"/>
        <v>3</v>
      </c>
      <c r="AX50" s="588"/>
    </row>
    <row r="51" spans="2:50" ht="14.25" customHeight="1">
      <c r="B51" s="586"/>
      <c r="C51" s="179">
        <v>5</v>
      </c>
      <c r="D51" s="182" t="s">
        <v>415</v>
      </c>
      <c r="E51" s="179">
        <v>20</v>
      </c>
      <c r="F51" s="179">
        <v>2000</v>
      </c>
      <c r="G51" s="184">
        <f t="shared" si="32"/>
        <v>100</v>
      </c>
      <c r="H51" s="588"/>
      <c r="I51" s="185">
        <f t="shared" si="34"/>
        <v>20</v>
      </c>
      <c r="J51" s="185">
        <f t="shared" si="34"/>
        <v>1802.1482139012248</v>
      </c>
      <c r="K51" s="186">
        <f t="shared" si="34"/>
        <v>90.107410695061262</v>
      </c>
      <c r="L51" s="589"/>
      <c r="M51" s="185">
        <f>RANK(K51, K$47:$K$61)</f>
        <v>1</v>
      </c>
      <c r="N51" s="586"/>
      <c r="O51" s="586"/>
      <c r="P51" s="187">
        <v>20</v>
      </c>
      <c r="Q51" s="187">
        <v>1801.948213901225</v>
      </c>
      <c r="R51" s="184">
        <f t="shared" si="35"/>
        <v>90.097410695061257</v>
      </c>
      <c r="S51" s="181">
        <f t="shared" si="36"/>
        <v>2</v>
      </c>
      <c r="T51" s="588"/>
      <c r="U51" s="187">
        <v>20</v>
      </c>
      <c r="V51" s="187">
        <v>1802.3482139012251</v>
      </c>
      <c r="W51" s="184">
        <f t="shared" si="33"/>
        <v>90.117410695061253</v>
      </c>
      <c r="X51" s="181">
        <f t="shared" si="37"/>
        <v>2</v>
      </c>
      <c r="Y51" s="588"/>
      <c r="Z51" s="187">
        <v>20</v>
      </c>
      <c r="AA51" s="187">
        <v>1802.1482139012251</v>
      </c>
      <c r="AB51" s="184">
        <f t="shared" si="38"/>
        <v>90.107410695061247</v>
      </c>
      <c r="AC51" s="181">
        <f t="shared" si="39"/>
        <v>2</v>
      </c>
      <c r="AD51" s="588"/>
      <c r="AE51" s="187">
        <v>20</v>
      </c>
      <c r="AF51" s="187">
        <v>1802.3482139012253</v>
      </c>
      <c r="AG51" s="184">
        <f t="shared" si="40"/>
        <v>90.117410695061267</v>
      </c>
      <c r="AH51" s="181">
        <f t="shared" si="41"/>
        <v>1</v>
      </c>
      <c r="AI51" s="588"/>
      <c r="AJ51" s="187">
        <v>20</v>
      </c>
      <c r="AK51" s="187">
        <v>1802.3482139012253</v>
      </c>
      <c r="AL51" s="184">
        <f t="shared" si="42"/>
        <v>90.117410695061267</v>
      </c>
      <c r="AM51" s="181">
        <f t="shared" si="43"/>
        <v>1</v>
      </c>
      <c r="AN51" s="588"/>
      <c r="AO51" s="187">
        <v>20</v>
      </c>
      <c r="AP51" s="187">
        <v>1801.7482139012252</v>
      </c>
      <c r="AQ51" s="184">
        <f t="shared" si="44"/>
        <v>90.087410695061266</v>
      </c>
      <c r="AR51" s="181">
        <f t="shared" si="45"/>
        <v>1</v>
      </c>
      <c r="AS51" s="588"/>
      <c r="AT51" s="187">
        <v>20</v>
      </c>
      <c r="AU51" s="187">
        <v>1802.1482139012251</v>
      </c>
      <c r="AV51" s="184">
        <f t="shared" si="46"/>
        <v>90.107410695061247</v>
      </c>
      <c r="AW51" s="181">
        <f t="shared" si="47"/>
        <v>1</v>
      </c>
      <c r="AX51" s="588"/>
    </row>
    <row r="52" spans="2:50" ht="14.25" customHeight="1">
      <c r="B52" s="586"/>
      <c r="C52" s="179">
        <v>6</v>
      </c>
      <c r="D52" s="182" t="s">
        <v>471</v>
      </c>
      <c r="E52" s="179">
        <v>25</v>
      </c>
      <c r="F52" s="179">
        <v>2000</v>
      </c>
      <c r="G52" s="184">
        <f t="shared" si="32"/>
        <v>80</v>
      </c>
      <c r="H52" s="588"/>
      <c r="I52" s="185">
        <f t="shared" si="34"/>
        <v>25</v>
      </c>
      <c r="J52" s="185">
        <f t="shared" si="34"/>
        <v>1803.5930326107775</v>
      </c>
      <c r="K52" s="186">
        <f t="shared" si="34"/>
        <v>72.143721304431082</v>
      </c>
      <c r="L52" s="589"/>
      <c r="M52" s="185">
        <f>RANK(K52, K$47:$K$61)</f>
        <v>8</v>
      </c>
      <c r="N52" s="586"/>
      <c r="O52" s="586"/>
      <c r="P52" s="187">
        <v>25</v>
      </c>
      <c r="Q52" s="187">
        <v>1802.8216040393493</v>
      </c>
      <c r="R52" s="184">
        <f t="shared" si="35"/>
        <v>72.112864161573967</v>
      </c>
      <c r="S52" s="181">
        <f t="shared" si="36"/>
        <v>8</v>
      </c>
      <c r="T52" s="588"/>
      <c r="U52" s="187">
        <v>25</v>
      </c>
      <c r="V52" s="187">
        <v>1803.8216040393488</v>
      </c>
      <c r="W52" s="184">
        <f t="shared" si="33"/>
        <v>72.152864161573959</v>
      </c>
      <c r="X52" s="181">
        <f t="shared" si="37"/>
        <v>8</v>
      </c>
      <c r="Y52" s="588"/>
      <c r="Z52" s="187">
        <v>25</v>
      </c>
      <c r="AA52" s="187">
        <v>1803.8216040393486</v>
      </c>
      <c r="AB52" s="184">
        <f t="shared" si="38"/>
        <v>72.152864161573945</v>
      </c>
      <c r="AC52" s="181">
        <f t="shared" si="39"/>
        <v>8</v>
      </c>
      <c r="AD52" s="588"/>
      <c r="AE52" s="187">
        <v>25</v>
      </c>
      <c r="AF52" s="187">
        <v>1803.0216040393489</v>
      </c>
      <c r="AG52" s="184">
        <f t="shared" si="40"/>
        <v>72.120864161573948</v>
      </c>
      <c r="AH52" s="181">
        <f t="shared" si="41"/>
        <v>8</v>
      </c>
      <c r="AI52" s="588"/>
      <c r="AJ52" s="187">
        <v>25</v>
      </c>
      <c r="AK52" s="187">
        <v>1803.6216040393488</v>
      </c>
      <c r="AL52" s="184">
        <f t="shared" si="42"/>
        <v>72.144864161573949</v>
      </c>
      <c r="AM52" s="181">
        <f t="shared" si="43"/>
        <v>8</v>
      </c>
      <c r="AN52" s="588"/>
      <c r="AO52" s="187">
        <v>25</v>
      </c>
      <c r="AP52" s="187">
        <v>1803.8216040393486</v>
      </c>
      <c r="AQ52" s="184">
        <f t="shared" si="44"/>
        <v>72.152864161573945</v>
      </c>
      <c r="AR52" s="181">
        <f t="shared" si="45"/>
        <v>8</v>
      </c>
      <c r="AS52" s="588"/>
      <c r="AT52" s="187">
        <v>25</v>
      </c>
      <c r="AU52" s="187">
        <v>1804.2216040393487</v>
      </c>
      <c r="AV52" s="184">
        <f t="shared" si="46"/>
        <v>72.16886416157395</v>
      </c>
      <c r="AW52" s="181">
        <f t="shared" si="47"/>
        <v>8</v>
      </c>
      <c r="AX52" s="588"/>
    </row>
    <row r="53" spans="2:50" ht="14.25" customHeight="1">
      <c r="B53" s="586"/>
      <c r="C53" s="179">
        <v>7</v>
      </c>
      <c r="D53" s="182" t="s">
        <v>525</v>
      </c>
      <c r="E53" s="179">
        <v>20</v>
      </c>
      <c r="F53" s="179">
        <v>2000</v>
      </c>
      <c r="G53" s="184">
        <f t="shared" si="32"/>
        <v>100</v>
      </c>
      <c r="H53" s="588"/>
      <c r="I53" s="185">
        <f t="shared" si="34"/>
        <v>20</v>
      </c>
      <c r="J53" s="185">
        <f t="shared" si="34"/>
        <v>1801.9225504184299</v>
      </c>
      <c r="K53" s="186">
        <f t="shared" si="34"/>
        <v>90.096127520921513</v>
      </c>
      <c r="L53" s="589"/>
      <c r="M53" s="185">
        <f>RANK(K53, K$47:$K$61)</f>
        <v>2</v>
      </c>
      <c r="N53" s="586"/>
      <c r="O53" s="586"/>
      <c r="P53" s="187">
        <v>20</v>
      </c>
      <c r="Q53" s="187">
        <v>1801.979693275573</v>
      </c>
      <c r="R53" s="184">
        <f t="shared" si="35"/>
        <v>90.098984663778651</v>
      </c>
      <c r="S53" s="181">
        <f t="shared" si="36"/>
        <v>1</v>
      </c>
      <c r="T53" s="588"/>
      <c r="U53" s="187">
        <v>20</v>
      </c>
      <c r="V53" s="187">
        <v>1802.3796932755727</v>
      </c>
      <c r="W53" s="184">
        <f t="shared" si="33"/>
        <v>90.118984663778633</v>
      </c>
      <c r="X53" s="181">
        <f t="shared" si="37"/>
        <v>1</v>
      </c>
      <c r="Y53" s="588"/>
      <c r="Z53" s="187">
        <v>20</v>
      </c>
      <c r="AA53" s="187">
        <v>1802.1796932755726</v>
      </c>
      <c r="AB53" s="184">
        <f t="shared" si="38"/>
        <v>90.108984663778628</v>
      </c>
      <c r="AC53" s="181">
        <f t="shared" si="39"/>
        <v>1</v>
      </c>
      <c r="AD53" s="588"/>
      <c r="AE53" s="187">
        <v>20</v>
      </c>
      <c r="AF53" s="187">
        <v>1801.5796932755729</v>
      </c>
      <c r="AG53" s="184">
        <f t="shared" si="40"/>
        <v>90.078984663778641</v>
      </c>
      <c r="AH53" s="181">
        <f t="shared" si="41"/>
        <v>2</v>
      </c>
      <c r="AI53" s="588"/>
      <c r="AJ53" s="187">
        <v>20</v>
      </c>
      <c r="AK53" s="187">
        <v>1801.9796932755728</v>
      </c>
      <c r="AL53" s="184">
        <f t="shared" si="42"/>
        <v>90.098984663778637</v>
      </c>
      <c r="AM53" s="181">
        <f t="shared" si="43"/>
        <v>2</v>
      </c>
      <c r="AN53" s="588"/>
      <c r="AO53" s="187">
        <v>20</v>
      </c>
      <c r="AP53" s="187">
        <v>1801.5796932755727</v>
      </c>
      <c r="AQ53" s="184">
        <f t="shared" si="44"/>
        <v>90.078984663778641</v>
      </c>
      <c r="AR53" s="181">
        <f t="shared" si="45"/>
        <v>2</v>
      </c>
      <c r="AS53" s="588"/>
      <c r="AT53" s="187">
        <v>20</v>
      </c>
      <c r="AU53" s="187">
        <v>1801.7796932755728</v>
      </c>
      <c r="AV53" s="184">
        <f t="shared" si="46"/>
        <v>90.088984663778632</v>
      </c>
      <c r="AW53" s="181">
        <f t="shared" si="47"/>
        <v>2</v>
      </c>
      <c r="AX53" s="588"/>
    </row>
    <row r="54" spans="2:50" ht="14.25" customHeight="1">
      <c r="B54" s="586"/>
      <c r="C54" s="179">
        <v>8</v>
      </c>
      <c r="D54" s="182" t="s">
        <v>564</v>
      </c>
      <c r="E54" s="179">
        <v>24</v>
      </c>
      <c r="F54" s="179">
        <v>2000</v>
      </c>
      <c r="G54" s="184">
        <f t="shared" si="32"/>
        <v>83.333333333333329</v>
      </c>
      <c r="H54" s="588"/>
      <c r="I54" s="185">
        <f t="shared" si="34"/>
        <v>24</v>
      </c>
      <c r="J54" s="185">
        <f t="shared" si="34"/>
        <v>1804.1380027594175</v>
      </c>
      <c r="K54" s="186">
        <f t="shared" si="34"/>
        <v>75.172416781642383</v>
      </c>
      <c r="L54" s="589"/>
      <c r="M54" s="185">
        <f>RANK(K54, K$47:$K$61)</f>
        <v>7</v>
      </c>
      <c r="N54" s="586"/>
      <c r="O54" s="586"/>
      <c r="P54" s="187">
        <v>24</v>
      </c>
      <c r="Q54" s="187">
        <v>1804.3665741879886</v>
      </c>
      <c r="R54" s="184">
        <f t="shared" si="35"/>
        <v>75.181940591166196</v>
      </c>
      <c r="S54" s="181">
        <f t="shared" si="36"/>
        <v>6</v>
      </c>
      <c r="T54" s="588"/>
      <c r="U54" s="187">
        <v>24</v>
      </c>
      <c r="V54" s="187">
        <v>1803.5665741879889</v>
      </c>
      <c r="W54" s="184">
        <f t="shared" si="33"/>
        <v>75.148607257832865</v>
      </c>
      <c r="X54" s="181">
        <f t="shared" si="37"/>
        <v>6</v>
      </c>
      <c r="Y54" s="588"/>
      <c r="Z54" s="187">
        <v>24</v>
      </c>
      <c r="AA54" s="187">
        <v>1803.5665741879889</v>
      </c>
      <c r="AB54" s="184">
        <f t="shared" si="38"/>
        <v>75.148607257832865</v>
      </c>
      <c r="AC54" s="181">
        <f t="shared" si="39"/>
        <v>7</v>
      </c>
      <c r="AD54" s="588"/>
      <c r="AE54" s="187">
        <v>24</v>
      </c>
      <c r="AF54" s="187">
        <v>1803.366574187989</v>
      </c>
      <c r="AG54" s="184">
        <f t="shared" si="40"/>
        <v>75.140273924499539</v>
      </c>
      <c r="AH54" s="181">
        <f t="shared" si="41"/>
        <v>7</v>
      </c>
      <c r="AI54" s="588"/>
      <c r="AJ54" s="187">
        <v>24</v>
      </c>
      <c r="AK54" s="187">
        <v>1804.1665741879888</v>
      </c>
      <c r="AL54" s="184">
        <f t="shared" si="42"/>
        <v>75.17360725783287</v>
      </c>
      <c r="AM54" s="181">
        <f t="shared" si="43"/>
        <v>7</v>
      </c>
      <c r="AN54" s="588"/>
      <c r="AO54" s="187">
        <v>24</v>
      </c>
      <c r="AP54" s="187">
        <v>1804.7665741879891</v>
      </c>
      <c r="AQ54" s="184">
        <f t="shared" si="44"/>
        <v>75.198607257832876</v>
      </c>
      <c r="AR54" s="181">
        <f t="shared" si="45"/>
        <v>6</v>
      </c>
      <c r="AS54" s="588"/>
      <c r="AT54" s="187">
        <v>24</v>
      </c>
      <c r="AU54" s="187">
        <v>1805.166574187989</v>
      </c>
      <c r="AV54" s="184">
        <f t="shared" si="46"/>
        <v>75.215273924499542</v>
      </c>
      <c r="AW54" s="181">
        <f t="shared" si="47"/>
        <v>6</v>
      </c>
      <c r="AX54" s="588"/>
    </row>
    <row r="55" spans="2:50" ht="14.25" customHeight="1">
      <c r="B55" s="586"/>
      <c r="C55" s="179">
        <v>9</v>
      </c>
      <c r="D55" s="182"/>
      <c r="E55" s="179"/>
      <c r="F55" s="179"/>
      <c r="G55" s="184"/>
      <c r="H55" s="588"/>
      <c r="I55" s="185"/>
      <c r="J55" s="185"/>
      <c r="K55" s="186"/>
      <c r="L55" s="589"/>
      <c r="M55" s="185"/>
      <c r="N55" s="586"/>
      <c r="O55" s="586"/>
      <c r="P55" s="187"/>
      <c r="Q55" s="187"/>
      <c r="R55" s="184"/>
      <c r="S55" s="181"/>
      <c r="T55" s="588"/>
      <c r="U55" s="187"/>
      <c r="V55" s="187"/>
      <c r="W55" s="184"/>
      <c r="X55" s="181"/>
      <c r="Y55" s="588"/>
      <c r="Z55" s="187"/>
      <c r="AA55" s="187"/>
      <c r="AB55" s="184"/>
      <c r="AC55" s="181"/>
      <c r="AD55" s="588"/>
      <c r="AE55" s="187"/>
      <c r="AF55" s="187"/>
      <c r="AG55" s="184"/>
      <c r="AH55" s="181"/>
      <c r="AI55" s="588"/>
      <c r="AJ55" s="187"/>
      <c r="AK55" s="187"/>
      <c r="AL55" s="184"/>
      <c r="AM55" s="181"/>
      <c r="AN55" s="588"/>
      <c r="AO55" s="187"/>
      <c r="AP55" s="187"/>
      <c r="AQ55" s="184"/>
      <c r="AR55" s="181"/>
      <c r="AS55" s="588"/>
      <c r="AT55" s="187"/>
      <c r="AU55" s="187"/>
      <c r="AV55" s="184"/>
      <c r="AW55" s="181"/>
      <c r="AX55" s="588"/>
    </row>
    <row r="56" spans="2:50" ht="14.25" customHeight="1">
      <c r="B56" s="586"/>
      <c r="C56" s="179">
        <v>10</v>
      </c>
      <c r="D56" s="182"/>
      <c r="E56" s="179"/>
      <c r="F56" s="179"/>
      <c r="G56" s="184"/>
      <c r="H56" s="588"/>
      <c r="I56" s="185"/>
      <c r="J56" s="185"/>
      <c r="K56" s="186"/>
      <c r="L56" s="589"/>
      <c r="M56" s="185"/>
      <c r="N56" s="586"/>
      <c r="O56" s="586"/>
      <c r="P56" s="187"/>
      <c r="Q56" s="187"/>
      <c r="R56" s="184"/>
      <c r="S56" s="181"/>
      <c r="T56" s="588"/>
      <c r="U56" s="187"/>
      <c r="V56" s="187"/>
      <c r="W56" s="184"/>
      <c r="X56" s="181"/>
      <c r="Y56" s="588"/>
      <c r="Z56" s="187"/>
      <c r="AA56" s="187"/>
      <c r="AB56" s="184"/>
      <c r="AC56" s="181"/>
      <c r="AD56" s="588"/>
      <c r="AE56" s="187"/>
      <c r="AF56" s="187"/>
      <c r="AG56" s="184"/>
      <c r="AH56" s="181"/>
      <c r="AI56" s="588"/>
      <c r="AJ56" s="187"/>
      <c r="AK56" s="187"/>
      <c r="AL56" s="184"/>
      <c r="AM56" s="181"/>
      <c r="AN56" s="588"/>
      <c r="AO56" s="187"/>
      <c r="AP56" s="187"/>
      <c r="AQ56" s="184"/>
      <c r="AR56" s="181"/>
      <c r="AS56" s="588"/>
      <c r="AT56" s="187"/>
      <c r="AU56" s="187"/>
      <c r="AV56" s="184"/>
      <c r="AW56" s="181"/>
      <c r="AX56" s="588"/>
    </row>
    <row r="57" spans="2:50" ht="14.25" customHeight="1">
      <c r="B57" s="586"/>
      <c r="C57" s="179">
        <v>11</v>
      </c>
      <c r="D57" s="182"/>
      <c r="E57" s="179"/>
      <c r="F57" s="179"/>
      <c r="G57" s="184"/>
      <c r="H57" s="588"/>
      <c r="I57" s="185"/>
      <c r="J57" s="185"/>
      <c r="K57" s="186"/>
      <c r="L57" s="589"/>
      <c r="M57" s="185"/>
      <c r="N57" s="586"/>
      <c r="O57" s="586"/>
      <c r="P57" s="187"/>
      <c r="Q57" s="187"/>
      <c r="R57" s="184"/>
      <c r="S57" s="181"/>
      <c r="T57" s="588"/>
      <c r="U57" s="187"/>
      <c r="V57" s="187"/>
      <c r="W57" s="184"/>
      <c r="X57" s="181"/>
      <c r="Y57" s="588"/>
      <c r="Z57" s="187"/>
      <c r="AA57" s="187"/>
      <c r="AB57" s="184"/>
      <c r="AC57" s="181"/>
      <c r="AD57" s="588"/>
      <c r="AE57" s="187"/>
      <c r="AF57" s="187"/>
      <c r="AG57" s="184"/>
      <c r="AH57" s="181"/>
      <c r="AI57" s="588"/>
      <c r="AJ57" s="187"/>
      <c r="AK57" s="187"/>
      <c r="AL57" s="184"/>
      <c r="AM57" s="181"/>
      <c r="AN57" s="588"/>
      <c r="AO57" s="187"/>
      <c r="AP57" s="187"/>
      <c r="AQ57" s="184"/>
      <c r="AR57" s="181"/>
      <c r="AS57" s="588"/>
      <c r="AT57" s="187"/>
      <c r="AU57" s="187"/>
      <c r="AV57" s="184"/>
      <c r="AW57" s="181"/>
      <c r="AX57" s="588"/>
    </row>
    <row r="58" spans="2:50" ht="14.25" customHeight="1">
      <c r="B58" s="586"/>
      <c r="C58" s="179">
        <v>12</v>
      </c>
      <c r="D58" s="182"/>
      <c r="E58" s="179"/>
      <c r="F58" s="179"/>
      <c r="G58" s="184"/>
      <c r="H58" s="588"/>
      <c r="I58" s="185"/>
      <c r="J58" s="185"/>
      <c r="K58" s="186"/>
      <c r="L58" s="589"/>
      <c r="M58" s="185"/>
      <c r="N58" s="586"/>
      <c r="O58" s="586"/>
      <c r="P58" s="187"/>
      <c r="Q58" s="187"/>
      <c r="R58" s="184"/>
      <c r="S58" s="181"/>
      <c r="T58" s="588"/>
      <c r="U58" s="187"/>
      <c r="V58" s="187"/>
      <c r="W58" s="184"/>
      <c r="X58" s="181"/>
      <c r="Y58" s="588"/>
      <c r="Z58" s="187"/>
      <c r="AA58" s="187"/>
      <c r="AB58" s="184"/>
      <c r="AC58" s="181"/>
      <c r="AD58" s="588"/>
      <c r="AE58" s="187"/>
      <c r="AF58" s="187"/>
      <c r="AG58" s="184"/>
      <c r="AH58" s="181"/>
      <c r="AI58" s="588"/>
      <c r="AJ58" s="187"/>
      <c r="AK58" s="187"/>
      <c r="AL58" s="184"/>
      <c r="AM58" s="181"/>
      <c r="AN58" s="588"/>
      <c r="AO58" s="187"/>
      <c r="AP58" s="187"/>
      <c r="AQ58" s="184"/>
      <c r="AR58" s="181"/>
      <c r="AS58" s="588"/>
      <c r="AT58" s="187"/>
      <c r="AU58" s="187"/>
      <c r="AV58" s="184"/>
      <c r="AW58" s="181"/>
      <c r="AX58" s="588"/>
    </row>
    <row r="59" spans="2:50" ht="14.25" customHeight="1">
      <c r="B59" s="586"/>
      <c r="C59" s="179">
        <v>13</v>
      </c>
      <c r="D59" s="182"/>
      <c r="E59" s="179"/>
      <c r="F59" s="179"/>
      <c r="G59" s="184"/>
      <c r="H59" s="588"/>
      <c r="I59" s="185"/>
      <c r="J59" s="185"/>
      <c r="K59" s="186"/>
      <c r="L59" s="589"/>
      <c r="M59" s="185"/>
      <c r="N59" s="586"/>
      <c r="O59" s="586"/>
      <c r="P59" s="187"/>
      <c r="Q59" s="187"/>
      <c r="R59" s="184"/>
      <c r="S59" s="181"/>
      <c r="T59" s="588"/>
      <c r="U59" s="187"/>
      <c r="V59" s="187"/>
      <c r="W59" s="184"/>
      <c r="X59" s="181"/>
      <c r="Y59" s="588"/>
      <c r="Z59" s="187"/>
      <c r="AA59" s="187"/>
      <c r="AB59" s="184"/>
      <c r="AC59" s="181"/>
      <c r="AD59" s="588"/>
      <c r="AE59" s="187"/>
      <c r="AF59" s="187"/>
      <c r="AG59" s="184"/>
      <c r="AH59" s="181"/>
      <c r="AI59" s="588"/>
      <c r="AJ59" s="187"/>
      <c r="AK59" s="187"/>
      <c r="AL59" s="184"/>
      <c r="AM59" s="181"/>
      <c r="AN59" s="588"/>
      <c r="AO59" s="187"/>
      <c r="AP59" s="187"/>
      <c r="AQ59" s="184"/>
      <c r="AR59" s="181"/>
      <c r="AS59" s="588"/>
      <c r="AT59" s="187"/>
      <c r="AU59" s="187"/>
      <c r="AV59" s="184"/>
      <c r="AW59" s="181"/>
      <c r="AX59" s="588"/>
    </row>
    <row r="60" spans="2:50" ht="14.25" customHeight="1">
      <c r="B60" s="586"/>
      <c r="C60" s="179">
        <v>14</v>
      </c>
      <c r="D60" s="182"/>
      <c r="E60" s="179"/>
      <c r="F60" s="179"/>
      <c r="G60" s="184"/>
      <c r="H60" s="588"/>
      <c r="I60" s="185"/>
      <c r="J60" s="185"/>
      <c r="K60" s="186"/>
      <c r="L60" s="589"/>
      <c r="M60" s="185"/>
      <c r="N60" s="586"/>
      <c r="O60" s="586"/>
      <c r="P60" s="187"/>
      <c r="Q60" s="187"/>
      <c r="R60" s="184"/>
      <c r="S60" s="181"/>
      <c r="T60" s="588"/>
      <c r="U60" s="187"/>
      <c r="V60" s="187"/>
      <c r="W60" s="184"/>
      <c r="X60" s="181"/>
      <c r="Y60" s="588"/>
      <c r="Z60" s="187"/>
      <c r="AA60" s="187"/>
      <c r="AB60" s="184"/>
      <c r="AC60" s="181"/>
      <c r="AD60" s="588"/>
      <c r="AE60" s="187"/>
      <c r="AF60" s="187"/>
      <c r="AG60" s="184"/>
      <c r="AH60" s="181"/>
      <c r="AI60" s="588"/>
      <c r="AJ60" s="187"/>
      <c r="AK60" s="187"/>
      <c r="AL60" s="184"/>
      <c r="AM60" s="181"/>
      <c r="AN60" s="588"/>
      <c r="AO60" s="187"/>
      <c r="AP60" s="187"/>
      <c r="AQ60" s="184"/>
      <c r="AR60" s="181"/>
      <c r="AS60" s="588"/>
      <c r="AT60" s="187"/>
      <c r="AU60" s="187"/>
      <c r="AV60" s="184"/>
      <c r="AW60" s="181"/>
      <c r="AX60" s="588"/>
    </row>
    <row r="61" spans="2:50" ht="14.25" customHeight="1">
      <c r="B61" s="586"/>
      <c r="C61" s="179">
        <v>15</v>
      </c>
      <c r="D61" s="182"/>
      <c r="E61" s="179"/>
      <c r="F61" s="179"/>
      <c r="G61" s="184"/>
      <c r="H61" s="588"/>
      <c r="I61" s="185"/>
      <c r="J61" s="185"/>
      <c r="K61" s="186"/>
      <c r="L61" s="589"/>
      <c r="M61" s="185"/>
      <c r="N61" s="586"/>
      <c r="O61" s="586"/>
      <c r="P61" s="187"/>
      <c r="Q61" s="187"/>
      <c r="R61" s="184"/>
      <c r="S61" s="181"/>
      <c r="T61" s="588"/>
      <c r="U61" s="187"/>
      <c r="V61" s="187"/>
      <c r="W61" s="184"/>
      <c r="X61" s="181"/>
      <c r="Y61" s="588"/>
      <c r="Z61" s="187"/>
      <c r="AA61" s="187"/>
      <c r="AB61" s="184"/>
      <c r="AC61" s="181"/>
      <c r="AD61" s="588"/>
      <c r="AE61" s="187"/>
      <c r="AF61" s="187"/>
      <c r="AG61" s="184"/>
      <c r="AH61" s="181"/>
      <c r="AI61" s="588"/>
      <c r="AJ61" s="187"/>
      <c r="AK61" s="187"/>
      <c r="AL61" s="184"/>
      <c r="AM61" s="181"/>
      <c r="AN61" s="588"/>
      <c r="AO61" s="187"/>
      <c r="AP61" s="187"/>
      <c r="AQ61" s="184"/>
      <c r="AR61" s="181"/>
      <c r="AS61" s="588"/>
      <c r="AT61" s="187"/>
      <c r="AU61" s="187"/>
      <c r="AV61" s="184"/>
      <c r="AW61" s="181"/>
      <c r="AX61" s="588"/>
    </row>
  </sheetData>
  <mergeCells count="177">
    <mergeCell ref="AX47:AX61"/>
    <mergeCell ref="B47:B61"/>
    <mergeCell ref="H47:H61"/>
    <mergeCell ref="L47:L61"/>
    <mergeCell ref="T47:T61"/>
    <mergeCell ref="Y47:Y61"/>
    <mergeCell ref="AD47:AD61"/>
    <mergeCell ref="AI47:AI61"/>
    <mergeCell ref="AN47:AN61"/>
    <mergeCell ref="AS47:AS61"/>
    <mergeCell ref="AI44:AI46"/>
    <mergeCell ref="AJ44:AM44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Z45:AC45"/>
    <mergeCell ref="AE45:AH45"/>
    <mergeCell ref="AJ45:AM45"/>
    <mergeCell ref="AO45:AR45"/>
    <mergeCell ref="AT45:AW45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P44:S44"/>
    <mergeCell ref="T44:T46"/>
    <mergeCell ref="U44:X44"/>
    <mergeCell ref="Y44:Y46"/>
    <mergeCell ref="Z44:AC44"/>
    <mergeCell ref="AD44:AD46"/>
    <mergeCell ref="AE44:AH44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P4:S4"/>
    <mergeCell ref="AI4:AI6"/>
    <mergeCell ref="AJ4:AM4"/>
    <mergeCell ref="AN4:AN6"/>
    <mergeCell ref="AO4:AR4"/>
    <mergeCell ref="AS4:AS6"/>
    <mergeCell ref="AT4:AW4"/>
    <mergeCell ref="T4:T6"/>
    <mergeCell ref="U4:X4"/>
    <mergeCell ref="Y4:Y6"/>
    <mergeCell ref="Z4:AC4"/>
    <mergeCell ref="AD4:AD6"/>
    <mergeCell ref="AT22:AX22"/>
    <mergeCell ref="E5:G5"/>
    <mergeCell ref="I5:K5"/>
    <mergeCell ref="P5:S5"/>
    <mergeCell ref="U5:X5"/>
    <mergeCell ref="Z5:AC5"/>
    <mergeCell ref="AT2:AX2"/>
    <mergeCell ref="P3:T3"/>
    <mergeCell ref="U3:Y3"/>
    <mergeCell ref="Z3:AD3"/>
    <mergeCell ref="AE3:AI3"/>
    <mergeCell ref="AJ3:AN3"/>
    <mergeCell ref="AO3:AS3"/>
    <mergeCell ref="AT3:AX3"/>
    <mergeCell ref="AJ2:AN2"/>
    <mergeCell ref="AO2:AS2"/>
    <mergeCell ref="AE2:AI2"/>
    <mergeCell ref="AJ5:AM5"/>
    <mergeCell ref="AO5:AR5"/>
    <mergeCell ref="AT5:AW5"/>
    <mergeCell ref="L4:L6"/>
    <mergeCell ref="M4:M6"/>
    <mergeCell ref="N4:N21"/>
    <mergeCell ref="O4:O21"/>
    <mergeCell ref="U24:X24"/>
    <mergeCell ref="Y24:Y26"/>
    <mergeCell ref="Z24:AC24"/>
    <mergeCell ref="AD24:AD26"/>
    <mergeCell ref="L24:L26"/>
    <mergeCell ref="M24:M26"/>
    <mergeCell ref="AX4:AX6"/>
    <mergeCell ref="B22:M23"/>
    <mergeCell ref="N22:N23"/>
    <mergeCell ref="O22:O23"/>
    <mergeCell ref="P22:T22"/>
    <mergeCell ref="U22:Y22"/>
    <mergeCell ref="P23:T23"/>
    <mergeCell ref="U23:Y23"/>
    <mergeCell ref="AE4:AH4"/>
    <mergeCell ref="Z23:AD23"/>
    <mergeCell ref="AE23:AI23"/>
    <mergeCell ref="AJ23:AN23"/>
    <mergeCell ref="AO23:AS23"/>
    <mergeCell ref="AT23:AX23"/>
    <mergeCell ref="Z22:AD22"/>
    <mergeCell ref="AE22:AI22"/>
    <mergeCell ref="AJ22:AN22"/>
    <mergeCell ref="AO22:AS22"/>
    <mergeCell ref="AI24:AI26"/>
    <mergeCell ref="AJ24:AM24"/>
    <mergeCell ref="AN24:AN26"/>
    <mergeCell ref="AO24:AR24"/>
    <mergeCell ref="AD27:AD41"/>
    <mergeCell ref="AI27:AI41"/>
    <mergeCell ref="AN27:AN41"/>
    <mergeCell ref="AS27:AS41"/>
    <mergeCell ref="B2:M3"/>
    <mergeCell ref="N2:N3"/>
    <mergeCell ref="O2:O3"/>
    <mergeCell ref="P2:T2"/>
    <mergeCell ref="U2:Y2"/>
    <mergeCell ref="Z2:AD2"/>
    <mergeCell ref="U25:X25"/>
    <mergeCell ref="Z25:AC25"/>
    <mergeCell ref="AE25:AH25"/>
    <mergeCell ref="B4:B6"/>
    <mergeCell ref="C4:D6"/>
    <mergeCell ref="E4:G4"/>
    <mergeCell ref="H4:H6"/>
    <mergeCell ref="AE5:AH5"/>
    <mergeCell ref="I4:K4"/>
    <mergeCell ref="T24:T26"/>
    <mergeCell ref="AX27:AX41"/>
    <mergeCell ref="B27:B41"/>
    <mergeCell ref="H27:H41"/>
    <mergeCell ref="L27:L41"/>
    <mergeCell ref="T27:T41"/>
    <mergeCell ref="Y27:Y41"/>
    <mergeCell ref="N24:N41"/>
    <mergeCell ref="O24:O41"/>
    <mergeCell ref="P24:S24"/>
    <mergeCell ref="B24:B26"/>
    <mergeCell ref="C24:D26"/>
    <mergeCell ref="E24:G24"/>
    <mergeCell ref="H24:H26"/>
    <mergeCell ref="I24:K24"/>
    <mergeCell ref="AS24:AS26"/>
    <mergeCell ref="AT24:AW24"/>
    <mergeCell ref="AX24:AX26"/>
    <mergeCell ref="E25:G25"/>
    <mergeCell ref="I25:K25"/>
    <mergeCell ref="P25:S25"/>
    <mergeCell ref="AJ25:AM25"/>
    <mergeCell ref="AO25:AR25"/>
    <mergeCell ref="AT25:AW25"/>
    <mergeCell ref="AE24:AH24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4">
    <tabColor rgb="FFFFFFCC"/>
  </sheetPr>
  <dimension ref="A1:AX61"/>
  <sheetViews>
    <sheetView zoomScaleNormal="100" workbookViewId="0">
      <pane xSplit="13" ySplit="1" topLeftCell="N11" activePane="bottomRight" state="frozen"/>
      <selection activeCell="B86" sqref="B86:M87"/>
      <selection pane="topRight" activeCell="B86" sqref="B86:M87"/>
      <selection pane="bottomLeft" activeCell="B86" sqref="B86:M87"/>
      <selection pane="bottomRight" activeCell="B42" sqref="B42:M43"/>
    </sheetView>
  </sheetViews>
  <sheetFormatPr defaultColWidth="8.85546875" defaultRowHeight="12"/>
  <cols>
    <col min="1" max="1" width="5.5703125" style="78" customWidth="1"/>
    <col min="2" max="2" width="12.42578125" style="78" customWidth="1"/>
    <col min="3" max="3" width="9.28515625" style="176" bestFit="1" customWidth="1"/>
    <col min="4" max="4" width="26.42578125" style="175" customWidth="1"/>
    <col min="5" max="5" width="7.7109375" style="176" customWidth="1"/>
    <col min="6" max="7" width="8.7109375" style="176" customWidth="1"/>
    <col min="8" max="8" width="10.7109375" style="176" customWidth="1"/>
    <col min="9" max="9" width="7.7109375" style="177" customWidth="1"/>
    <col min="10" max="11" width="8.7109375" style="177" customWidth="1"/>
    <col min="12" max="12" width="10.7109375" style="177" customWidth="1"/>
    <col min="13" max="13" width="5.7109375" style="177" customWidth="1"/>
    <col min="14" max="14" width="9.85546875" style="176" customWidth="1"/>
    <col min="15" max="15" width="7.140625" style="176" customWidth="1"/>
    <col min="16" max="16" width="7.7109375" style="176" customWidth="1"/>
    <col min="17" max="18" width="8.7109375" style="176" customWidth="1"/>
    <col min="19" max="19" width="5.7109375" style="177" customWidth="1"/>
    <col min="20" max="20" width="10.7109375" style="176" customWidth="1"/>
    <col min="21" max="21" width="7.7109375" style="78" customWidth="1"/>
    <col min="22" max="23" width="8.7109375" style="78" customWidth="1"/>
    <col min="24" max="24" width="5.42578125" style="177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77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77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77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78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78" customWidth="1"/>
    <col min="50" max="50" width="10.7109375" style="78" customWidth="1"/>
    <col min="51" max="16384" width="8.85546875" style="78"/>
  </cols>
  <sheetData>
    <row r="1" spans="1:50" ht="21">
      <c r="A1" s="74"/>
      <c r="B1" s="450" t="s">
        <v>672</v>
      </c>
      <c r="C1" s="174"/>
    </row>
    <row r="2" spans="1:50" ht="14.25" customHeight="1">
      <c r="B2" s="612" t="s">
        <v>630</v>
      </c>
      <c r="C2" s="613"/>
      <c r="D2" s="613"/>
      <c r="E2" s="613"/>
      <c r="F2" s="613"/>
      <c r="G2" s="613"/>
      <c r="H2" s="613"/>
      <c r="I2" s="613"/>
      <c r="J2" s="613"/>
      <c r="K2" s="613"/>
      <c r="L2" s="613"/>
      <c r="M2" s="614"/>
      <c r="N2" s="617" t="s">
        <v>341</v>
      </c>
      <c r="O2" s="617" t="s">
        <v>105</v>
      </c>
      <c r="P2" s="600">
        <v>46231</v>
      </c>
      <c r="Q2" s="601"/>
      <c r="R2" s="601"/>
      <c r="S2" s="601"/>
      <c r="T2" s="601"/>
      <c r="U2" s="602">
        <f>P2+1</f>
        <v>46232</v>
      </c>
      <c r="V2" s="603"/>
      <c r="W2" s="603"/>
      <c r="X2" s="603"/>
      <c r="Y2" s="603"/>
      <c r="Z2" s="600">
        <f t="shared" ref="Z2" si="0">U2+1</f>
        <v>46233</v>
      </c>
      <c r="AA2" s="601"/>
      <c r="AB2" s="601"/>
      <c r="AC2" s="601"/>
      <c r="AD2" s="601"/>
      <c r="AE2" s="602">
        <f t="shared" ref="AE2" si="1">Z2+1</f>
        <v>46234</v>
      </c>
      <c r="AF2" s="603"/>
      <c r="AG2" s="603"/>
      <c r="AH2" s="603"/>
      <c r="AI2" s="603"/>
      <c r="AJ2" s="609">
        <f t="shared" ref="AJ2" si="2">AE2+1</f>
        <v>46235</v>
      </c>
      <c r="AK2" s="610"/>
      <c r="AL2" s="610"/>
      <c r="AM2" s="610"/>
      <c r="AN2" s="611"/>
      <c r="AO2" s="602">
        <f t="shared" ref="AO2" si="3">AJ2+1</f>
        <v>46236</v>
      </c>
      <c r="AP2" s="603"/>
      <c r="AQ2" s="603"/>
      <c r="AR2" s="603"/>
      <c r="AS2" s="603"/>
      <c r="AT2" s="609">
        <f t="shared" ref="AT2" si="4">AO2+1</f>
        <v>46237</v>
      </c>
      <c r="AU2" s="610"/>
      <c r="AV2" s="610"/>
      <c r="AW2" s="610"/>
      <c r="AX2" s="611"/>
    </row>
    <row r="3" spans="1:50" ht="14.25" customHeight="1">
      <c r="B3" s="615"/>
      <c r="C3" s="615"/>
      <c r="D3" s="615"/>
      <c r="E3" s="615"/>
      <c r="F3" s="615"/>
      <c r="G3" s="615"/>
      <c r="H3" s="615"/>
      <c r="I3" s="615"/>
      <c r="J3" s="615"/>
      <c r="K3" s="615"/>
      <c r="L3" s="615"/>
      <c r="M3" s="616"/>
      <c r="N3" s="618"/>
      <c r="O3" s="618"/>
      <c r="P3" s="604">
        <v>46196</v>
      </c>
      <c r="Q3" s="604"/>
      <c r="R3" s="604"/>
      <c r="S3" s="604"/>
      <c r="T3" s="604"/>
      <c r="U3" s="605">
        <v>46197</v>
      </c>
      <c r="V3" s="605"/>
      <c r="W3" s="605"/>
      <c r="X3" s="605"/>
      <c r="Y3" s="605"/>
      <c r="Z3" s="604">
        <v>46198</v>
      </c>
      <c r="AA3" s="604"/>
      <c r="AB3" s="604"/>
      <c r="AC3" s="604"/>
      <c r="AD3" s="604"/>
      <c r="AE3" s="605">
        <v>46199</v>
      </c>
      <c r="AF3" s="605"/>
      <c r="AG3" s="605"/>
      <c r="AH3" s="605"/>
      <c r="AI3" s="605"/>
      <c r="AJ3" s="606">
        <v>46200</v>
      </c>
      <c r="AK3" s="607"/>
      <c r="AL3" s="607"/>
      <c r="AM3" s="607"/>
      <c r="AN3" s="608"/>
      <c r="AO3" s="605">
        <v>46201</v>
      </c>
      <c r="AP3" s="605"/>
      <c r="AQ3" s="605"/>
      <c r="AR3" s="605"/>
      <c r="AS3" s="605"/>
      <c r="AT3" s="606">
        <v>46202</v>
      </c>
      <c r="AU3" s="607"/>
      <c r="AV3" s="607"/>
      <c r="AW3" s="607"/>
      <c r="AX3" s="608"/>
    </row>
    <row r="4" spans="1:50" ht="14.25" customHeight="1">
      <c r="B4" s="586" t="s">
        <v>162</v>
      </c>
      <c r="C4" s="586" t="s">
        <v>157</v>
      </c>
      <c r="D4" s="586"/>
      <c r="E4" s="586" t="s">
        <v>158</v>
      </c>
      <c r="F4" s="586"/>
      <c r="G4" s="586"/>
      <c r="H4" s="586" t="s">
        <v>163</v>
      </c>
      <c r="I4" s="592" t="s">
        <v>342</v>
      </c>
      <c r="J4" s="592"/>
      <c r="K4" s="592"/>
      <c r="L4" s="592" t="s">
        <v>163</v>
      </c>
      <c r="M4" s="592" t="s">
        <v>165</v>
      </c>
      <c r="N4" s="586"/>
      <c r="O4" s="586" t="s">
        <v>164</v>
      </c>
      <c r="P4" s="586" t="s">
        <v>160</v>
      </c>
      <c r="Q4" s="586"/>
      <c r="R4" s="586"/>
      <c r="S4" s="586"/>
      <c r="T4" s="586" t="s">
        <v>163</v>
      </c>
      <c r="U4" s="586" t="s">
        <v>160</v>
      </c>
      <c r="V4" s="586"/>
      <c r="W4" s="586"/>
      <c r="X4" s="586"/>
      <c r="Y4" s="586" t="s">
        <v>163</v>
      </c>
      <c r="Z4" s="586" t="s">
        <v>160</v>
      </c>
      <c r="AA4" s="586"/>
      <c r="AB4" s="586"/>
      <c r="AC4" s="586"/>
      <c r="AD4" s="586" t="s">
        <v>163</v>
      </c>
      <c r="AE4" s="586" t="s">
        <v>160</v>
      </c>
      <c r="AF4" s="586"/>
      <c r="AG4" s="586"/>
      <c r="AH4" s="586"/>
      <c r="AI4" s="586" t="s">
        <v>163</v>
      </c>
      <c r="AJ4" s="586" t="s">
        <v>160</v>
      </c>
      <c r="AK4" s="586"/>
      <c r="AL4" s="586"/>
      <c r="AM4" s="586"/>
      <c r="AN4" s="586" t="s">
        <v>163</v>
      </c>
      <c r="AO4" s="586" t="s">
        <v>160</v>
      </c>
      <c r="AP4" s="586"/>
      <c r="AQ4" s="586"/>
      <c r="AR4" s="586"/>
      <c r="AS4" s="586" t="s">
        <v>163</v>
      </c>
      <c r="AT4" s="586" t="s">
        <v>160</v>
      </c>
      <c r="AU4" s="586"/>
      <c r="AV4" s="586"/>
      <c r="AW4" s="586"/>
      <c r="AX4" s="586" t="s">
        <v>163</v>
      </c>
    </row>
    <row r="5" spans="1:50" ht="14.25" customHeight="1">
      <c r="B5" s="586"/>
      <c r="C5" s="586"/>
      <c r="D5" s="586"/>
      <c r="E5" s="586" t="s">
        <v>343</v>
      </c>
      <c r="F5" s="586"/>
      <c r="G5" s="586"/>
      <c r="H5" s="586"/>
      <c r="I5" s="592" t="s">
        <v>343</v>
      </c>
      <c r="J5" s="592"/>
      <c r="K5" s="592"/>
      <c r="L5" s="592"/>
      <c r="M5" s="592"/>
      <c r="N5" s="586"/>
      <c r="O5" s="586"/>
      <c r="P5" s="586" t="s">
        <v>344</v>
      </c>
      <c r="Q5" s="586"/>
      <c r="R5" s="586"/>
      <c r="S5" s="586"/>
      <c r="T5" s="586"/>
      <c r="U5" s="586" t="s">
        <v>344</v>
      </c>
      <c r="V5" s="586"/>
      <c r="W5" s="586"/>
      <c r="X5" s="586"/>
      <c r="Y5" s="586"/>
      <c r="Z5" s="586" t="s">
        <v>344</v>
      </c>
      <c r="AA5" s="586"/>
      <c r="AB5" s="586"/>
      <c r="AC5" s="586"/>
      <c r="AD5" s="586"/>
      <c r="AE5" s="586" t="s">
        <v>344</v>
      </c>
      <c r="AF5" s="586"/>
      <c r="AG5" s="586"/>
      <c r="AH5" s="586"/>
      <c r="AI5" s="586"/>
      <c r="AJ5" s="586" t="s">
        <v>344</v>
      </c>
      <c r="AK5" s="586"/>
      <c r="AL5" s="586"/>
      <c r="AM5" s="586"/>
      <c r="AN5" s="586"/>
      <c r="AO5" s="586" t="s">
        <v>344</v>
      </c>
      <c r="AP5" s="586"/>
      <c r="AQ5" s="586"/>
      <c r="AR5" s="586"/>
      <c r="AS5" s="586"/>
      <c r="AT5" s="586" t="s">
        <v>344</v>
      </c>
      <c r="AU5" s="586"/>
      <c r="AV5" s="586"/>
      <c r="AW5" s="586"/>
      <c r="AX5" s="586"/>
    </row>
    <row r="6" spans="1:50" ht="14.25" customHeight="1">
      <c r="B6" s="586"/>
      <c r="C6" s="586"/>
      <c r="D6" s="586"/>
      <c r="E6" s="179" t="s">
        <v>159</v>
      </c>
      <c r="F6" s="179" t="s">
        <v>345</v>
      </c>
      <c r="G6" s="179" t="s">
        <v>161</v>
      </c>
      <c r="H6" s="586"/>
      <c r="I6" s="180" t="s">
        <v>159</v>
      </c>
      <c r="J6" s="180" t="s">
        <v>345</v>
      </c>
      <c r="K6" s="180" t="s">
        <v>161</v>
      </c>
      <c r="L6" s="592"/>
      <c r="M6" s="592"/>
      <c r="N6" s="586"/>
      <c r="O6" s="586"/>
      <c r="P6" s="179" t="s">
        <v>159</v>
      </c>
      <c r="Q6" s="179" t="s">
        <v>345</v>
      </c>
      <c r="R6" s="179" t="s">
        <v>161</v>
      </c>
      <c r="S6" s="181" t="s">
        <v>165</v>
      </c>
      <c r="T6" s="586"/>
      <c r="U6" s="179" t="s">
        <v>159</v>
      </c>
      <c r="V6" s="179" t="s">
        <v>345</v>
      </c>
      <c r="W6" s="179" t="s">
        <v>161</v>
      </c>
      <c r="X6" s="181" t="s">
        <v>165</v>
      </c>
      <c r="Y6" s="586"/>
      <c r="Z6" s="179" t="s">
        <v>159</v>
      </c>
      <c r="AA6" s="179" t="s">
        <v>345</v>
      </c>
      <c r="AB6" s="179" t="s">
        <v>161</v>
      </c>
      <c r="AC6" s="181" t="s">
        <v>165</v>
      </c>
      <c r="AD6" s="586"/>
      <c r="AE6" s="179" t="s">
        <v>159</v>
      </c>
      <c r="AF6" s="179" t="s">
        <v>345</v>
      </c>
      <c r="AG6" s="179" t="s">
        <v>161</v>
      </c>
      <c r="AH6" s="181" t="s">
        <v>165</v>
      </c>
      <c r="AI6" s="586"/>
      <c r="AJ6" s="179" t="s">
        <v>159</v>
      </c>
      <c r="AK6" s="179" t="s">
        <v>345</v>
      </c>
      <c r="AL6" s="179" t="s">
        <v>161</v>
      </c>
      <c r="AM6" s="181" t="s">
        <v>165</v>
      </c>
      <c r="AN6" s="586"/>
      <c r="AO6" s="179" t="s">
        <v>159</v>
      </c>
      <c r="AP6" s="179" t="s">
        <v>345</v>
      </c>
      <c r="AQ6" s="179" t="s">
        <v>161</v>
      </c>
      <c r="AR6" s="181" t="s">
        <v>165</v>
      </c>
      <c r="AS6" s="586"/>
      <c r="AT6" s="179" t="s">
        <v>159</v>
      </c>
      <c r="AU6" s="179" t="s">
        <v>345</v>
      </c>
      <c r="AV6" s="179" t="s">
        <v>161</v>
      </c>
      <c r="AW6" s="181" t="s">
        <v>165</v>
      </c>
      <c r="AX6" s="586"/>
    </row>
    <row r="7" spans="1:50" ht="14.25" customHeight="1">
      <c r="B7" s="586" t="s">
        <v>404</v>
      </c>
      <c r="C7" s="179">
        <v>1</v>
      </c>
      <c r="D7" s="182"/>
      <c r="E7" s="183"/>
      <c r="F7" s="179"/>
      <c r="G7" s="184"/>
      <c r="H7" s="588"/>
      <c r="I7" s="185"/>
      <c r="J7" s="185"/>
      <c r="K7" s="186"/>
      <c r="L7" s="589"/>
      <c r="M7" s="185"/>
      <c r="N7" s="586"/>
      <c r="O7" s="586"/>
      <c r="P7" s="187"/>
      <c r="Q7" s="187"/>
      <c r="R7" s="184"/>
      <c r="S7" s="181"/>
      <c r="T7" s="588"/>
      <c r="U7" s="187"/>
      <c r="V7" s="187"/>
      <c r="W7" s="184"/>
      <c r="X7" s="181"/>
      <c r="Y7" s="588"/>
      <c r="Z7" s="187"/>
      <c r="AA7" s="187"/>
      <c r="AB7" s="184"/>
      <c r="AC7" s="181"/>
      <c r="AD7" s="588"/>
      <c r="AE7" s="187"/>
      <c r="AF7" s="187"/>
      <c r="AG7" s="184"/>
      <c r="AH7" s="181"/>
      <c r="AI7" s="588"/>
      <c r="AJ7" s="187"/>
      <c r="AK7" s="187"/>
      <c r="AL7" s="184"/>
      <c r="AM7" s="181"/>
      <c r="AN7" s="588"/>
      <c r="AO7" s="187"/>
      <c r="AP7" s="187"/>
      <c r="AQ7" s="184"/>
      <c r="AR7" s="181"/>
      <c r="AS7" s="588"/>
      <c r="AT7" s="187"/>
      <c r="AU7" s="187"/>
      <c r="AV7" s="184"/>
      <c r="AW7" s="181"/>
      <c r="AX7" s="588"/>
    </row>
    <row r="8" spans="1:50" ht="14.25" customHeight="1">
      <c r="B8" s="586"/>
      <c r="C8" s="179">
        <v>2</v>
      </c>
      <c r="D8" s="182"/>
      <c r="E8" s="179"/>
      <c r="F8" s="179"/>
      <c r="G8" s="184"/>
      <c r="H8" s="588"/>
      <c r="I8" s="185"/>
      <c r="J8" s="185"/>
      <c r="K8" s="186"/>
      <c r="L8" s="589"/>
      <c r="M8" s="185"/>
      <c r="N8" s="586"/>
      <c r="O8" s="586"/>
      <c r="P8" s="187"/>
      <c r="Q8" s="187"/>
      <c r="R8" s="184"/>
      <c r="S8" s="181"/>
      <c r="T8" s="588"/>
      <c r="U8" s="187"/>
      <c r="V8" s="187"/>
      <c r="W8" s="184"/>
      <c r="X8" s="181"/>
      <c r="Y8" s="588"/>
      <c r="Z8" s="187"/>
      <c r="AA8" s="187"/>
      <c r="AB8" s="184"/>
      <c r="AC8" s="181"/>
      <c r="AD8" s="588"/>
      <c r="AE8" s="187"/>
      <c r="AF8" s="187"/>
      <c r="AG8" s="184"/>
      <c r="AH8" s="181"/>
      <c r="AI8" s="588"/>
      <c r="AJ8" s="187"/>
      <c r="AK8" s="187"/>
      <c r="AL8" s="184"/>
      <c r="AM8" s="181"/>
      <c r="AN8" s="588"/>
      <c r="AO8" s="187"/>
      <c r="AP8" s="187"/>
      <c r="AQ8" s="184"/>
      <c r="AR8" s="181"/>
      <c r="AS8" s="588"/>
      <c r="AT8" s="187"/>
      <c r="AU8" s="187"/>
      <c r="AV8" s="184"/>
      <c r="AW8" s="181"/>
      <c r="AX8" s="588"/>
    </row>
    <row r="9" spans="1:50" ht="14.25" customHeight="1">
      <c r="B9" s="586"/>
      <c r="C9" s="179">
        <v>3</v>
      </c>
      <c r="D9" s="182"/>
      <c r="E9" s="179"/>
      <c r="F9" s="179"/>
      <c r="G9" s="184"/>
      <c r="H9" s="588"/>
      <c r="I9" s="185"/>
      <c r="J9" s="185"/>
      <c r="K9" s="186"/>
      <c r="L9" s="589"/>
      <c r="M9" s="185"/>
      <c r="N9" s="586"/>
      <c r="O9" s="586"/>
      <c r="P9" s="187"/>
      <c r="Q9" s="187"/>
      <c r="R9" s="184"/>
      <c r="S9" s="181"/>
      <c r="T9" s="588"/>
      <c r="U9" s="187"/>
      <c r="V9" s="187"/>
      <c r="W9" s="184"/>
      <c r="X9" s="181"/>
      <c r="Y9" s="588"/>
      <c r="Z9" s="187"/>
      <c r="AA9" s="187"/>
      <c r="AB9" s="184"/>
      <c r="AC9" s="181"/>
      <c r="AD9" s="588"/>
      <c r="AE9" s="187"/>
      <c r="AF9" s="187"/>
      <c r="AG9" s="184"/>
      <c r="AH9" s="181"/>
      <c r="AI9" s="588"/>
      <c r="AJ9" s="187"/>
      <c r="AK9" s="187"/>
      <c r="AL9" s="184"/>
      <c r="AM9" s="181"/>
      <c r="AN9" s="588"/>
      <c r="AO9" s="187"/>
      <c r="AP9" s="187"/>
      <c r="AQ9" s="184"/>
      <c r="AR9" s="181"/>
      <c r="AS9" s="588"/>
      <c r="AT9" s="187"/>
      <c r="AU9" s="187"/>
      <c r="AV9" s="184"/>
      <c r="AW9" s="181"/>
      <c r="AX9" s="588"/>
    </row>
    <row r="10" spans="1:50" ht="14.25" customHeight="1">
      <c r="B10" s="586"/>
      <c r="C10" s="179">
        <v>4</v>
      </c>
      <c r="D10" s="182"/>
      <c r="E10" s="179"/>
      <c r="F10" s="179"/>
      <c r="G10" s="184"/>
      <c r="H10" s="588"/>
      <c r="I10" s="185"/>
      <c r="J10" s="185"/>
      <c r="K10" s="186"/>
      <c r="L10" s="589"/>
      <c r="M10" s="185"/>
      <c r="N10" s="586"/>
      <c r="O10" s="586"/>
      <c r="P10" s="187"/>
      <c r="Q10" s="187"/>
      <c r="R10" s="184"/>
      <c r="S10" s="181"/>
      <c r="T10" s="588"/>
      <c r="U10" s="187"/>
      <c r="V10" s="187"/>
      <c r="W10" s="184"/>
      <c r="X10" s="181"/>
      <c r="Y10" s="588"/>
      <c r="Z10" s="187"/>
      <c r="AA10" s="187"/>
      <c r="AB10" s="184"/>
      <c r="AC10" s="181"/>
      <c r="AD10" s="588"/>
      <c r="AE10" s="187"/>
      <c r="AF10" s="187"/>
      <c r="AG10" s="184"/>
      <c r="AH10" s="181"/>
      <c r="AI10" s="588"/>
      <c r="AJ10" s="187"/>
      <c r="AK10" s="187"/>
      <c r="AL10" s="184"/>
      <c r="AM10" s="181"/>
      <c r="AN10" s="588"/>
      <c r="AO10" s="187"/>
      <c r="AP10" s="187"/>
      <c r="AQ10" s="184"/>
      <c r="AR10" s="181"/>
      <c r="AS10" s="588"/>
      <c r="AT10" s="187"/>
      <c r="AU10" s="187"/>
      <c r="AV10" s="184"/>
      <c r="AW10" s="181"/>
      <c r="AX10" s="588"/>
    </row>
    <row r="11" spans="1:50" ht="14.25" customHeight="1">
      <c r="B11" s="586"/>
      <c r="C11" s="179">
        <v>5</v>
      </c>
      <c r="D11" s="182"/>
      <c r="E11" s="179"/>
      <c r="F11" s="179"/>
      <c r="G11" s="184"/>
      <c r="H11" s="588"/>
      <c r="I11" s="185"/>
      <c r="J11" s="185"/>
      <c r="K11" s="186"/>
      <c r="L11" s="589"/>
      <c r="M11" s="185"/>
      <c r="N11" s="586"/>
      <c r="O11" s="586"/>
      <c r="P11" s="187"/>
      <c r="Q11" s="187"/>
      <c r="R11" s="184"/>
      <c r="S11" s="181"/>
      <c r="T11" s="588"/>
      <c r="U11" s="187"/>
      <c r="V11" s="187"/>
      <c r="W11" s="184"/>
      <c r="X11" s="181"/>
      <c r="Y11" s="588"/>
      <c r="Z11" s="187"/>
      <c r="AA11" s="187"/>
      <c r="AB11" s="184"/>
      <c r="AC11" s="181"/>
      <c r="AD11" s="588"/>
      <c r="AE11" s="187"/>
      <c r="AF11" s="187"/>
      <c r="AG11" s="184"/>
      <c r="AH11" s="181"/>
      <c r="AI11" s="588"/>
      <c r="AJ11" s="187"/>
      <c r="AK11" s="187"/>
      <c r="AL11" s="184"/>
      <c r="AM11" s="181"/>
      <c r="AN11" s="588"/>
      <c r="AO11" s="187"/>
      <c r="AP11" s="187"/>
      <c r="AQ11" s="184"/>
      <c r="AR11" s="181"/>
      <c r="AS11" s="588"/>
      <c r="AT11" s="187"/>
      <c r="AU11" s="187"/>
      <c r="AV11" s="184"/>
      <c r="AW11" s="181"/>
      <c r="AX11" s="588"/>
    </row>
    <row r="12" spans="1:50" ht="14.25" customHeight="1">
      <c r="B12" s="586"/>
      <c r="C12" s="179">
        <v>6</v>
      </c>
      <c r="D12" s="182"/>
      <c r="E12" s="179"/>
      <c r="F12" s="179"/>
      <c r="G12" s="184"/>
      <c r="H12" s="588"/>
      <c r="I12" s="185"/>
      <c r="J12" s="185"/>
      <c r="K12" s="186"/>
      <c r="L12" s="589"/>
      <c r="M12" s="185"/>
      <c r="N12" s="586"/>
      <c r="O12" s="586"/>
      <c r="P12" s="187"/>
      <c r="Q12" s="187"/>
      <c r="R12" s="184"/>
      <c r="S12" s="181"/>
      <c r="T12" s="588"/>
      <c r="U12" s="187"/>
      <c r="V12" s="187"/>
      <c r="W12" s="184"/>
      <c r="X12" s="181"/>
      <c r="Y12" s="588"/>
      <c r="Z12" s="187"/>
      <c r="AA12" s="187"/>
      <c r="AB12" s="184"/>
      <c r="AC12" s="181"/>
      <c r="AD12" s="588"/>
      <c r="AE12" s="187"/>
      <c r="AF12" s="187"/>
      <c r="AG12" s="184"/>
      <c r="AH12" s="181"/>
      <c r="AI12" s="588"/>
      <c r="AJ12" s="187"/>
      <c r="AK12" s="187"/>
      <c r="AL12" s="184"/>
      <c r="AM12" s="181"/>
      <c r="AN12" s="588"/>
      <c r="AO12" s="187"/>
      <c r="AP12" s="187"/>
      <c r="AQ12" s="184"/>
      <c r="AR12" s="181"/>
      <c r="AS12" s="588"/>
      <c r="AT12" s="187"/>
      <c r="AU12" s="187"/>
      <c r="AV12" s="184"/>
      <c r="AW12" s="181"/>
      <c r="AX12" s="588"/>
    </row>
    <row r="13" spans="1:50" ht="14.25" customHeight="1">
      <c r="B13" s="586"/>
      <c r="C13" s="179">
        <v>7</v>
      </c>
      <c r="D13" s="182"/>
      <c r="E13" s="179"/>
      <c r="F13" s="179"/>
      <c r="G13" s="184"/>
      <c r="H13" s="588"/>
      <c r="I13" s="185"/>
      <c r="J13" s="185"/>
      <c r="K13" s="186"/>
      <c r="L13" s="589"/>
      <c r="M13" s="185"/>
      <c r="N13" s="586"/>
      <c r="O13" s="586"/>
      <c r="P13" s="187"/>
      <c r="Q13" s="187"/>
      <c r="R13" s="184"/>
      <c r="S13" s="181"/>
      <c r="T13" s="588"/>
      <c r="U13" s="187"/>
      <c r="V13" s="187"/>
      <c r="W13" s="184"/>
      <c r="X13" s="181"/>
      <c r="Y13" s="588"/>
      <c r="Z13" s="187"/>
      <c r="AA13" s="187"/>
      <c r="AB13" s="184"/>
      <c r="AC13" s="181"/>
      <c r="AD13" s="588"/>
      <c r="AE13" s="187"/>
      <c r="AF13" s="187"/>
      <c r="AG13" s="184"/>
      <c r="AH13" s="181"/>
      <c r="AI13" s="588"/>
      <c r="AJ13" s="187"/>
      <c r="AK13" s="187"/>
      <c r="AL13" s="184"/>
      <c r="AM13" s="181"/>
      <c r="AN13" s="588"/>
      <c r="AO13" s="187"/>
      <c r="AP13" s="187"/>
      <c r="AQ13" s="184"/>
      <c r="AR13" s="181"/>
      <c r="AS13" s="588"/>
      <c r="AT13" s="187"/>
      <c r="AU13" s="187"/>
      <c r="AV13" s="184"/>
      <c r="AW13" s="181"/>
      <c r="AX13" s="588"/>
    </row>
    <row r="14" spans="1:50" ht="14.25" customHeight="1">
      <c r="B14" s="586"/>
      <c r="C14" s="179">
        <v>8</v>
      </c>
      <c r="D14" s="182"/>
      <c r="E14" s="179"/>
      <c r="F14" s="179"/>
      <c r="G14" s="184"/>
      <c r="H14" s="588"/>
      <c r="I14" s="185"/>
      <c r="J14" s="185"/>
      <c r="K14" s="186"/>
      <c r="L14" s="589"/>
      <c r="M14" s="185"/>
      <c r="N14" s="586"/>
      <c r="O14" s="586"/>
      <c r="P14" s="187"/>
      <c r="Q14" s="187"/>
      <c r="R14" s="184"/>
      <c r="S14" s="181"/>
      <c r="T14" s="588"/>
      <c r="U14" s="187"/>
      <c r="V14" s="187"/>
      <c r="W14" s="184"/>
      <c r="X14" s="181"/>
      <c r="Y14" s="588"/>
      <c r="Z14" s="187"/>
      <c r="AA14" s="187"/>
      <c r="AB14" s="184"/>
      <c r="AC14" s="181"/>
      <c r="AD14" s="588"/>
      <c r="AE14" s="187"/>
      <c r="AF14" s="187"/>
      <c r="AG14" s="184"/>
      <c r="AH14" s="181"/>
      <c r="AI14" s="588"/>
      <c r="AJ14" s="187"/>
      <c r="AK14" s="187"/>
      <c r="AL14" s="184"/>
      <c r="AM14" s="181"/>
      <c r="AN14" s="588"/>
      <c r="AO14" s="187"/>
      <c r="AP14" s="187"/>
      <c r="AQ14" s="184"/>
      <c r="AR14" s="181"/>
      <c r="AS14" s="588"/>
      <c r="AT14" s="187"/>
      <c r="AU14" s="187"/>
      <c r="AV14" s="184"/>
      <c r="AW14" s="181"/>
      <c r="AX14" s="588"/>
    </row>
    <row r="15" spans="1:50" ht="14.25" customHeight="1">
      <c r="B15" s="586"/>
      <c r="C15" s="179">
        <v>9</v>
      </c>
      <c r="D15" s="182"/>
      <c r="E15" s="179"/>
      <c r="F15" s="179"/>
      <c r="G15" s="184"/>
      <c r="H15" s="588"/>
      <c r="I15" s="185"/>
      <c r="J15" s="185"/>
      <c r="K15" s="186"/>
      <c r="L15" s="589"/>
      <c r="M15" s="185"/>
      <c r="N15" s="586"/>
      <c r="O15" s="586"/>
      <c r="P15" s="187"/>
      <c r="Q15" s="187"/>
      <c r="R15" s="184"/>
      <c r="S15" s="181"/>
      <c r="T15" s="588"/>
      <c r="U15" s="187"/>
      <c r="V15" s="187"/>
      <c r="W15" s="184"/>
      <c r="X15" s="181"/>
      <c r="Y15" s="588"/>
      <c r="Z15" s="187"/>
      <c r="AA15" s="187"/>
      <c r="AB15" s="184"/>
      <c r="AC15" s="181"/>
      <c r="AD15" s="588"/>
      <c r="AE15" s="187"/>
      <c r="AF15" s="187"/>
      <c r="AG15" s="184"/>
      <c r="AH15" s="181"/>
      <c r="AI15" s="588"/>
      <c r="AJ15" s="187"/>
      <c r="AK15" s="187"/>
      <c r="AL15" s="184"/>
      <c r="AM15" s="181"/>
      <c r="AN15" s="588"/>
      <c r="AO15" s="187"/>
      <c r="AP15" s="187"/>
      <c r="AQ15" s="184"/>
      <c r="AR15" s="181"/>
      <c r="AS15" s="588"/>
      <c r="AT15" s="187"/>
      <c r="AU15" s="187"/>
      <c r="AV15" s="184"/>
      <c r="AW15" s="181"/>
      <c r="AX15" s="588"/>
    </row>
    <row r="16" spans="1:50" ht="14.25" customHeight="1">
      <c r="B16" s="586"/>
      <c r="C16" s="179">
        <v>10</v>
      </c>
      <c r="D16" s="182"/>
      <c r="E16" s="179"/>
      <c r="F16" s="179"/>
      <c r="G16" s="184"/>
      <c r="H16" s="588"/>
      <c r="I16" s="185"/>
      <c r="J16" s="185"/>
      <c r="K16" s="186"/>
      <c r="L16" s="589"/>
      <c r="M16" s="185"/>
      <c r="N16" s="586"/>
      <c r="O16" s="586"/>
      <c r="P16" s="187"/>
      <c r="Q16" s="187"/>
      <c r="R16" s="184"/>
      <c r="S16" s="181"/>
      <c r="T16" s="588"/>
      <c r="U16" s="187"/>
      <c r="V16" s="187"/>
      <c r="W16" s="184"/>
      <c r="X16" s="181"/>
      <c r="Y16" s="588"/>
      <c r="Z16" s="187"/>
      <c r="AA16" s="187"/>
      <c r="AB16" s="184"/>
      <c r="AC16" s="181"/>
      <c r="AD16" s="588"/>
      <c r="AE16" s="187"/>
      <c r="AF16" s="187"/>
      <c r="AG16" s="184"/>
      <c r="AH16" s="181"/>
      <c r="AI16" s="588"/>
      <c r="AJ16" s="187"/>
      <c r="AK16" s="187"/>
      <c r="AL16" s="184"/>
      <c r="AM16" s="181"/>
      <c r="AN16" s="588"/>
      <c r="AO16" s="187"/>
      <c r="AP16" s="187"/>
      <c r="AQ16" s="184"/>
      <c r="AR16" s="181"/>
      <c r="AS16" s="588"/>
      <c r="AT16" s="187"/>
      <c r="AU16" s="187"/>
      <c r="AV16" s="184"/>
      <c r="AW16" s="181"/>
      <c r="AX16" s="588"/>
    </row>
    <row r="17" spans="2:50" ht="14.25" customHeight="1">
      <c r="B17" s="586"/>
      <c r="C17" s="179">
        <v>11</v>
      </c>
      <c r="D17" s="182"/>
      <c r="E17" s="179"/>
      <c r="F17" s="179"/>
      <c r="G17" s="184"/>
      <c r="H17" s="588"/>
      <c r="I17" s="185"/>
      <c r="J17" s="185"/>
      <c r="K17" s="186"/>
      <c r="L17" s="589"/>
      <c r="M17" s="185"/>
      <c r="N17" s="586"/>
      <c r="O17" s="586"/>
      <c r="P17" s="187"/>
      <c r="Q17" s="187"/>
      <c r="R17" s="184"/>
      <c r="S17" s="181"/>
      <c r="T17" s="588"/>
      <c r="U17" s="187"/>
      <c r="V17" s="187"/>
      <c r="W17" s="184"/>
      <c r="X17" s="181"/>
      <c r="Y17" s="588"/>
      <c r="Z17" s="187"/>
      <c r="AA17" s="187"/>
      <c r="AB17" s="184"/>
      <c r="AC17" s="181"/>
      <c r="AD17" s="588"/>
      <c r="AE17" s="187"/>
      <c r="AF17" s="187"/>
      <c r="AG17" s="184"/>
      <c r="AH17" s="181"/>
      <c r="AI17" s="588"/>
      <c r="AJ17" s="187"/>
      <c r="AK17" s="187"/>
      <c r="AL17" s="184"/>
      <c r="AM17" s="181"/>
      <c r="AN17" s="588"/>
      <c r="AO17" s="187"/>
      <c r="AP17" s="187"/>
      <c r="AQ17" s="184"/>
      <c r="AR17" s="181"/>
      <c r="AS17" s="588"/>
      <c r="AT17" s="187"/>
      <c r="AU17" s="187"/>
      <c r="AV17" s="184"/>
      <c r="AW17" s="181"/>
      <c r="AX17" s="588"/>
    </row>
    <row r="18" spans="2:50" ht="14.25" customHeight="1">
      <c r="B18" s="586"/>
      <c r="C18" s="179">
        <v>12</v>
      </c>
      <c r="D18" s="182"/>
      <c r="E18" s="179"/>
      <c r="F18" s="179"/>
      <c r="G18" s="184"/>
      <c r="H18" s="588"/>
      <c r="I18" s="185"/>
      <c r="J18" s="185"/>
      <c r="K18" s="186"/>
      <c r="L18" s="589"/>
      <c r="M18" s="185"/>
      <c r="N18" s="586"/>
      <c r="O18" s="586"/>
      <c r="P18" s="187"/>
      <c r="Q18" s="187"/>
      <c r="R18" s="184"/>
      <c r="S18" s="181"/>
      <c r="T18" s="588"/>
      <c r="U18" s="187"/>
      <c r="V18" s="187"/>
      <c r="W18" s="184"/>
      <c r="X18" s="181"/>
      <c r="Y18" s="588"/>
      <c r="Z18" s="187"/>
      <c r="AA18" s="187"/>
      <c r="AB18" s="184"/>
      <c r="AC18" s="181"/>
      <c r="AD18" s="588"/>
      <c r="AE18" s="187"/>
      <c r="AF18" s="187"/>
      <c r="AG18" s="184"/>
      <c r="AH18" s="181"/>
      <c r="AI18" s="588"/>
      <c r="AJ18" s="187"/>
      <c r="AK18" s="187"/>
      <c r="AL18" s="184"/>
      <c r="AM18" s="181"/>
      <c r="AN18" s="588"/>
      <c r="AO18" s="187"/>
      <c r="AP18" s="187"/>
      <c r="AQ18" s="184"/>
      <c r="AR18" s="181"/>
      <c r="AS18" s="588"/>
      <c r="AT18" s="187"/>
      <c r="AU18" s="187"/>
      <c r="AV18" s="184"/>
      <c r="AW18" s="181"/>
      <c r="AX18" s="588"/>
    </row>
    <row r="19" spans="2:50" ht="14.25" customHeight="1">
      <c r="B19" s="586"/>
      <c r="C19" s="179">
        <v>13</v>
      </c>
      <c r="D19" s="182"/>
      <c r="E19" s="179"/>
      <c r="F19" s="179"/>
      <c r="G19" s="184"/>
      <c r="H19" s="588"/>
      <c r="I19" s="185"/>
      <c r="J19" s="185"/>
      <c r="K19" s="186"/>
      <c r="L19" s="589"/>
      <c r="M19" s="185"/>
      <c r="N19" s="586"/>
      <c r="O19" s="586"/>
      <c r="P19" s="187"/>
      <c r="Q19" s="187"/>
      <c r="R19" s="184"/>
      <c r="S19" s="181"/>
      <c r="T19" s="588"/>
      <c r="U19" s="187"/>
      <c r="V19" s="187"/>
      <c r="W19" s="184"/>
      <c r="X19" s="181"/>
      <c r="Y19" s="588"/>
      <c r="Z19" s="187"/>
      <c r="AA19" s="187"/>
      <c r="AB19" s="184"/>
      <c r="AC19" s="181"/>
      <c r="AD19" s="588"/>
      <c r="AE19" s="187"/>
      <c r="AF19" s="187"/>
      <c r="AG19" s="184"/>
      <c r="AH19" s="181"/>
      <c r="AI19" s="588"/>
      <c r="AJ19" s="187"/>
      <c r="AK19" s="187"/>
      <c r="AL19" s="184"/>
      <c r="AM19" s="181"/>
      <c r="AN19" s="588"/>
      <c r="AO19" s="187"/>
      <c r="AP19" s="187"/>
      <c r="AQ19" s="184"/>
      <c r="AR19" s="181"/>
      <c r="AS19" s="588"/>
      <c r="AT19" s="187"/>
      <c r="AU19" s="187"/>
      <c r="AV19" s="184"/>
      <c r="AW19" s="181"/>
      <c r="AX19" s="588"/>
    </row>
    <row r="20" spans="2:50" ht="14.25" customHeight="1">
      <c r="B20" s="586"/>
      <c r="C20" s="179">
        <v>14</v>
      </c>
      <c r="D20" s="182"/>
      <c r="E20" s="179"/>
      <c r="F20" s="179"/>
      <c r="G20" s="184"/>
      <c r="H20" s="588"/>
      <c r="I20" s="185"/>
      <c r="J20" s="185"/>
      <c r="K20" s="186"/>
      <c r="L20" s="589"/>
      <c r="M20" s="185"/>
      <c r="N20" s="586"/>
      <c r="O20" s="586"/>
      <c r="P20" s="187"/>
      <c r="Q20" s="187"/>
      <c r="R20" s="184"/>
      <c r="S20" s="181"/>
      <c r="T20" s="588"/>
      <c r="U20" s="187"/>
      <c r="V20" s="187"/>
      <c r="W20" s="184"/>
      <c r="X20" s="181"/>
      <c r="Y20" s="588"/>
      <c r="Z20" s="187"/>
      <c r="AA20" s="187"/>
      <c r="AB20" s="184"/>
      <c r="AC20" s="181"/>
      <c r="AD20" s="588"/>
      <c r="AE20" s="187"/>
      <c r="AF20" s="187"/>
      <c r="AG20" s="184"/>
      <c r="AH20" s="181"/>
      <c r="AI20" s="588"/>
      <c r="AJ20" s="187"/>
      <c r="AK20" s="187"/>
      <c r="AL20" s="184"/>
      <c r="AM20" s="181"/>
      <c r="AN20" s="588"/>
      <c r="AO20" s="187"/>
      <c r="AP20" s="187"/>
      <c r="AQ20" s="184"/>
      <c r="AR20" s="181"/>
      <c r="AS20" s="588"/>
      <c r="AT20" s="187"/>
      <c r="AU20" s="187"/>
      <c r="AV20" s="184"/>
      <c r="AW20" s="181"/>
      <c r="AX20" s="588"/>
    </row>
    <row r="21" spans="2:50" ht="14.25" customHeight="1">
      <c r="B21" s="586"/>
      <c r="C21" s="179">
        <v>15</v>
      </c>
      <c r="D21" s="182"/>
      <c r="E21" s="179"/>
      <c r="F21" s="179"/>
      <c r="G21" s="184"/>
      <c r="H21" s="588"/>
      <c r="I21" s="185"/>
      <c r="J21" s="185"/>
      <c r="K21" s="186"/>
      <c r="L21" s="589"/>
      <c r="M21" s="185"/>
      <c r="N21" s="586"/>
      <c r="O21" s="586"/>
      <c r="P21" s="187"/>
      <c r="Q21" s="187"/>
      <c r="R21" s="184"/>
      <c r="S21" s="181"/>
      <c r="T21" s="588"/>
      <c r="U21" s="187"/>
      <c r="V21" s="187"/>
      <c r="W21" s="184"/>
      <c r="X21" s="181"/>
      <c r="Y21" s="588"/>
      <c r="Z21" s="187"/>
      <c r="AA21" s="187"/>
      <c r="AB21" s="184"/>
      <c r="AC21" s="181"/>
      <c r="AD21" s="588"/>
      <c r="AE21" s="187"/>
      <c r="AF21" s="187"/>
      <c r="AG21" s="184"/>
      <c r="AH21" s="181"/>
      <c r="AI21" s="588"/>
      <c r="AJ21" s="187"/>
      <c r="AK21" s="187"/>
      <c r="AL21" s="184"/>
      <c r="AM21" s="181"/>
      <c r="AN21" s="588"/>
      <c r="AO21" s="187"/>
      <c r="AP21" s="187"/>
      <c r="AQ21" s="184"/>
      <c r="AR21" s="181"/>
      <c r="AS21" s="588"/>
      <c r="AT21" s="187"/>
      <c r="AU21" s="187"/>
      <c r="AV21" s="184"/>
      <c r="AW21" s="181"/>
      <c r="AX21" s="588"/>
    </row>
    <row r="22" spans="2:50" ht="14.25" customHeight="1">
      <c r="B22" s="612" t="s">
        <v>689</v>
      </c>
      <c r="C22" s="613"/>
      <c r="D22" s="613"/>
      <c r="E22" s="613"/>
      <c r="F22" s="613"/>
      <c r="G22" s="613"/>
      <c r="H22" s="613"/>
      <c r="I22" s="613"/>
      <c r="J22" s="613"/>
      <c r="K22" s="613"/>
      <c r="L22" s="613"/>
      <c r="M22" s="614"/>
      <c r="N22" s="617" t="s">
        <v>341</v>
      </c>
      <c r="O22" s="617" t="s">
        <v>105</v>
      </c>
      <c r="P22" s="600">
        <v>46238</v>
      </c>
      <c r="Q22" s="601"/>
      <c r="R22" s="601"/>
      <c r="S22" s="601"/>
      <c r="T22" s="601"/>
      <c r="U22" s="602">
        <f>P22+1</f>
        <v>46239</v>
      </c>
      <c r="V22" s="603"/>
      <c r="W22" s="603"/>
      <c r="X22" s="603"/>
      <c r="Y22" s="603"/>
      <c r="Z22" s="600">
        <f t="shared" ref="Z22" si="5">U22+1</f>
        <v>46240</v>
      </c>
      <c r="AA22" s="601"/>
      <c r="AB22" s="601"/>
      <c r="AC22" s="601"/>
      <c r="AD22" s="601"/>
      <c r="AE22" s="602">
        <f t="shared" ref="AE22" si="6">Z22+1</f>
        <v>46241</v>
      </c>
      <c r="AF22" s="603"/>
      <c r="AG22" s="603"/>
      <c r="AH22" s="603"/>
      <c r="AI22" s="603"/>
      <c r="AJ22" s="609">
        <f t="shared" ref="AJ22" si="7">AE22+1</f>
        <v>46242</v>
      </c>
      <c r="AK22" s="610"/>
      <c r="AL22" s="610"/>
      <c r="AM22" s="610"/>
      <c r="AN22" s="611"/>
      <c r="AO22" s="602">
        <f t="shared" ref="AO22" si="8">AJ22+1</f>
        <v>46243</v>
      </c>
      <c r="AP22" s="603"/>
      <c r="AQ22" s="603"/>
      <c r="AR22" s="603"/>
      <c r="AS22" s="603"/>
      <c r="AT22" s="609">
        <f t="shared" ref="AT22" si="9">AO22+1</f>
        <v>46244</v>
      </c>
      <c r="AU22" s="610"/>
      <c r="AV22" s="610"/>
      <c r="AW22" s="610"/>
      <c r="AX22" s="611"/>
    </row>
    <row r="23" spans="2:50" ht="14.25" customHeight="1">
      <c r="B23" s="615"/>
      <c r="C23" s="615"/>
      <c r="D23" s="615"/>
      <c r="E23" s="615"/>
      <c r="F23" s="615"/>
      <c r="G23" s="615"/>
      <c r="H23" s="615"/>
      <c r="I23" s="615"/>
      <c r="J23" s="615"/>
      <c r="K23" s="615"/>
      <c r="L23" s="615"/>
      <c r="M23" s="616"/>
      <c r="N23" s="618"/>
      <c r="O23" s="618"/>
      <c r="P23" s="604">
        <v>46196</v>
      </c>
      <c r="Q23" s="604"/>
      <c r="R23" s="604"/>
      <c r="S23" s="604"/>
      <c r="T23" s="604"/>
      <c r="U23" s="605">
        <v>46197</v>
      </c>
      <c r="V23" s="605"/>
      <c r="W23" s="605"/>
      <c r="X23" s="605"/>
      <c r="Y23" s="605"/>
      <c r="Z23" s="604">
        <v>46198</v>
      </c>
      <c r="AA23" s="604"/>
      <c r="AB23" s="604"/>
      <c r="AC23" s="604"/>
      <c r="AD23" s="604"/>
      <c r="AE23" s="605">
        <v>46199</v>
      </c>
      <c r="AF23" s="605"/>
      <c r="AG23" s="605"/>
      <c r="AH23" s="605"/>
      <c r="AI23" s="605"/>
      <c r="AJ23" s="606">
        <v>46200</v>
      </c>
      <c r="AK23" s="607"/>
      <c r="AL23" s="607"/>
      <c r="AM23" s="607"/>
      <c r="AN23" s="608"/>
      <c r="AO23" s="605">
        <v>46201</v>
      </c>
      <c r="AP23" s="605"/>
      <c r="AQ23" s="605"/>
      <c r="AR23" s="605"/>
      <c r="AS23" s="605"/>
      <c r="AT23" s="606">
        <v>46202</v>
      </c>
      <c r="AU23" s="607"/>
      <c r="AV23" s="607"/>
      <c r="AW23" s="607"/>
      <c r="AX23" s="608"/>
    </row>
    <row r="24" spans="2:50" ht="14.25" customHeight="1">
      <c r="B24" s="586" t="s">
        <v>162</v>
      </c>
      <c r="C24" s="586" t="s">
        <v>157</v>
      </c>
      <c r="D24" s="586"/>
      <c r="E24" s="586" t="s">
        <v>158</v>
      </c>
      <c r="F24" s="586"/>
      <c r="G24" s="586"/>
      <c r="H24" s="586" t="s">
        <v>163</v>
      </c>
      <c r="I24" s="592" t="s">
        <v>342</v>
      </c>
      <c r="J24" s="592"/>
      <c r="K24" s="592"/>
      <c r="L24" s="592" t="s">
        <v>163</v>
      </c>
      <c r="M24" s="592" t="s">
        <v>165</v>
      </c>
      <c r="N24" s="586"/>
      <c r="O24" s="586" t="s">
        <v>164</v>
      </c>
      <c r="P24" s="586" t="s">
        <v>160</v>
      </c>
      <c r="Q24" s="586"/>
      <c r="R24" s="586"/>
      <c r="S24" s="586"/>
      <c r="T24" s="586" t="s">
        <v>163</v>
      </c>
      <c r="U24" s="586" t="s">
        <v>160</v>
      </c>
      <c r="V24" s="586"/>
      <c r="W24" s="586"/>
      <c r="X24" s="586"/>
      <c r="Y24" s="586" t="s">
        <v>163</v>
      </c>
      <c r="Z24" s="586" t="s">
        <v>160</v>
      </c>
      <c r="AA24" s="586"/>
      <c r="AB24" s="586"/>
      <c r="AC24" s="586"/>
      <c r="AD24" s="586" t="s">
        <v>163</v>
      </c>
      <c r="AE24" s="586" t="s">
        <v>160</v>
      </c>
      <c r="AF24" s="586"/>
      <c r="AG24" s="586"/>
      <c r="AH24" s="586"/>
      <c r="AI24" s="586" t="s">
        <v>163</v>
      </c>
      <c r="AJ24" s="586" t="s">
        <v>160</v>
      </c>
      <c r="AK24" s="586"/>
      <c r="AL24" s="586"/>
      <c r="AM24" s="586"/>
      <c r="AN24" s="586" t="s">
        <v>163</v>
      </c>
      <c r="AO24" s="586" t="s">
        <v>160</v>
      </c>
      <c r="AP24" s="586"/>
      <c r="AQ24" s="586"/>
      <c r="AR24" s="586"/>
      <c r="AS24" s="586" t="s">
        <v>163</v>
      </c>
      <c r="AT24" s="586" t="s">
        <v>160</v>
      </c>
      <c r="AU24" s="586"/>
      <c r="AV24" s="586"/>
      <c r="AW24" s="586"/>
      <c r="AX24" s="586" t="s">
        <v>163</v>
      </c>
    </row>
    <row r="25" spans="2:50" ht="14.25" customHeight="1">
      <c r="B25" s="586"/>
      <c r="C25" s="586"/>
      <c r="D25" s="586"/>
      <c r="E25" s="586" t="s">
        <v>343</v>
      </c>
      <c r="F25" s="586"/>
      <c r="G25" s="586"/>
      <c r="H25" s="586"/>
      <c r="I25" s="592" t="s">
        <v>343</v>
      </c>
      <c r="J25" s="592"/>
      <c r="K25" s="592"/>
      <c r="L25" s="592"/>
      <c r="M25" s="592"/>
      <c r="N25" s="586"/>
      <c r="O25" s="586"/>
      <c r="P25" s="586" t="s">
        <v>344</v>
      </c>
      <c r="Q25" s="586"/>
      <c r="R25" s="586"/>
      <c r="S25" s="586"/>
      <c r="T25" s="586"/>
      <c r="U25" s="586" t="s">
        <v>344</v>
      </c>
      <c r="V25" s="586"/>
      <c r="W25" s="586"/>
      <c r="X25" s="586"/>
      <c r="Y25" s="586"/>
      <c r="Z25" s="586" t="s">
        <v>344</v>
      </c>
      <c r="AA25" s="586"/>
      <c r="AB25" s="586"/>
      <c r="AC25" s="586"/>
      <c r="AD25" s="586"/>
      <c r="AE25" s="586" t="s">
        <v>344</v>
      </c>
      <c r="AF25" s="586"/>
      <c r="AG25" s="586"/>
      <c r="AH25" s="586"/>
      <c r="AI25" s="586"/>
      <c r="AJ25" s="586" t="s">
        <v>344</v>
      </c>
      <c r="AK25" s="586"/>
      <c r="AL25" s="586"/>
      <c r="AM25" s="586"/>
      <c r="AN25" s="586"/>
      <c r="AO25" s="586" t="s">
        <v>344</v>
      </c>
      <c r="AP25" s="586"/>
      <c r="AQ25" s="586"/>
      <c r="AR25" s="586"/>
      <c r="AS25" s="586"/>
      <c r="AT25" s="586" t="s">
        <v>344</v>
      </c>
      <c r="AU25" s="586"/>
      <c r="AV25" s="586"/>
      <c r="AW25" s="586"/>
      <c r="AX25" s="586"/>
    </row>
    <row r="26" spans="2:50" ht="14.25" customHeight="1">
      <c r="B26" s="586"/>
      <c r="C26" s="586"/>
      <c r="D26" s="586"/>
      <c r="E26" s="179" t="s">
        <v>159</v>
      </c>
      <c r="F26" s="179" t="s">
        <v>345</v>
      </c>
      <c r="G26" s="179" t="s">
        <v>161</v>
      </c>
      <c r="H26" s="586"/>
      <c r="I26" s="180" t="s">
        <v>159</v>
      </c>
      <c r="J26" s="180" t="s">
        <v>345</v>
      </c>
      <c r="K26" s="180" t="s">
        <v>161</v>
      </c>
      <c r="L26" s="592"/>
      <c r="M26" s="592"/>
      <c r="N26" s="586"/>
      <c r="O26" s="586"/>
      <c r="P26" s="179" t="s">
        <v>159</v>
      </c>
      <c r="Q26" s="179" t="s">
        <v>345</v>
      </c>
      <c r="R26" s="179" t="s">
        <v>161</v>
      </c>
      <c r="S26" s="181" t="s">
        <v>165</v>
      </c>
      <c r="T26" s="586"/>
      <c r="U26" s="179" t="s">
        <v>159</v>
      </c>
      <c r="V26" s="179" t="s">
        <v>345</v>
      </c>
      <c r="W26" s="179" t="s">
        <v>161</v>
      </c>
      <c r="X26" s="181" t="s">
        <v>165</v>
      </c>
      <c r="Y26" s="586"/>
      <c r="Z26" s="179" t="s">
        <v>159</v>
      </c>
      <c r="AA26" s="179" t="s">
        <v>345</v>
      </c>
      <c r="AB26" s="179" t="s">
        <v>161</v>
      </c>
      <c r="AC26" s="181" t="s">
        <v>165</v>
      </c>
      <c r="AD26" s="586"/>
      <c r="AE26" s="179" t="s">
        <v>159</v>
      </c>
      <c r="AF26" s="179" t="s">
        <v>345</v>
      </c>
      <c r="AG26" s="179" t="s">
        <v>161</v>
      </c>
      <c r="AH26" s="181" t="s">
        <v>165</v>
      </c>
      <c r="AI26" s="586"/>
      <c r="AJ26" s="179" t="s">
        <v>159</v>
      </c>
      <c r="AK26" s="179" t="s">
        <v>345</v>
      </c>
      <c r="AL26" s="179" t="s">
        <v>161</v>
      </c>
      <c r="AM26" s="181" t="s">
        <v>165</v>
      </c>
      <c r="AN26" s="586"/>
      <c r="AO26" s="179" t="s">
        <v>159</v>
      </c>
      <c r="AP26" s="179" t="s">
        <v>345</v>
      </c>
      <c r="AQ26" s="179" t="s">
        <v>161</v>
      </c>
      <c r="AR26" s="181" t="s">
        <v>165</v>
      </c>
      <c r="AS26" s="586"/>
      <c r="AT26" s="179" t="s">
        <v>159</v>
      </c>
      <c r="AU26" s="179" t="s">
        <v>345</v>
      </c>
      <c r="AV26" s="179" t="s">
        <v>161</v>
      </c>
      <c r="AW26" s="181" t="s">
        <v>165</v>
      </c>
      <c r="AX26" s="586"/>
    </row>
    <row r="27" spans="2:50" ht="14.25" customHeight="1">
      <c r="B27" s="586" t="s">
        <v>404</v>
      </c>
      <c r="C27" s="179">
        <v>1</v>
      </c>
      <c r="D27" s="182"/>
      <c r="E27" s="183"/>
      <c r="F27" s="179"/>
      <c r="G27" s="184"/>
      <c r="H27" s="588"/>
      <c r="I27" s="185"/>
      <c r="J27" s="185"/>
      <c r="K27" s="186"/>
      <c r="L27" s="589"/>
      <c r="M27" s="185"/>
      <c r="N27" s="586"/>
      <c r="O27" s="586"/>
      <c r="P27" s="187"/>
      <c r="Q27" s="187"/>
      <c r="R27" s="184"/>
      <c r="S27" s="181"/>
      <c r="T27" s="588"/>
      <c r="U27" s="187"/>
      <c r="V27" s="187"/>
      <c r="W27" s="184"/>
      <c r="X27" s="181"/>
      <c r="Y27" s="588"/>
      <c r="Z27" s="187"/>
      <c r="AA27" s="187"/>
      <c r="AB27" s="184"/>
      <c r="AC27" s="181"/>
      <c r="AD27" s="588"/>
      <c r="AE27" s="187"/>
      <c r="AF27" s="187"/>
      <c r="AG27" s="184"/>
      <c r="AH27" s="181"/>
      <c r="AI27" s="588"/>
      <c r="AJ27" s="187"/>
      <c r="AK27" s="187"/>
      <c r="AL27" s="184"/>
      <c r="AM27" s="181"/>
      <c r="AN27" s="588"/>
      <c r="AO27" s="187"/>
      <c r="AP27" s="187"/>
      <c r="AQ27" s="184"/>
      <c r="AR27" s="181"/>
      <c r="AS27" s="588"/>
      <c r="AT27" s="187"/>
      <c r="AU27" s="187"/>
      <c r="AV27" s="184"/>
      <c r="AW27" s="181"/>
      <c r="AX27" s="588"/>
    </row>
    <row r="28" spans="2:50" ht="14.25" customHeight="1">
      <c r="B28" s="586"/>
      <c r="C28" s="179">
        <v>2</v>
      </c>
      <c r="D28" s="182"/>
      <c r="E28" s="179"/>
      <c r="F28" s="179"/>
      <c r="G28" s="184"/>
      <c r="H28" s="588"/>
      <c r="I28" s="185"/>
      <c r="J28" s="185"/>
      <c r="K28" s="186"/>
      <c r="L28" s="589"/>
      <c r="M28" s="185"/>
      <c r="N28" s="586"/>
      <c r="O28" s="586"/>
      <c r="P28" s="187"/>
      <c r="Q28" s="187"/>
      <c r="R28" s="184"/>
      <c r="S28" s="181"/>
      <c r="T28" s="588"/>
      <c r="U28" s="187"/>
      <c r="V28" s="187"/>
      <c r="W28" s="184"/>
      <c r="X28" s="181"/>
      <c r="Y28" s="588"/>
      <c r="Z28" s="187"/>
      <c r="AA28" s="187"/>
      <c r="AB28" s="184"/>
      <c r="AC28" s="181"/>
      <c r="AD28" s="588"/>
      <c r="AE28" s="187"/>
      <c r="AF28" s="187"/>
      <c r="AG28" s="184"/>
      <c r="AH28" s="181"/>
      <c r="AI28" s="588"/>
      <c r="AJ28" s="187"/>
      <c r="AK28" s="187"/>
      <c r="AL28" s="184"/>
      <c r="AM28" s="181"/>
      <c r="AN28" s="588"/>
      <c r="AO28" s="187"/>
      <c r="AP28" s="187"/>
      <c r="AQ28" s="184"/>
      <c r="AR28" s="181"/>
      <c r="AS28" s="588"/>
      <c r="AT28" s="187"/>
      <c r="AU28" s="187"/>
      <c r="AV28" s="184"/>
      <c r="AW28" s="181"/>
      <c r="AX28" s="588"/>
    </row>
    <row r="29" spans="2:50" ht="14.25" customHeight="1">
      <c r="B29" s="586"/>
      <c r="C29" s="179">
        <v>3</v>
      </c>
      <c r="D29" s="182"/>
      <c r="E29" s="179"/>
      <c r="F29" s="179"/>
      <c r="G29" s="184"/>
      <c r="H29" s="588"/>
      <c r="I29" s="185"/>
      <c r="J29" s="185"/>
      <c r="K29" s="186"/>
      <c r="L29" s="589"/>
      <c r="M29" s="185"/>
      <c r="N29" s="586"/>
      <c r="O29" s="586"/>
      <c r="P29" s="187"/>
      <c r="Q29" s="187"/>
      <c r="R29" s="184"/>
      <c r="S29" s="181"/>
      <c r="T29" s="588"/>
      <c r="U29" s="187"/>
      <c r="V29" s="187"/>
      <c r="W29" s="184"/>
      <c r="X29" s="181"/>
      <c r="Y29" s="588"/>
      <c r="Z29" s="187"/>
      <c r="AA29" s="187"/>
      <c r="AB29" s="184"/>
      <c r="AC29" s="181"/>
      <c r="AD29" s="588"/>
      <c r="AE29" s="187"/>
      <c r="AF29" s="187"/>
      <c r="AG29" s="184"/>
      <c r="AH29" s="181"/>
      <c r="AI29" s="588"/>
      <c r="AJ29" s="187"/>
      <c r="AK29" s="187"/>
      <c r="AL29" s="184"/>
      <c r="AM29" s="181"/>
      <c r="AN29" s="588"/>
      <c r="AO29" s="187"/>
      <c r="AP29" s="187"/>
      <c r="AQ29" s="184"/>
      <c r="AR29" s="181"/>
      <c r="AS29" s="588"/>
      <c r="AT29" s="187"/>
      <c r="AU29" s="187"/>
      <c r="AV29" s="184"/>
      <c r="AW29" s="181"/>
      <c r="AX29" s="588"/>
    </row>
    <row r="30" spans="2:50" ht="14.25" customHeight="1">
      <c r="B30" s="586"/>
      <c r="C30" s="179">
        <v>4</v>
      </c>
      <c r="D30" s="182"/>
      <c r="E30" s="179"/>
      <c r="F30" s="179"/>
      <c r="G30" s="184"/>
      <c r="H30" s="588"/>
      <c r="I30" s="185"/>
      <c r="J30" s="185"/>
      <c r="K30" s="186"/>
      <c r="L30" s="589"/>
      <c r="M30" s="185"/>
      <c r="N30" s="586"/>
      <c r="O30" s="586"/>
      <c r="P30" s="187"/>
      <c r="Q30" s="187"/>
      <c r="R30" s="184"/>
      <c r="S30" s="181"/>
      <c r="T30" s="588"/>
      <c r="U30" s="187"/>
      <c r="V30" s="187"/>
      <c r="W30" s="184"/>
      <c r="X30" s="181"/>
      <c r="Y30" s="588"/>
      <c r="Z30" s="187"/>
      <c r="AA30" s="187"/>
      <c r="AB30" s="184"/>
      <c r="AC30" s="181"/>
      <c r="AD30" s="588"/>
      <c r="AE30" s="187"/>
      <c r="AF30" s="187"/>
      <c r="AG30" s="184"/>
      <c r="AH30" s="181"/>
      <c r="AI30" s="588"/>
      <c r="AJ30" s="187"/>
      <c r="AK30" s="187"/>
      <c r="AL30" s="184"/>
      <c r="AM30" s="181"/>
      <c r="AN30" s="588"/>
      <c r="AO30" s="187"/>
      <c r="AP30" s="187"/>
      <c r="AQ30" s="184"/>
      <c r="AR30" s="181"/>
      <c r="AS30" s="588"/>
      <c r="AT30" s="187"/>
      <c r="AU30" s="187"/>
      <c r="AV30" s="184"/>
      <c r="AW30" s="181"/>
      <c r="AX30" s="588"/>
    </row>
    <row r="31" spans="2:50" ht="14.25" customHeight="1">
      <c r="B31" s="586"/>
      <c r="C31" s="179">
        <v>5</v>
      </c>
      <c r="D31" s="182"/>
      <c r="E31" s="179"/>
      <c r="F31" s="179"/>
      <c r="G31" s="184"/>
      <c r="H31" s="588"/>
      <c r="I31" s="185"/>
      <c r="J31" s="185"/>
      <c r="K31" s="186"/>
      <c r="L31" s="589"/>
      <c r="M31" s="185"/>
      <c r="N31" s="586"/>
      <c r="O31" s="586"/>
      <c r="P31" s="187"/>
      <c r="Q31" s="187"/>
      <c r="R31" s="184"/>
      <c r="S31" s="181"/>
      <c r="T31" s="588"/>
      <c r="U31" s="187"/>
      <c r="V31" s="187"/>
      <c r="W31" s="184"/>
      <c r="X31" s="181"/>
      <c r="Y31" s="588"/>
      <c r="Z31" s="187"/>
      <c r="AA31" s="187"/>
      <c r="AB31" s="184"/>
      <c r="AC31" s="181"/>
      <c r="AD31" s="588"/>
      <c r="AE31" s="187"/>
      <c r="AF31" s="187"/>
      <c r="AG31" s="184"/>
      <c r="AH31" s="181"/>
      <c r="AI31" s="588"/>
      <c r="AJ31" s="187"/>
      <c r="AK31" s="187"/>
      <c r="AL31" s="184"/>
      <c r="AM31" s="181"/>
      <c r="AN31" s="588"/>
      <c r="AO31" s="187"/>
      <c r="AP31" s="187"/>
      <c r="AQ31" s="184"/>
      <c r="AR31" s="181"/>
      <c r="AS31" s="588"/>
      <c r="AT31" s="187"/>
      <c r="AU31" s="187"/>
      <c r="AV31" s="184"/>
      <c r="AW31" s="181"/>
      <c r="AX31" s="588"/>
    </row>
    <row r="32" spans="2:50" ht="14.25" customHeight="1">
      <c r="B32" s="586"/>
      <c r="C32" s="179">
        <v>6</v>
      </c>
      <c r="D32" s="182"/>
      <c r="E32" s="179"/>
      <c r="F32" s="179"/>
      <c r="G32" s="184"/>
      <c r="H32" s="588"/>
      <c r="I32" s="185"/>
      <c r="J32" s="185"/>
      <c r="K32" s="186"/>
      <c r="L32" s="589"/>
      <c r="M32" s="185"/>
      <c r="N32" s="586"/>
      <c r="O32" s="586"/>
      <c r="P32" s="187"/>
      <c r="Q32" s="187"/>
      <c r="R32" s="184"/>
      <c r="S32" s="181"/>
      <c r="T32" s="588"/>
      <c r="U32" s="187"/>
      <c r="V32" s="187"/>
      <c r="W32" s="184"/>
      <c r="X32" s="181"/>
      <c r="Y32" s="588"/>
      <c r="Z32" s="187"/>
      <c r="AA32" s="187"/>
      <c r="AB32" s="184"/>
      <c r="AC32" s="181"/>
      <c r="AD32" s="588"/>
      <c r="AE32" s="187"/>
      <c r="AF32" s="187"/>
      <c r="AG32" s="184"/>
      <c r="AH32" s="181"/>
      <c r="AI32" s="588"/>
      <c r="AJ32" s="187"/>
      <c r="AK32" s="187"/>
      <c r="AL32" s="184"/>
      <c r="AM32" s="181"/>
      <c r="AN32" s="588"/>
      <c r="AO32" s="187"/>
      <c r="AP32" s="187"/>
      <c r="AQ32" s="184"/>
      <c r="AR32" s="181"/>
      <c r="AS32" s="588"/>
      <c r="AT32" s="187"/>
      <c r="AU32" s="187"/>
      <c r="AV32" s="184"/>
      <c r="AW32" s="181"/>
      <c r="AX32" s="588"/>
    </row>
    <row r="33" spans="2:50" ht="14.25" customHeight="1">
      <c r="B33" s="586"/>
      <c r="C33" s="179">
        <v>7</v>
      </c>
      <c r="D33" s="182"/>
      <c r="E33" s="179"/>
      <c r="F33" s="179"/>
      <c r="G33" s="184"/>
      <c r="H33" s="588"/>
      <c r="I33" s="185"/>
      <c r="J33" s="185"/>
      <c r="K33" s="186"/>
      <c r="L33" s="589"/>
      <c r="M33" s="185"/>
      <c r="N33" s="586"/>
      <c r="O33" s="586"/>
      <c r="P33" s="187"/>
      <c r="Q33" s="187"/>
      <c r="R33" s="184"/>
      <c r="S33" s="181"/>
      <c r="T33" s="588"/>
      <c r="U33" s="187"/>
      <c r="V33" s="187"/>
      <c r="W33" s="184"/>
      <c r="X33" s="181"/>
      <c r="Y33" s="588"/>
      <c r="Z33" s="187"/>
      <c r="AA33" s="187"/>
      <c r="AB33" s="184"/>
      <c r="AC33" s="181"/>
      <c r="AD33" s="588"/>
      <c r="AE33" s="187"/>
      <c r="AF33" s="187"/>
      <c r="AG33" s="184"/>
      <c r="AH33" s="181"/>
      <c r="AI33" s="588"/>
      <c r="AJ33" s="187"/>
      <c r="AK33" s="187"/>
      <c r="AL33" s="184"/>
      <c r="AM33" s="181"/>
      <c r="AN33" s="588"/>
      <c r="AO33" s="187"/>
      <c r="AP33" s="187"/>
      <c r="AQ33" s="184"/>
      <c r="AR33" s="181"/>
      <c r="AS33" s="588"/>
      <c r="AT33" s="187"/>
      <c r="AU33" s="187"/>
      <c r="AV33" s="184"/>
      <c r="AW33" s="181"/>
      <c r="AX33" s="588"/>
    </row>
    <row r="34" spans="2:50" ht="14.25" customHeight="1">
      <c r="B34" s="586"/>
      <c r="C34" s="179">
        <v>8</v>
      </c>
      <c r="D34" s="182"/>
      <c r="E34" s="179"/>
      <c r="F34" s="179"/>
      <c r="G34" s="184"/>
      <c r="H34" s="588"/>
      <c r="I34" s="185"/>
      <c r="J34" s="185"/>
      <c r="K34" s="186"/>
      <c r="L34" s="589"/>
      <c r="M34" s="185"/>
      <c r="N34" s="586"/>
      <c r="O34" s="586"/>
      <c r="P34" s="187"/>
      <c r="Q34" s="187"/>
      <c r="R34" s="184"/>
      <c r="S34" s="181"/>
      <c r="T34" s="588"/>
      <c r="U34" s="187"/>
      <c r="V34" s="187"/>
      <c r="W34" s="184"/>
      <c r="X34" s="181"/>
      <c r="Y34" s="588"/>
      <c r="Z34" s="187"/>
      <c r="AA34" s="187"/>
      <c r="AB34" s="184"/>
      <c r="AC34" s="181"/>
      <c r="AD34" s="588"/>
      <c r="AE34" s="187"/>
      <c r="AF34" s="187"/>
      <c r="AG34" s="184"/>
      <c r="AH34" s="181"/>
      <c r="AI34" s="588"/>
      <c r="AJ34" s="187"/>
      <c r="AK34" s="187"/>
      <c r="AL34" s="184"/>
      <c r="AM34" s="181"/>
      <c r="AN34" s="588"/>
      <c r="AO34" s="187"/>
      <c r="AP34" s="187"/>
      <c r="AQ34" s="184"/>
      <c r="AR34" s="181"/>
      <c r="AS34" s="588"/>
      <c r="AT34" s="187"/>
      <c r="AU34" s="187"/>
      <c r="AV34" s="184"/>
      <c r="AW34" s="181"/>
      <c r="AX34" s="588"/>
    </row>
    <row r="35" spans="2:50" ht="14.25" customHeight="1">
      <c r="B35" s="586"/>
      <c r="C35" s="179">
        <v>9</v>
      </c>
      <c r="D35" s="182"/>
      <c r="E35" s="179"/>
      <c r="F35" s="179"/>
      <c r="G35" s="184"/>
      <c r="H35" s="588"/>
      <c r="I35" s="185"/>
      <c r="J35" s="185"/>
      <c r="K35" s="186"/>
      <c r="L35" s="589"/>
      <c r="M35" s="185"/>
      <c r="N35" s="586"/>
      <c r="O35" s="586"/>
      <c r="P35" s="187"/>
      <c r="Q35" s="187"/>
      <c r="R35" s="184"/>
      <c r="S35" s="181"/>
      <c r="T35" s="588"/>
      <c r="U35" s="187"/>
      <c r="V35" s="187"/>
      <c r="W35" s="184"/>
      <c r="X35" s="181"/>
      <c r="Y35" s="588"/>
      <c r="Z35" s="187"/>
      <c r="AA35" s="187"/>
      <c r="AB35" s="184"/>
      <c r="AC35" s="181"/>
      <c r="AD35" s="588"/>
      <c r="AE35" s="187"/>
      <c r="AF35" s="187"/>
      <c r="AG35" s="184"/>
      <c r="AH35" s="181"/>
      <c r="AI35" s="588"/>
      <c r="AJ35" s="187"/>
      <c r="AK35" s="187"/>
      <c r="AL35" s="184"/>
      <c r="AM35" s="181"/>
      <c r="AN35" s="588"/>
      <c r="AO35" s="187"/>
      <c r="AP35" s="187"/>
      <c r="AQ35" s="184"/>
      <c r="AR35" s="181"/>
      <c r="AS35" s="588"/>
      <c r="AT35" s="187"/>
      <c r="AU35" s="187"/>
      <c r="AV35" s="184"/>
      <c r="AW35" s="181"/>
      <c r="AX35" s="588"/>
    </row>
    <row r="36" spans="2:50" ht="14.25" customHeight="1">
      <c r="B36" s="586"/>
      <c r="C36" s="179">
        <v>10</v>
      </c>
      <c r="D36" s="182"/>
      <c r="E36" s="179"/>
      <c r="F36" s="179"/>
      <c r="G36" s="184"/>
      <c r="H36" s="588"/>
      <c r="I36" s="185"/>
      <c r="J36" s="185"/>
      <c r="K36" s="186"/>
      <c r="L36" s="589"/>
      <c r="M36" s="185"/>
      <c r="N36" s="586"/>
      <c r="O36" s="586"/>
      <c r="P36" s="187"/>
      <c r="Q36" s="187"/>
      <c r="R36" s="184"/>
      <c r="S36" s="181"/>
      <c r="T36" s="588"/>
      <c r="U36" s="187"/>
      <c r="V36" s="187"/>
      <c r="W36" s="184"/>
      <c r="X36" s="181"/>
      <c r="Y36" s="588"/>
      <c r="Z36" s="187"/>
      <c r="AA36" s="187"/>
      <c r="AB36" s="184"/>
      <c r="AC36" s="181"/>
      <c r="AD36" s="588"/>
      <c r="AE36" s="187"/>
      <c r="AF36" s="187"/>
      <c r="AG36" s="184"/>
      <c r="AH36" s="181"/>
      <c r="AI36" s="588"/>
      <c r="AJ36" s="187"/>
      <c r="AK36" s="187"/>
      <c r="AL36" s="184"/>
      <c r="AM36" s="181"/>
      <c r="AN36" s="588"/>
      <c r="AO36" s="187"/>
      <c r="AP36" s="187"/>
      <c r="AQ36" s="184"/>
      <c r="AR36" s="181"/>
      <c r="AS36" s="588"/>
      <c r="AT36" s="187"/>
      <c r="AU36" s="187"/>
      <c r="AV36" s="184"/>
      <c r="AW36" s="181"/>
      <c r="AX36" s="588"/>
    </row>
    <row r="37" spans="2:50" ht="14.25" customHeight="1">
      <c r="B37" s="586"/>
      <c r="C37" s="179">
        <v>11</v>
      </c>
      <c r="D37" s="182"/>
      <c r="E37" s="179"/>
      <c r="F37" s="179"/>
      <c r="G37" s="184"/>
      <c r="H37" s="588"/>
      <c r="I37" s="185"/>
      <c r="J37" s="185"/>
      <c r="K37" s="186"/>
      <c r="L37" s="589"/>
      <c r="M37" s="185"/>
      <c r="N37" s="586"/>
      <c r="O37" s="586"/>
      <c r="P37" s="187"/>
      <c r="Q37" s="187"/>
      <c r="R37" s="184"/>
      <c r="S37" s="181"/>
      <c r="T37" s="588"/>
      <c r="U37" s="187"/>
      <c r="V37" s="187"/>
      <c r="W37" s="184"/>
      <c r="X37" s="181"/>
      <c r="Y37" s="588"/>
      <c r="Z37" s="187"/>
      <c r="AA37" s="187"/>
      <c r="AB37" s="184"/>
      <c r="AC37" s="181"/>
      <c r="AD37" s="588"/>
      <c r="AE37" s="187"/>
      <c r="AF37" s="187"/>
      <c r="AG37" s="184"/>
      <c r="AH37" s="181"/>
      <c r="AI37" s="588"/>
      <c r="AJ37" s="187"/>
      <c r="AK37" s="187"/>
      <c r="AL37" s="184"/>
      <c r="AM37" s="181"/>
      <c r="AN37" s="588"/>
      <c r="AO37" s="187"/>
      <c r="AP37" s="187"/>
      <c r="AQ37" s="184"/>
      <c r="AR37" s="181"/>
      <c r="AS37" s="588"/>
      <c r="AT37" s="187"/>
      <c r="AU37" s="187"/>
      <c r="AV37" s="184"/>
      <c r="AW37" s="181"/>
      <c r="AX37" s="588"/>
    </row>
    <row r="38" spans="2:50" ht="14.25" customHeight="1">
      <c r="B38" s="586"/>
      <c r="C38" s="179">
        <v>12</v>
      </c>
      <c r="D38" s="182"/>
      <c r="E38" s="179"/>
      <c r="F38" s="179"/>
      <c r="G38" s="184"/>
      <c r="H38" s="588"/>
      <c r="I38" s="185"/>
      <c r="J38" s="185"/>
      <c r="K38" s="186"/>
      <c r="L38" s="589"/>
      <c r="M38" s="185"/>
      <c r="N38" s="586"/>
      <c r="O38" s="586"/>
      <c r="P38" s="187"/>
      <c r="Q38" s="187"/>
      <c r="R38" s="184"/>
      <c r="S38" s="181"/>
      <c r="T38" s="588"/>
      <c r="U38" s="187"/>
      <c r="V38" s="187"/>
      <c r="W38" s="184"/>
      <c r="X38" s="181"/>
      <c r="Y38" s="588"/>
      <c r="Z38" s="187"/>
      <c r="AA38" s="187"/>
      <c r="AB38" s="184"/>
      <c r="AC38" s="181"/>
      <c r="AD38" s="588"/>
      <c r="AE38" s="187"/>
      <c r="AF38" s="187"/>
      <c r="AG38" s="184"/>
      <c r="AH38" s="181"/>
      <c r="AI38" s="588"/>
      <c r="AJ38" s="187"/>
      <c r="AK38" s="187"/>
      <c r="AL38" s="184"/>
      <c r="AM38" s="181"/>
      <c r="AN38" s="588"/>
      <c r="AO38" s="187"/>
      <c r="AP38" s="187"/>
      <c r="AQ38" s="184"/>
      <c r="AR38" s="181"/>
      <c r="AS38" s="588"/>
      <c r="AT38" s="187"/>
      <c r="AU38" s="187"/>
      <c r="AV38" s="184"/>
      <c r="AW38" s="181"/>
      <c r="AX38" s="588"/>
    </row>
    <row r="39" spans="2:50" ht="14.25" customHeight="1">
      <c r="B39" s="586"/>
      <c r="C39" s="179">
        <v>13</v>
      </c>
      <c r="D39" s="182"/>
      <c r="E39" s="179"/>
      <c r="F39" s="179"/>
      <c r="G39" s="184"/>
      <c r="H39" s="588"/>
      <c r="I39" s="185"/>
      <c r="J39" s="185"/>
      <c r="K39" s="186"/>
      <c r="L39" s="589"/>
      <c r="M39" s="185"/>
      <c r="N39" s="586"/>
      <c r="O39" s="586"/>
      <c r="P39" s="187"/>
      <c r="Q39" s="187"/>
      <c r="R39" s="184"/>
      <c r="S39" s="181"/>
      <c r="T39" s="588"/>
      <c r="U39" s="187"/>
      <c r="V39" s="187"/>
      <c r="W39" s="184"/>
      <c r="X39" s="181"/>
      <c r="Y39" s="588"/>
      <c r="Z39" s="187"/>
      <c r="AA39" s="187"/>
      <c r="AB39" s="184"/>
      <c r="AC39" s="181"/>
      <c r="AD39" s="588"/>
      <c r="AE39" s="187"/>
      <c r="AF39" s="187"/>
      <c r="AG39" s="184"/>
      <c r="AH39" s="181"/>
      <c r="AI39" s="588"/>
      <c r="AJ39" s="187"/>
      <c r="AK39" s="187"/>
      <c r="AL39" s="184"/>
      <c r="AM39" s="181"/>
      <c r="AN39" s="588"/>
      <c r="AO39" s="187"/>
      <c r="AP39" s="187"/>
      <c r="AQ39" s="184"/>
      <c r="AR39" s="181"/>
      <c r="AS39" s="588"/>
      <c r="AT39" s="187"/>
      <c r="AU39" s="187"/>
      <c r="AV39" s="184"/>
      <c r="AW39" s="181"/>
      <c r="AX39" s="588"/>
    </row>
    <row r="40" spans="2:50" ht="14.25" customHeight="1">
      <c r="B40" s="586"/>
      <c r="C40" s="179">
        <v>14</v>
      </c>
      <c r="D40" s="182"/>
      <c r="E40" s="179"/>
      <c r="F40" s="179"/>
      <c r="G40" s="184"/>
      <c r="H40" s="588"/>
      <c r="I40" s="185"/>
      <c r="J40" s="185"/>
      <c r="K40" s="186"/>
      <c r="L40" s="589"/>
      <c r="M40" s="185"/>
      <c r="N40" s="586"/>
      <c r="O40" s="586"/>
      <c r="P40" s="187"/>
      <c r="Q40" s="187"/>
      <c r="R40" s="184"/>
      <c r="S40" s="181"/>
      <c r="T40" s="588"/>
      <c r="U40" s="187"/>
      <c r="V40" s="187"/>
      <c r="W40" s="184"/>
      <c r="X40" s="181"/>
      <c r="Y40" s="588"/>
      <c r="Z40" s="187"/>
      <c r="AA40" s="187"/>
      <c r="AB40" s="184"/>
      <c r="AC40" s="181"/>
      <c r="AD40" s="588"/>
      <c r="AE40" s="187"/>
      <c r="AF40" s="187"/>
      <c r="AG40" s="184"/>
      <c r="AH40" s="181"/>
      <c r="AI40" s="588"/>
      <c r="AJ40" s="187"/>
      <c r="AK40" s="187"/>
      <c r="AL40" s="184"/>
      <c r="AM40" s="181"/>
      <c r="AN40" s="588"/>
      <c r="AO40" s="187"/>
      <c r="AP40" s="187"/>
      <c r="AQ40" s="184"/>
      <c r="AR40" s="181"/>
      <c r="AS40" s="588"/>
      <c r="AT40" s="187"/>
      <c r="AU40" s="187"/>
      <c r="AV40" s="184"/>
      <c r="AW40" s="181"/>
      <c r="AX40" s="588"/>
    </row>
    <row r="41" spans="2:50" ht="14.25" customHeight="1">
      <c r="B41" s="586"/>
      <c r="C41" s="179">
        <v>15</v>
      </c>
      <c r="D41" s="182"/>
      <c r="E41" s="179"/>
      <c r="F41" s="179"/>
      <c r="G41" s="184"/>
      <c r="H41" s="588"/>
      <c r="I41" s="185"/>
      <c r="J41" s="185"/>
      <c r="K41" s="186"/>
      <c r="L41" s="589"/>
      <c r="M41" s="185"/>
      <c r="N41" s="586"/>
      <c r="O41" s="586"/>
      <c r="P41" s="187"/>
      <c r="Q41" s="187"/>
      <c r="R41" s="184"/>
      <c r="S41" s="181"/>
      <c r="T41" s="588"/>
      <c r="U41" s="187"/>
      <c r="V41" s="187"/>
      <c r="W41" s="184"/>
      <c r="X41" s="181"/>
      <c r="Y41" s="588"/>
      <c r="Z41" s="187"/>
      <c r="AA41" s="187"/>
      <c r="AB41" s="184"/>
      <c r="AC41" s="181"/>
      <c r="AD41" s="588"/>
      <c r="AE41" s="187"/>
      <c r="AF41" s="187"/>
      <c r="AG41" s="184"/>
      <c r="AH41" s="181"/>
      <c r="AI41" s="588"/>
      <c r="AJ41" s="187"/>
      <c r="AK41" s="187"/>
      <c r="AL41" s="184"/>
      <c r="AM41" s="181"/>
      <c r="AN41" s="588"/>
      <c r="AO41" s="187"/>
      <c r="AP41" s="187"/>
      <c r="AQ41" s="184"/>
      <c r="AR41" s="181"/>
      <c r="AS41" s="588"/>
      <c r="AT41" s="187"/>
      <c r="AU41" s="187"/>
      <c r="AV41" s="184"/>
      <c r="AW41" s="181"/>
      <c r="AX41" s="588"/>
    </row>
    <row r="42" spans="2:50" ht="14.25" customHeight="1">
      <c r="B42" s="612" t="s">
        <v>712</v>
      </c>
      <c r="C42" s="613"/>
      <c r="D42" s="613"/>
      <c r="E42" s="613"/>
      <c r="F42" s="613"/>
      <c r="G42" s="613"/>
      <c r="H42" s="613"/>
      <c r="I42" s="613"/>
      <c r="J42" s="613"/>
      <c r="K42" s="613"/>
      <c r="L42" s="613"/>
      <c r="M42" s="614"/>
      <c r="N42" s="617" t="s">
        <v>341</v>
      </c>
      <c r="O42" s="617" t="s">
        <v>105</v>
      </c>
      <c r="P42" s="600">
        <v>46245</v>
      </c>
      <c r="Q42" s="601"/>
      <c r="R42" s="601"/>
      <c r="S42" s="601"/>
      <c r="T42" s="601"/>
      <c r="U42" s="602">
        <f>P42+1</f>
        <v>46246</v>
      </c>
      <c r="V42" s="603"/>
      <c r="W42" s="603"/>
      <c r="X42" s="603"/>
      <c r="Y42" s="603"/>
      <c r="Z42" s="600">
        <f t="shared" ref="Z42" si="10">U42+1</f>
        <v>46247</v>
      </c>
      <c r="AA42" s="601"/>
      <c r="AB42" s="601"/>
      <c r="AC42" s="601"/>
      <c r="AD42" s="601"/>
      <c r="AE42" s="602">
        <f t="shared" ref="AE42" si="11">Z42+1</f>
        <v>46248</v>
      </c>
      <c r="AF42" s="603"/>
      <c r="AG42" s="603"/>
      <c r="AH42" s="603"/>
      <c r="AI42" s="603"/>
      <c r="AJ42" s="609">
        <f t="shared" ref="AJ42" si="12">AE42+1</f>
        <v>46249</v>
      </c>
      <c r="AK42" s="610"/>
      <c r="AL42" s="610"/>
      <c r="AM42" s="610"/>
      <c r="AN42" s="611"/>
      <c r="AO42" s="602">
        <f t="shared" ref="AO42" si="13">AJ42+1</f>
        <v>46250</v>
      </c>
      <c r="AP42" s="603"/>
      <c r="AQ42" s="603"/>
      <c r="AR42" s="603"/>
      <c r="AS42" s="603"/>
      <c r="AT42" s="609">
        <f t="shared" ref="AT42" si="14">AO42+1</f>
        <v>46251</v>
      </c>
      <c r="AU42" s="610"/>
      <c r="AV42" s="610"/>
      <c r="AW42" s="610"/>
      <c r="AX42" s="611"/>
    </row>
    <row r="43" spans="2:50" ht="14.25" customHeight="1">
      <c r="B43" s="615"/>
      <c r="C43" s="615"/>
      <c r="D43" s="615"/>
      <c r="E43" s="615"/>
      <c r="F43" s="615"/>
      <c r="G43" s="615"/>
      <c r="H43" s="615"/>
      <c r="I43" s="615"/>
      <c r="J43" s="615"/>
      <c r="K43" s="615"/>
      <c r="L43" s="615"/>
      <c r="M43" s="616"/>
      <c r="N43" s="618"/>
      <c r="O43" s="618"/>
      <c r="P43" s="604">
        <v>46196</v>
      </c>
      <c r="Q43" s="604"/>
      <c r="R43" s="604"/>
      <c r="S43" s="604"/>
      <c r="T43" s="604"/>
      <c r="U43" s="605">
        <v>46197</v>
      </c>
      <c r="V43" s="605"/>
      <c r="W43" s="605"/>
      <c r="X43" s="605"/>
      <c r="Y43" s="605"/>
      <c r="Z43" s="604">
        <v>46198</v>
      </c>
      <c r="AA43" s="604"/>
      <c r="AB43" s="604"/>
      <c r="AC43" s="604"/>
      <c r="AD43" s="604"/>
      <c r="AE43" s="605">
        <v>46199</v>
      </c>
      <c r="AF43" s="605"/>
      <c r="AG43" s="605"/>
      <c r="AH43" s="605"/>
      <c r="AI43" s="605"/>
      <c r="AJ43" s="606">
        <v>46200</v>
      </c>
      <c r="AK43" s="607"/>
      <c r="AL43" s="607"/>
      <c r="AM43" s="607"/>
      <c r="AN43" s="608"/>
      <c r="AO43" s="605">
        <v>46201</v>
      </c>
      <c r="AP43" s="605"/>
      <c r="AQ43" s="605"/>
      <c r="AR43" s="605"/>
      <c r="AS43" s="605"/>
      <c r="AT43" s="606">
        <v>46202</v>
      </c>
      <c r="AU43" s="607"/>
      <c r="AV43" s="607"/>
      <c r="AW43" s="607"/>
      <c r="AX43" s="608"/>
    </row>
    <row r="44" spans="2:50" ht="14.25" customHeight="1">
      <c r="B44" s="586" t="s">
        <v>162</v>
      </c>
      <c r="C44" s="586" t="s">
        <v>157</v>
      </c>
      <c r="D44" s="586"/>
      <c r="E44" s="586" t="s">
        <v>158</v>
      </c>
      <c r="F44" s="586"/>
      <c r="G44" s="586"/>
      <c r="H44" s="586" t="s">
        <v>163</v>
      </c>
      <c r="I44" s="592" t="s">
        <v>342</v>
      </c>
      <c r="J44" s="592"/>
      <c r="K44" s="592"/>
      <c r="L44" s="592" t="s">
        <v>163</v>
      </c>
      <c r="M44" s="592" t="s">
        <v>165</v>
      </c>
      <c r="N44" s="586"/>
      <c r="O44" s="586" t="s">
        <v>164</v>
      </c>
      <c r="P44" s="586" t="s">
        <v>160</v>
      </c>
      <c r="Q44" s="586"/>
      <c r="R44" s="586"/>
      <c r="S44" s="586"/>
      <c r="T44" s="586" t="s">
        <v>163</v>
      </c>
      <c r="U44" s="586" t="s">
        <v>160</v>
      </c>
      <c r="V44" s="586"/>
      <c r="W44" s="586"/>
      <c r="X44" s="586"/>
      <c r="Y44" s="586" t="s">
        <v>163</v>
      </c>
      <c r="Z44" s="586" t="s">
        <v>160</v>
      </c>
      <c r="AA44" s="586"/>
      <c r="AB44" s="586"/>
      <c r="AC44" s="586"/>
      <c r="AD44" s="586" t="s">
        <v>163</v>
      </c>
      <c r="AE44" s="586" t="s">
        <v>160</v>
      </c>
      <c r="AF44" s="586"/>
      <c r="AG44" s="586"/>
      <c r="AH44" s="586"/>
      <c r="AI44" s="586" t="s">
        <v>163</v>
      </c>
      <c r="AJ44" s="586" t="s">
        <v>160</v>
      </c>
      <c r="AK44" s="586"/>
      <c r="AL44" s="586"/>
      <c r="AM44" s="586"/>
      <c r="AN44" s="586" t="s">
        <v>163</v>
      </c>
      <c r="AO44" s="586" t="s">
        <v>160</v>
      </c>
      <c r="AP44" s="586"/>
      <c r="AQ44" s="586"/>
      <c r="AR44" s="586"/>
      <c r="AS44" s="586" t="s">
        <v>163</v>
      </c>
      <c r="AT44" s="586" t="s">
        <v>160</v>
      </c>
      <c r="AU44" s="586"/>
      <c r="AV44" s="586"/>
      <c r="AW44" s="586"/>
      <c r="AX44" s="586" t="s">
        <v>163</v>
      </c>
    </row>
    <row r="45" spans="2:50" ht="14.25" customHeight="1">
      <c r="B45" s="586"/>
      <c r="C45" s="586"/>
      <c r="D45" s="586"/>
      <c r="E45" s="586" t="s">
        <v>343</v>
      </c>
      <c r="F45" s="586"/>
      <c r="G45" s="586"/>
      <c r="H45" s="586"/>
      <c r="I45" s="592" t="s">
        <v>343</v>
      </c>
      <c r="J45" s="592"/>
      <c r="K45" s="592"/>
      <c r="L45" s="592"/>
      <c r="M45" s="592"/>
      <c r="N45" s="586"/>
      <c r="O45" s="586"/>
      <c r="P45" s="586" t="s">
        <v>344</v>
      </c>
      <c r="Q45" s="586"/>
      <c r="R45" s="586"/>
      <c r="S45" s="586"/>
      <c r="T45" s="586"/>
      <c r="U45" s="586" t="s">
        <v>344</v>
      </c>
      <c r="V45" s="586"/>
      <c r="W45" s="586"/>
      <c r="X45" s="586"/>
      <c r="Y45" s="586"/>
      <c r="Z45" s="586" t="s">
        <v>344</v>
      </c>
      <c r="AA45" s="586"/>
      <c r="AB45" s="586"/>
      <c r="AC45" s="586"/>
      <c r="AD45" s="586"/>
      <c r="AE45" s="586" t="s">
        <v>344</v>
      </c>
      <c r="AF45" s="586"/>
      <c r="AG45" s="586"/>
      <c r="AH45" s="586"/>
      <c r="AI45" s="586"/>
      <c r="AJ45" s="586" t="s">
        <v>344</v>
      </c>
      <c r="AK45" s="586"/>
      <c r="AL45" s="586"/>
      <c r="AM45" s="586"/>
      <c r="AN45" s="586"/>
      <c r="AO45" s="586" t="s">
        <v>344</v>
      </c>
      <c r="AP45" s="586"/>
      <c r="AQ45" s="586"/>
      <c r="AR45" s="586"/>
      <c r="AS45" s="586"/>
      <c r="AT45" s="586" t="s">
        <v>344</v>
      </c>
      <c r="AU45" s="586"/>
      <c r="AV45" s="586"/>
      <c r="AW45" s="586"/>
      <c r="AX45" s="586"/>
    </row>
    <row r="46" spans="2:50" ht="14.25" customHeight="1">
      <c r="B46" s="586"/>
      <c r="C46" s="586"/>
      <c r="D46" s="586"/>
      <c r="E46" s="179" t="s">
        <v>159</v>
      </c>
      <c r="F46" s="179" t="s">
        <v>345</v>
      </c>
      <c r="G46" s="179" t="s">
        <v>161</v>
      </c>
      <c r="H46" s="586"/>
      <c r="I46" s="180" t="s">
        <v>159</v>
      </c>
      <c r="J46" s="180" t="s">
        <v>345</v>
      </c>
      <c r="K46" s="180" t="s">
        <v>161</v>
      </c>
      <c r="L46" s="592"/>
      <c r="M46" s="592"/>
      <c r="N46" s="586"/>
      <c r="O46" s="586"/>
      <c r="P46" s="179" t="s">
        <v>159</v>
      </c>
      <c r="Q46" s="179" t="s">
        <v>345</v>
      </c>
      <c r="R46" s="179" t="s">
        <v>161</v>
      </c>
      <c r="S46" s="181" t="s">
        <v>165</v>
      </c>
      <c r="T46" s="586"/>
      <c r="U46" s="179" t="s">
        <v>159</v>
      </c>
      <c r="V46" s="179" t="s">
        <v>345</v>
      </c>
      <c r="W46" s="179" t="s">
        <v>161</v>
      </c>
      <c r="X46" s="181" t="s">
        <v>165</v>
      </c>
      <c r="Y46" s="586"/>
      <c r="Z46" s="179" t="s">
        <v>159</v>
      </c>
      <c r="AA46" s="179" t="s">
        <v>345</v>
      </c>
      <c r="AB46" s="179" t="s">
        <v>161</v>
      </c>
      <c r="AC46" s="181" t="s">
        <v>165</v>
      </c>
      <c r="AD46" s="586"/>
      <c r="AE46" s="179" t="s">
        <v>159</v>
      </c>
      <c r="AF46" s="179" t="s">
        <v>345</v>
      </c>
      <c r="AG46" s="179" t="s">
        <v>161</v>
      </c>
      <c r="AH46" s="181" t="s">
        <v>165</v>
      </c>
      <c r="AI46" s="586"/>
      <c r="AJ46" s="179" t="s">
        <v>159</v>
      </c>
      <c r="AK46" s="179" t="s">
        <v>345</v>
      </c>
      <c r="AL46" s="179" t="s">
        <v>161</v>
      </c>
      <c r="AM46" s="181" t="s">
        <v>165</v>
      </c>
      <c r="AN46" s="586"/>
      <c r="AO46" s="179" t="s">
        <v>159</v>
      </c>
      <c r="AP46" s="179" t="s">
        <v>345</v>
      </c>
      <c r="AQ46" s="179" t="s">
        <v>161</v>
      </c>
      <c r="AR46" s="181" t="s">
        <v>165</v>
      </c>
      <c r="AS46" s="586"/>
      <c r="AT46" s="179" t="s">
        <v>159</v>
      </c>
      <c r="AU46" s="179" t="s">
        <v>345</v>
      </c>
      <c r="AV46" s="179" t="s">
        <v>161</v>
      </c>
      <c r="AW46" s="181" t="s">
        <v>165</v>
      </c>
      <c r="AX46" s="586"/>
    </row>
    <row r="47" spans="2:50" ht="14.25" customHeight="1">
      <c r="B47" s="586" t="s">
        <v>404</v>
      </c>
      <c r="C47" s="179">
        <v>1</v>
      </c>
      <c r="D47" s="182"/>
      <c r="E47" s="183"/>
      <c r="F47" s="179"/>
      <c r="G47" s="184"/>
      <c r="H47" s="588"/>
      <c r="I47" s="185"/>
      <c r="J47" s="185"/>
      <c r="K47" s="186"/>
      <c r="L47" s="589"/>
      <c r="M47" s="185"/>
      <c r="N47" s="586"/>
      <c r="O47" s="586"/>
      <c r="P47" s="187"/>
      <c r="Q47" s="187"/>
      <c r="R47" s="184"/>
      <c r="S47" s="181"/>
      <c r="T47" s="588"/>
      <c r="U47" s="187"/>
      <c r="V47" s="187"/>
      <c r="W47" s="184"/>
      <c r="X47" s="181"/>
      <c r="Y47" s="588"/>
      <c r="Z47" s="187"/>
      <c r="AA47" s="187"/>
      <c r="AB47" s="184"/>
      <c r="AC47" s="181"/>
      <c r="AD47" s="588"/>
      <c r="AE47" s="187"/>
      <c r="AF47" s="187"/>
      <c r="AG47" s="184"/>
      <c r="AH47" s="181"/>
      <c r="AI47" s="588"/>
      <c r="AJ47" s="187"/>
      <c r="AK47" s="187"/>
      <c r="AL47" s="184"/>
      <c r="AM47" s="181"/>
      <c r="AN47" s="588"/>
      <c r="AO47" s="187"/>
      <c r="AP47" s="187"/>
      <c r="AQ47" s="184"/>
      <c r="AR47" s="181"/>
      <c r="AS47" s="588"/>
      <c r="AT47" s="187"/>
      <c r="AU47" s="187"/>
      <c r="AV47" s="184"/>
      <c r="AW47" s="181"/>
      <c r="AX47" s="588"/>
    </row>
    <row r="48" spans="2:50" ht="14.25" customHeight="1">
      <c r="B48" s="586"/>
      <c r="C48" s="179">
        <v>2</v>
      </c>
      <c r="D48" s="182"/>
      <c r="E48" s="179"/>
      <c r="F48" s="179"/>
      <c r="G48" s="184"/>
      <c r="H48" s="588"/>
      <c r="I48" s="185"/>
      <c r="J48" s="185"/>
      <c r="K48" s="186"/>
      <c r="L48" s="589"/>
      <c r="M48" s="185"/>
      <c r="N48" s="586"/>
      <c r="O48" s="586"/>
      <c r="P48" s="187"/>
      <c r="Q48" s="187"/>
      <c r="R48" s="184"/>
      <c r="S48" s="181"/>
      <c r="T48" s="588"/>
      <c r="U48" s="187"/>
      <c r="V48" s="187"/>
      <c r="W48" s="184"/>
      <c r="X48" s="181"/>
      <c r="Y48" s="588"/>
      <c r="Z48" s="187"/>
      <c r="AA48" s="187"/>
      <c r="AB48" s="184"/>
      <c r="AC48" s="181"/>
      <c r="AD48" s="588"/>
      <c r="AE48" s="187"/>
      <c r="AF48" s="187"/>
      <c r="AG48" s="184"/>
      <c r="AH48" s="181"/>
      <c r="AI48" s="588"/>
      <c r="AJ48" s="187"/>
      <c r="AK48" s="187"/>
      <c r="AL48" s="184"/>
      <c r="AM48" s="181"/>
      <c r="AN48" s="588"/>
      <c r="AO48" s="187"/>
      <c r="AP48" s="187"/>
      <c r="AQ48" s="184"/>
      <c r="AR48" s="181"/>
      <c r="AS48" s="588"/>
      <c r="AT48" s="187"/>
      <c r="AU48" s="187"/>
      <c r="AV48" s="184"/>
      <c r="AW48" s="181"/>
      <c r="AX48" s="588"/>
    </row>
    <row r="49" spans="2:50" ht="14.25" customHeight="1">
      <c r="B49" s="586"/>
      <c r="C49" s="179">
        <v>3</v>
      </c>
      <c r="D49" s="182"/>
      <c r="E49" s="179"/>
      <c r="F49" s="179"/>
      <c r="G49" s="184"/>
      <c r="H49" s="588"/>
      <c r="I49" s="185"/>
      <c r="J49" s="185"/>
      <c r="K49" s="186"/>
      <c r="L49" s="589"/>
      <c r="M49" s="185"/>
      <c r="N49" s="586"/>
      <c r="O49" s="586"/>
      <c r="P49" s="187"/>
      <c r="Q49" s="187"/>
      <c r="R49" s="184"/>
      <c r="S49" s="181"/>
      <c r="T49" s="588"/>
      <c r="U49" s="187"/>
      <c r="V49" s="187"/>
      <c r="W49" s="184"/>
      <c r="X49" s="181"/>
      <c r="Y49" s="588"/>
      <c r="Z49" s="187"/>
      <c r="AA49" s="187"/>
      <c r="AB49" s="184"/>
      <c r="AC49" s="181"/>
      <c r="AD49" s="588"/>
      <c r="AE49" s="187"/>
      <c r="AF49" s="187"/>
      <c r="AG49" s="184"/>
      <c r="AH49" s="181"/>
      <c r="AI49" s="588"/>
      <c r="AJ49" s="187"/>
      <c r="AK49" s="187"/>
      <c r="AL49" s="184"/>
      <c r="AM49" s="181"/>
      <c r="AN49" s="588"/>
      <c r="AO49" s="187"/>
      <c r="AP49" s="187"/>
      <c r="AQ49" s="184"/>
      <c r="AR49" s="181"/>
      <c r="AS49" s="588"/>
      <c r="AT49" s="187"/>
      <c r="AU49" s="187"/>
      <c r="AV49" s="184"/>
      <c r="AW49" s="181"/>
      <c r="AX49" s="588"/>
    </row>
    <row r="50" spans="2:50" ht="14.25" customHeight="1">
      <c r="B50" s="586"/>
      <c r="C50" s="179">
        <v>4</v>
      </c>
      <c r="D50" s="182"/>
      <c r="E50" s="179"/>
      <c r="F50" s="179"/>
      <c r="G50" s="184"/>
      <c r="H50" s="588"/>
      <c r="I50" s="185"/>
      <c r="J50" s="185"/>
      <c r="K50" s="186"/>
      <c r="L50" s="589"/>
      <c r="M50" s="185"/>
      <c r="N50" s="586"/>
      <c r="O50" s="586"/>
      <c r="P50" s="187"/>
      <c r="Q50" s="187"/>
      <c r="R50" s="184"/>
      <c r="S50" s="181"/>
      <c r="T50" s="588"/>
      <c r="U50" s="187"/>
      <c r="V50" s="187"/>
      <c r="W50" s="184"/>
      <c r="X50" s="181"/>
      <c r="Y50" s="588"/>
      <c r="Z50" s="187"/>
      <c r="AA50" s="187"/>
      <c r="AB50" s="184"/>
      <c r="AC50" s="181"/>
      <c r="AD50" s="588"/>
      <c r="AE50" s="187"/>
      <c r="AF50" s="187"/>
      <c r="AG50" s="184"/>
      <c r="AH50" s="181"/>
      <c r="AI50" s="588"/>
      <c r="AJ50" s="187"/>
      <c r="AK50" s="187"/>
      <c r="AL50" s="184"/>
      <c r="AM50" s="181"/>
      <c r="AN50" s="588"/>
      <c r="AO50" s="187"/>
      <c r="AP50" s="187"/>
      <c r="AQ50" s="184"/>
      <c r="AR50" s="181"/>
      <c r="AS50" s="588"/>
      <c r="AT50" s="187"/>
      <c r="AU50" s="187"/>
      <c r="AV50" s="184"/>
      <c r="AW50" s="181"/>
      <c r="AX50" s="588"/>
    </row>
    <row r="51" spans="2:50" ht="14.25" customHeight="1">
      <c r="B51" s="586"/>
      <c r="C51" s="179">
        <v>5</v>
      </c>
      <c r="D51" s="182"/>
      <c r="E51" s="179"/>
      <c r="F51" s="179"/>
      <c r="G51" s="184"/>
      <c r="H51" s="588"/>
      <c r="I51" s="185"/>
      <c r="J51" s="185"/>
      <c r="K51" s="186"/>
      <c r="L51" s="589"/>
      <c r="M51" s="185"/>
      <c r="N51" s="586"/>
      <c r="O51" s="586"/>
      <c r="P51" s="187"/>
      <c r="Q51" s="187"/>
      <c r="R51" s="184"/>
      <c r="S51" s="181"/>
      <c r="T51" s="588"/>
      <c r="U51" s="187"/>
      <c r="V51" s="187"/>
      <c r="W51" s="184"/>
      <c r="X51" s="181"/>
      <c r="Y51" s="588"/>
      <c r="Z51" s="187"/>
      <c r="AA51" s="187"/>
      <c r="AB51" s="184"/>
      <c r="AC51" s="181"/>
      <c r="AD51" s="588"/>
      <c r="AE51" s="187"/>
      <c r="AF51" s="187"/>
      <c r="AG51" s="184"/>
      <c r="AH51" s="181"/>
      <c r="AI51" s="588"/>
      <c r="AJ51" s="187"/>
      <c r="AK51" s="187"/>
      <c r="AL51" s="184"/>
      <c r="AM51" s="181"/>
      <c r="AN51" s="588"/>
      <c r="AO51" s="187"/>
      <c r="AP51" s="187"/>
      <c r="AQ51" s="184"/>
      <c r="AR51" s="181"/>
      <c r="AS51" s="588"/>
      <c r="AT51" s="187"/>
      <c r="AU51" s="187"/>
      <c r="AV51" s="184"/>
      <c r="AW51" s="181"/>
      <c r="AX51" s="588"/>
    </row>
    <row r="52" spans="2:50" ht="14.25" customHeight="1">
      <c r="B52" s="586"/>
      <c r="C52" s="179">
        <v>6</v>
      </c>
      <c r="D52" s="182"/>
      <c r="E52" s="179"/>
      <c r="F52" s="179"/>
      <c r="G52" s="184"/>
      <c r="H52" s="588"/>
      <c r="I52" s="185"/>
      <c r="J52" s="185"/>
      <c r="K52" s="186"/>
      <c r="L52" s="589"/>
      <c r="M52" s="185"/>
      <c r="N52" s="586"/>
      <c r="O52" s="586"/>
      <c r="P52" s="187"/>
      <c r="Q52" s="187"/>
      <c r="R52" s="184"/>
      <c r="S52" s="181"/>
      <c r="T52" s="588"/>
      <c r="U52" s="187"/>
      <c r="V52" s="187"/>
      <c r="W52" s="184"/>
      <c r="X52" s="181"/>
      <c r="Y52" s="588"/>
      <c r="Z52" s="187"/>
      <c r="AA52" s="187"/>
      <c r="AB52" s="184"/>
      <c r="AC52" s="181"/>
      <c r="AD52" s="588"/>
      <c r="AE52" s="187"/>
      <c r="AF52" s="187"/>
      <c r="AG52" s="184"/>
      <c r="AH52" s="181"/>
      <c r="AI52" s="588"/>
      <c r="AJ52" s="187"/>
      <c r="AK52" s="187"/>
      <c r="AL52" s="184"/>
      <c r="AM52" s="181"/>
      <c r="AN52" s="588"/>
      <c r="AO52" s="187"/>
      <c r="AP52" s="187"/>
      <c r="AQ52" s="184"/>
      <c r="AR52" s="181"/>
      <c r="AS52" s="588"/>
      <c r="AT52" s="187"/>
      <c r="AU52" s="187"/>
      <c r="AV52" s="184"/>
      <c r="AW52" s="181"/>
      <c r="AX52" s="588"/>
    </row>
    <row r="53" spans="2:50" ht="14.25" customHeight="1">
      <c r="B53" s="586"/>
      <c r="C53" s="179">
        <v>7</v>
      </c>
      <c r="D53" s="182"/>
      <c r="E53" s="179"/>
      <c r="F53" s="179"/>
      <c r="G53" s="184"/>
      <c r="H53" s="588"/>
      <c r="I53" s="185"/>
      <c r="J53" s="185"/>
      <c r="K53" s="186"/>
      <c r="L53" s="589"/>
      <c r="M53" s="185"/>
      <c r="N53" s="586"/>
      <c r="O53" s="586"/>
      <c r="P53" s="187"/>
      <c r="Q53" s="187"/>
      <c r="R53" s="184"/>
      <c r="S53" s="181"/>
      <c r="T53" s="588"/>
      <c r="U53" s="187"/>
      <c r="V53" s="187"/>
      <c r="W53" s="184"/>
      <c r="X53" s="181"/>
      <c r="Y53" s="588"/>
      <c r="Z53" s="187"/>
      <c r="AA53" s="187"/>
      <c r="AB53" s="184"/>
      <c r="AC53" s="181"/>
      <c r="AD53" s="588"/>
      <c r="AE53" s="187"/>
      <c r="AF53" s="187"/>
      <c r="AG53" s="184"/>
      <c r="AH53" s="181"/>
      <c r="AI53" s="588"/>
      <c r="AJ53" s="187"/>
      <c r="AK53" s="187"/>
      <c r="AL53" s="184"/>
      <c r="AM53" s="181"/>
      <c r="AN53" s="588"/>
      <c r="AO53" s="187"/>
      <c r="AP53" s="187"/>
      <c r="AQ53" s="184"/>
      <c r="AR53" s="181"/>
      <c r="AS53" s="588"/>
      <c r="AT53" s="187"/>
      <c r="AU53" s="187"/>
      <c r="AV53" s="184"/>
      <c r="AW53" s="181"/>
      <c r="AX53" s="588"/>
    </row>
    <row r="54" spans="2:50" ht="14.25" customHeight="1">
      <c r="B54" s="586"/>
      <c r="C54" s="179">
        <v>8</v>
      </c>
      <c r="D54" s="182"/>
      <c r="E54" s="179"/>
      <c r="F54" s="179"/>
      <c r="G54" s="184"/>
      <c r="H54" s="588"/>
      <c r="I54" s="185"/>
      <c r="J54" s="185"/>
      <c r="K54" s="186"/>
      <c r="L54" s="589"/>
      <c r="M54" s="185"/>
      <c r="N54" s="586"/>
      <c r="O54" s="586"/>
      <c r="P54" s="187"/>
      <c r="Q54" s="187"/>
      <c r="R54" s="184"/>
      <c r="S54" s="181"/>
      <c r="T54" s="588"/>
      <c r="U54" s="187"/>
      <c r="V54" s="187"/>
      <c r="W54" s="184"/>
      <c r="X54" s="181"/>
      <c r="Y54" s="588"/>
      <c r="Z54" s="187"/>
      <c r="AA54" s="187"/>
      <c r="AB54" s="184"/>
      <c r="AC54" s="181"/>
      <c r="AD54" s="588"/>
      <c r="AE54" s="187"/>
      <c r="AF54" s="187"/>
      <c r="AG54" s="184"/>
      <c r="AH54" s="181"/>
      <c r="AI54" s="588"/>
      <c r="AJ54" s="187"/>
      <c r="AK54" s="187"/>
      <c r="AL54" s="184"/>
      <c r="AM54" s="181"/>
      <c r="AN54" s="588"/>
      <c r="AO54" s="187"/>
      <c r="AP54" s="187"/>
      <c r="AQ54" s="184"/>
      <c r="AR54" s="181"/>
      <c r="AS54" s="588"/>
      <c r="AT54" s="187"/>
      <c r="AU54" s="187"/>
      <c r="AV54" s="184"/>
      <c r="AW54" s="181"/>
      <c r="AX54" s="588"/>
    </row>
    <row r="55" spans="2:50" ht="14.25" customHeight="1">
      <c r="B55" s="586"/>
      <c r="C55" s="179">
        <v>9</v>
      </c>
      <c r="D55" s="182"/>
      <c r="E55" s="179"/>
      <c r="F55" s="179"/>
      <c r="G55" s="184"/>
      <c r="H55" s="588"/>
      <c r="I55" s="185"/>
      <c r="J55" s="185"/>
      <c r="K55" s="186"/>
      <c r="L55" s="589"/>
      <c r="M55" s="185"/>
      <c r="N55" s="586"/>
      <c r="O55" s="586"/>
      <c r="P55" s="187"/>
      <c r="Q55" s="187"/>
      <c r="R55" s="184"/>
      <c r="S55" s="181"/>
      <c r="T55" s="588"/>
      <c r="U55" s="187"/>
      <c r="V55" s="187"/>
      <c r="W55" s="184"/>
      <c r="X55" s="181"/>
      <c r="Y55" s="588"/>
      <c r="Z55" s="187"/>
      <c r="AA55" s="187"/>
      <c r="AB55" s="184"/>
      <c r="AC55" s="181"/>
      <c r="AD55" s="588"/>
      <c r="AE55" s="187"/>
      <c r="AF55" s="187"/>
      <c r="AG55" s="184"/>
      <c r="AH55" s="181"/>
      <c r="AI55" s="588"/>
      <c r="AJ55" s="187"/>
      <c r="AK55" s="187"/>
      <c r="AL55" s="184"/>
      <c r="AM55" s="181"/>
      <c r="AN55" s="588"/>
      <c r="AO55" s="187"/>
      <c r="AP55" s="187"/>
      <c r="AQ55" s="184"/>
      <c r="AR55" s="181"/>
      <c r="AS55" s="588"/>
      <c r="AT55" s="187"/>
      <c r="AU55" s="187"/>
      <c r="AV55" s="184"/>
      <c r="AW55" s="181"/>
      <c r="AX55" s="588"/>
    </row>
    <row r="56" spans="2:50" ht="14.25" customHeight="1">
      <c r="B56" s="586"/>
      <c r="C56" s="179">
        <v>10</v>
      </c>
      <c r="D56" s="182"/>
      <c r="E56" s="179"/>
      <c r="F56" s="179"/>
      <c r="G56" s="184"/>
      <c r="H56" s="588"/>
      <c r="I56" s="185"/>
      <c r="J56" s="185"/>
      <c r="K56" s="186"/>
      <c r="L56" s="589"/>
      <c r="M56" s="185"/>
      <c r="N56" s="586"/>
      <c r="O56" s="586"/>
      <c r="P56" s="187"/>
      <c r="Q56" s="187"/>
      <c r="R56" s="184"/>
      <c r="S56" s="181"/>
      <c r="T56" s="588"/>
      <c r="U56" s="187"/>
      <c r="V56" s="187"/>
      <c r="W56" s="184"/>
      <c r="X56" s="181"/>
      <c r="Y56" s="588"/>
      <c r="Z56" s="187"/>
      <c r="AA56" s="187"/>
      <c r="AB56" s="184"/>
      <c r="AC56" s="181"/>
      <c r="AD56" s="588"/>
      <c r="AE56" s="187"/>
      <c r="AF56" s="187"/>
      <c r="AG56" s="184"/>
      <c r="AH56" s="181"/>
      <c r="AI56" s="588"/>
      <c r="AJ56" s="187"/>
      <c r="AK56" s="187"/>
      <c r="AL56" s="184"/>
      <c r="AM56" s="181"/>
      <c r="AN56" s="588"/>
      <c r="AO56" s="187"/>
      <c r="AP56" s="187"/>
      <c r="AQ56" s="184"/>
      <c r="AR56" s="181"/>
      <c r="AS56" s="588"/>
      <c r="AT56" s="187"/>
      <c r="AU56" s="187"/>
      <c r="AV56" s="184"/>
      <c r="AW56" s="181"/>
      <c r="AX56" s="588"/>
    </row>
    <row r="57" spans="2:50" ht="14.25" customHeight="1">
      <c r="B57" s="586"/>
      <c r="C57" s="179">
        <v>11</v>
      </c>
      <c r="D57" s="182"/>
      <c r="E57" s="179"/>
      <c r="F57" s="179"/>
      <c r="G57" s="184"/>
      <c r="H57" s="588"/>
      <c r="I57" s="185"/>
      <c r="J57" s="185"/>
      <c r="K57" s="186"/>
      <c r="L57" s="589"/>
      <c r="M57" s="185"/>
      <c r="N57" s="586"/>
      <c r="O57" s="586"/>
      <c r="P57" s="187"/>
      <c r="Q57" s="187"/>
      <c r="R57" s="184"/>
      <c r="S57" s="181"/>
      <c r="T57" s="588"/>
      <c r="U57" s="187"/>
      <c r="V57" s="187"/>
      <c r="W57" s="184"/>
      <c r="X57" s="181"/>
      <c r="Y57" s="588"/>
      <c r="Z57" s="187"/>
      <c r="AA57" s="187"/>
      <c r="AB57" s="184"/>
      <c r="AC57" s="181"/>
      <c r="AD57" s="588"/>
      <c r="AE57" s="187"/>
      <c r="AF57" s="187"/>
      <c r="AG57" s="184"/>
      <c r="AH57" s="181"/>
      <c r="AI57" s="588"/>
      <c r="AJ57" s="187"/>
      <c r="AK57" s="187"/>
      <c r="AL57" s="184"/>
      <c r="AM57" s="181"/>
      <c r="AN57" s="588"/>
      <c r="AO57" s="187"/>
      <c r="AP57" s="187"/>
      <c r="AQ57" s="184"/>
      <c r="AR57" s="181"/>
      <c r="AS57" s="588"/>
      <c r="AT57" s="187"/>
      <c r="AU57" s="187"/>
      <c r="AV57" s="184"/>
      <c r="AW57" s="181"/>
      <c r="AX57" s="588"/>
    </row>
    <row r="58" spans="2:50" ht="14.25" customHeight="1">
      <c r="B58" s="586"/>
      <c r="C58" s="179">
        <v>12</v>
      </c>
      <c r="D58" s="182"/>
      <c r="E58" s="179"/>
      <c r="F58" s="179"/>
      <c r="G58" s="184"/>
      <c r="H58" s="588"/>
      <c r="I58" s="185"/>
      <c r="J58" s="185"/>
      <c r="K58" s="186"/>
      <c r="L58" s="589"/>
      <c r="M58" s="185"/>
      <c r="N58" s="586"/>
      <c r="O58" s="586"/>
      <c r="P58" s="187"/>
      <c r="Q58" s="187"/>
      <c r="R58" s="184"/>
      <c r="S58" s="181"/>
      <c r="T58" s="588"/>
      <c r="U58" s="187"/>
      <c r="V58" s="187"/>
      <c r="W58" s="184"/>
      <c r="X58" s="181"/>
      <c r="Y58" s="588"/>
      <c r="Z58" s="187"/>
      <c r="AA58" s="187"/>
      <c r="AB58" s="184"/>
      <c r="AC58" s="181"/>
      <c r="AD58" s="588"/>
      <c r="AE58" s="187"/>
      <c r="AF58" s="187"/>
      <c r="AG58" s="184"/>
      <c r="AH58" s="181"/>
      <c r="AI58" s="588"/>
      <c r="AJ58" s="187"/>
      <c r="AK58" s="187"/>
      <c r="AL58" s="184"/>
      <c r="AM58" s="181"/>
      <c r="AN58" s="588"/>
      <c r="AO58" s="187"/>
      <c r="AP58" s="187"/>
      <c r="AQ58" s="184"/>
      <c r="AR58" s="181"/>
      <c r="AS58" s="588"/>
      <c r="AT58" s="187"/>
      <c r="AU58" s="187"/>
      <c r="AV58" s="184"/>
      <c r="AW58" s="181"/>
      <c r="AX58" s="588"/>
    </row>
    <row r="59" spans="2:50" ht="14.25" customHeight="1">
      <c r="B59" s="586"/>
      <c r="C59" s="179">
        <v>13</v>
      </c>
      <c r="D59" s="182"/>
      <c r="E59" s="179"/>
      <c r="F59" s="179"/>
      <c r="G59" s="184"/>
      <c r="H59" s="588"/>
      <c r="I59" s="185"/>
      <c r="J59" s="185"/>
      <c r="K59" s="186"/>
      <c r="L59" s="589"/>
      <c r="M59" s="185"/>
      <c r="N59" s="586"/>
      <c r="O59" s="586"/>
      <c r="P59" s="187"/>
      <c r="Q59" s="187"/>
      <c r="R59" s="184"/>
      <c r="S59" s="181"/>
      <c r="T59" s="588"/>
      <c r="U59" s="187"/>
      <c r="V59" s="187"/>
      <c r="W59" s="184"/>
      <c r="X59" s="181"/>
      <c r="Y59" s="588"/>
      <c r="Z59" s="187"/>
      <c r="AA59" s="187"/>
      <c r="AB59" s="184"/>
      <c r="AC59" s="181"/>
      <c r="AD59" s="588"/>
      <c r="AE59" s="187"/>
      <c r="AF59" s="187"/>
      <c r="AG59" s="184"/>
      <c r="AH59" s="181"/>
      <c r="AI59" s="588"/>
      <c r="AJ59" s="187"/>
      <c r="AK59" s="187"/>
      <c r="AL59" s="184"/>
      <c r="AM59" s="181"/>
      <c r="AN59" s="588"/>
      <c r="AO59" s="187"/>
      <c r="AP59" s="187"/>
      <c r="AQ59" s="184"/>
      <c r="AR59" s="181"/>
      <c r="AS59" s="588"/>
      <c r="AT59" s="187"/>
      <c r="AU59" s="187"/>
      <c r="AV59" s="184"/>
      <c r="AW59" s="181"/>
      <c r="AX59" s="588"/>
    </row>
    <row r="60" spans="2:50" ht="14.25" customHeight="1">
      <c r="B60" s="586"/>
      <c r="C60" s="179">
        <v>14</v>
      </c>
      <c r="D60" s="182"/>
      <c r="E60" s="179"/>
      <c r="F60" s="179"/>
      <c r="G60" s="184"/>
      <c r="H60" s="588"/>
      <c r="I60" s="185"/>
      <c r="J60" s="185"/>
      <c r="K60" s="186"/>
      <c r="L60" s="589"/>
      <c r="M60" s="185"/>
      <c r="N60" s="586"/>
      <c r="O60" s="586"/>
      <c r="P60" s="187"/>
      <c r="Q60" s="187"/>
      <c r="R60" s="184"/>
      <c r="S60" s="181"/>
      <c r="T60" s="588"/>
      <c r="U60" s="187"/>
      <c r="V60" s="187"/>
      <c r="W60" s="184"/>
      <c r="X60" s="181"/>
      <c r="Y60" s="588"/>
      <c r="Z60" s="187"/>
      <c r="AA60" s="187"/>
      <c r="AB60" s="184"/>
      <c r="AC60" s="181"/>
      <c r="AD60" s="588"/>
      <c r="AE60" s="187"/>
      <c r="AF60" s="187"/>
      <c r="AG60" s="184"/>
      <c r="AH60" s="181"/>
      <c r="AI60" s="588"/>
      <c r="AJ60" s="187"/>
      <c r="AK60" s="187"/>
      <c r="AL60" s="184"/>
      <c r="AM60" s="181"/>
      <c r="AN60" s="588"/>
      <c r="AO60" s="187"/>
      <c r="AP60" s="187"/>
      <c r="AQ60" s="184"/>
      <c r="AR60" s="181"/>
      <c r="AS60" s="588"/>
      <c r="AT60" s="187"/>
      <c r="AU60" s="187"/>
      <c r="AV60" s="184"/>
      <c r="AW60" s="181"/>
      <c r="AX60" s="588"/>
    </row>
    <row r="61" spans="2:50" ht="14.25" customHeight="1">
      <c r="B61" s="586"/>
      <c r="C61" s="179">
        <v>15</v>
      </c>
      <c r="D61" s="182"/>
      <c r="E61" s="179"/>
      <c r="F61" s="179"/>
      <c r="G61" s="184"/>
      <c r="H61" s="588"/>
      <c r="I61" s="185"/>
      <c r="J61" s="185"/>
      <c r="K61" s="186"/>
      <c r="L61" s="589"/>
      <c r="M61" s="185"/>
      <c r="N61" s="586"/>
      <c r="O61" s="586"/>
      <c r="P61" s="187"/>
      <c r="Q61" s="187"/>
      <c r="R61" s="184"/>
      <c r="S61" s="181"/>
      <c r="T61" s="588"/>
      <c r="U61" s="187"/>
      <c r="V61" s="187"/>
      <c r="W61" s="184"/>
      <c r="X61" s="181"/>
      <c r="Y61" s="588"/>
      <c r="Z61" s="187"/>
      <c r="AA61" s="187"/>
      <c r="AB61" s="184"/>
      <c r="AC61" s="181"/>
      <c r="AD61" s="588"/>
      <c r="AE61" s="187"/>
      <c r="AF61" s="187"/>
      <c r="AG61" s="184"/>
      <c r="AH61" s="181"/>
      <c r="AI61" s="588"/>
      <c r="AJ61" s="187"/>
      <c r="AK61" s="187"/>
      <c r="AL61" s="184"/>
      <c r="AM61" s="181"/>
      <c r="AN61" s="588"/>
      <c r="AO61" s="187"/>
      <c r="AP61" s="187"/>
      <c r="AQ61" s="184"/>
      <c r="AR61" s="181"/>
      <c r="AS61" s="588"/>
      <c r="AT61" s="187"/>
      <c r="AU61" s="187"/>
      <c r="AV61" s="184"/>
      <c r="AW61" s="181"/>
      <c r="AX61" s="588"/>
    </row>
  </sheetData>
  <mergeCells count="177">
    <mergeCell ref="AX47:AX61"/>
    <mergeCell ref="B47:B61"/>
    <mergeCell ref="H47:H61"/>
    <mergeCell ref="L47:L61"/>
    <mergeCell ref="T47:T61"/>
    <mergeCell ref="Y47:Y61"/>
    <mergeCell ref="AD47:AD61"/>
    <mergeCell ref="AI47:AI61"/>
    <mergeCell ref="AN47:AN61"/>
    <mergeCell ref="AS47:AS61"/>
    <mergeCell ref="AI44:AI46"/>
    <mergeCell ref="AJ44:AM44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Z45:AC45"/>
    <mergeCell ref="AE45:AH45"/>
    <mergeCell ref="AJ45:AM45"/>
    <mergeCell ref="AO45:AR45"/>
    <mergeCell ref="AT45:AW45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P44:S44"/>
    <mergeCell ref="T44:T46"/>
    <mergeCell ref="U44:X44"/>
    <mergeCell ref="Y44:Y46"/>
    <mergeCell ref="Z44:AC44"/>
    <mergeCell ref="AD44:AD46"/>
    <mergeCell ref="AE44:AH44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P4:S4"/>
    <mergeCell ref="AI4:AI6"/>
    <mergeCell ref="AJ4:AM4"/>
    <mergeCell ref="AN4:AN6"/>
    <mergeCell ref="AO4:AR4"/>
    <mergeCell ref="AS4:AS6"/>
    <mergeCell ref="AT4:AW4"/>
    <mergeCell ref="T4:T6"/>
    <mergeCell ref="U4:X4"/>
    <mergeCell ref="Y4:Y6"/>
    <mergeCell ref="Z4:AC4"/>
    <mergeCell ref="AD4:AD6"/>
    <mergeCell ref="AT22:AX22"/>
    <mergeCell ref="E5:G5"/>
    <mergeCell ref="I5:K5"/>
    <mergeCell ref="P5:S5"/>
    <mergeCell ref="U5:X5"/>
    <mergeCell ref="Z5:AC5"/>
    <mergeCell ref="AT2:AX2"/>
    <mergeCell ref="P3:T3"/>
    <mergeCell ref="U3:Y3"/>
    <mergeCell ref="Z3:AD3"/>
    <mergeCell ref="AE3:AI3"/>
    <mergeCell ref="AJ3:AN3"/>
    <mergeCell ref="AO3:AS3"/>
    <mergeCell ref="AT3:AX3"/>
    <mergeCell ref="AJ2:AN2"/>
    <mergeCell ref="AO2:AS2"/>
    <mergeCell ref="AE2:AI2"/>
    <mergeCell ref="AJ5:AM5"/>
    <mergeCell ref="AO5:AR5"/>
    <mergeCell ref="AT5:AW5"/>
    <mergeCell ref="L4:L6"/>
    <mergeCell ref="M4:M6"/>
    <mergeCell ref="N4:N21"/>
    <mergeCell ref="O4:O21"/>
    <mergeCell ref="U24:X24"/>
    <mergeCell ref="Y24:Y26"/>
    <mergeCell ref="Z24:AC24"/>
    <mergeCell ref="AD24:AD26"/>
    <mergeCell ref="L24:L26"/>
    <mergeCell ref="M24:M26"/>
    <mergeCell ref="AX4:AX6"/>
    <mergeCell ref="B22:M23"/>
    <mergeCell ref="N22:N23"/>
    <mergeCell ref="O22:O23"/>
    <mergeCell ref="P22:T22"/>
    <mergeCell ref="U22:Y22"/>
    <mergeCell ref="P23:T23"/>
    <mergeCell ref="U23:Y23"/>
    <mergeCell ref="AE4:AH4"/>
    <mergeCell ref="Z23:AD23"/>
    <mergeCell ref="AE23:AI23"/>
    <mergeCell ref="AJ23:AN23"/>
    <mergeCell ref="AO23:AS23"/>
    <mergeCell ref="AT23:AX23"/>
    <mergeCell ref="Z22:AD22"/>
    <mergeCell ref="AE22:AI22"/>
    <mergeCell ref="AJ22:AN22"/>
    <mergeCell ref="AO22:AS22"/>
    <mergeCell ref="AI24:AI26"/>
    <mergeCell ref="AJ24:AM24"/>
    <mergeCell ref="AN24:AN26"/>
    <mergeCell ref="AO24:AR24"/>
    <mergeCell ref="AD27:AD41"/>
    <mergeCell ref="AI27:AI41"/>
    <mergeCell ref="AN27:AN41"/>
    <mergeCell ref="AS27:AS41"/>
    <mergeCell ref="B2:M3"/>
    <mergeCell ref="N2:N3"/>
    <mergeCell ref="O2:O3"/>
    <mergeCell ref="P2:T2"/>
    <mergeCell ref="U2:Y2"/>
    <mergeCell ref="Z2:AD2"/>
    <mergeCell ref="U25:X25"/>
    <mergeCell ref="Z25:AC25"/>
    <mergeCell ref="AE25:AH25"/>
    <mergeCell ref="B4:B6"/>
    <mergeCell ref="C4:D6"/>
    <mergeCell ref="E4:G4"/>
    <mergeCell ref="H4:H6"/>
    <mergeCell ref="AE5:AH5"/>
    <mergeCell ref="I4:K4"/>
    <mergeCell ref="T24:T26"/>
    <mergeCell ref="AX27:AX41"/>
    <mergeCell ref="B27:B41"/>
    <mergeCell ref="H27:H41"/>
    <mergeCell ref="L27:L41"/>
    <mergeCell ref="T27:T41"/>
    <mergeCell ref="Y27:Y41"/>
    <mergeCell ref="N24:N41"/>
    <mergeCell ref="O24:O41"/>
    <mergeCell ref="P24:S24"/>
    <mergeCell ref="B24:B26"/>
    <mergeCell ref="C24:D26"/>
    <mergeCell ref="E24:G24"/>
    <mergeCell ref="H24:H26"/>
    <mergeCell ref="I24:K24"/>
    <mergeCell ref="AS24:AS26"/>
    <mergeCell ref="AT24:AW24"/>
    <mergeCell ref="AX24:AX26"/>
    <mergeCell ref="E25:G25"/>
    <mergeCell ref="I25:K25"/>
    <mergeCell ref="P25:S25"/>
    <mergeCell ref="AJ25:AM25"/>
    <mergeCell ref="AO25:AR25"/>
    <mergeCell ref="AT25:AW25"/>
    <mergeCell ref="AE24:AH24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5">
    <tabColor rgb="FFFFFFCC"/>
  </sheetPr>
  <dimension ref="A1:AX61"/>
  <sheetViews>
    <sheetView zoomScaleNormal="100" workbookViewId="0">
      <pane xSplit="13" ySplit="1" topLeftCell="N26" activePane="bottomRight" state="frozen"/>
      <selection activeCell="B86" sqref="B86:M87"/>
      <selection pane="topRight" activeCell="B86" sqref="B86:M87"/>
      <selection pane="bottomLeft" activeCell="B86" sqref="B86:M87"/>
      <selection pane="bottomRight" activeCell="AW47" sqref="AW47:AW55"/>
    </sheetView>
  </sheetViews>
  <sheetFormatPr defaultColWidth="8.85546875" defaultRowHeight="12"/>
  <cols>
    <col min="1" max="1" width="5.5703125" style="78" customWidth="1"/>
    <col min="2" max="2" width="12.42578125" style="78" customWidth="1"/>
    <col min="3" max="3" width="9.28515625" style="176" bestFit="1" customWidth="1"/>
    <col min="4" max="4" width="26.42578125" style="175" customWidth="1"/>
    <col min="5" max="5" width="7.7109375" style="176" customWidth="1"/>
    <col min="6" max="7" width="8.7109375" style="176" customWidth="1"/>
    <col min="8" max="8" width="10.7109375" style="176" customWidth="1"/>
    <col min="9" max="9" width="7.7109375" style="177" customWidth="1"/>
    <col min="10" max="11" width="8.7109375" style="177" customWidth="1"/>
    <col min="12" max="12" width="10.7109375" style="177" customWidth="1"/>
    <col min="13" max="13" width="5.7109375" style="177" customWidth="1"/>
    <col min="14" max="14" width="9.85546875" style="176" customWidth="1"/>
    <col min="15" max="15" width="7.140625" style="176" customWidth="1"/>
    <col min="16" max="16" width="7.7109375" style="176" customWidth="1"/>
    <col min="17" max="18" width="8.7109375" style="176" customWidth="1"/>
    <col min="19" max="19" width="5.7109375" style="177" customWidth="1"/>
    <col min="20" max="20" width="10.7109375" style="176" customWidth="1"/>
    <col min="21" max="21" width="7.7109375" style="78" customWidth="1"/>
    <col min="22" max="23" width="8.7109375" style="78" customWidth="1"/>
    <col min="24" max="24" width="5.42578125" style="177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77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77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77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78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78" customWidth="1"/>
    <col min="50" max="50" width="10.7109375" style="78" customWidth="1"/>
    <col min="51" max="16384" width="8.85546875" style="78"/>
  </cols>
  <sheetData>
    <row r="1" spans="1:50" ht="21">
      <c r="A1" s="74"/>
      <c r="B1" s="450" t="s">
        <v>672</v>
      </c>
      <c r="C1" s="174">
        <f>AVERAGE(L27,L47)</f>
        <v>154.70037204119501</v>
      </c>
    </row>
    <row r="2" spans="1:50" ht="14.25" customHeight="1">
      <c r="B2" s="612" t="s">
        <v>628</v>
      </c>
      <c r="C2" s="613"/>
      <c r="D2" s="613"/>
      <c r="E2" s="613"/>
      <c r="F2" s="613"/>
      <c r="G2" s="613"/>
      <c r="H2" s="613"/>
      <c r="I2" s="613"/>
      <c r="J2" s="613"/>
      <c r="K2" s="613"/>
      <c r="L2" s="613"/>
      <c r="M2" s="614"/>
      <c r="N2" s="617" t="s">
        <v>341</v>
      </c>
      <c r="O2" s="617" t="s">
        <v>105</v>
      </c>
      <c r="P2" s="600">
        <v>46231</v>
      </c>
      <c r="Q2" s="601"/>
      <c r="R2" s="601"/>
      <c r="S2" s="601"/>
      <c r="T2" s="601"/>
      <c r="U2" s="602">
        <v>46232</v>
      </c>
      <c r="V2" s="603"/>
      <c r="W2" s="603"/>
      <c r="X2" s="603"/>
      <c r="Y2" s="603"/>
      <c r="Z2" s="600">
        <v>46233</v>
      </c>
      <c r="AA2" s="601"/>
      <c r="AB2" s="601"/>
      <c r="AC2" s="601"/>
      <c r="AD2" s="601"/>
      <c r="AE2" s="602">
        <v>46234</v>
      </c>
      <c r="AF2" s="603"/>
      <c r="AG2" s="603"/>
      <c r="AH2" s="603"/>
      <c r="AI2" s="603"/>
      <c r="AJ2" s="609">
        <v>46235</v>
      </c>
      <c r="AK2" s="610"/>
      <c r="AL2" s="610"/>
      <c r="AM2" s="610"/>
      <c r="AN2" s="611"/>
      <c r="AO2" s="602">
        <v>46236</v>
      </c>
      <c r="AP2" s="603"/>
      <c r="AQ2" s="603"/>
      <c r="AR2" s="603"/>
      <c r="AS2" s="603"/>
      <c r="AT2" s="609">
        <v>46237</v>
      </c>
      <c r="AU2" s="610"/>
      <c r="AV2" s="610"/>
      <c r="AW2" s="610"/>
      <c r="AX2" s="611"/>
    </row>
    <row r="3" spans="1:50" ht="14.25" customHeight="1">
      <c r="B3" s="615"/>
      <c r="C3" s="615"/>
      <c r="D3" s="615"/>
      <c r="E3" s="615"/>
      <c r="F3" s="615"/>
      <c r="G3" s="615"/>
      <c r="H3" s="615"/>
      <c r="I3" s="615"/>
      <c r="J3" s="615"/>
      <c r="K3" s="615"/>
      <c r="L3" s="615"/>
      <c r="M3" s="616"/>
      <c r="N3" s="618"/>
      <c r="O3" s="618"/>
      <c r="P3" s="604">
        <v>46196</v>
      </c>
      <c r="Q3" s="604"/>
      <c r="R3" s="604"/>
      <c r="S3" s="604"/>
      <c r="T3" s="604"/>
      <c r="U3" s="605">
        <v>46197</v>
      </c>
      <c r="V3" s="605"/>
      <c r="W3" s="605"/>
      <c r="X3" s="605"/>
      <c r="Y3" s="605"/>
      <c r="Z3" s="604">
        <v>46198</v>
      </c>
      <c r="AA3" s="604"/>
      <c r="AB3" s="604"/>
      <c r="AC3" s="604"/>
      <c r="AD3" s="604"/>
      <c r="AE3" s="605">
        <v>46199</v>
      </c>
      <c r="AF3" s="605"/>
      <c r="AG3" s="605"/>
      <c r="AH3" s="605"/>
      <c r="AI3" s="605"/>
      <c r="AJ3" s="606">
        <v>46200</v>
      </c>
      <c r="AK3" s="607"/>
      <c r="AL3" s="607"/>
      <c r="AM3" s="607"/>
      <c r="AN3" s="608"/>
      <c r="AO3" s="605">
        <v>46201</v>
      </c>
      <c r="AP3" s="605"/>
      <c r="AQ3" s="605"/>
      <c r="AR3" s="605"/>
      <c r="AS3" s="605"/>
      <c r="AT3" s="606">
        <v>46202</v>
      </c>
      <c r="AU3" s="607"/>
      <c r="AV3" s="607"/>
      <c r="AW3" s="607"/>
      <c r="AX3" s="608"/>
    </row>
    <row r="4" spans="1:50" ht="14.25" customHeight="1">
      <c r="B4" s="586" t="s">
        <v>162</v>
      </c>
      <c r="C4" s="586" t="s">
        <v>157</v>
      </c>
      <c r="D4" s="586"/>
      <c r="E4" s="586" t="s">
        <v>158</v>
      </c>
      <c r="F4" s="586"/>
      <c r="G4" s="586"/>
      <c r="H4" s="586" t="s">
        <v>163</v>
      </c>
      <c r="I4" s="592" t="s">
        <v>342</v>
      </c>
      <c r="J4" s="592"/>
      <c r="K4" s="592"/>
      <c r="L4" s="592" t="s">
        <v>163</v>
      </c>
      <c r="M4" s="592" t="s">
        <v>165</v>
      </c>
      <c r="N4" s="586"/>
      <c r="O4" s="586" t="s">
        <v>164</v>
      </c>
      <c r="P4" s="586" t="s">
        <v>160</v>
      </c>
      <c r="Q4" s="586"/>
      <c r="R4" s="586"/>
      <c r="S4" s="586"/>
      <c r="T4" s="586" t="s">
        <v>163</v>
      </c>
      <c r="U4" s="586" t="s">
        <v>160</v>
      </c>
      <c r="V4" s="586"/>
      <c r="W4" s="586"/>
      <c r="X4" s="586"/>
      <c r="Y4" s="586" t="s">
        <v>163</v>
      </c>
      <c r="Z4" s="586" t="s">
        <v>160</v>
      </c>
      <c r="AA4" s="586"/>
      <c r="AB4" s="586"/>
      <c r="AC4" s="586"/>
      <c r="AD4" s="586" t="s">
        <v>163</v>
      </c>
      <c r="AE4" s="586" t="s">
        <v>160</v>
      </c>
      <c r="AF4" s="586"/>
      <c r="AG4" s="586"/>
      <c r="AH4" s="586"/>
      <c r="AI4" s="586" t="s">
        <v>163</v>
      </c>
      <c r="AJ4" s="586" t="s">
        <v>160</v>
      </c>
      <c r="AK4" s="586"/>
      <c r="AL4" s="586"/>
      <c r="AM4" s="586"/>
      <c r="AN4" s="586" t="s">
        <v>163</v>
      </c>
      <c r="AO4" s="586" t="s">
        <v>160</v>
      </c>
      <c r="AP4" s="586"/>
      <c r="AQ4" s="586"/>
      <c r="AR4" s="586"/>
      <c r="AS4" s="586" t="s">
        <v>163</v>
      </c>
      <c r="AT4" s="586" t="s">
        <v>160</v>
      </c>
      <c r="AU4" s="586"/>
      <c r="AV4" s="586"/>
      <c r="AW4" s="586"/>
      <c r="AX4" s="586" t="s">
        <v>163</v>
      </c>
    </row>
    <row r="5" spans="1:50" ht="14.25" customHeight="1">
      <c r="B5" s="586"/>
      <c r="C5" s="586"/>
      <c r="D5" s="586"/>
      <c r="E5" s="586" t="s">
        <v>343</v>
      </c>
      <c r="F5" s="586"/>
      <c r="G5" s="586"/>
      <c r="H5" s="586"/>
      <c r="I5" s="592" t="s">
        <v>343</v>
      </c>
      <c r="J5" s="592"/>
      <c r="K5" s="592"/>
      <c r="L5" s="592"/>
      <c r="M5" s="592"/>
      <c r="N5" s="586"/>
      <c r="O5" s="586"/>
      <c r="P5" s="586" t="s">
        <v>344</v>
      </c>
      <c r="Q5" s="586"/>
      <c r="R5" s="586"/>
      <c r="S5" s="586"/>
      <c r="T5" s="586"/>
      <c r="U5" s="586" t="s">
        <v>344</v>
      </c>
      <c r="V5" s="586"/>
      <c r="W5" s="586"/>
      <c r="X5" s="586"/>
      <c r="Y5" s="586"/>
      <c r="Z5" s="586" t="s">
        <v>344</v>
      </c>
      <c r="AA5" s="586"/>
      <c r="AB5" s="586"/>
      <c r="AC5" s="586"/>
      <c r="AD5" s="586"/>
      <c r="AE5" s="586" t="s">
        <v>344</v>
      </c>
      <c r="AF5" s="586"/>
      <c r="AG5" s="586"/>
      <c r="AH5" s="586"/>
      <c r="AI5" s="586"/>
      <c r="AJ5" s="586" t="s">
        <v>344</v>
      </c>
      <c r="AK5" s="586"/>
      <c r="AL5" s="586"/>
      <c r="AM5" s="586"/>
      <c r="AN5" s="586"/>
      <c r="AO5" s="586" t="s">
        <v>344</v>
      </c>
      <c r="AP5" s="586"/>
      <c r="AQ5" s="586"/>
      <c r="AR5" s="586"/>
      <c r="AS5" s="586"/>
      <c r="AT5" s="586" t="s">
        <v>344</v>
      </c>
      <c r="AU5" s="586"/>
      <c r="AV5" s="586"/>
      <c r="AW5" s="586"/>
      <c r="AX5" s="586"/>
    </row>
    <row r="6" spans="1:50" ht="14.25" customHeight="1">
      <c r="B6" s="586"/>
      <c r="C6" s="586"/>
      <c r="D6" s="586"/>
      <c r="E6" s="179" t="s">
        <v>159</v>
      </c>
      <c r="F6" s="179" t="s">
        <v>345</v>
      </c>
      <c r="G6" s="179" t="s">
        <v>161</v>
      </c>
      <c r="H6" s="586"/>
      <c r="I6" s="180" t="s">
        <v>159</v>
      </c>
      <c r="J6" s="180" t="s">
        <v>345</v>
      </c>
      <c r="K6" s="180" t="s">
        <v>161</v>
      </c>
      <c r="L6" s="592"/>
      <c r="M6" s="592"/>
      <c r="N6" s="586"/>
      <c r="O6" s="586"/>
      <c r="P6" s="179" t="s">
        <v>159</v>
      </c>
      <c r="Q6" s="179" t="s">
        <v>345</v>
      </c>
      <c r="R6" s="179" t="s">
        <v>161</v>
      </c>
      <c r="S6" s="181" t="s">
        <v>165</v>
      </c>
      <c r="T6" s="586"/>
      <c r="U6" s="179" t="s">
        <v>159</v>
      </c>
      <c r="V6" s="179" t="s">
        <v>345</v>
      </c>
      <c r="W6" s="179" t="s">
        <v>161</v>
      </c>
      <c r="X6" s="181" t="s">
        <v>165</v>
      </c>
      <c r="Y6" s="586"/>
      <c r="Z6" s="179" t="s">
        <v>159</v>
      </c>
      <c r="AA6" s="179" t="s">
        <v>345</v>
      </c>
      <c r="AB6" s="179" t="s">
        <v>161</v>
      </c>
      <c r="AC6" s="181" t="s">
        <v>165</v>
      </c>
      <c r="AD6" s="586"/>
      <c r="AE6" s="179" t="s">
        <v>159</v>
      </c>
      <c r="AF6" s="179" t="s">
        <v>345</v>
      </c>
      <c r="AG6" s="179" t="s">
        <v>161</v>
      </c>
      <c r="AH6" s="181" t="s">
        <v>165</v>
      </c>
      <c r="AI6" s="586"/>
      <c r="AJ6" s="179" t="s">
        <v>159</v>
      </c>
      <c r="AK6" s="179" t="s">
        <v>345</v>
      </c>
      <c r="AL6" s="179" t="s">
        <v>161</v>
      </c>
      <c r="AM6" s="181" t="s">
        <v>165</v>
      </c>
      <c r="AN6" s="586"/>
      <c r="AO6" s="179" t="s">
        <v>159</v>
      </c>
      <c r="AP6" s="179" t="s">
        <v>345</v>
      </c>
      <c r="AQ6" s="179" t="s">
        <v>161</v>
      </c>
      <c r="AR6" s="181" t="s">
        <v>165</v>
      </c>
      <c r="AS6" s="586"/>
      <c r="AT6" s="179" t="s">
        <v>159</v>
      </c>
      <c r="AU6" s="179" t="s">
        <v>345</v>
      </c>
      <c r="AV6" s="179" t="s">
        <v>161</v>
      </c>
      <c r="AW6" s="181" t="s">
        <v>165</v>
      </c>
      <c r="AX6" s="586"/>
    </row>
    <row r="7" spans="1:50" ht="14.25" customHeight="1">
      <c r="B7" s="586" t="s">
        <v>349</v>
      </c>
      <c r="C7" s="179">
        <v>1</v>
      </c>
      <c r="D7" s="182" t="s">
        <v>492</v>
      </c>
      <c r="E7" s="183">
        <v>20</v>
      </c>
      <c r="F7" s="179">
        <v>3600</v>
      </c>
      <c r="G7" s="184">
        <f t="shared" ref="G7:G14" si="0">IFERROR(F7/E7,"")</f>
        <v>180</v>
      </c>
      <c r="H7" s="588">
        <f>AVERAGE(G7:G21)</f>
        <v>171.75153793574844</v>
      </c>
      <c r="I7" s="185">
        <f>AVERAGE(P7,U7,Z7,AE7,AJ7,AO7,AT7)</f>
        <v>20</v>
      </c>
      <c r="J7" s="185">
        <f>AVERAGE(Q7,V7,AA7,AF7,AK7,AP7,AU7)</f>
        <v>3266.9501893310226</v>
      </c>
      <c r="K7" s="186">
        <f>AVERAGE(R7,W7,AB7,AG7,AL7,AQ7,AV7)</f>
        <v>163.34750946655114</v>
      </c>
      <c r="L7" s="589">
        <f>IFERROR(AVERAGE(K7:K21),"-")</f>
        <v>154.82710267055958</v>
      </c>
      <c r="M7" s="185">
        <f>RANK(K7, K$7:$K$21)</f>
        <v>3</v>
      </c>
      <c r="N7" s="586"/>
      <c r="O7" s="586"/>
      <c r="P7" s="187">
        <v>20</v>
      </c>
      <c r="Q7" s="187">
        <v>3266.0612005177532</v>
      </c>
      <c r="R7" s="184">
        <f>IFERROR(Q7/P7,"")</f>
        <v>163.30306002588765</v>
      </c>
      <c r="S7" s="181">
        <f>RANK(R7, R$7:R$21)</f>
        <v>3</v>
      </c>
      <c r="T7" s="588">
        <f>AVERAGE(R7:R21)</f>
        <v>154.78254767997618</v>
      </c>
      <c r="U7" s="187">
        <v>20</v>
      </c>
      <c r="V7" s="187">
        <v>3267.5012005177532</v>
      </c>
      <c r="W7" s="184">
        <f t="shared" ref="W7:W14" si="1">IFERROR(V7/U7,"")</f>
        <v>163.37506002588765</v>
      </c>
      <c r="X7" s="181">
        <f>RANK(W7, W$7:W$21)</f>
        <v>3</v>
      </c>
      <c r="Y7" s="588">
        <f>AVERAGE(W7:W21)</f>
        <v>154.79905562597753</v>
      </c>
      <c r="Z7" s="187">
        <v>20</v>
      </c>
      <c r="AA7" s="187">
        <v>3268.2212005177525</v>
      </c>
      <c r="AB7" s="184">
        <f>IFERROR(AA7/Z7,"")</f>
        <v>163.41106002588762</v>
      </c>
      <c r="AC7" s="181">
        <f>RANK(AB7, AB$7:AB$21)</f>
        <v>3</v>
      </c>
      <c r="AD7" s="588">
        <f>AVERAGE(AB7:AB21)</f>
        <v>154.85371461374774</v>
      </c>
      <c r="AE7" s="187">
        <v>20</v>
      </c>
      <c r="AF7" s="187">
        <v>3267.1412005177531</v>
      </c>
      <c r="AG7" s="184">
        <f>IFERROR(AF7/AE7,"")</f>
        <v>163.35706002588765</v>
      </c>
      <c r="AH7" s="181">
        <f>RANK(AG7, AG$7:AG$21)</f>
        <v>3</v>
      </c>
      <c r="AI7" s="588">
        <f>AVERAGE(AG7:AG21)</f>
        <v>154.84512370465683</v>
      </c>
      <c r="AJ7" s="187">
        <v>20</v>
      </c>
      <c r="AK7" s="187">
        <v>3267.1412005177531</v>
      </c>
      <c r="AL7" s="184">
        <f>IFERROR(AK7/AJ7,"")</f>
        <v>163.35706002588765</v>
      </c>
      <c r="AM7" s="181">
        <f>RANK(AL7, AL$7:AL$21)</f>
        <v>3</v>
      </c>
      <c r="AN7" s="588">
        <f>AVERAGE(AL7:AL21)</f>
        <v>154.84822669478959</v>
      </c>
      <c r="AO7" s="187">
        <v>20</v>
      </c>
      <c r="AP7" s="187">
        <v>3265.3412005177529</v>
      </c>
      <c r="AQ7" s="184">
        <f>IFERROR(AP7/AO7,"")</f>
        <v>163.26706002588764</v>
      </c>
      <c r="AR7" s="181">
        <f>RANK(AQ7, AQ$7:AQ$21)</f>
        <v>3</v>
      </c>
      <c r="AS7" s="588">
        <f>AVERAGE(AQ7:AQ21)</f>
        <v>154.82572310627285</v>
      </c>
      <c r="AT7" s="187">
        <v>20</v>
      </c>
      <c r="AU7" s="187">
        <v>3267.2441222106399</v>
      </c>
      <c r="AV7" s="184">
        <f>IFERROR(AU7/AT7,"")</f>
        <v>163.36220611053199</v>
      </c>
      <c r="AW7" s="181">
        <f>RANK(AV7, AV$7:AV$21)</f>
        <v>3</v>
      </c>
      <c r="AX7" s="588">
        <f>AVERAGE(AV7:AV21)</f>
        <v>154.83532726849637</v>
      </c>
    </row>
    <row r="8" spans="1:50" ht="14.25" customHeight="1">
      <c r="B8" s="586"/>
      <c r="C8" s="179">
        <v>2</v>
      </c>
      <c r="D8" s="182" t="s">
        <v>493</v>
      </c>
      <c r="E8" s="179">
        <v>21</v>
      </c>
      <c r="F8" s="179">
        <v>3600</v>
      </c>
      <c r="G8" s="184">
        <f t="shared" si="0"/>
        <v>171.42857142857142</v>
      </c>
      <c r="H8" s="588"/>
      <c r="I8" s="185">
        <f t="shared" ref="I8:K14" si="2">AVERAGE(P8,U8,Z8,AE8,AJ8,AO8,AT8)</f>
        <v>21</v>
      </c>
      <c r="J8" s="185">
        <f t="shared" si="2"/>
        <v>3267.3140019737198</v>
      </c>
      <c r="K8" s="186">
        <f t="shared" si="2"/>
        <v>155.58638104636762</v>
      </c>
      <c r="L8" s="589"/>
      <c r="M8" s="185">
        <f>RANK(K8, K$7:$K$21)</f>
        <v>5</v>
      </c>
      <c r="N8" s="586"/>
      <c r="O8" s="586"/>
      <c r="P8" s="187">
        <v>21</v>
      </c>
      <c r="Q8" s="187">
        <v>3264.7089067680158</v>
      </c>
      <c r="R8" s="184">
        <f t="shared" ref="R8:R14" si="3">IFERROR(Q8/P8,"")</f>
        <v>155.46232889371504</v>
      </c>
      <c r="S8" s="181">
        <f t="shared" ref="S8:S14" si="4">RANK(R8, R$7:R$21)</f>
        <v>5</v>
      </c>
      <c r="T8" s="588"/>
      <c r="U8" s="187">
        <v>21</v>
      </c>
      <c r="V8" s="187">
        <v>3263.988906768016</v>
      </c>
      <c r="W8" s="184">
        <f t="shared" si="1"/>
        <v>155.42804317942932</v>
      </c>
      <c r="X8" s="181">
        <f t="shared" ref="X8:X14" si="5">RANK(W8, W$7:W$21)</f>
        <v>5</v>
      </c>
      <c r="Y8" s="588"/>
      <c r="Z8" s="187">
        <v>21</v>
      </c>
      <c r="AA8" s="187">
        <v>3268.2120400560016</v>
      </c>
      <c r="AB8" s="184">
        <f t="shared" ref="AB8:AB14" si="6">IFERROR(AA8/Z8,"")</f>
        <v>155.62914476457149</v>
      </c>
      <c r="AC8" s="181">
        <f t="shared" ref="AC8:AC14" si="7">RANK(AB8, AB$7:AB$21)</f>
        <v>5</v>
      </c>
      <c r="AD8" s="588"/>
      <c r="AE8" s="187">
        <v>21</v>
      </c>
      <c r="AF8" s="187">
        <v>3268.212040056002</v>
      </c>
      <c r="AG8" s="184">
        <f t="shared" ref="AG8:AG14" si="8">IFERROR(AF8/AE8,"")</f>
        <v>155.62914476457152</v>
      </c>
      <c r="AH8" s="181">
        <f t="shared" ref="AH8:AH14" si="9">RANK(AG8, AG$7:AG$21)</f>
        <v>5</v>
      </c>
      <c r="AI8" s="588"/>
      <c r="AJ8" s="187">
        <v>21</v>
      </c>
      <c r="AK8" s="187">
        <v>3268.9320400560023</v>
      </c>
      <c r="AL8" s="184">
        <f t="shared" ref="AL8:AL14" si="10">IFERROR(AK8/AJ8,"")</f>
        <v>155.66343047885726</v>
      </c>
      <c r="AM8" s="181">
        <f t="shared" ref="AM8:AM14" si="11">RANK(AL8, AL$7:AL$21)</f>
        <v>5</v>
      </c>
      <c r="AN8" s="588"/>
      <c r="AO8" s="187">
        <v>21</v>
      </c>
      <c r="AP8" s="187">
        <v>3268.9320400560023</v>
      </c>
      <c r="AQ8" s="184">
        <f t="shared" ref="AQ8:AQ14" si="12">IFERROR(AP8/AO8,"")</f>
        <v>155.66343047885726</v>
      </c>
      <c r="AR8" s="181">
        <f t="shared" ref="AR8:AR14" si="13">RANK(AQ8, AQ$7:AQ$21)</f>
        <v>5</v>
      </c>
      <c r="AS8" s="588"/>
      <c r="AT8" s="187">
        <v>21</v>
      </c>
      <c r="AU8" s="187">
        <v>3268.2120400560029</v>
      </c>
      <c r="AV8" s="184">
        <f t="shared" ref="AV8:AV14" si="14">IFERROR(AU8/AT8,"")</f>
        <v>155.62914476457158</v>
      </c>
      <c r="AW8" s="181">
        <f t="shared" ref="AW8:AW14" si="15">RANK(AV8, AV$7:AV$21)</f>
        <v>5</v>
      </c>
      <c r="AX8" s="588"/>
    </row>
    <row r="9" spans="1:50" ht="14.25" customHeight="1">
      <c r="B9" s="586"/>
      <c r="C9" s="179">
        <v>3</v>
      </c>
      <c r="D9" s="182" t="s">
        <v>536</v>
      </c>
      <c r="E9" s="179">
        <v>19</v>
      </c>
      <c r="F9" s="179">
        <v>3600</v>
      </c>
      <c r="G9" s="184">
        <f t="shared" si="0"/>
        <v>189.47368421052633</v>
      </c>
      <c r="H9" s="588"/>
      <c r="I9" s="185">
        <f t="shared" si="2"/>
        <v>19</v>
      </c>
      <c r="J9" s="185">
        <f t="shared" si="2"/>
        <v>3192.7189541137695</v>
      </c>
      <c r="K9" s="186">
        <f t="shared" si="2"/>
        <v>168.03783969019838</v>
      </c>
      <c r="L9" s="589"/>
      <c r="M9" s="185">
        <f>RANK(K9, K$7:$K$21)</f>
        <v>1</v>
      </c>
      <c r="N9" s="586"/>
      <c r="O9" s="586"/>
      <c r="P9" s="187">
        <v>19</v>
      </c>
      <c r="Q9" s="187">
        <v>3193.4623507936567</v>
      </c>
      <c r="R9" s="184">
        <f t="shared" si="3"/>
        <v>168.07696583124508</v>
      </c>
      <c r="S9" s="181">
        <f t="shared" si="4"/>
        <v>1</v>
      </c>
      <c r="T9" s="588"/>
      <c r="U9" s="187">
        <v>19</v>
      </c>
      <c r="V9" s="187">
        <v>3194.5423507936562</v>
      </c>
      <c r="W9" s="184">
        <f t="shared" si="1"/>
        <v>168.13380793650822</v>
      </c>
      <c r="X9" s="181">
        <f t="shared" si="5"/>
        <v>1</v>
      </c>
      <c r="Y9" s="588"/>
      <c r="Z9" s="187">
        <v>19</v>
      </c>
      <c r="AA9" s="187">
        <v>3193.4623507936558</v>
      </c>
      <c r="AB9" s="184">
        <f t="shared" si="6"/>
        <v>168.07696583124505</v>
      </c>
      <c r="AC9" s="181">
        <f t="shared" si="7"/>
        <v>1</v>
      </c>
      <c r="AD9" s="588"/>
      <c r="AE9" s="187">
        <v>19</v>
      </c>
      <c r="AF9" s="187">
        <v>3192.0223507936553</v>
      </c>
      <c r="AG9" s="184">
        <f t="shared" si="8"/>
        <v>168.00117635756081</v>
      </c>
      <c r="AH9" s="181">
        <f t="shared" si="9"/>
        <v>1</v>
      </c>
      <c r="AI9" s="588"/>
      <c r="AJ9" s="187">
        <v>19</v>
      </c>
      <c r="AK9" s="187">
        <v>3191.4877585405879</v>
      </c>
      <c r="AL9" s="184">
        <f t="shared" si="10"/>
        <v>167.97303992318885</v>
      </c>
      <c r="AM9" s="181">
        <f t="shared" si="11"/>
        <v>2</v>
      </c>
      <c r="AN9" s="588"/>
      <c r="AO9" s="187">
        <v>19</v>
      </c>
      <c r="AP9" s="187">
        <v>3191.8477585405881</v>
      </c>
      <c r="AQ9" s="184">
        <f t="shared" si="12"/>
        <v>167.99198729160989</v>
      </c>
      <c r="AR9" s="181">
        <f t="shared" si="13"/>
        <v>2</v>
      </c>
      <c r="AS9" s="588"/>
      <c r="AT9" s="187">
        <v>19</v>
      </c>
      <c r="AU9" s="187">
        <v>3192.2077585405868</v>
      </c>
      <c r="AV9" s="184">
        <f t="shared" si="14"/>
        <v>168.0109346600309</v>
      </c>
      <c r="AW9" s="181">
        <f t="shared" si="15"/>
        <v>1</v>
      </c>
      <c r="AX9" s="588"/>
    </row>
    <row r="10" spans="1:50" ht="14.25" customHeight="1">
      <c r="B10" s="586"/>
      <c r="C10" s="179">
        <v>4</v>
      </c>
      <c r="D10" s="182" t="s">
        <v>531</v>
      </c>
      <c r="E10" s="179">
        <v>24</v>
      </c>
      <c r="F10" s="179">
        <v>3600</v>
      </c>
      <c r="G10" s="184">
        <f t="shared" si="0"/>
        <v>150</v>
      </c>
      <c r="H10" s="588"/>
      <c r="I10" s="185">
        <f t="shared" si="2"/>
        <v>24</v>
      </c>
      <c r="J10" s="185">
        <f t="shared" si="2"/>
        <v>3267.2659825817213</v>
      </c>
      <c r="K10" s="186">
        <f t="shared" si="2"/>
        <v>136.13608260757172</v>
      </c>
      <c r="L10" s="589"/>
      <c r="M10" s="185">
        <f>RANK(K10, K$7:$K$21)</f>
        <v>7</v>
      </c>
      <c r="N10" s="586"/>
      <c r="O10" s="586"/>
      <c r="P10" s="187">
        <v>24</v>
      </c>
      <c r="Q10" s="187">
        <v>3266.1257077107748</v>
      </c>
      <c r="R10" s="184">
        <f t="shared" si="3"/>
        <v>136.08857115461561</v>
      </c>
      <c r="S10" s="181">
        <f t="shared" si="4"/>
        <v>7</v>
      </c>
      <c r="T10" s="588"/>
      <c r="U10" s="187">
        <v>24</v>
      </c>
      <c r="V10" s="187">
        <v>3266.1257077107743</v>
      </c>
      <c r="W10" s="184">
        <f t="shared" si="1"/>
        <v>136.08857115461561</v>
      </c>
      <c r="X10" s="181">
        <f t="shared" si="5"/>
        <v>7</v>
      </c>
      <c r="Y10" s="588"/>
      <c r="Z10" s="187">
        <v>24</v>
      </c>
      <c r="AA10" s="187">
        <v>3268.7065440095375</v>
      </c>
      <c r="AB10" s="184">
        <f t="shared" si="6"/>
        <v>136.19610600039741</v>
      </c>
      <c r="AC10" s="181">
        <f t="shared" si="7"/>
        <v>7</v>
      </c>
      <c r="AD10" s="588"/>
      <c r="AE10" s="187">
        <v>24</v>
      </c>
      <c r="AF10" s="187">
        <v>3267.6265440095376</v>
      </c>
      <c r="AG10" s="184">
        <f t="shared" si="8"/>
        <v>136.15110600039739</v>
      </c>
      <c r="AH10" s="181">
        <f t="shared" si="9"/>
        <v>8</v>
      </c>
      <c r="AI10" s="588"/>
      <c r="AJ10" s="187">
        <v>24</v>
      </c>
      <c r="AK10" s="187">
        <v>3268.3465440095379</v>
      </c>
      <c r="AL10" s="184">
        <f t="shared" si="10"/>
        <v>136.18110600039742</v>
      </c>
      <c r="AM10" s="181">
        <f t="shared" si="11"/>
        <v>8</v>
      </c>
      <c r="AN10" s="588"/>
      <c r="AO10" s="187">
        <v>24</v>
      </c>
      <c r="AP10" s="187">
        <v>3266.5465440095381</v>
      </c>
      <c r="AQ10" s="184">
        <f t="shared" si="12"/>
        <v>136.10610600039743</v>
      </c>
      <c r="AR10" s="181">
        <f t="shared" si="13"/>
        <v>8</v>
      </c>
      <c r="AS10" s="588"/>
      <c r="AT10" s="187">
        <v>24</v>
      </c>
      <c r="AU10" s="187">
        <v>3267.3842866123496</v>
      </c>
      <c r="AV10" s="184">
        <f t="shared" si="14"/>
        <v>136.14101194218122</v>
      </c>
      <c r="AW10" s="181">
        <f t="shared" si="15"/>
        <v>8</v>
      </c>
      <c r="AX10" s="588"/>
    </row>
    <row r="11" spans="1:50" ht="14.25" customHeight="1">
      <c r="B11" s="586"/>
      <c r="C11" s="179">
        <v>5</v>
      </c>
      <c r="D11" s="182" t="s">
        <v>494</v>
      </c>
      <c r="E11" s="179">
        <v>19</v>
      </c>
      <c r="F11" s="179">
        <v>3600</v>
      </c>
      <c r="G11" s="184">
        <f t="shared" si="0"/>
        <v>189.47368421052633</v>
      </c>
      <c r="H11" s="588"/>
      <c r="I11" s="185">
        <f t="shared" si="2"/>
        <v>19</v>
      </c>
      <c r="J11" s="185">
        <f t="shared" si="2"/>
        <v>3191.5807994668603</v>
      </c>
      <c r="K11" s="186">
        <f t="shared" si="2"/>
        <v>167.97793681404528</v>
      </c>
      <c r="L11" s="589"/>
      <c r="M11" s="185">
        <f>RANK(K11, K$7:$K$21)</f>
        <v>2</v>
      </c>
      <c r="N11" s="586"/>
      <c r="O11" s="586"/>
      <c r="P11" s="187">
        <v>19</v>
      </c>
      <c r="Q11" s="187">
        <v>3191.8379423240031</v>
      </c>
      <c r="R11" s="184">
        <f t="shared" si="3"/>
        <v>167.99147064863175</v>
      </c>
      <c r="S11" s="181">
        <f t="shared" si="4"/>
        <v>2</v>
      </c>
      <c r="T11" s="588"/>
      <c r="U11" s="187">
        <v>19</v>
      </c>
      <c r="V11" s="187">
        <v>3191.4779423240034</v>
      </c>
      <c r="W11" s="184">
        <f t="shared" si="1"/>
        <v>167.97252328021071</v>
      </c>
      <c r="X11" s="181">
        <f t="shared" si="5"/>
        <v>2</v>
      </c>
      <c r="Y11" s="588"/>
      <c r="Z11" s="187">
        <v>19</v>
      </c>
      <c r="AA11" s="187">
        <v>3190.0379423240033</v>
      </c>
      <c r="AB11" s="184">
        <f t="shared" si="6"/>
        <v>167.8967338065265</v>
      </c>
      <c r="AC11" s="181">
        <f t="shared" si="7"/>
        <v>2</v>
      </c>
      <c r="AD11" s="588"/>
      <c r="AE11" s="187">
        <v>19</v>
      </c>
      <c r="AF11" s="187">
        <v>3191.4779423240034</v>
      </c>
      <c r="AG11" s="184">
        <f t="shared" si="8"/>
        <v>167.97252328021071</v>
      </c>
      <c r="AH11" s="181">
        <f t="shared" si="9"/>
        <v>2</v>
      </c>
      <c r="AI11" s="588"/>
      <c r="AJ11" s="187">
        <v>19</v>
      </c>
      <c r="AK11" s="187">
        <v>3191.8379423240026</v>
      </c>
      <c r="AL11" s="184">
        <f t="shared" si="10"/>
        <v>167.99147064863172</v>
      </c>
      <c r="AM11" s="181">
        <f t="shared" si="11"/>
        <v>1</v>
      </c>
      <c r="AN11" s="588"/>
      <c r="AO11" s="187">
        <v>19</v>
      </c>
      <c r="AP11" s="187">
        <v>3192.9179423240021</v>
      </c>
      <c r="AQ11" s="184">
        <f t="shared" si="12"/>
        <v>168.04831275389483</v>
      </c>
      <c r="AR11" s="181">
        <f t="shared" si="13"/>
        <v>1</v>
      </c>
      <c r="AS11" s="588"/>
      <c r="AT11" s="187">
        <v>19</v>
      </c>
      <c r="AU11" s="187">
        <v>3191.477942324002</v>
      </c>
      <c r="AV11" s="184">
        <f t="shared" si="14"/>
        <v>167.97252328021062</v>
      </c>
      <c r="AW11" s="181">
        <f t="shared" si="15"/>
        <v>2</v>
      </c>
      <c r="AX11" s="588"/>
    </row>
    <row r="12" spans="1:50" ht="14.25" customHeight="1">
      <c r="B12" s="586"/>
      <c r="C12" s="179">
        <v>6</v>
      </c>
      <c r="D12" s="182" t="s">
        <v>544</v>
      </c>
      <c r="E12" s="179">
        <v>24</v>
      </c>
      <c r="F12" s="179">
        <v>3600</v>
      </c>
      <c r="G12" s="184">
        <f t="shared" si="0"/>
        <v>150</v>
      </c>
      <c r="H12" s="588"/>
      <c r="I12" s="185">
        <f t="shared" si="2"/>
        <v>24</v>
      </c>
      <c r="J12" s="185">
        <f t="shared" si="2"/>
        <v>3267.1187397653316</v>
      </c>
      <c r="K12" s="186">
        <f t="shared" si="2"/>
        <v>136.12994749022218</v>
      </c>
      <c r="L12" s="589"/>
      <c r="M12" s="185">
        <f>RANK(K12, K$7:$K$21)</f>
        <v>8</v>
      </c>
      <c r="N12" s="586"/>
      <c r="O12" s="586"/>
      <c r="P12" s="187">
        <v>24</v>
      </c>
      <c r="Q12" s="187">
        <v>3263.8648111128136</v>
      </c>
      <c r="R12" s="184">
        <f t="shared" si="3"/>
        <v>135.99436712970058</v>
      </c>
      <c r="S12" s="181">
        <f t="shared" si="4"/>
        <v>8</v>
      </c>
      <c r="T12" s="588"/>
      <c r="U12" s="187">
        <v>24</v>
      </c>
      <c r="V12" s="187">
        <v>3264.9448111128131</v>
      </c>
      <c r="W12" s="184">
        <f t="shared" si="1"/>
        <v>136.03936712970054</v>
      </c>
      <c r="X12" s="181">
        <f t="shared" si="5"/>
        <v>8</v>
      </c>
      <c r="Y12" s="588"/>
      <c r="Z12" s="187">
        <v>24</v>
      </c>
      <c r="AA12" s="187">
        <v>3268.3483112263402</v>
      </c>
      <c r="AB12" s="184">
        <f t="shared" si="6"/>
        <v>136.18117963443083</v>
      </c>
      <c r="AC12" s="181">
        <f t="shared" si="7"/>
        <v>8</v>
      </c>
      <c r="AD12" s="588"/>
      <c r="AE12" s="187">
        <v>24</v>
      </c>
      <c r="AF12" s="187">
        <v>3269.4283112263402</v>
      </c>
      <c r="AG12" s="184">
        <f t="shared" si="8"/>
        <v>136.22617963443085</v>
      </c>
      <c r="AH12" s="181">
        <f t="shared" si="9"/>
        <v>7</v>
      </c>
      <c r="AI12" s="588"/>
      <c r="AJ12" s="187">
        <v>24</v>
      </c>
      <c r="AK12" s="187">
        <v>3268.3483112263402</v>
      </c>
      <c r="AL12" s="184">
        <f t="shared" si="10"/>
        <v>136.18117963443083</v>
      </c>
      <c r="AM12" s="181">
        <f t="shared" si="11"/>
        <v>7</v>
      </c>
      <c r="AN12" s="588"/>
      <c r="AO12" s="187">
        <v>24</v>
      </c>
      <c r="AP12" s="187">
        <v>3267.2683112263394</v>
      </c>
      <c r="AQ12" s="184">
        <f t="shared" si="12"/>
        <v>136.13617963443082</v>
      </c>
      <c r="AR12" s="181">
        <f t="shared" si="13"/>
        <v>7</v>
      </c>
      <c r="AS12" s="588"/>
      <c r="AT12" s="187">
        <v>24</v>
      </c>
      <c r="AU12" s="187">
        <v>3267.6283112263391</v>
      </c>
      <c r="AV12" s="184">
        <f t="shared" si="14"/>
        <v>136.1511796344308</v>
      </c>
      <c r="AW12" s="181">
        <f t="shared" si="15"/>
        <v>7</v>
      </c>
      <c r="AX12" s="588"/>
    </row>
    <row r="13" spans="1:50" ht="14.25" customHeight="1">
      <c r="B13" s="586"/>
      <c r="C13" s="179">
        <v>7</v>
      </c>
      <c r="D13" s="182" t="s">
        <v>581</v>
      </c>
      <c r="E13" s="179">
        <v>20</v>
      </c>
      <c r="F13" s="179">
        <v>3600</v>
      </c>
      <c r="G13" s="184">
        <f t="shared" si="0"/>
        <v>180</v>
      </c>
      <c r="H13" s="588"/>
      <c r="I13" s="185">
        <f t="shared" si="2"/>
        <v>20</v>
      </c>
      <c r="J13" s="185">
        <f t="shared" si="2"/>
        <v>3260.9709961494686</v>
      </c>
      <c r="K13" s="186">
        <f t="shared" si="2"/>
        <v>163.04854980747339</v>
      </c>
      <c r="L13" s="589"/>
      <c r="M13" s="185">
        <f>RANK(K13, K$7:$K$21)</f>
        <v>4</v>
      </c>
      <c r="N13" s="586"/>
      <c r="O13" s="586"/>
      <c r="P13" s="187">
        <v>20</v>
      </c>
      <c r="Q13" s="187">
        <v>3261.176710435182</v>
      </c>
      <c r="R13" s="184">
        <f t="shared" si="3"/>
        <v>163.05883552175911</v>
      </c>
      <c r="S13" s="181">
        <f t="shared" si="4"/>
        <v>4</v>
      </c>
      <c r="T13" s="588"/>
      <c r="U13" s="187">
        <v>20</v>
      </c>
      <c r="V13" s="187">
        <v>3260.0967104351826</v>
      </c>
      <c r="W13" s="184">
        <f t="shared" si="1"/>
        <v>163.00483552175913</v>
      </c>
      <c r="X13" s="181">
        <f t="shared" si="5"/>
        <v>4</v>
      </c>
      <c r="Y13" s="588"/>
      <c r="Z13" s="187">
        <v>20</v>
      </c>
      <c r="AA13" s="187">
        <v>3260.4567104351827</v>
      </c>
      <c r="AB13" s="184">
        <f t="shared" si="6"/>
        <v>163.02283552175913</v>
      </c>
      <c r="AC13" s="181">
        <f t="shared" si="7"/>
        <v>4</v>
      </c>
      <c r="AD13" s="588"/>
      <c r="AE13" s="187">
        <v>20</v>
      </c>
      <c r="AF13" s="187">
        <v>3260.8167104351828</v>
      </c>
      <c r="AG13" s="184">
        <f t="shared" si="8"/>
        <v>163.04083552175913</v>
      </c>
      <c r="AH13" s="181">
        <f t="shared" si="9"/>
        <v>4</v>
      </c>
      <c r="AI13" s="588"/>
      <c r="AJ13" s="187">
        <v>20</v>
      </c>
      <c r="AK13" s="187">
        <v>3260.4567104351827</v>
      </c>
      <c r="AL13" s="184">
        <f t="shared" si="10"/>
        <v>163.02283552175913</v>
      </c>
      <c r="AM13" s="181">
        <f t="shared" si="11"/>
        <v>4</v>
      </c>
      <c r="AN13" s="588"/>
      <c r="AO13" s="187">
        <v>20</v>
      </c>
      <c r="AP13" s="187">
        <v>3261.1767104351829</v>
      </c>
      <c r="AQ13" s="184">
        <f t="shared" si="12"/>
        <v>163.05883552175914</v>
      </c>
      <c r="AR13" s="181">
        <f t="shared" si="13"/>
        <v>4</v>
      </c>
      <c r="AS13" s="588"/>
      <c r="AT13" s="187">
        <v>20</v>
      </c>
      <c r="AU13" s="187">
        <v>3262.6167104351825</v>
      </c>
      <c r="AV13" s="184">
        <f t="shared" si="14"/>
        <v>163.13083552175914</v>
      </c>
      <c r="AW13" s="181">
        <f t="shared" si="15"/>
        <v>4</v>
      </c>
      <c r="AX13" s="588"/>
    </row>
    <row r="14" spans="1:50" ht="14.25" customHeight="1">
      <c r="B14" s="586"/>
      <c r="C14" s="179">
        <v>8</v>
      </c>
      <c r="D14" s="182" t="s">
        <v>614</v>
      </c>
      <c r="E14" s="179">
        <v>22</v>
      </c>
      <c r="F14" s="179">
        <v>3600</v>
      </c>
      <c r="G14" s="184">
        <f t="shared" si="0"/>
        <v>163.63636363636363</v>
      </c>
      <c r="H14" s="588"/>
      <c r="I14" s="185">
        <f t="shared" si="2"/>
        <v>22</v>
      </c>
      <c r="J14" s="185">
        <f t="shared" si="2"/>
        <v>3263.7566377250323</v>
      </c>
      <c r="K14" s="186">
        <f t="shared" si="2"/>
        <v>148.35257444204692</v>
      </c>
      <c r="L14" s="589"/>
      <c r="M14" s="185">
        <f>RANK(K14, K$7:$K$21)</f>
        <v>6</v>
      </c>
      <c r="N14" s="586"/>
      <c r="O14" s="586"/>
      <c r="P14" s="187">
        <v>22</v>
      </c>
      <c r="Q14" s="187">
        <v>3262.2652091536029</v>
      </c>
      <c r="R14" s="184">
        <f t="shared" si="3"/>
        <v>148.28478223425466</v>
      </c>
      <c r="S14" s="181">
        <f t="shared" si="4"/>
        <v>6</v>
      </c>
      <c r="T14" s="588"/>
      <c r="U14" s="187">
        <v>22</v>
      </c>
      <c r="V14" s="187">
        <v>3263.7052091536034</v>
      </c>
      <c r="W14" s="184">
        <f t="shared" si="1"/>
        <v>148.35023677970923</v>
      </c>
      <c r="X14" s="181">
        <f t="shared" si="5"/>
        <v>6</v>
      </c>
      <c r="Y14" s="588"/>
      <c r="Z14" s="187">
        <v>22</v>
      </c>
      <c r="AA14" s="187">
        <v>3265.1452091536034</v>
      </c>
      <c r="AB14" s="184">
        <f t="shared" si="6"/>
        <v>148.41569132516381</v>
      </c>
      <c r="AC14" s="181">
        <f t="shared" si="7"/>
        <v>6</v>
      </c>
      <c r="AD14" s="588"/>
      <c r="AE14" s="187">
        <v>22</v>
      </c>
      <c r="AF14" s="187">
        <v>3264.4252091536036</v>
      </c>
      <c r="AG14" s="184">
        <f t="shared" si="8"/>
        <v>148.38296405243653</v>
      </c>
      <c r="AH14" s="181">
        <f t="shared" si="9"/>
        <v>6</v>
      </c>
      <c r="AI14" s="588"/>
      <c r="AJ14" s="187">
        <v>22</v>
      </c>
      <c r="AK14" s="187">
        <v>3265.1452091536039</v>
      </c>
      <c r="AL14" s="184">
        <f t="shared" si="10"/>
        <v>148.41569132516381</v>
      </c>
      <c r="AM14" s="181">
        <f t="shared" si="11"/>
        <v>6</v>
      </c>
      <c r="AN14" s="588"/>
      <c r="AO14" s="187">
        <v>22</v>
      </c>
      <c r="AP14" s="187">
        <v>3263.3452091536046</v>
      </c>
      <c r="AQ14" s="184">
        <f t="shared" si="12"/>
        <v>148.33387314334567</v>
      </c>
      <c r="AR14" s="181">
        <f t="shared" si="13"/>
        <v>6</v>
      </c>
      <c r="AS14" s="588"/>
      <c r="AT14" s="187">
        <v>22</v>
      </c>
      <c r="AU14" s="187">
        <v>3262.2652091536047</v>
      </c>
      <c r="AV14" s="184">
        <f t="shared" si="14"/>
        <v>148.28478223425475</v>
      </c>
      <c r="AW14" s="181">
        <f t="shared" si="15"/>
        <v>6</v>
      </c>
      <c r="AX14" s="588"/>
    </row>
    <row r="15" spans="1:50" ht="14.25" customHeight="1">
      <c r="B15" s="586"/>
      <c r="C15" s="179">
        <v>9</v>
      </c>
      <c r="D15" s="182"/>
      <c r="E15" s="179"/>
      <c r="F15" s="179"/>
      <c r="G15" s="184"/>
      <c r="H15" s="588"/>
      <c r="I15" s="185"/>
      <c r="J15" s="185"/>
      <c r="K15" s="186"/>
      <c r="L15" s="589"/>
      <c r="M15" s="185"/>
      <c r="N15" s="586"/>
      <c r="O15" s="586"/>
      <c r="P15" s="187"/>
      <c r="Q15" s="187"/>
      <c r="R15" s="184"/>
      <c r="S15" s="181"/>
      <c r="T15" s="588"/>
      <c r="U15" s="187"/>
      <c r="V15" s="187"/>
      <c r="W15" s="184"/>
      <c r="X15" s="181"/>
      <c r="Y15" s="588"/>
      <c r="Z15" s="187"/>
      <c r="AA15" s="187"/>
      <c r="AB15" s="184"/>
      <c r="AC15" s="181"/>
      <c r="AD15" s="588"/>
      <c r="AE15" s="187"/>
      <c r="AF15" s="187"/>
      <c r="AG15" s="184"/>
      <c r="AH15" s="181"/>
      <c r="AI15" s="588"/>
      <c r="AJ15" s="187"/>
      <c r="AK15" s="187"/>
      <c r="AL15" s="184"/>
      <c r="AM15" s="181"/>
      <c r="AN15" s="588"/>
      <c r="AO15" s="187"/>
      <c r="AP15" s="187"/>
      <c r="AQ15" s="184"/>
      <c r="AR15" s="181"/>
      <c r="AS15" s="588"/>
      <c r="AT15" s="187"/>
      <c r="AU15" s="187"/>
      <c r="AV15" s="184"/>
      <c r="AW15" s="181"/>
      <c r="AX15" s="588"/>
    </row>
    <row r="16" spans="1:50" ht="14.25" customHeight="1">
      <c r="B16" s="586"/>
      <c r="C16" s="179">
        <v>10</v>
      </c>
      <c r="D16" s="182"/>
      <c r="E16" s="179"/>
      <c r="F16" s="179"/>
      <c r="G16" s="184"/>
      <c r="H16" s="588"/>
      <c r="I16" s="185"/>
      <c r="J16" s="185"/>
      <c r="K16" s="186"/>
      <c r="L16" s="589"/>
      <c r="M16" s="185"/>
      <c r="N16" s="586"/>
      <c r="O16" s="586"/>
      <c r="P16" s="187"/>
      <c r="Q16" s="187"/>
      <c r="R16" s="184"/>
      <c r="S16" s="181"/>
      <c r="T16" s="588"/>
      <c r="U16" s="187"/>
      <c r="V16" s="187"/>
      <c r="W16" s="184"/>
      <c r="X16" s="181"/>
      <c r="Y16" s="588"/>
      <c r="Z16" s="187"/>
      <c r="AA16" s="187"/>
      <c r="AB16" s="184"/>
      <c r="AC16" s="181"/>
      <c r="AD16" s="588"/>
      <c r="AE16" s="187"/>
      <c r="AF16" s="187"/>
      <c r="AG16" s="184"/>
      <c r="AH16" s="181"/>
      <c r="AI16" s="588"/>
      <c r="AJ16" s="187"/>
      <c r="AK16" s="187"/>
      <c r="AL16" s="184"/>
      <c r="AM16" s="181"/>
      <c r="AN16" s="588"/>
      <c r="AO16" s="187"/>
      <c r="AP16" s="187"/>
      <c r="AQ16" s="184"/>
      <c r="AR16" s="181"/>
      <c r="AS16" s="588"/>
      <c r="AT16" s="187"/>
      <c r="AU16" s="187"/>
      <c r="AV16" s="184"/>
      <c r="AW16" s="181"/>
      <c r="AX16" s="588"/>
    </row>
    <row r="17" spans="2:50" ht="14.25" customHeight="1">
      <c r="B17" s="586"/>
      <c r="C17" s="179">
        <v>11</v>
      </c>
      <c r="D17" s="182"/>
      <c r="E17" s="179"/>
      <c r="F17" s="179"/>
      <c r="G17" s="184"/>
      <c r="H17" s="588"/>
      <c r="I17" s="185"/>
      <c r="J17" s="185"/>
      <c r="K17" s="186"/>
      <c r="L17" s="589"/>
      <c r="M17" s="185"/>
      <c r="N17" s="586"/>
      <c r="O17" s="586"/>
      <c r="P17" s="187"/>
      <c r="Q17" s="187"/>
      <c r="R17" s="184"/>
      <c r="S17" s="181"/>
      <c r="T17" s="588"/>
      <c r="U17" s="187"/>
      <c r="V17" s="187"/>
      <c r="W17" s="184"/>
      <c r="X17" s="181"/>
      <c r="Y17" s="588"/>
      <c r="Z17" s="187"/>
      <c r="AA17" s="187"/>
      <c r="AB17" s="184"/>
      <c r="AC17" s="181"/>
      <c r="AD17" s="588"/>
      <c r="AE17" s="187"/>
      <c r="AF17" s="187"/>
      <c r="AG17" s="184"/>
      <c r="AH17" s="181"/>
      <c r="AI17" s="588"/>
      <c r="AJ17" s="187"/>
      <c r="AK17" s="187"/>
      <c r="AL17" s="184"/>
      <c r="AM17" s="181"/>
      <c r="AN17" s="588"/>
      <c r="AO17" s="187"/>
      <c r="AP17" s="187"/>
      <c r="AQ17" s="184"/>
      <c r="AR17" s="181"/>
      <c r="AS17" s="588"/>
      <c r="AT17" s="187"/>
      <c r="AU17" s="187"/>
      <c r="AV17" s="184"/>
      <c r="AW17" s="181"/>
      <c r="AX17" s="588"/>
    </row>
    <row r="18" spans="2:50" ht="14.25" customHeight="1">
      <c r="B18" s="586"/>
      <c r="C18" s="179">
        <v>12</v>
      </c>
      <c r="D18" s="182"/>
      <c r="E18" s="179"/>
      <c r="F18" s="179"/>
      <c r="G18" s="184"/>
      <c r="H18" s="588"/>
      <c r="I18" s="185"/>
      <c r="J18" s="185"/>
      <c r="K18" s="186"/>
      <c r="L18" s="589"/>
      <c r="M18" s="185"/>
      <c r="N18" s="586"/>
      <c r="O18" s="586"/>
      <c r="P18" s="187"/>
      <c r="Q18" s="187"/>
      <c r="R18" s="184"/>
      <c r="S18" s="181"/>
      <c r="T18" s="588"/>
      <c r="U18" s="187"/>
      <c r="V18" s="187"/>
      <c r="W18" s="184"/>
      <c r="X18" s="181"/>
      <c r="Y18" s="588"/>
      <c r="Z18" s="187"/>
      <c r="AA18" s="187"/>
      <c r="AB18" s="184"/>
      <c r="AC18" s="181"/>
      <c r="AD18" s="588"/>
      <c r="AE18" s="187"/>
      <c r="AF18" s="187"/>
      <c r="AG18" s="184"/>
      <c r="AH18" s="181"/>
      <c r="AI18" s="588"/>
      <c r="AJ18" s="187"/>
      <c r="AK18" s="187"/>
      <c r="AL18" s="184"/>
      <c r="AM18" s="181"/>
      <c r="AN18" s="588"/>
      <c r="AO18" s="187"/>
      <c r="AP18" s="187"/>
      <c r="AQ18" s="184"/>
      <c r="AR18" s="181"/>
      <c r="AS18" s="588"/>
      <c r="AT18" s="187"/>
      <c r="AU18" s="187"/>
      <c r="AV18" s="184"/>
      <c r="AW18" s="181"/>
      <c r="AX18" s="588"/>
    </row>
    <row r="19" spans="2:50" ht="14.25" customHeight="1">
      <c r="B19" s="586"/>
      <c r="C19" s="179">
        <v>13</v>
      </c>
      <c r="D19" s="182"/>
      <c r="E19" s="179"/>
      <c r="F19" s="179"/>
      <c r="G19" s="184"/>
      <c r="H19" s="588"/>
      <c r="I19" s="185"/>
      <c r="J19" s="185"/>
      <c r="K19" s="186"/>
      <c r="L19" s="589"/>
      <c r="M19" s="185"/>
      <c r="N19" s="586"/>
      <c r="O19" s="586"/>
      <c r="P19" s="187"/>
      <c r="Q19" s="187"/>
      <c r="R19" s="184"/>
      <c r="S19" s="181"/>
      <c r="T19" s="588"/>
      <c r="U19" s="187"/>
      <c r="V19" s="187"/>
      <c r="W19" s="184"/>
      <c r="X19" s="181"/>
      <c r="Y19" s="588"/>
      <c r="Z19" s="187"/>
      <c r="AA19" s="187"/>
      <c r="AB19" s="184"/>
      <c r="AC19" s="181"/>
      <c r="AD19" s="588"/>
      <c r="AE19" s="187"/>
      <c r="AF19" s="187"/>
      <c r="AG19" s="184"/>
      <c r="AH19" s="181"/>
      <c r="AI19" s="588"/>
      <c r="AJ19" s="187"/>
      <c r="AK19" s="187"/>
      <c r="AL19" s="184"/>
      <c r="AM19" s="181"/>
      <c r="AN19" s="588"/>
      <c r="AO19" s="187"/>
      <c r="AP19" s="187"/>
      <c r="AQ19" s="184"/>
      <c r="AR19" s="181"/>
      <c r="AS19" s="588"/>
      <c r="AT19" s="187"/>
      <c r="AU19" s="187"/>
      <c r="AV19" s="184"/>
      <c r="AW19" s="181"/>
      <c r="AX19" s="588"/>
    </row>
    <row r="20" spans="2:50" ht="14.25" customHeight="1">
      <c r="B20" s="586"/>
      <c r="C20" s="179">
        <v>14</v>
      </c>
      <c r="D20" s="182"/>
      <c r="E20" s="179"/>
      <c r="F20" s="179"/>
      <c r="G20" s="184"/>
      <c r="H20" s="588"/>
      <c r="I20" s="185"/>
      <c r="J20" s="185"/>
      <c r="K20" s="186"/>
      <c r="L20" s="589"/>
      <c r="M20" s="185"/>
      <c r="N20" s="586"/>
      <c r="O20" s="586"/>
      <c r="P20" s="187"/>
      <c r="Q20" s="187"/>
      <c r="R20" s="184"/>
      <c r="S20" s="181"/>
      <c r="T20" s="588"/>
      <c r="U20" s="187"/>
      <c r="V20" s="187"/>
      <c r="W20" s="184"/>
      <c r="X20" s="181"/>
      <c r="Y20" s="588"/>
      <c r="Z20" s="187"/>
      <c r="AA20" s="187"/>
      <c r="AB20" s="184"/>
      <c r="AC20" s="181"/>
      <c r="AD20" s="588"/>
      <c r="AE20" s="187"/>
      <c r="AF20" s="187"/>
      <c r="AG20" s="184"/>
      <c r="AH20" s="181"/>
      <c r="AI20" s="588"/>
      <c r="AJ20" s="187"/>
      <c r="AK20" s="187"/>
      <c r="AL20" s="184"/>
      <c r="AM20" s="181"/>
      <c r="AN20" s="588"/>
      <c r="AO20" s="187"/>
      <c r="AP20" s="187"/>
      <c r="AQ20" s="184"/>
      <c r="AR20" s="181"/>
      <c r="AS20" s="588"/>
      <c r="AT20" s="187"/>
      <c r="AU20" s="187"/>
      <c r="AV20" s="184"/>
      <c r="AW20" s="181"/>
      <c r="AX20" s="588"/>
    </row>
    <row r="21" spans="2:50" ht="14.25" customHeight="1">
      <c r="B21" s="586"/>
      <c r="C21" s="179">
        <v>15</v>
      </c>
      <c r="D21" s="182"/>
      <c r="E21" s="179"/>
      <c r="F21" s="179"/>
      <c r="G21" s="184"/>
      <c r="H21" s="588"/>
      <c r="I21" s="185"/>
      <c r="J21" s="185"/>
      <c r="K21" s="186"/>
      <c r="L21" s="589"/>
      <c r="M21" s="185"/>
      <c r="N21" s="586"/>
      <c r="O21" s="586"/>
      <c r="P21" s="187"/>
      <c r="Q21" s="187"/>
      <c r="R21" s="184"/>
      <c r="S21" s="181"/>
      <c r="T21" s="588"/>
      <c r="U21" s="187"/>
      <c r="V21" s="187"/>
      <c r="W21" s="184"/>
      <c r="X21" s="181"/>
      <c r="Y21" s="588"/>
      <c r="Z21" s="187"/>
      <c r="AA21" s="187"/>
      <c r="AB21" s="184"/>
      <c r="AC21" s="181"/>
      <c r="AD21" s="588"/>
      <c r="AE21" s="187"/>
      <c r="AF21" s="187"/>
      <c r="AG21" s="184"/>
      <c r="AH21" s="181"/>
      <c r="AI21" s="588"/>
      <c r="AJ21" s="187"/>
      <c r="AK21" s="187"/>
      <c r="AL21" s="184"/>
      <c r="AM21" s="181"/>
      <c r="AN21" s="588"/>
      <c r="AO21" s="187"/>
      <c r="AP21" s="187"/>
      <c r="AQ21" s="184"/>
      <c r="AR21" s="181"/>
      <c r="AS21" s="588"/>
      <c r="AT21" s="187"/>
      <c r="AU21" s="187"/>
      <c r="AV21" s="184"/>
      <c r="AW21" s="181"/>
      <c r="AX21" s="588"/>
    </row>
    <row r="22" spans="2:50" ht="14.25" customHeight="1">
      <c r="B22" s="612" t="s">
        <v>689</v>
      </c>
      <c r="C22" s="613"/>
      <c r="D22" s="613"/>
      <c r="E22" s="613"/>
      <c r="F22" s="613"/>
      <c r="G22" s="613"/>
      <c r="H22" s="613"/>
      <c r="I22" s="613"/>
      <c r="J22" s="613"/>
      <c r="K22" s="613"/>
      <c r="L22" s="613"/>
      <c r="M22" s="614"/>
      <c r="N22" s="617" t="s">
        <v>341</v>
      </c>
      <c r="O22" s="617" t="s">
        <v>105</v>
      </c>
      <c r="P22" s="600">
        <v>46238</v>
      </c>
      <c r="Q22" s="601"/>
      <c r="R22" s="601"/>
      <c r="S22" s="601"/>
      <c r="T22" s="601"/>
      <c r="U22" s="602">
        <v>46239</v>
      </c>
      <c r="V22" s="603"/>
      <c r="W22" s="603"/>
      <c r="X22" s="603"/>
      <c r="Y22" s="603"/>
      <c r="Z22" s="600">
        <v>46240</v>
      </c>
      <c r="AA22" s="601"/>
      <c r="AB22" s="601"/>
      <c r="AC22" s="601"/>
      <c r="AD22" s="601"/>
      <c r="AE22" s="602">
        <v>46241</v>
      </c>
      <c r="AF22" s="603"/>
      <c r="AG22" s="603"/>
      <c r="AH22" s="603"/>
      <c r="AI22" s="603"/>
      <c r="AJ22" s="609">
        <v>46242</v>
      </c>
      <c r="AK22" s="610"/>
      <c r="AL22" s="610"/>
      <c r="AM22" s="610"/>
      <c r="AN22" s="611"/>
      <c r="AO22" s="602">
        <v>46243</v>
      </c>
      <c r="AP22" s="603"/>
      <c r="AQ22" s="603"/>
      <c r="AR22" s="603"/>
      <c r="AS22" s="603"/>
      <c r="AT22" s="609">
        <v>46244</v>
      </c>
      <c r="AU22" s="610"/>
      <c r="AV22" s="610"/>
      <c r="AW22" s="610"/>
      <c r="AX22" s="611"/>
    </row>
    <row r="23" spans="2:50" ht="14.25" customHeight="1">
      <c r="B23" s="615"/>
      <c r="C23" s="615"/>
      <c r="D23" s="615"/>
      <c r="E23" s="615"/>
      <c r="F23" s="615"/>
      <c r="G23" s="615"/>
      <c r="H23" s="615"/>
      <c r="I23" s="615"/>
      <c r="J23" s="615"/>
      <c r="K23" s="615"/>
      <c r="L23" s="615"/>
      <c r="M23" s="616"/>
      <c r="N23" s="618"/>
      <c r="O23" s="618"/>
      <c r="P23" s="604">
        <v>46196</v>
      </c>
      <c r="Q23" s="604"/>
      <c r="R23" s="604"/>
      <c r="S23" s="604"/>
      <c r="T23" s="604"/>
      <c r="U23" s="605">
        <v>46197</v>
      </c>
      <c r="V23" s="605"/>
      <c r="W23" s="605"/>
      <c r="X23" s="605"/>
      <c r="Y23" s="605"/>
      <c r="Z23" s="604">
        <v>46198</v>
      </c>
      <c r="AA23" s="604"/>
      <c r="AB23" s="604"/>
      <c r="AC23" s="604"/>
      <c r="AD23" s="604"/>
      <c r="AE23" s="605">
        <v>46199</v>
      </c>
      <c r="AF23" s="605"/>
      <c r="AG23" s="605"/>
      <c r="AH23" s="605"/>
      <c r="AI23" s="605"/>
      <c r="AJ23" s="606">
        <v>46200</v>
      </c>
      <c r="AK23" s="607"/>
      <c r="AL23" s="607"/>
      <c r="AM23" s="607"/>
      <c r="AN23" s="608"/>
      <c r="AO23" s="605">
        <v>46201</v>
      </c>
      <c r="AP23" s="605"/>
      <c r="AQ23" s="605"/>
      <c r="AR23" s="605"/>
      <c r="AS23" s="605"/>
      <c r="AT23" s="606">
        <v>46202</v>
      </c>
      <c r="AU23" s="607"/>
      <c r="AV23" s="607"/>
      <c r="AW23" s="607"/>
      <c r="AX23" s="608"/>
    </row>
    <row r="24" spans="2:50" ht="14.25" customHeight="1">
      <c r="B24" s="586" t="s">
        <v>162</v>
      </c>
      <c r="C24" s="586" t="s">
        <v>157</v>
      </c>
      <c r="D24" s="586"/>
      <c r="E24" s="586" t="s">
        <v>158</v>
      </c>
      <c r="F24" s="586"/>
      <c r="G24" s="586"/>
      <c r="H24" s="586" t="s">
        <v>163</v>
      </c>
      <c r="I24" s="592" t="s">
        <v>342</v>
      </c>
      <c r="J24" s="592"/>
      <c r="K24" s="592"/>
      <c r="L24" s="592" t="s">
        <v>163</v>
      </c>
      <c r="M24" s="592" t="s">
        <v>165</v>
      </c>
      <c r="N24" s="586"/>
      <c r="O24" s="586" t="s">
        <v>164</v>
      </c>
      <c r="P24" s="586" t="s">
        <v>160</v>
      </c>
      <c r="Q24" s="586"/>
      <c r="R24" s="586"/>
      <c r="S24" s="586"/>
      <c r="T24" s="586" t="s">
        <v>163</v>
      </c>
      <c r="U24" s="586" t="s">
        <v>160</v>
      </c>
      <c r="V24" s="586"/>
      <c r="W24" s="586"/>
      <c r="X24" s="586"/>
      <c r="Y24" s="586" t="s">
        <v>163</v>
      </c>
      <c r="Z24" s="586" t="s">
        <v>160</v>
      </c>
      <c r="AA24" s="586"/>
      <c r="AB24" s="586"/>
      <c r="AC24" s="586"/>
      <c r="AD24" s="586" t="s">
        <v>163</v>
      </c>
      <c r="AE24" s="586" t="s">
        <v>160</v>
      </c>
      <c r="AF24" s="586"/>
      <c r="AG24" s="586"/>
      <c r="AH24" s="586"/>
      <c r="AI24" s="586" t="s">
        <v>163</v>
      </c>
      <c r="AJ24" s="586" t="s">
        <v>160</v>
      </c>
      <c r="AK24" s="586"/>
      <c r="AL24" s="586"/>
      <c r="AM24" s="586"/>
      <c r="AN24" s="586" t="s">
        <v>163</v>
      </c>
      <c r="AO24" s="586" t="s">
        <v>160</v>
      </c>
      <c r="AP24" s="586"/>
      <c r="AQ24" s="586"/>
      <c r="AR24" s="586"/>
      <c r="AS24" s="586" t="s">
        <v>163</v>
      </c>
      <c r="AT24" s="586" t="s">
        <v>160</v>
      </c>
      <c r="AU24" s="586"/>
      <c r="AV24" s="586"/>
      <c r="AW24" s="586"/>
      <c r="AX24" s="586" t="s">
        <v>163</v>
      </c>
    </row>
    <row r="25" spans="2:50" ht="14.25" customHeight="1">
      <c r="B25" s="586"/>
      <c r="C25" s="586"/>
      <c r="D25" s="586"/>
      <c r="E25" s="586" t="s">
        <v>343</v>
      </c>
      <c r="F25" s="586"/>
      <c r="G25" s="586"/>
      <c r="H25" s="586"/>
      <c r="I25" s="592" t="s">
        <v>343</v>
      </c>
      <c r="J25" s="592"/>
      <c r="K25" s="592"/>
      <c r="L25" s="592"/>
      <c r="M25" s="592"/>
      <c r="N25" s="586"/>
      <c r="O25" s="586"/>
      <c r="P25" s="586" t="s">
        <v>344</v>
      </c>
      <c r="Q25" s="586"/>
      <c r="R25" s="586"/>
      <c r="S25" s="586"/>
      <c r="T25" s="586"/>
      <c r="U25" s="586" t="s">
        <v>344</v>
      </c>
      <c r="V25" s="586"/>
      <c r="W25" s="586"/>
      <c r="X25" s="586"/>
      <c r="Y25" s="586"/>
      <c r="Z25" s="586" t="s">
        <v>344</v>
      </c>
      <c r="AA25" s="586"/>
      <c r="AB25" s="586"/>
      <c r="AC25" s="586"/>
      <c r="AD25" s="586"/>
      <c r="AE25" s="586" t="s">
        <v>344</v>
      </c>
      <c r="AF25" s="586"/>
      <c r="AG25" s="586"/>
      <c r="AH25" s="586"/>
      <c r="AI25" s="586"/>
      <c r="AJ25" s="586" t="s">
        <v>344</v>
      </c>
      <c r="AK25" s="586"/>
      <c r="AL25" s="586"/>
      <c r="AM25" s="586"/>
      <c r="AN25" s="586"/>
      <c r="AO25" s="586" t="s">
        <v>344</v>
      </c>
      <c r="AP25" s="586"/>
      <c r="AQ25" s="586"/>
      <c r="AR25" s="586"/>
      <c r="AS25" s="586"/>
      <c r="AT25" s="586" t="s">
        <v>344</v>
      </c>
      <c r="AU25" s="586"/>
      <c r="AV25" s="586"/>
      <c r="AW25" s="586"/>
      <c r="AX25" s="586"/>
    </row>
    <row r="26" spans="2:50" ht="14.25" customHeight="1">
      <c r="B26" s="586"/>
      <c r="C26" s="586"/>
      <c r="D26" s="586"/>
      <c r="E26" s="179" t="s">
        <v>159</v>
      </c>
      <c r="F26" s="179" t="s">
        <v>345</v>
      </c>
      <c r="G26" s="179" t="s">
        <v>161</v>
      </c>
      <c r="H26" s="586"/>
      <c r="I26" s="180" t="s">
        <v>159</v>
      </c>
      <c r="J26" s="180" t="s">
        <v>345</v>
      </c>
      <c r="K26" s="180" t="s">
        <v>161</v>
      </c>
      <c r="L26" s="592"/>
      <c r="M26" s="592"/>
      <c r="N26" s="586"/>
      <c r="O26" s="586"/>
      <c r="P26" s="179" t="s">
        <v>159</v>
      </c>
      <c r="Q26" s="179" t="s">
        <v>345</v>
      </c>
      <c r="R26" s="179" t="s">
        <v>161</v>
      </c>
      <c r="S26" s="181" t="s">
        <v>165</v>
      </c>
      <c r="T26" s="586"/>
      <c r="U26" s="179" t="s">
        <v>159</v>
      </c>
      <c r="V26" s="179" t="s">
        <v>345</v>
      </c>
      <c r="W26" s="179" t="s">
        <v>161</v>
      </c>
      <c r="X26" s="181" t="s">
        <v>165</v>
      </c>
      <c r="Y26" s="586"/>
      <c r="Z26" s="179" t="s">
        <v>159</v>
      </c>
      <c r="AA26" s="179" t="s">
        <v>345</v>
      </c>
      <c r="AB26" s="179" t="s">
        <v>161</v>
      </c>
      <c r="AC26" s="181" t="s">
        <v>165</v>
      </c>
      <c r="AD26" s="586"/>
      <c r="AE26" s="179" t="s">
        <v>159</v>
      </c>
      <c r="AF26" s="179" t="s">
        <v>345</v>
      </c>
      <c r="AG26" s="179" t="s">
        <v>161</v>
      </c>
      <c r="AH26" s="181" t="s">
        <v>165</v>
      </c>
      <c r="AI26" s="586"/>
      <c r="AJ26" s="179" t="s">
        <v>159</v>
      </c>
      <c r="AK26" s="179" t="s">
        <v>345</v>
      </c>
      <c r="AL26" s="179" t="s">
        <v>161</v>
      </c>
      <c r="AM26" s="181" t="s">
        <v>165</v>
      </c>
      <c r="AN26" s="586"/>
      <c r="AO26" s="179" t="s">
        <v>159</v>
      </c>
      <c r="AP26" s="179" t="s">
        <v>345</v>
      </c>
      <c r="AQ26" s="179" t="s">
        <v>161</v>
      </c>
      <c r="AR26" s="181" t="s">
        <v>165</v>
      </c>
      <c r="AS26" s="586"/>
      <c r="AT26" s="179" t="s">
        <v>159</v>
      </c>
      <c r="AU26" s="179" t="s">
        <v>345</v>
      </c>
      <c r="AV26" s="179" t="s">
        <v>161</v>
      </c>
      <c r="AW26" s="181" t="s">
        <v>165</v>
      </c>
      <c r="AX26" s="586"/>
    </row>
    <row r="27" spans="2:50" ht="14.25" customHeight="1">
      <c r="B27" s="586" t="s">
        <v>349</v>
      </c>
      <c r="C27" s="179">
        <v>1</v>
      </c>
      <c r="D27" s="182" t="s">
        <v>492</v>
      </c>
      <c r="E27" s="183">
        <v>20</v>
      </c>
      <c r="F27" s="179">
        <v>3600</v>
      </c>
      <c r="G27" s="184">
        <f t="shared" ref="G27:G35" si="16">IFERROR(F27/E27,"")</f>
        <v>180</v>
      </c>
      <c r="H27" s="588">
        <f>AVERAGE(G27:G41)</f>
        <v>171.71565276828431</v>
      </c>
      <c r="I27" s="185">
        <f>AVERAGE(P27,U27,Z27,AE27,AJ27,AO27,AT27)</f>
        <v>20</v>
      </c>
      <c r="J27" s="185">
        <f>AVERAGE(Q27,V27,AA27,AF27,AK27,AP27,AU27)</f>
        <v>3267.3469793534973</v>
      </c>
      <c r="K27" s="186">
        <f>AVERAGE(R27,W27,AB27,AG27,AL27,AQ27,AV27)</f>
        <v>163.3673489676749</v>
      </c>
      <c r="L27" s="589">
        <f>IFERROR(AVERAGE(K27:K41),"-")</f>
        <v>154.09484780900738</v>
      </c>
      <c r="M27" s="185">
        <f>RANK(K27, K$27:$K$41)</f>
        <v>3</v>
      </c>
      <c r="N27" s="586"/>
      <c r="O27" s="586"/>
      <c r="P27" s="187">
        <v>20</v>
      </c>
      <c r="Q27" s="187">
        <v>3266.8841222106394</v>
      </c>
      <c r="R27" s="184">
        <f>IFERROR(Q27/P27,"")</f>
        <v>163.34420611053196</v>
      </c>
      <c r="S27" s="181">
        <f>RANK(R27, R$27:R$41)</f>
        <v>3</v>
      </c>
      <c r="T27" s="588">
        <f>AVERAGE(R27:R41)</f>
        <v>153.18009253254951</v>
      </c>
      <c r="U27" s="187">
        <v>20</v>
      </c>
      <c r="V27" s="187">
        <v>3267.2441222106395</v>
      </c>
      <c r="W27" s="184">
        <f t="shared" ref="W27:W35" si="17">IFERROR(V27/U27,"")</f>
        <v>163.36220611053199</v>
      </c>
      <c r="X27" s="181">
        <f>RANK(W27, W$27:W$41)</f>
        <v>3</v>
      </c>
      <c r="Y27" s="588">
        <f>AVERAGE(W27:W41)</f>
        <v>153.5647531857677</v>
      </c>
      <c r="Z27" s="187">
        <v>20</v>
      </c>
      <c r="AA27" s="187">
        <v>3266.16412221064</v>
      </c>
      <c r="AB27" s="184">
        <f>IFERROR(AA27/Z27,"")</f>
        <v>163.30820611053201</v>
      </c>
      <c r="AC27" s="181">
        <f>RANK(AB27, AB$27:AB$41)</f>
        <v>3</v>
      </c>
      <c r="AD27" s="588">
        <f>AVERAGE(AB27:AB41)</f>
        <v>153.91175102444055</v>
      </c>
      <c r="AE27" s="187">
        <v>20</v>
      </c>
      <c r="AF27" s="187">
        <v>3266.8841222106407</v>
      </c>
      <c r="AG27" s="184">
        <f>IFERROR(AF27/AE27,"")</f>
        <v>163.34420611053204</v>
      </c>
      <c r="AH27" s="181">
        <f>RANK(AG27, AG$27:AG$41)</f>
        <v>3</v>
      </c>
      <c r="AI27" s="588">
        <f>AVERAGE(AG27:AG41)</f>
        <v>154.32142093100643</v>
      </c>
      <c r="AJ27" s="187">
        <v>20</v>
      </c>
      <c r="AK27" s="187">
        <v>3267.9641222106407</v>
      </c>
      <c r="AL27" s="184">
        <f>IFERROR(AK27/AJ27,"")</f>
        <v>163.39820611053204</v>
      </c>
      <c r="AM27" s="181">
        <f>RANK(AL27, AL$27:AL$41)</f>
        <v>3</v>
      </c>
      <c r="AN27" s="588">
        <f>AVERAGE(AL27:AL41)</f>
        <v>154.5629560626609</v>
      </c>
      <c r="AO27" s="187">
        <v>20</v>
      </c>
      <c r="AP27" s="187">
        <v>3267.9641222106411</v>
      </c>
      <c r="AQ27" s="184">
        <f>IFERROR(AP27/AO27,"")</f>
        <v>163.39820611053204</v>
      </c>
      <c r="AR27" s="181">
        <f>RANK(AQ27, AQ$27:AQ$41)</f>
        <v>3</v>
      </c>
      <c r="AS27" s="588">
        <f>AVERAGE(AQ27:AQ41)</f>
        <v>154.5716849302845</v>
      </c>
      <c r="AT27" s="187">
        <v>20</v>
      </c>
      <c r="AU27" s="187">
        <v>3268.3241222106408</v>
      </c>
      <c r="AV27" s="184">
        <f>IFERROR(AU27/AT27,"")</f>
        <v>163.41620611053204</v>
      </c>
      <c r="AW27" s="181">
        <f>RANK(AV27, AV$27:AV$41)</f>
        <v>3</v>
      </c>
      <c r="AX27" s="588">
        <f>AVERAGE(AV27:AV41)</f>
        <v>155.32947408023927</v>
      </c>
    </row>
    <row r="28" spans="2:50" ht="14.25" customHeight="1">
      <c r="B28" s="586"/>
      <c r="C28" s="179">
        <v>2</v>
      </c>
      <c r="D28" s="182" t="s">
        <v>493</v>
      </c>
      <c r="E28" s="179">
        <v>21</v>
      </c>
      <c r="F28" s="179">
        <v>3600</v>
      </c>
      <c r="G28" s="184">
        <f t="shared" si="16"/>
        <v>171.42857142857142</v>
      </c>
      <c r="H28" s="588"/>
      <c r="I28" s="185">
        <f t="shared" ref="I28:K35" si="18">AVERAGE(P28,U28,Z28,AE28,AJ28,AO28,AT28)</f>
        <v>21</v>
      </c>
      <c r="J28" s="185">
        <f t="shared" si="18"/>
        <v>3268.7777543417183</v>
      </c>
      <c r="K28" s="186">
        <f t="shared" si="18"/>
        <v>155.65608354008182</v>
      </c>
      <c r="L28" s="589"/>
      <c r="M28" s="185">
        <f>RANK(K28, K$27:$K$41)</f>
        <v>5</v>
      </c>
      <c r="N28" s="586"/>
      <c r="O28" s="586"/>
      <c r="P28" s="187">
        <v>21</v>
      </c>
      <c r="Q28" s="187">
        <v>3268.9320400560036</v>
      </c>
      <c r="R28" s="184">
        <f t="shared" ref="R28:R35" si="19">IFERROR(Q28/P28,"")</f>
        <v>155.66343047885732</v>
      </c>
      <c r="S28" s="181">
        <f t="shared" ref="S28:S35" si="20">RANK(R28, R$27:R$41)</f>
        <v>5</v>
      </c>
      <c r="T28" s="588"/>
      <c r="U28" s="187">
        <v>21</v>
      </c>
      <c r="V28" s="187">
        <v>3270.0120400560036</v>
      </c>
      <c r="W28" s="184">
        <f t="shared" si="17"/>
        <v>155.7148590502859</v>
      </c>
      <c r="X28" s="181">
        <f t="shared" ref="X28:X35" si="21">RANK(W28, W$27:W$41)</f>
        <v>5</v>
      </c>
      <c r="Y28" s="588"/>
      <c r="Z28" s="187">
        <v>21</v>
      </c>
      <c r="AA28" s="187">
        <v>3268.572040056004</v>
      </c>
      <c r="AB28" s="184">
        <f t="shared" ref="AB28:AB35" si="22">IFERROR(AA28/Z28,"")</f>
        <v>155.64628762171446</v>
      </c>
      <c r="AC28" s="181">
        <f t="shared" ref="AC28:AC35" si="23">RANK(AB28, AB$27:AB$41)</f>
        <v>5</v>
      </c>
      <c r="AD28" s="588"/>
      <c r="AE28" s="187">
        <v>21</v>
      </c>
      <c r="AF28" s="187">
        <v>3269.6520400560039</v>
      </c>
      <c r="AG28" s="184">
        <f t="shared" ref="AG28:AG35" si="24">IFERROR(AF28/AE28,"")</f>
        <v>155.69771619314304</v>
      </c>
      <c r="AH28" s="181">
        <f t="shared" ref="AH28:AH35" si="25">RANK(AG28, AG$27:AG$41)</f>
        <v>5</v>
      </c>
      <c r="AI28" s="588"/>
      <c r="AJ28" s="187">
        <v>21</v>
      </c>
      <c r="AK28" s="187">
        <v>3268.572040056004</v>
      </c>
      <c r="AL28" s="184">
        <f t="shared" ref="AL28:AL35" si="26">IFERROR(AK28/AJ28,"")</f>
        <v>155.64628762171446</v>
      </c>
      <c r="AM28" s="181">
        <f t="shared" ref="AM28:AM35" si="27">RANK(AL28, AL$27:AL$41)</f>
        <v>5</v>
      </c>
      <c r="AN28" s="588"/>
      <c r="AO28" s="187">
        <v>21</v>
      </c>
      <c r="AP28" s="187">
        <v>3268.572040056004</v>
      </c>
      <c r="AQ28" s="184">
        <f t="shared" ref="AQ28:AQ35" si="28">IFERROR(AP28/AO28,"")</f>
        <v>155.64628762171446</v>
      </c>
      <c r="AR28" s="181">
        <f t="shared" ref="AR28:AR35" si="29">RANK(AQ28, AQ$27:AQ$41)</f>
        <v>5</v>
      </c>
      <c r="AS28" s="588"/>
      <c r="AT28" s="187">
        <v>21</v>
      </c>
      <c r="AU28" s="187">
        <v>3267.1320400560039</v>
      </c>
      <c r="AV28" s="184">
        <f t="shared" ref="AV28:AV35" si="30">IFERROR(AU28/AT28,"")</f>
        <v>155.57771619314303</v>
      </c>
      <c r="AW28" s="181">
        <f t="shared" ref="AW28:AW35" si="31">RANK(AV28, AV$27:AV$41)</f>
        <v>5</v>
      </c>
      <c r="AX28" s="588"/>
    </row>
    <row r="29" spans="2:50" ht="14.25" customHeight="1">
      <c r="B29" s="586"/>
      <c r="C29" s="179">
        <v>3</v>
      </c>
      <c r="D29" s="182" t="s">
        <v>536</v>
      </c>
      <c r="E29" s="179">
        <v>19</v>
      </c>
      <c r="F29" s="179">
        <v>3600</v>
      </c>
      <c r="G29" s="184">
        <f t="shared" si="16"/>
        <v>189.47368421052633</v>
      </c>
      <c r="H29" s="588"/>
      <c r="I29" s="185">
        <f t="shared" si="18"/>
        <v>19</v>
      </c>
      <c r="J29" s="185">
        <f t="shared" si="18"/>
        <v>3192.2953150191497</v>
      </c>
      <c r="K29" s="186">
        <f t="shared" si="18"/>
        <v>168.01554289574474</v>
      </c>
      <c r="L29" s="589"/>
      <c r="M29" s="185">
        <f>RANK(K29, K$27:$K$41)</f>
        <v>2</v>
      </c>
      <c r="N29" s="586"/>
      <c r="O29" s="586"/>
      <c r="P29" s="187">
        <v>19</v>
      </c>
      <c r="Q29" s="187">
        <v>3192.5677585405865</v>
      </c>
      <c r="R29" s="184">
        <f t="shared" si="19"/>
        <v>168.02988202845191</v>
      </c>
      <c r="S29" s="181">
        <f t="shared" si="20"/>
        <v>2</v>
      </c>
      <c r="T29" s="588"/>
      <c r="U29" s="187">
        <v>19</v>
      </c>
      <c r="V29" s="187">
        <v>3191.4877585405857</v>
      </c>
      <c r="W29" s="184">
        <f t="shared" si="17"/>
        <v>167.97303992318871</v>
      </c>
      <c r="X29" s="181">
        <f t="shared" si="21"/>
        <v>2</v>
      </c>
      <c r="Y29" s="588"/>
      <c r="Z29" s="187">
        <v>19</v>
      </c>
      <c r="AA29" s="187">
        <v>3191.8477585405849</v>
      </c>
      <c r="AB29" s="184">
        <f t="shared" si="22"/>
        <v>167.99198729160972</v>
      </c>
      <c r="AC29" s="181">
        <f t="shared" si="23"/>
        <v>2</v>
      </c>
      <c r="AD29" s="588"/>
      <c r="AE29" s="187">
        <v>19</v>
      </c>
      <c r="AF29" s="187">
        <v>3192.9909823780736</v>
      </c>
      <c r="AG29" s="184">
        <f t="shared" si="24"/>
        <v>168.05215696726702</v>
      </c>
      <c r="AH29" s="181">
        <f t="shared" si="25"/>
        <v>2</v>
      </c>
      <c r="AI29" s="588"/>
      <c r="AJ29" s="187">
        <v>19</v>
      </c>
      <c r="AK29" s="187">
        <v>3191.9109823780732</v>
      </c>
      <c r="AL29" s="184">
        <f t="shared" si="26"/>
        <v>167.99531486200385</v>
      </c>
      <c r="AM29" s="181">
        <f t="shared" si="27"/>
        <v>2</v>
      </c>
      <c r="AN29" s="588"/>
      <c r="AO29" s="187">
        <v>19</v>
      </c>
      <c r="AP29" s="187">
        <v>3192.9909823780727</v>
      </c>
      <c r="AQ29" s="184">
        <f t="shared" si="28"/>
        <v>168.052156967267</v>
      </c>
      <c r="AR29" s="181">
        <f t="shared" si="29"/>
        <v>2</v>
      </c>
      <c r="AS29" s="588"/>
      <c r="AT29" s="187">
        <v>19</v>
      </c>
      <c r="AU29" s="187">
        <v>3192.2709823780729</v>
      </c>
      <c r="AV29" s="184">
        <f t="shared" si="30"/>
        <v>168.01426223042489</v>
      </c>
      <c r="AW29" s="181">
        <f t="shared" si="31"/>
        <v>2</v>
      </c>
      <c r="AX29" s="588"/>
    </row>
    <row r="30" spans="2:50" ht="14.25" customHeight="1">
      <c r="B30" s="586"/>
      <c r="C30" s="179">
        <v>4</v>
      </c>
      <c r="D30" s="182" t="s">
        <v>531</v>
      </c>
      <c r="E30" s="179">
        <v>24</v>
      </c>
      <c r="F30" s="179">
        <v>3600</v>
      </c>
      <c r="G30" s="184">
        <f t="shared" si="16"/>
        <v>150</v>
      </c>
      <c r="H30" s="588"/>
      <c r="I30" s="185">
        <f t="shared" si="18"/>
        <v>24</v>
      </c>
      <c r="J30" s="185">
        <f t="shared" si="18"/>
        <v>3267.7442866123492</v>
      </c>
      <c r="K30" s="186">
        <f t="shared" si="18"/>
        <v>136.15601194218124</v>
      </c>
      <c r="L30" s="589"/>
      <c r="M30" s="185">
        <f>RANK(K30, K$27:$K$41)</f>
        <v>9</v>
      </c>
      <c r="N30" s="586"/>
      <c r="O30" s="586"/>
      <c r="P30" s="187">
        <v>24</v>
      </c>
      <c r="Q30" s="187">
        <v>3267.3842866123496</v>
      </c>
      <c r="R30" s="184">
        <f t="shared" si="19"/>
        <v>136.14101194218122</v>
      </c>
      <c r="S30" s="181">
        <f t="shared" si="20"/>
        <v>9</v>
      </c>
      <c r="T30" s="588"/>
      <c r="U30" s="187">
        <v>24</v>
      </c>
      <c r="V30" s="187">
        <v>3268.4642866123495</v>
      </c>
      <c r="W30" s="184">
        <f t="shared" si="17"/>
        <v>136.18601194218124</v>
      </c>
      <c r="X30" s="181">
        <f t="shared" si="21"/>
        <v>9</v>
      </c>
      <c r="Y30" s="588"/>
      <c r="Z30" s="187">
        <v>24</v>
      </c>
      <c r="AA30" s="187">
        <v>3268.46428661235</v>
      </c>
      <c r="AB30" s="184">
        <f t="shared" si="22"/>
        <v>136.18601194218124</v>
      </c>
      <c r="AC30" s="181">
        <f t="shared" si="23"/>
        <v>8</v>
      </c>
      <c r="AD30" s="588"/>
      <c r="AE30" s="187">
        <v>24</v>
      </c>
      <c r="AF30" s="187">
        <v>3268.8242866123496</v>
      </c>
      <c r="AG30" s="184">
        <f t="shared" si="24"/>
        <v>136.20101194218122</v>
      </c>
      <c r="AH30" s="181">
        <f t="shared" si="25"/>
        <v>9</v>
      </c>
      <c r="AI30" s="588"/>
      <c r="AJ30" s="187">
        <v>24</v>
      </c>
      <c r="AK30" s="187">
        <v>3267.7442866123492</v>
      </c>
      <c r="AL30" s="184">
        <f t="shared" si="26"/>
        <v>136.15601194218121</v>
      </c>
      <c r="AM30" s="181">
        <f t="shared" si="27"/>
        <v>9</v>
      </c>
      <c r="AN30" s="588"/>
      <c r="AO30" s="187">
        <v>24</v>
      </c>
      <c r="AP30" s="187">
        <v>3266.3042866123492</v>
      </c>
      <c r="AQ30" s="184">
        <f t="shared" si="28"/>
        <v>136.09601194218121</v>
      </c>
      <c r="AR30" s="181">
        <f t="shared" si="29"/>
        <v>9</v>
      </c>
      <c r="AS30" s="588"/>
      <c r="AT30" s="187">
        <v>24</v>
      </c>
      <c r="AU30" s="187">
        <v>3267.024286612349</v>
      </c>
      <c r="AV30" s="184">
        <f t="shared" si="30"/>
        <v>136.12601194218121</v>
      </c>
      <c r="AW30" s="181">
        <f t="shared" si="31"/>
        <v>8</v>
      </c>
      <c r="AX30" s="588"/>
    </row>
    <row r="31" spans="2:50" ht="14.25" customHeight="1">
      <c r="B31" s="586"/>
      <c r="C31" s="179">
        <v>5</v>
      </c>
      <c r="D31" s="182" t="s">
        <v>494</v>
      </c>
      <c r="E31" s="179">
        <v>19</v>
      </c>
      <c r="F31" s="179">
        <v>3600</v>
      </c>
      <c r="G31" s="184">
        <f t="shared" si="16"/>
        <v>189.47368421052633</v>
      </c>
      <c r="H31" s="588"/>
      <c r="I31" s="185">
        <f t="shared" si="18"/>
        <v>19</v>
      </c>
      <c r="J31" s="185">
        <f t="shared" si="18"/>
        <v>3193.9944520161762</v>
      </c>
      <c r="K31" s="186">
        <f t="shared" si="18"/>
        <v>168.10497115874614</v>
      </c>
      <c r="L31" s="589"/>
      <c r="M31" s="185">
        <f>RANK(K31, K$27:$K$41)</f>
        <v>1</v>
      </c>
      <c r="N31" s="586"/>
      <c r="O31" s="586"/>
      <c r="P31" s="187">
        <v>19</v>
      </c>
      <c r="Q31" s="187">
        <v>3193.4287377304627</v>
      </c>
      <c r="R31" s="184">
        <f t="shared" si="19"/>
        <v>168.07519672265593</v>
      </c>
      <c r="S31" s="181">
        <f t="shared" si="20"/>
        <v>1</v>
      </c>
      <c r="T31" s="588"/>
      <c r="U31" s="187">
        <v>19</v>
      </c>
      <c r="V31" s="187">
        <v>3194.5087377304626</v>
      </c>
      <c r="W31" s="184">
        <f t="shared" si="17"/>
        <v>168.13203882791908</v>
      </c>
      <c r="X31" s="181">
        <f t="shared" si="21"/>
        <v>1</v>
      </c>
      <c r="Y31" s="588"/>
      <c r="Z31" s="187">
        <v>19</v>
      </c>
      <c r="AA31" s="187">
        <v>3194.5087377304626</v>
      </c>
      <c r="AB31" s="184">
        <f t="shared" si="22"/>
        <v>168.13203882791908</v>
      </c>
      <c r="AC31" s="181">
        <f t="shared" si="23"/>
        <v>1</v>
      </c>
      <c r="AD31" s="588"/>
      <c r="AE31" s="187">
        <v>19</v>
      </c>
      <c r="AF31" s="187">
        <v>3194.1487377304625</v>
      </c>
      <c r="AG31" s="184">
        <f t="shared" si="24"/>
        <v>168.11309145949804</v>
      </c>
      <c r="AH31" s="181">
        <f t="shared" si="25"/>
        <v>1</v>
      </c>
      <c r="AI31" s="588"/>
      <c r="AJ31" s="187">
        <v>19</v>
      </c>
      <c r="AK31" s="187">
        <v>3194.8687377304618</v>
      </c>
      <c r="AL31" s="184">
        <f t="shared" si="26"/>
        <v>168.15098619634009</v>
      </c>
      <c r="AM31" s="181">
        <f t="shared" si="27"/>
        <v>1</v>
      </c>
      <c r="AN31" s="588"/>
      <c r="AO31" s="187">
        <v>19</v>
      </c>
      <c r="AP31" s="187">
        <v>3193.0687377304621</v>
      </c>
      <c r="AQ31" s="184">
        <f t="shared" si="28"/>
        <v>168.05624935423484</v>
      </c>
      <c r="AR31" s="181">
        <f t="shared" si="29"/>
        <v>1</v>
      </c>
      <c r="AS31" s="588"/>
      <c r="AT31" s="187">
        <v>19</v>
      </c>
      <c r="AU31" s="187">
        <v>3193.4287377304613</v>
      </c>
      <c r="AV31" s="184">
        <f t="shared" si="30"/>
        <v>168.07519672265585</v>
      </c>
      <c r="AW31" s="181">
        <f t="shared" si="31"/>
        <v>1</v>
      </c>
      <c r="AX31" s="588"/>
    </row>
    <row r="32" spans="2:50" ht="14.25" customHeight="1">
      <c r="B32" s="586"/>
      <c r="C32" s="179">
        <v>6</v>
      </c>
      <c r="D32" s="182" t="s">
        <v>544</v>
      </c>
      <c r="E32" s="179">
        <v>24</v>
      </c>
      <c r="F32" s="179">
        <v>3600</v>
      </c>
      <c r="G32" s="184">
        <f t="shared" si="16"/>
        <v>150</v>
      </c>
      <c r="H32" s="588"/>
      <c r="I32" s="185">
        <f t="shared" si="18"/>
        <v>24</v>
      </c>
      <c r="J32" s="185">
        <f t="shared" si="18"/>
        <v>3269.0295530584544</v>
      </c>
      <c r="K32" s="186">
        <f t="shared" si="18"/>
        <v>136.20956471076894</v>
      </c>
      <c r="L32" s="589"/>
      <c r="M32" s="185">
        <f>RANK(K32, K$27:$K$41)</f>
        <v>8</v>
      </c>
      <c r="N32" s="586"/>
      <c r="O32" s="586"/>
      <c r="P32" s="187">
        <v>24</v>
      </c>
      <c r="Q32" s="187">
        <v>3267.9883112263387</v>
      </c>
      <c r="R32" s="184">
        <f t="shared" si="19"/>
        <v>136.16617963443079</v>
      </c>
      <c r="S32" s="181">
        <f t="shared" si="20"/>
        <v>8</v>
      </c>
      <c r="T32" s="588"/>
      <c r="U32" s="187">
        <v>24</v>
      </c>
      <c r="V32" s="187">
        <v>3269.0683112263391</v>
      </c>
      <c r="W32" s="184">
        <f t="shared" si="17"/>
        <v>136.21117963443081</v>
      </c>
      <c r="X32" s="181">
        <f t="shared" si="21"/>
        <v>8</v>
      </c>
      <c r="Y32" s="588"/>
      <c r="Z32" s="187">
        <v>24</v>
      </c>
      <c r="AA32" s="187">
        <v>3267.6283112263391</v>
      </c>
      <c r="AB32" s="184">
        <f t="shared" si="22"/>
        <v>136.1511796344308</v>
      </c>
      <c r="AC32" s="181">
        <f t="shared" si="23"/>
        <v>9</v>
      </c>
      <c r="AD32" s="588"/>
      <c r="AE32" s="187">
        <v>24</v>
      </c>
      <c r="AF32" s="187">
        <v>3269.4283112263388</v>
      </c>
      <c r="AG32" s="184">
        <f t="shared" si="24"/>
        <v>136.22617963443079</v>
      </c>
      <c r="AH32" s="181">
        <f t="shared" si="25"/>
        <v>8</v>
      </c>
      <c r="AI32" s="588"/>
      <c r="AJ32" s="187">
        <v>24</v>
      </c>
      <c r="AK32" s="187">
        <v>3269.0683112263391</v>
      </c>
      <c r="AL32" s="184">
        <f t="shared" si="26"/>
        <v>136.21117963443081</v>
      </c>
      <c r="AM32" s="181">
        <f t="shared" si="27"/>
        <v>8</v>
      </c>
      <c r="AN32" s="588"/>
      <c r="AO32" s="187">
        <v>24</v>
      </c>
      <c r="AP32" s="187">
        <v>3270.8683112263393</v>
      </c>
      <c r="AQ32" s="184">
        <f t="shared" si="28"/>
        <v>136.28617963443079</v>
      </c>
      <c r="AR32" s="181">
        <f t="shared" si="29"/>
        <v>8</v>
      </c>
      <c r="AS32" s="588"/>
      <c r="AT32" s="187">
        <v>24</v>
      </c>
      <c r="AU32" s="187">
        <v>3269.1570040511479</v>
      </c>
      <c r="AV32" s="184">
        <f t="shared" si="30"/>
        <v>136.21487516879782</v>
      </c>
      <c r="AW32" s="181">
        <f t="shared" si="31"/>
        <v>7</v>
      </c>
      <c r="AX32" s="588"/>
    </row>
    <row r="33" spans="2:50" ht="14.25" customHeight="1">
      <c r="B33" s="586"/>
      <c r="C33" s="179">
        <v>7</v>
      </c>
      <c r="D33" s="182" t="s">
        <v>581</v>
      </c>
      <c r="E33" s="179">
        <v>20</v>
      </c>
      <c r="F33" s="179">
        <v>3600</v>
      </c>
      <c r="G33" s="184">
        <f t="shared" si="16"/>
        <v>180</v>
      </c>
      <c r="H33" s="588"/>
      <c r="I33" s="185">
        <f t="shared" si="18"/>
        <v>20</v>
      </c>
      <c r="J33" s="185">
        <f t="shared" si="18"/>
        <v>3261.4338532923257</v>
      </c>
      <c r="K33" s="186">
        <f t="shared" si="18"/>
        <v>163.07169266461628</v>
      </c>
      <c r="L33" s="589"/>
      <c r="M33" s="185">
        <f>RANK(K33, K$27:$K$41)</f>
        <v>4</v>
      </c>
      <c r="N33" s="586"/>
      <c r="O33" s="586"/>
      <c r="P33" s="187">
        <v>20</v>
      </c>
      <c r="Q33" s="187">
        <v>3261.1767104351829</v>
      </c>
      <c r="R33" s="184">
        <f t="shared" si="19"/>
        <v>163.05883552175914</v>
      </c>
      <c r="S33" s="181">
        <f t="shared" si="20"/>
        <v>4</v>
      </c>
      <c r="T33" s="588"/>
      <c r="U33" s="187">
        <v>20</v>
      </c>
      <c r="V33" s="187">
        <v>3261.8967104351827</v>
      </c>
      <c r="W33" s="184">
        <f t="shared" si="17"/>
        <v>163.09483552175914</v>
      </c>
      <c r="X33" s="181">
        <f t="shared" si="21"/>
        <v>4</v>
      </c>
      <c r="Y33" s="588"/>
      <c r="Z33" s="187">
        <v>20</v>
      </c>
      <c r="AA33" s="187">
        <v>3261.1767104351829</v>
      </c>
      <c r="AB33" s="184">
        <f t="shared" si="22"/>
        <v>163.05883552175914</v>
      </c>
      <c r="AC33" s="181">
        <f t="shared" si="23"/>
        <v>4</v>
      </c>
      <c r="AD33" s="588"/>
      <c r="AE33" s="187">
        <v>20</v>
      </c>
      <c r="AF33" s="187">
        <v>3260.8167104351833</v>
      </c>
      <c r="AG33" s="184">
        <f t="shared" si="24"/>
        <v>163.04083552175916</v>
      </c>
      <c r="AH33" s="181">
        <f t="shared" si="25"/>
        <v>4</v>
      </c>
      <c r="AI33" s="588"/>
      <c r="AJ33" s="187">
        <v>20</v>
      </c>
      <c r="AK33" s="187">
        <v>3261.1767104351834</v>
      </c>
      <c r="AL33" s="184">
        <f t="shared" si="26"/>
        <v>163.05883552175916</v>
      </c>
      <c r="AM33" s="181">
        <f t="shared" si="27"/>
        <v>4</v>
      </c>
      <c r="AN33" s="588"/>
      <c r="AO33" s="187">
        <v>20</v>
      </c>
      <c r="AP33" s="187">
        <v>3261.8967104351832</v>
      </c>
      <c r="AQ33" s="184">
        <f t="shared" si="28"/>
        <v>163.09483552175917</v>
      </c>
      <c r="AR33" s="181">
        <f t="shared" si="29"/>
        <v>4</v>
      </c>
      <c r="AS33" s="588"/>
      <c r="AT33" s="187">
        <v>20</v>
      </c>
      <c r="AU33" s="187">
        <v>3261.8967104351832</v>
      </c>
      <c r="AV33" s="184">
        <f t="shared" si="30"/>
        <v>163.09483552175917</v>
      </c>
      <c r="AW33" s="181">
        <f t="shared" si="31"/>
        <v>4</v>
      </c>
      <c r="AX33" s="588"/>
    </row>
    <row r="34" spans="2:50" ht="14.25" customHeight="1">
      <c r="B34" s="586"/>
      <c r="C34" s="179">
        <v>8</v>
      </c>
      <c r="D34" s="182" t="s">
        <v>614</v>
      </c>
      <c r="E34" s="179">
        <v>22</v>
      </c>
      <c r="F34" s="179">
        <v>3600</v>
      </c>
      <c r="G34" s="184">
        <f t="shared" si="16"/>
        <v>163.63636363636363</v>
      </c>
      <c r="H34" s="588"/>
      <c r="I34" s="185">
        <f t="shared" si="18"/>
        <v>22</v>
      </c>
      <c r="J34" s="185">
        <f t="shared" si="18"/>
        <v>3263.1652091536039</v>
      </c>
      <c r="K34" s="186">
        <f t="shared" si="18"/>
        <v>148.32569132516383</v>
      </c>
      <c r="L34" s="589"/>
      <c r="M34" s="185">
        <f>RANK(K34, K$27:$K$41)</f>
        <v>6</v>
      </c>
      <c r="N34" s="586"/>
      <c r="O34" s="586"/>
      <c r="P34" s="187">
        <v>22</v>
      </c>
      <c r="Q34" s="187">
        <v>3260.4652091536045</v>
      </c>
      <c r="R34" s="184">
        <f t="shared" si="19"/>
        <v>148.20296405243656</v>
      </c>
      <c r="S34" s="181">
        <f t="shared" si="20"/>
        <v>6</v>
      </c>
      <c r="T34" s="588"/>
      <c r="U34" s="187">
        <v>22</v>
      </c>
      <c r="V34" s="187">
        <v>3261.9052091536041</v>
      </c>
      <c r="W34" s="184">
        <f t="shared" si="17"/>
        <v>148.2684185978911</v>
      </c>
      <c r="X34" s="181">
        <f t="shared" si="21"/>
        <v>6</v>
      </c>
      <c r="Y34" s="588"/>
      <c r="Z34" s="187">
        <v>22</v>
      </c>
      <c r="AA34" s="187">
        <v>3263.3452091536042</v>
      </c>
      <c r="AB34" s="184">
        <f t="shared" si="22"/>
        <v>148.33387314334564</v>
      </c>
      <c r="AC34" s="181">
        <f t="shared" si="23"/>
        <v>6</v>
      </c>
      <c r="AD34" s="588"/>
      <c r="AE34" s="187">
        <v>22</v>
      </c>
      <c r="AF34" s="187">
        <v>3264.4252091536036</v>
      </c>
      <c r="AG34" s="184">
        <f t="shared" si="24"/>
        <v>148.38296405243653</v>
      </c>
      <c r="AH34" s="181">
        <f t="shared" si="25"/>
        <v>7</v>
      </c>
      <c r="AI34" s="588"/>
      <c r="AJ34" s="187">
        <v>22</v>
      </c>
      <c r="AK34" s="187">
        <v>3263.7052091536043</v>
      </c>
      <c r="AL34" s="184">
        <f t="shared" si="26"/>
        <v>148.35023677970929</v>
      </c>
      <c r="AM34" s="181">
        <f t="shared" si="27"/>
        <v>7</v>
      </c>
      <c r="AN34" s="588"/>
      <c r="AO34" s="187">
        <v>22</v>
      </c>
      <c r="AP34" s="187">
        <v>3265.1452091536044</v>
      </c>
      <c r="AQ34" s="184">
        <f t="shared" si="28"/>
        <v>148.41569132516383</v>
      </c>
      <c r="AR34" s="181">
        <f t="shared" si="29"/>
        <v>7</v>
      </c>
      <c r="AS34" s="588"/>
      <c r="AT34" s="187"/>
      <c r="AU34" s="187"/>
      <c r="AV34" s="184"/>
      <c r="AW34" s="181"/>
      <c r="AX34" s="588"/>
    </row>
    <row r="35" spans="2:50" ht="14.25" customHeight="1">
      <c r="B35" s="586"/>
      <c r="C35" s="179">
        <v>9</v>
      </c>
      <c r="D35" s="182" t="s">
        <v>690</v>
      </c>
      <c r="E35" s="179">
        <v>21</v>
      </c>
      <c r="F35" s="179">
        <v>3600</v>
      </c>
      <c r="G35" s="184">
        <f t="shared" si="16"/>
        <v>171.42857142857142</v>
      </c>
      <c r="H35" s="588"/>
      <c r="I35" s="185">
        <f t="shared" si="18"/>
        <v>21</v>
      </c>
      <c r="J35" s="185">
        <f t="shared" si="18"/>
        <v>3106.8811845978585</v>
      </c>
      <c r="K35" s="186">
        <f t="shared" si="18"/>
        <v>147.94672307608852</v>
      </c>
      <c r="L35" s="589"/>
      <c r="M35" s="185">
        <f>RANK(K35, K$27:$K$41)</f>
        <v>7</v>
      </c>
      <c r="N35" s="586"/>
      <c r="O35" s="586"/>
      <c r="P35" s="187">
        <v>21</v>
      </c>
      <c r="Q35" s="187">
        <v>2938.721652334455</v>
      </c>
      <c r="R35" s="184">
        <f t="shared" si="19"/>
        <v>139.93912630164073</v>
      </c>
      <c r="S35" s="181">
        <f t="shared" si="20"/>
        <v>7</v>
      </c>
      <c r="T35" s="588"/>
      <c r="U35" s="187">
        <v>21</v>
      </c>
      <c r="V35" s="187">
        <v>3005.9439703381481</v>
      </c>
      <c r="W35" s="184">
        <f t="shared" si="17"/>
        <v>143.14018906372135</v>
      </c>
      <c r="X35" s="181">
        <f t="shared" si="21"/>
        <v>7</v>
      </c>
      <c r="Y35" s="588"/>
      <c r="Z35" s="187">
        <v>21</v>
      </c>
      <c r="AA35" s="187">
        <v>3074.3441216559258</v>
      </c>
      <c r="AB35" s="184">
        <f t="shared" si="22"/>
        <v>146.39733912647267</v>
      </c>
      <c r="AC35" s="181">
        <f t="shared" si="23"/>
        <v>7</v>
      </c>
      <c r="AD35" s="588"/>
      <c r="AE35" s="187">
        <v>21</v>
      </c>
      <c r="AF35" s="187">
        <v>3146.5271564540126</v>
      </c>
      <c r="AG35" s="184">
        <f t="shared" si="24"/>
        <v>149.83462649781012</v>
      </c>
      <c r="AH35" s="181">
        <f t="shared" si="25"/>
        <v>6</v>
      </c>
      <c r="AI35" s="588"/>
      <c r="AJ35" s="187">
        <v>21</v>
      </c>
      <c r="AK35" s="187">
        <v>3194.0904638008224</v>
      </c>
      <c r="AL35" s="184">
        <f t="shared" si="26"/>
        <v>152.09954589527726</v>
      </c>
      <c r="AM35" s="181">
        <f t="shared" si="27"/>
        <v>6</v>
      </c>
      <c r="AN35" s="588"/>
      <c r="AO35" s="187">
        <v>21</v>
      </c>
      <c r="AP35" s="187">
        <v>3194.0904638008228</v>
      </c>
      <c r="AQ35" s="184">
        <f t="shared" si="28"/>
        <v>152.09954589527729</v>
      </c>
      <c r="AR35" s="181">
        <f t="shared" si="29"/>
        <v>6</v>
      </c>
      <c r="AS35" s="588"/>
      <c r="AT35" s="187">
        <v>21</v>
      </c>
      <c r="AU35" s="187">
        <v>3194.4504638008229</v>
      </c>
      <c r="AV35" s="184">
        <f t="shared" si="30"/>
        <v>152.11668875242015</v>
      </c>
      <c r="AW35" s="181">
        <f t="shared" si="31"/>
        <v>6</v>
      </c>
      <c r="AX35" s="588"/>
    </row>
    <row r="36" spans="2:50" ht="14.25" customHeight="1">
      <c r="B36" s="586"/>
      <c r="C36" s="179">
        <v>10</v>
      </c>
      <c r="D36" s="182"/>
      <c r="E36" s="179"/>
      <c r="F36" s="179"/>
      <c r="G36" s="184"/>
      <c r="H36" s="588"/>
      <c r="I36" s="185"/>
      <c r="J36" s="185"/>
      <c r="K36" s="186"/>
      <c r="L36" s="589"/>
      <c r="M36" s="185"/>
      <c r="N36" s="586"/>
      <c r="O36" s="586"/>
      <c r="P36" s="187"/>
      <c r="Q36" s="187"/>
      <c r="R36" s="184"/>
      <c r="S36" s="181"/>
      <c r="T36" s="588"/>
      <c r="U36" s="187"/>
      <c r="V36" s="187"/>
      <c r="W36" s="184"/>
      <c r="X36" s="181"/>
      <c r="Y36" s="588"/>
      <c r="Z36" s="187"/>
      <c r="AA36" s="187"/>
      <c r="AB36" s="184"/>
      <c r="AC36" s="181"/>
      <c r="AD36" s="588"/>
      <c r="AE36" s="187"/>
      <c r="AF36" s="187"/>
      <c r="AG36" s="184"/>
      <c r="AH36" s="181"/>
      <c r="AI36" s="588"/>
      <c r="AJ36" s="187"/>
      <c r="AK36" s="187"/>
      <c r="AL36" s="184"/>
      <c r="AM36" s="181"/>
      <c r="AN36" s="588"/>
      <c r="AO36" s="187"/>
      <c r="AP36" s="187"/>
      <c r="AQ36" s="184"/>
      <c r="AR36" s="181"/>
      <c r="AS36" s="588"/>
      <c r="AT36" s="187"/>
      <c r="AU36" s="187"/>
      <c r="AV36" s="184"/>
      <c r="AW36" s="181"/>
      <c r="AX36" s="588"/>
    </row>
    <row r="37" spans="2:50" ht="14.25" customHeight="1">
      <c r="B37" s="586"/>
      <c r="C37" s="179">
        <v>11</v>
      </c>
      <c r="D37" s="182"/>
      <c r="E37" s="179"/>
      <c r="F37" s="179"/>
      <c r="G37" s="184"/>
      <c r="H37" s="588"/>
      <c r="I37" s="185"/>
      <c r="J37" s="185"/>
      <c r="K37" s="186"/>
      <c r="L37" s="589"/>
      <c r="M37" s="185"/>
      <c r="N37" s="586"/>
      <c r="O37" s="586"/>
      <c r="P37" s="187"/>
      <c r="Q37" s="187"/>
      <c r="R37" s="184"/>
      <c r="S37" s="181"/>
      <c r="T37" s="588"/>
      <c r="U37" s="187"/>
      <c r="V37" s="187"/>
      <c r="W37" s="184"/>
      <c r="X37" s="181"/>
      <c r="Y37" s="588"/>
      <c r="Z37" s="187"/>
      <c r="AA37" s="187"/>
      <c r="AB37" s="184"/>
      <c r="AC37" s="181"/>
      <c r="AD37" s="588"/>
      <c r="AE37" s="187"/>
      <c r="AF37" s="187"/>
      <c r="AG37" s="184"/>
      <c r="AH37" s="181"/>
      <c r="AI37" s="588"/>
      <c r="AJ37" s="187"/>
      <c r="AK37" s="187"/>
      <c r="AL37" s="184"/>
      <c r="AM37" s="181"/>
      <c r="AN37" s="588"/>
      <c r="AO37" s="187"/>
      <c r="AP37" s="187"/>
      <c r="AQ37" s="184"/>
      <c r="AR37" s="181"/>
      <c r="AS37" s="588"/>
      <c r="AT37" s="187"/>
      <c r="AU37" s="187"/>
      <c r="AV37" s="184"/>
      <c r="AW37" s="181"/>
      <c r="AX37" s="588"/>
    </row>
    <row r="38" spans="2:50" ht="14.25" customHeight="1">
      <c r="B38" s="586"/>
      <c r="C38" s="179">
        <v>12</v>
      </c>
      <c r="D38" s="182"/>
      <c r="E38" s="179"/>
      <c r="F38" s="179"/>
      <c r="G38" s="184"/>
      <c r="H38" s="588"/>
      <c r="I38" s="185"/>
      <c r="J38" s="185"/>
      <c r="K38" s="186"/>
      <c r="L38" s="589"/>
      <c r="M38" s="185"/>
      <c r="N38" s="586"/>
      <c r="O38" s="586"/>
      <c r="P38" s="187"/>
      <c r="Q38" s="187"/>
      <c r="R38" s="184"/>
      <c r="S38" s="181"/>
      <c r="T38" s="588"/>
      <c r="U38" s="187"/>
      <c r="V38" s="187"/>
      <c r="W38" s="184"/>
      <c r="X38" s="181"/>
      <c r="Y38" s="588"/>
      <c r="Z38" s="187"/>
      <c r="AA38" s="187"/>
      <c r="AB38" s="184"/>
      <c r="AC38" s="181"/>
      <c r="AD38" s="588"/>
      <c r="AE38" s="187"/>
      <c r="AF38" s="187"/>
      <c r="AG38" s="184"/>
      <c r="AH38" s="181"/>
      <c r="AI38" s="588"/>
      <c r="AJ38" s="187"/>
      <c r="AK38" s="187"/>
      <c r="AL38" s="184"/>
      <c r="AM38" s="181"/>
      <c r="AN38" s="588"/>
      <c r="AO38" s="187"/>
      <c r="AP38" s="187"/>
      <c r="AQ38" s="184"/>
      <c r="AR38" s="181"/>
      <c r="AS38" s="588"/>
      <c r="AT38" s="187"/>
      <c r="AU38" s="187"/>
      <c r="AV38" s="184"/>
      <c r="AW38" s="181"/>
      <c r="AX38" s="588"/>
    </row>
    <row r="39" spans="2:50" ht="14.25" customHeight="1">
      <c r="B39" s="586"/>
      <c r="C39" s="179">
        <v>13</v>
      </c>
      <c r="D39" s="182"/>
      <c r="E39" s="179"/>
      <c r="F39" s="179"/>
      <c r="G39" s="184"/>
      <c r="H39" s="588"/>
      <c r="I39" s="185"/>
      <c r="J39" s="185"/>
      <c r="K39" s="186"/>
      <c r="L39" s="589"/>
      <c r="M39" s="185"/>
      <c r="N39" s="586"/>
      <c r="O39" s="586"/>
      <c r="P39" s="187"/>
      <c r="Q39" s="187"/>
      <c r="R39" s="184"/>
      <c r="S39" s="181"/>
      <c r="T39" s="588"/>
      <c r="U39" s="187"/>
      <c r="V39" s="187"/>
      <c r="W39" s="184"/>
      <c r="X39" s="181"/>
      <c r="Y39" s="588"/>
      <c r="Z39" s="187"/>
      <c r="AA39" s="187"/>
      <c r="AB39" s="184"/>
      <c r="AC39" s="181"/>
      <c r="AD39" s="588"/>
      <c r="AE39" s="187"/>
      <c r="AF39" s="187"/>
      <c r="AG39" s="184"/>
      <c r="AH39" s="181"/>
      <c r="AI39" s="588"/>
      <c r="AJ39" s="187"/>
      <c r="AK39" s="187"/>
      <c r="AL39" s="184"/>
      <c r="AM39" s="181"/>
      <c r="AN39" s="588"/>
      <c r="AO39" s="187"/>
      <c r="AP39" s="187"/>
      <c r="AQ39" s="184"/>
      <c r="AR39" s="181"/>
      <c r="AS39" s="588"/>
      <c r="AT39" s="187"/>
      <c r="AU39" s="187"/>
      <c r="AV39" s="184"/>
      <c r="AW39" s="181"/>
      <c r="AX39" s="588"/>
    </row>
    <row r="40" spans="2:50" ht="14.25" customHeight="1">
      <c r="B40" s="586"/>
      <c r="C40" s="179">
        <v>14</v>
      </c>
      <c r="D40" s="182"/>
      <c r="E40" s="179"/>
      <c r="F40" s="179"/>
      <c r="G40" s="184"/>
      <c r="H40" s="588"/>
      <c r="I40" s="185"/>
      <c r="J40" s="185"/>
      <c r="K40" s="186"/>
      <c r="L40" s="589"/>
      <c r="M40" s="185"/>
      <c r="N40" s="586"/>
      <c r="O40" s="586"/>
      <c r="P40" s="187"/>
      <c r="Q40" s="187"/>
      <c r="R40" s="184"/>
      <c r="S40" s="181"/>
      <c r="T40" s="588"/>
      <c r="U40" s="187"/>
      <c r="V40" s="187"/>
      <c r="W40" s="184"/>
      <c r="X40" s="181"/>
      <c r="Y40" s="588"/>
      <c r="Z40" s="187"/>
      <c r="AA40" s="187"/>
      <c r="AB40" s="184"/>
      <c r="AC40" s="181"/>
      <c r="AD40" s="588"/>
      <c r="AE40" s="187"/>
      <c r="AF40" s="187"/>
      <c r="AG40" s="184"/>
      <c r="AH40" s="181"/>
      <c r="AI40" s="588"/>
      <c r="AJ40" s="187"/>
      <c r="AK40" s="187"/>
      <c r="AL40" s="184"/>
      <c r="AM40" s="181"/>
      <c r="AN40" s="588"/>
      <c r="AO40" s="187"/>
      <c r="AP40" s="187"/>
      <c r="AQ40" s="184"/>
      <c r="AR40" s="181"/>
      <c r="AS40" s="588"/>
      <c r="AT40" s="187"/>
      <c r="AU40" s="187"/>
      <c r="AV40" s="184"/>
      <c r="AW40" s="181"/>
      <c r="AX40" s="588"/>
    </row>
    <row r="41" spans="2:50" ht="14.25" customHeight="1">
      <c r="B41" s="586"/>
      <c r="C41" s="179">
        <v>15</v>
      </c>
      <c r="D41" s="182"/>
      <c r="E41" s="179"/>
      <c r="F41" s="179"/>
      <c r="G41" s="184"/>
      <c r="H41" s="588"/>
      <c r="I41" s="185"/>
      <c r="J41" s="185"/>
      <c r="K41" s="186"/>
      <c r="L41" s="589"/>
      <c r="M41" s="185"/>
      <c r="N41" s="586"/>
      <c r="O41" s="586"/>
      <c r="P41" s="187"/>
      <c r="Q41" s="187"/>
      <c r="R41" s="184"/>
      <c r="S41" s="181"/>
      <c r="T41" s="588"/>
      <c r="U41" s="187"/>
      <c r="V41" s="187"/>
      <c r="W41" s="184"/>
      <c r="X41" s="181"/>
      <c r="Y41" s="588"/>
      <c r="Z41" s="187"/>
      <c r="AA41" s="187"/>
      <c r="AB41" s="184"/>
      <c r="AC41" s="181"/>
      <c r="AD41" s="588"/>
      <c r="AE41" s="187"/>
      <c r="AF41" s="187"/>
      <c r="AG41" s="184"/>
      <c r="AH41" s="181"/>
      <c r="AI41" s="588"/>
      <c r="AJ41" s="187"/>
      <c r="AK41" s="187"/>
      <c r="AL41" s="184"/>
      <c r="AM41" s="181"/>
      <c r="AN41" s="588"/>
      <c r="AO41" s="187"/>
      <c r="AP41" s="187"/>
      <c r="AQ41" s="184"/>
      <c r="AR41" s="181"/>
      <c r="AS41" s="588"/>
      <c r="AT41" s="187"/>
      <c r="AU41" s="187"/>
      <c r="AV41" s="184"/>
      <c r="AW41" s="181"/>
      <c r="AX41" s="588"/>
    </row>
    <row r="42" spans="2:50" ht="14.25" customHeight="1">
      <c r="B42" s="612" t="s">
        <v>712</v>
      </c>
      <c r="C42" s="613"/>
      <c r="D42" s="613"/>
      <c r="E42" s="613"/>
      <c r="F42" s="613"/>
      <c r="G42" s="613"/>
      <c r="H42" s="613"/>
      <c r="I42" s="613"/>
      <c r="J42" s="613"/>
      <c r="K42" s="613"/>
      <c r="L42" s="613"/>
      <c r="M42" s="614"/>
      <c r="N42" s="617" t="s">
        <v>341</v>
      </c>
      <c r="O42" s="617" t="s">
        <v>105</v>
      </c>
      <c r="P42" s="600">
        <v>46245</v>
      </c>
      <c r="Q42" s="601"/>
      <c r="R42" s="601"/>
      <c r="S42" s="601"/>
      <c r="T42" s="601"/>
      <c r="U42" s="602">
        <v>46246</v>
      </c>
      <c r="V42" s="603"/>
      <c r="W42" s="603"/>
      <c r="X42" s="603"/>
      <c r="Y42" s="603"/>
      <c r="Z42" s="600">
        <v>46247</v>
      </c>
      <c r="AA42" s="601"/>
      <c r="AB42" s="601"/>
      <c r="AC42" s="601"/>
      <c r="AD42" s="601"/>
      <c r="AE42" s="602">
        <v>46248</v>
      </c>
      <c r="AF42" s="603"/>
      <c r="AG42" s="603"/>
      <c r="AH42" s="603"/>
      <c r="AI42" s="603"/>
      <c r="AJ42" s="609">
        <v>46249</v>
      </c>
      <c r="AK42" s="610"/>
      <c r="AL42" s="610"/>
      <c r="AM42" s="610"/>
      <c r="AN42" s="611"/>
      <c r="AO42" s="602">
        <v>46250</v>
      </c>
      <c r="AP42" s="603"/>
      <c r="AQ42" s="603"/>
      <c r="AR42" s="603"/>
      <c r="AS42" s="603"/>
      <c r="AT42" s="609">
        <v>46251</v>
      </c>
      <c r="AU42" s="610"/>
      <c r="AV42" s="610"/>
      <c r="AW42" s="610"/>
      <c r="AX42" s="611"/>
    </row>
    <row r="43" spans="2:50" ht="14.25" customHeight="1">
      <c r="B43" s="615"/>
      <c r="C43" s="615"/>
      <c r="D43" s="615"/>
      <c r="E43" s="615"/>
      <c r="F43" s="615"/>
      <c r="G43" s="615"/>
      <c r="H43" s="615"/>
      <c r="I43" s="615"/>
      <c r="J43" s="615"/>
      <c r="K43" s="615"/>
      <c r="L43" s="615"/>
      <c r="M43" s="616"/>
      <c r="N43" s="618"/>
      <c r="O43" s="618"/>
      <c r="P43" s="604">
        <v>46196</v>
      </c>
      <c r="Q43" s="604"/>
      <c r="R43" s="604"/>
      <c r="S43" s="604"/>
      <c r="T43" s="604"/>
      <c r="U43" s="605">
        <v>46197</v>
      </c>
      <c r="V43" s="605"/>
      <c r="W43" s="605"/>
      <c r="X43" s="605"/>
      <c r="Y43" s="605"/>
      <c r="Z43" s="604">
        <v>46198</v>
      </c>
      <c r="AA43" s="604"/>
      <c r="AB43" s="604"/>
      <c r="AC43" s="604"/>
      <c r="AD43" s="604"/>
      <c r="AE43" s="605">
        <v>46199</v>
      </c>
      <c r="AF43" s="605"/>
      <c r="AG43" s="605"/>
      <c r="AH43" s="605"/>
      <c r="AI43" s="605"/>
      <c r="AJ43" s="606">
        <v>46200</v>
      </c>
      <c r="AK43" s="607"/>
      <c r="AL43" s="607"/>
      <c r="AM43" s="607"/>
      <c r="AN43" s="608"/>
      <c r="AO43" s="605">
        <v>46201</v>
      </c>
      <c r="AP43" s="605"/>
      <c r="AQ43" s="605"/>
      <c r="AR43" s="605"/>
      <c r="AS43" s="605"/>
      <c r="AT43" s="606">
        <v>46202</v>
      </c>
      <c r="AU43" s="607"/>
      <c r="AV43" s="607"/>
      <c r="AW43" s="607"/>
      <c r="AX43" s="608"/>
    </row>
    <row r="44" spans="2:50" ht="14.25" customHeight="1">
      <c r="B44" s="586" t="s">
        <v>162</v>
      </c>
      <c r="C44" s="586" t="s">
        <v>157</v>
      </c>
      <c r="D44" s="586"/>
      <c r="E44" s="586" t="s">
        <v>158</v>
      </c>
      <c r="F44" s="586"/>
      <c r="G44" s="586"/>
      <c r="H44" s="586" t="s">
        <v>163</v>
      </c>
      <c r="I44" s="592" t="s">
        <v>342</v>
      </c>
      <c r="J44" s="592"/>
      <c r="K44" s="592"/>
      <c r="L44" s="592" t="s">
        <v>163</v>
      </c>
      <c r="M44" s="592" t="s">
        <v>165</v>
      </c>
      <c r="N44" s="586"/>
      <c r="O44" s="586" t="s">
        <v>164</v>
      </c>
      <c r="P44" s="586" t="s">
        <v>160</v>
      </c>
      <c r="Q44" s="586"/>
      <c r="R44" s="586"/>
      <c r="S44" s="586"/>
      <c r="T44" s="586" t="s">
        <v>163</v>
      </c>
      <c r="U44" s="586" t="s">
        <v>160</v>
      </c>
      <c r="V44" s="586"/>
      <c r="W44" s="586"/>
      <c r="X44" s="586"/>
      <c r="Y44" s="586" t="s">
        <v>163</v>
      </c>
      <c r="Z44" s="586" t="s">
        <v>160</v>
      </c>
      <c r="AA44" s="586"/>
      <c r="AB44" s="586"/>
      <c r="AC44" s="586"/>
      <c r="AD44" s="586" t="s">
        <v>163</v>
      </c>
      <c r="AE44" s="586" t="s">
        <v>160</v>
      </c>
      <c r="AF44" s="586"/>
      <c r="AG44" s="586"/>
      <c r="AH44" s="586"/>
      <c r="AI44" s="586" t="s">
        <v>163</v>
      </c>
      <c r="AJ44" s="586" t="s">
        <v>160</v>
      </c>
      <c r="AK44" s="586"/>
      <c r="AL44" s="586"/>
      <c r="AM44" s="586"/>
      <c r="AN44" s="586" t="s">
        <v>163</v>
      </c>
      <c r="AO44" s="586" t="s">
        <v>160</v>
      </c>
      <c r="AP44" s="586"/>
      <c r="AQ44" s="586"/>
      <c r="AR44" s="586"/>
      <c r="AS44" s="586" t="s">
        <v>163</v>
      </c>
      <c r="AT44" s="586" t="s">
        <v>160</v>
      </c>
      <c r="AU44" s="586"/>
      <c r="AV44" s="586"/>
      <c r="AW44" s="586"/>
      <c r="AX44" s="586" t="s">
        <v>163</v>
      </c>
    </row>
    <row r="45" spans="2:50" ht="14.25" customHeight="1">
      <c r="B45" s="586"/>
      <c r="C45" s="586"/>
      <c r="D45" s="586"/>
      <c r="E45" s="586" t="s">
        <v>343</v>
      </c>
      <c r="F45" s="586"/>
      <c r="G45" s="586"/>
      <c r="H45" s="586"/>
      <c r="I45" s="592" t="s">
        <v>343</v>
      </c>
      <c r="J45" s="592"/>
      <c r="K45" s="592"/>
      <c r="L45" s="592"/>
      <c r="M45" s="592"/>
      <c r="N45" s="586"/>
      <c r="O45" s="586"/>
      <c r="P45" s="586" t="s">
        <v>344</v>
      </c>
      <c r="Q45" s="586"/>
      <c r="R45" s="586"/>
      <c r="S45" s="586"/>
      <c r="T45" s="586"/>
      <c r="U45" s="586" t="s">
        <v>344</v>
      </c>
      <c r="V45" s="586"/>
      <c r="W45" s="586"/>
      <c r="X45" s="586"/>
      <c r="Y45" s="586"/>
      <c r="Z45" s="586" t="s">
        <v>344</v>
      </c>
      <c r="AA45" s="586"/>
      <c r="AB45" s="586"/>
      <c r="AC45" s="586"/>
      <c r="AD45" s="586"/>
      <c r="AE45" s="586" t="s">
        <v>344</v>
      </c>
      <c r="AF45" s="586"/>
      <c r="AG45" s="586"/>
      <c r="AH45" s="586"/>
      <c r="AI45" s="586"/>
      <c r="AJ45" s="586" t="s">
        <v>344</v>
      </c>
      <c r="AK45" s="586"/>
      <c r="AL45" s="586"/>
      <c r="AM45" s="586"/>
      <c r="AN45" s="586"/>
      <c r="AO45" s="586" t="s">
        <v>344</v>
      </c>
      <c r="AP45" s="586"/>
      <c r="AQ45" s="586"/>
      <c r="AR45" s="586"/>
      <c r="AS45" s="586"/>
      <c r="AT45" s="586" t="s">
        <v>344</v>
      </c>
      <c r="AU45" s="586"/>
      <c r="AV45" s="586"/>
      <c r="AW45" s="586"/>
      <c r="AX45" s="586"/>
    </row>
    <row r="46" spans="2:50" ht="14.25" customHeight="1">
      <c r="B46" s="586"/>
      <c r="C46" s="586"/>
      <c r="D46" s="586"/>
      <c r="E46" s="179" t="s">
        <v>159</v>
      </c>
      <c r="F46" s="179" t="s">
        <v>345</v>
      </c>
      <c r="G46" s="179" t="s">
        <v>161</v>
      </c>
      <c r="H46" s="586"/>
      <c r="I46" s="180" t="s">
        <v>159</v>
      </c>
      <c r="J46" s="180" t="s">
        <v>345</v>
      </c>
      <c r="K46" s="180" t="s">
        <v>161</v>
      </c>
      <c r="L46" s="592"/>
      <c r="M46" s="592"/>
      <c r="N46" s="586"/>
      <c r="O46" s="586"/>
      <c r="P46" s="179" t="s">
        <v>159</v>
      </c>
      <c r="Q46" s="179" t="s">
        <v>345</v>
      </c>
      <c r="R46" s="179" t="s">
        <v>161</v>
      </c>
      <c r="S46" s="181" t="s">
        <v>165</v>
      </c>
      <c r="T46" s="586"/>
      <c r="U46" s="179" t="s">
        <v>159</v>
      </c>
      <c r="V46" s="179" t="s">
        <v>345</v>
      </c>
      <c r="W46" s="179" t="s">
        <v>161</v>
      </c>
      <c r="X46" s="181" t="s">
        <v>165</v>
      </c>
      <c r="Y46" s="586"/>
      <c r="Z46" s="179" t="s">
        <v>159</v>
      </c>
      <c r="AA46" s="179" t="s">
        <v>345</v>
      </c>
      <c r="AB46" s="179" t="s">
        <v>161</v>
      </c>
      <c r="AC46" s="181" t="s">
        <v>165</v>
      </c>
      <c r="AD46" s="586"/>
      <c r="AE46" s="179" t="s">
        <v>159</v>
      </c>
      <c r="AF46" s="179" t="s">
        <v>345</v>
      </c>
      <c r="AG46" s="179" t="s">
        <v>161</v>
      </c>
      <c r="AH46" s="181" t="s">
        <v>165</v>
      </c>
      <c r="AI46" s="586"/>
      <c r="AJ46" s="179" t="s">
        <v>159</v>
      </c>
      <c r="AK46" s="179" t="s">
        <v>345</v>
      </c>
      <c r="AL46" s="179" t="s">
        <v>161</v>
      </c>
      <c r="AM46" s="181" t="s">
        <v>165</v>
      </c>
      <c r="AN46" s="586"/>
      <c r="AO46" s="179" t="s">
        <v>159</v>
      </c>
      <c r="AP46" s="179" t="s">
        <v>345</v>
      </c>
      <c r="AQ46" s="179" t="s">
        <v>161</v>
      </c>
      <c r="AR46" s="181" t="s">
        <v>165</v>
      </c>
      <c r="AS46" s="586"/>
      <c r="AT46" s="179" t="s">
        <v>159</v>
      </c>
      <c r="AU46" s="179" t="s">
        <v>345</v>
      </c>
      <c r="AV46" s="179" t="s">
        <v>161</v>
      </c>
      <c r="AW46" s="181" t="s">
        <v>165</v>
      </c>
      <c r="AX46" s="586"/>
    </row>
    <row r="47" spans="2:50" ht="14.25" customHeight="1">
      <c r="B47" s="586" t="s">
        <v>349</v>
      </c>
      <c r="C47" s="179">
        <v>1</v>
      </c>
      <c r="D47" s="182" t="s">
        <v>492</v>
      </c>
      <c r="E47" s="183">
        <v>20</v>
      </c>
      <c r="F47" s="179">
        <v>3600</v>
      </c>
      <c r="G47" s="184">
        <f t="shared" ref="G47:G54" si="32">IFERROR(F47/E47,"")</f>
        <v>180</v>
      </c>
      <c r="H47" s="588">
        <f>AVERAGE(G47:G61)</f>
        <v>172.72556390977442</v>
      </c>
      <c r="I47" s="185">
        <f>AVERAGE(P47,U47,Z47,AE47,AJ47,AO47,AT47)</f>
        <v>20</v>
      </c>
      <c r="J47" s="185">
        <f>AVERAGE(Q47,V47,AA47,AF47,AK47,AP47,AU47)</f>
        <v>3268.8898364963547</v>
      </c>
      <c r="K47" s="186">
        <f>AVERAGE(R47,W47,AB47,AG47,AL47,AQ47,AV47)</f>
        <v>163.44449182481776</v>
      </c>
      <c r="L47" s="589">
        <f>IFERROR(AVERAGE(K47:K61),"-")</f>
        <v>155.30589627338261</v>
      </c>
      <c r="M47" s="185">
        <f>RANK(K47, K$47:$K$61)</f>
        <v>3</v>
      </c>
      <c r="N47" s="586"/>
      <c r="O47" s="586"/>
      <c r="P47" s="187">
        <v>20</v>
      </c>
      <c r="Q47" s="187">
        <v>3267.9641222106407</v>
      </c>
      <c r="R47" s="184">
        <f>IFERROR(Q47/P47,"")</f>
        <v>163.39820611053204</v>
      </c>
      <c r="S47" s="181">
        <f>RANK(R47, R$47:R$61)</f>
        <v>3</v>
      </c>
      <c r="T47" s="588">
        <f>AVERAGE(R47:R61)</f>
        <v>155.32949663663024</v>
      </c>
      <c r="U47" s="187">
        <v>20</v>
      </c>
      <c r="V47" s="187">
        <v>3268.6841222106405</v>
      </c>
      <c r="W47" s="184">
        <f t="shared" ref="W47:W54" si="33">IFERROR(V47/U47,"")</f>
        <v>163.43420611053202</v>
      </c>
      <c r="X47" s="181">
        <f>RANK(W47, W$47:W$61)</f>
        <v>3</v>
      </c>
      <c r="Y47" s="588">
        <f>AVERAGE(W47:W61)</f>
        <v>155.3142992682092</v>
      </c>
      <c r="Z47" s="187">
        <v>20</v>
      </c>
      <c r="AA47" s="187">
        <v>3269.0441222106401</v>
      </c>
      <c r="AB47" s="184">
        <f>IFERROR(AA47/Z47,"")</f>
        <v>163.45220611053202</v>
      </c>
      <c r="AC47" s="181">
        <f>RANK(AB47, AB$47:AB$61)</f>
        <v>3</v>
      </c>
      <c r="AD47" s="588">
        <f>AVERAGE(AB47:AB61)</f>
        <v>155.28592614790841</v>
      </c>
      <c r="AE47" s="187">
        <v>20</v>
      </c>
      <c r="AF47" s="187">
        <v>3268.3241222106408</v>
      </c>
      <c r="AG47" s="184">
        <f>IFERROR(AF47/AE47,"")</f>
        <v>163.41620611053204</v>
      </c>
      <c r="AH47" s="181">
        <f>RANK(AG47, AG$47:AG$61)</f>
        <v>3</v>
      </c>
      <c r="AI47" s="588">
        <f>AVERAGE(AG47:AG61)</f>
        <v>155.31064492706406</v>
      </c>
      <c r="AJ47" s="187">
        <v>20</v>
      </c>
      <c r="AK47" s="187">
        <v>3269.4041222106412</v>
      </c>
      <c r="AL47" s="184">
        <f>IFERROR(AK47/AJ47,"")</f>
        <v>163.47020611053205</v>
      </c>
      <c r="AM47" s="181">
        <f>RANK(AL47, AL$47:AL$61)</f>
        <v>3</v>
      </c>
      <c r="AN47" s="588">
        <f>AVERAGE(AL47:AL61)</f>
        <v>155.30034460452185</v>
      </c>
      <c r="AO47" s="187">
        <v>20</v>
      </c>
      <c r="AP47" s="187">
        <v>3269.044122210641</v>
      </c>
      <c r="AQ47" s="184">
        <f>IFERROR(AP47/AO47,"")</f>
        <v>163.45220611053205</v>
      </c>
      <c r="AR47" s="181">
        <f>RANK(AQ47, AQ$47:AQ$61)</f>
        <v>3</v>
      </c>
      <c r="AS47" s="588">
        <f>AVERAGE(AQ47:AQ61)</f>
        <v>155.29265287519851</v>
      </c>
      <c r="AT47" s="187">
        <v>20</v>
      </c>
      <c r="AU47" s="187">
        <v>3269.7641222106408</v>
      </c>
      <c r="AV47" s="184">
        <f>IFERROR(AU47/AT47,"")</f>
        <v>163.48820611053205</v>
      </c>
      <c r="AW47" s="181">
        <f>RANK(AV47, AV$47:AV$61)</f>
        <v>3</v>
      </c>
      <c r="AX47" s="588">
        <f>AVERAGE(AV47:AV61)</f>
        <v>155.30790945414589</v>
      </c>
    </row>
    <row r="48" spans="2:50" ht="14.25" customHeight="1">
      <c r="B48" s="586"/>
      <c r="C48" s="179">
        <v>2</v>
      </c>
      <c r="D48" s="182" t="s">
        <v>493</v>
      </c>
      <c r="E48" s="179">
        <v>21</v>
      </c>
      <c r="F48" s="179">
        <v>3600</v>
      </c>
      <c r="G48" s="184">
        <f t="shared" si="32"/>
        <v>171.42857142857142</v>
      </c>
      <c r="H48" s="588"/>
      <c r="I48" s="185">
        <f t="shared" ref="I48:K54" si="34">AVERAGE(P48,U48,Z48,AE48,AJ48,AO48,AT48)</f>
        <v>21</v>
      </c>
      <c r="J48" s="185">
        <f t="shared" si="34"/>
        <v>3268.7777543417178</v>
      </c>
      <c r="K48" s="186">
        <f t="shared" si="34"/>
        <v>155.65608354008182</v>
      </c>
      <c r="L48" s="589"/>
      <c r="M48" s="185">
        <f>RANK(K48, K$47:$K$61)</f>
        <v>5</v>
      </c>
      <c r="N48" s="586"/>
      <c r="O48" s="586"/>
      <c r="P48" s="187">
        <v>21</v>
      </c>
      <c r="Q48" s="187">
        <v>3268.2120400560038</v>
      </c>
      <c r="R48" s="184">
        <f t="shared" ref="R48:R54" si="35">IFERROR(Q48/P48,"")</f>
        <v>155.62914476457161</v>
      </c>
      <c r="S48" s="181">
        <f t="shared" ref="S48:S54" si="36">RANK(R48, R$47:R$61)</f>
        <v>5</v>
      </c>
      <c r="T48" s="588"/>
      <c r="U48" s="187">
        <v>21</v>
      </c>
      <c r="V48" s="187">
        <v>3267.1320400560039</v>
      </c>
      <c r="W48" s="184">
        <f t="shared" si="33"/>
        <v>155.57771619314303</v>
      </c>
      <c r="X48" s="181">
        <f t="shared" ref="X48:X54" si="37">RANK(W48, W$47:W$61)</f>
        <v>5</v>
      </c>
      <c r="Y48" s="588"/>
      <c r="Z48" s="187">
        <v>21</v>
      </c>
      <c r="AA48" s="187">
        <v>3268.572040056004</v>
      </c>
      <c r="AB48" s="184">
        <f t="shared" ref="AB48:AB54" si="38">IFERROR(AA48/Z48,"")</f>
        <v>155.64628762171446</v>
      </c>
      <c r="AC48" s="181">
        <f t="shared" ref="AC48:AC54" si="39">RANK(AB48, AB$47:AB$61)</f>
        <v>5</v>
      </c>
      <c r="AD48" s="588"/>
      <c r="AE48" s="187">
        <v>21</v>
      </c>
      <c r="AF48" s="187">
        <v>3270.0120400560031</v>
      </c>
      <c r="AG48" s="184">
        <f t="shared" ref="AG48:AG54" si="40">IFERROR(AF48/AE48,"")</f>
        <v>155.71485905028587</v>
      </c>
      <c r="AH48" s="181">
        <f t="shared" ref="AH48:AH54" si="41">RANK(AG48, AG$47:AG$61)</f>
        <v>5</v>
      </c>
      <c r="AI48" s="588"/>
      <c r="AJ48" s="187">
        <v>21</v>
      </c>
      <c r="AK48" s="187">
        <v>3268.5720400560035</v>
      </c>
      <c r="AL48" s="184">
        <f t="shared" ref="AL48:AL54" si="42">IFERROR(AK48/AJ48,"")</f>
        <v>155.64628762171446</v>
      </c>
      <c r="AM48" s="181">
        <f t="shared" ref="AM48:AM54" si="43">RANK(AL48, AL$47:AL$61)</f>
        <v>5</v>
      </c>
      <c r="AN48" s="588"/>
      <c r="AO48" s="187">
        <v>21</v>
      </c>
      <c r="AP48" s="187">
        <v>3269.2920400560038</v>
      </c>
      <c r="AQ48" s="184">
        <f t="shared" ref="AQ48:AQ54" si="44">IFERROR(AP48/AO48,"")</f>
        <v>155.68057333600018</v>
      </c>
      <c r="AR48" s="181">
        <f t="shared" ref="AR48:AR54" si="45">RANK(AQ48, AQ$47:AQ$61)</f>
        <v>5</v>
      </c>
      <c r="AS48" s="588"/>
      <c r="AT48" s="187">
        <v>21</v>
      </c>
      <c r="AU48" s="187">
        <v>3269.6520400560039</v>
      </c>
      <c r="AV48" s="184">
        <f t="shared" ref="AV48:AV54" si="46">IFERROR(AU48/AT48,"")</f>
        <v>155.69771619314304</v>
      </c>
      <c r="AW48" s="181">
        <f t="shared" ref="AW48:AW54" si="47">RANK(AV48, AV$47:AV$61)</f>
        <v>5</v>
      </c>
      <c r="AX48" s="588"/>
    </row>
    <row r="49" spans="2:50" ht="14.25" customHeight="1">
      <c r="B49" s="586"/>
      <c r="C49" s="179">
        <v>3</v>
      </c>
      <c r="D49" s="182" t="s">
        <v>536</v>
      </c>
      <c r="E49" s="179">
        <v>19</v>
      </c>
      <c r="F49" s="179">
        <v>3600</v>
      </c>
      <c r="G49" s="184">
        <f t="shared" si="32"/>
        <v>189.47368421052633</v>
      </c>
      <c r="H49" s="588"/>
      <c r="I49" s="185">
        <f t="shared" si="34"/>
        <v>19</v>
      </c>
      <c r="J49" s="185">
        <f t="shared" si="34"/>
        <v>3191.6695649779685</v>
      </c>
      <c r="K49" s="186">
        <f t="shared" si="34"/>
        <v>167.98260868305098</v>
      </c>
      <c r="L49" s="589"/>
      <c r="M49" s="185">
        <f>RANK(K49, K$47:$K$61)</f>
        <v>2</v>
      </c>
      <c r="N49" s="586"/>
      <c r="O49" s="586"/>
      <c r="P49" s="187">
        <v>19</v>
      </c>
      <c r="Q49" s="187">
        <v>3191.9109823780727</v>
      </c>
      <c r="R49" s="184">
        <f t="shared" si="35"/>
        <v>167.99531486200382</v>
      </c>
      <c r="S49" s="181">
        <f t="shared" si="36"/>
        <v>2</v>
      </c>
      <c r="T49" s="588"/>
      <c r="U49" s="187">
        <v>19</v>
      </c>
      <c r="V49" s="187">
        <v>3190.8309823780723</v>
      </c>
      <c r="W49" s="184">
        <f t="shared" si="33"/>
        <v>167.93847275674065</v>
      </c>
      <c r="X49" s="181">
        <f t="shared" si="37"/>
        <v>2</v>
      </c>
      <c r="Y49" s="588"/>
      <c r="Z49" s="187">
        <v>19</v>
      </c>
      <c r="AA49" s="187">
        <v>3189.7509823780724</v>
      </c>
      <c r="AB49" s="184">
        <f t="shared" si="38"/>
        <v>167.88163065147751</v>
      </c>
      <c r="AC49" s="181">
        <f t="shared" si="39"/>
        <v>2</v>
      </c>
      <c r="AD49" s="588"/>
      <c r="AE49" s="187">
        <v>19</v>
      </c>
      <c r="AF49" s="187">
        <v>3192.7485019278911</v>
      </c>
      <c r="AG49" s="184">
        <f t="shared" si="40"/>
        <v>168.03939483831005</v>
      </c>
      <c r="AH49" s="181">
        <f t="shared" si="41"/>
        <v>2</v>
      </c>
      <c r="AI49" s="588"/>
      <c r="AJ49" s="187">
        <v>19</v>
      </c>
      <c r="AK49" s="187">
        <v>3191.6685019278907</v>
      </c>
      <c r="AL49" s="184">
        <f t="shared" si="42"/>
        <v>167.98255273304687</v>
      </c>
      <c r="AM49" s="181">
        <f t="shared" si="43"/>
        <v>1</v>
      </c>
      <c r="AN49" s="588"/>
      <c r="AO49" s="187">
        <v>19</v>
      </c>
      <c r="AP49" s="187">
        <v>3191.6685019278907</v>
      </c>
      <c r="AQ49" s="184">
        <f t="shared" si="44"/>
        <v>167.98255273304687</v>
      </c>
      <c r="AR49" s="181">
        <f t="shared" si="45"/>
        <v>2</v>
      </c>
      <c r="AS49" s="588"/>
      <c r="AT49" s="187">
        <v>19</v>
      </c>
      <c r="AU49" s="187">
        <v>3193.1085019278903</v>
      </c>
      <c r="AV49" s="184">
        <f t="shared" si="46"/>
        <v>168.05834220673106</v>
      </c>
      <c r="AW49" s="181">
        <f t="shared" si="47"/>
        <v>1</v>
      </c>
      <c r="AX49" s="588"/>
    </row>
    <row r="50" spans="2:50" ht="14.25" customHeight="1">
      <c r="B50" s="586"/>
      <c r="C50" s="179">
        <v>4</v>
      </c>
      <c r="D50" s="182" t="s">
        <v>531</v>
      </c>
      <c r="E50" s="179">
        <v>24</v>
      </c>
      <c r="F50" s="179">
        <v>3600</v>
      </c>
      <c r="G50" s="184">
        <f t="shared" si="32"/>
        <v>150</v>
      </c>
      <c r="H50" s="588"/>
      <c r="I50" s="185">
        <f t="shared" si="34"/>
        <v>24</v>
      </c>
      <c r="J50" s="185">
        <f t="shared" si="34"/>
        <v>3264.7614294694918</v>
      </c>
      <c r="K50" s="186">
        <f t="shared" si="34"/>
        <v>136.03172622789549</v>
      </c>
      <c r="L50" s="589"/>
      <c r="M50" s="185">
        <f>RANK(K50, K$47:$K$61)</f>
        <v>8</v>
      </c>
      <c r="N50" s="586"/>
      <c r="O50" s="586"/>
      <c r="P50" s="187">
        <v>24</v>
      </c>
      <c r="Q50" s="187">
        <v>3265.9442866123491</v>
      </c>
      <c r="R50" s="184">
        <f t="shared" si="35"/>
        <v>136.08101194218122</v>
      </c>
      <c r="S50" s="181">
        <f t="shared" si="36"/>
        <v>8</v>
      </c>
      <c r="T50" s="588"/>
      <c r="U50" s="187">
        <v>24</v>
      </c>
      <c r="V50" s="187">
        <v>3266.6642866123489</v>
      </c>
      <c r="W50" s="184">
        <f t="shared" si="33"/>
        <v>136.11101194218119</v>
      </c>
      <c r="X50" s="181">
        <f t="shared" si="37"/>
        <v>8</v>
      </c>
      <c r="Y50" s="588"/>
      <c r="Z50" s="187">
        <v>24</v>
      </c>
      <c r="AA50" s="187">
        <v>3265.2242866123488</v>
      </c>
      <c r="AB50" s="184">
        <f t="shared" si="38"/>
        <v>136.05101194218119</v>
      </c>
      <c r="AC50" s="181">
        <f t="shared" si="39"/>
        <v>8</v>
      </c>
      <c r="AD50" s="588"/>
      <c r="AE50" s="187">
        <v>24</v>
      </c>
      <c r="AF50" s="187">
        <v>3264.504286612349</v>
      </c>
      <c r="AG50" s="184">
        <f t="shared" si="40"/>
        <v>136.02101194218122</v>
      </c>
      <c r="AH50" s="181">
        <f t="shared" si="41"/>
        <v>8</v>
      </c>
      <c r="AI50" s="588"/>
      <c r="AJ50" s="187">
        <v>24</v>
      </c>
      <c r="AK50" s="187">
        <v>3264.5042866123495</v>
      </c>
      <c r="AL50" s="184">
        <f t="shared" si="42"/>
        <v>136.02101194218122</v>
      </c>
      <c r="AM50" s="181">
        <f t="shared" si="43"/>
        <v>8</v>
      </c>
      <c r="AN50" s="588"/>
      <c r="AO50" s="187">
        <v>24</v>
      </c>
      <c r="AP50" s="187">
        <v>3262.7042866123497</v>
      </c>
      <c r="AQ50" s="184">
        <f t="shared" si="44"/>
        <v>135.94601194218123</v>
      </c>
      <c r="AR50" s="181">
        <f t="shared" si="45"/>
        <v>8</v>
      </c>
      <c r="AS50" s="588"/>
      <c r="AT50" s="187">
        <v>24</v>
      </c>
      <c r="AU50" s="187">
        <v>3263.7842866123497</v>
      </c>
      <c r="AV50" s="184">
        <f t="shared" si="46"/>
        <v>135.99101194218125</v>
      </c>
      <c r="AW50" s="181">
        <f t="shared" si="47"/>
        <v>8</v>
      </c>
      <c r="AX50" s="588"/>
    </row>
    <row r="51" spans="2:50" ht="14.25" customHeight="1">
      <c r="B51" s="586"/>
      <c r="C51" s="179">
        <v>5</v>
      </c>
      <c r="D51" s="182" t="s">
        <v>494</v>
      </c>
      <c r="E51" s="179">
        <v>19</v>
      </c>
      <c r="F51" s="179">
        <v>3600</v>
      </c>
      <c r="G51" s="184">
        <f t="shared" si="32"/>
        <v>189.47368421052633</v>
      </c>
      <c r="H51" s="588"/>
      <c r="I51" s="185">
        <f t="shared" si="34"/>
        <v>19</v>
      </c>
      <c r="J51" s="185">
        <f t="shared" si="34"/>
        <v>3192.4429535813078</v>
      </c>
      <c r="K51" s="186">
        <f t="shared" si="34"/>
        <v>168.02331334638464</v>
      </c>
      <c r="L51" s="589"/>
      <c r="M51" s="185">
        <f>RANK(K51, K$47:$K$61)</f>
        <v>1</v>
      </c>
      <c r="N51" s="586"/>
      <c r="O51" s="586"/>
      <c r="P51" s="187">
        <v>19</v>
      </c>
      <c r="Q51" s="187">
        <v>3194.5087377304608</v>
      </c>
      <c r="R51" s="184">
        <f t="shared" si="35"/>
        <v>168.13203882791899</v>
      </c>
      <c r="S51" s="181">
        <f t="shared" si="36"/>
        <v>1</v>
      </c>
      <c r="T51" s="588"/>
      <c r="U51" s="187">
        <v>19</v>
      </c>
      <c r="V51" s="187">
        <v>3192.7087377304611</v>
      </c>
      <c r="W51" s="184">
        <f t="shared" si="33"/>
        <v>168.03730198581374</v>
      </c>
      <c r="X51" s="181">
        <f t="shared" si="37"/>
        <v>1</v>
      </c>
      <c r="Y51" s="588"/>
      <c r="Z51" s="187">
        <v>19</v>
      </c>
      <c r="AA51" s="187">
        <v>3192.7087377304606</v>
      </c>
      <c r="AB51" s="184">
        <f t="shared" si="38"/>
        <v>168.03730198581371</v>
      </c>
      <c r="AC51" s="181">
        <f t="shared" si="39"/>
        <v>1</v>
      </c>
      <c r="AD51" s="588"/>
      <c r="AE51" s="187">
        <v>19</v>
      </c>
      <c r="AF51" s="187">
        <v>3192.963615469444</v>
      </c>
      <c r="AG51" s="184">
        <f t="shared" si="40"/>
        <v>168.05071660365493</v>
      </c>
      <c r="AH51" s="181">
        <f t="shared" si="41"/>
        <v>1</v>
      </c>
      <c r="AI51" s="588"/>
      <c r="AJ51" s="187">
        <v>19</v>
      </c>
      <c r="AK51" s="187">
        <v>3191.5236154694435</v>
      </c>
      <c r="AL51" s="184">
        <f t="shared" si="42"/>
        <v>167.97492712997072</v>
      </c>
      <c r="AM51" s="181">
        <f t="shared" si="43"/>
        <v>2</v>
      </c>
      <c r="AN51" s="588"/>
      <c r="AO51" s="187">
        <v>19</v>
      </c>
      <c r="AP51" s="187">
        <v>3192.2436154694437</v>
      </c>
      <c r="AQ51" s="184">
        <f t="shared" si="44"/>
        <v>168.01282186681283</v>
      </c>
      <c r="AR51" s="181">
        <f t="shared" si="45"/>
        <v>1</v>
      </c>
      <c r="AS51" s="588"/>
      <c r="AT51" s="187">
        <v>19</v>
      </c>
      <c r="AU51" s="187">
        <v>3190.4436154694436</v>
      </c>
      <c r="AV51" s="184">
        <f t="shared" si="46"/>
        <v>167.91808502470755</v>
      </c>
      <c r="AW51" s="181">
        <f t="shared" si="47"/>
        <v>2</v>
      </c>
      <c r="AX51" s="588"/>
    </row>
    <row r="52" spans="2:50" ht="14.25" customHeight="1">
      <c r="B52" s="586"/>
      <c r="C52" s="179">
        <v>6</v>
      </c>
      <c r="D52" s="182" t="s">
        <v>544</v>
      </c>
      <c r="E52" s="179">
        <v>24</v>
      </c>
      <c r="F52" s="179">
        <v>3600</v>
      </c>
      <c r="G52" s="184">
        <f t="shared" si="32"/>
        <v>150</v>
      </c>
      <c r="H52" s="588"/>
      <c r="I52" s="185">
        <f t="shared" si="34"/>
        <v>24</v>
      </c>
      <c r="J52" s="185">
        <f t="shared" si="34"/>
        <v>3267.5112897654326</v>
      </c>
      <c r="K52" s="186">
        <f t="shared" si="34"/>
        <v>136.14630374022639</v>
      </c>
      <c r="L52" s="589"/>
      <c r="M52" s="185">
        <f>RANK(K52, K$47:$K$61)</f>
        <v>7</v>
      </c>
      <c r="N52" s="586"/>
      <c r="O52" s="586"/>
      <c r="P52" s="187">
        <v>24</v>
      </c>
      <c r="Q52" s="187">
        <v>3268.077004051147</v>
      </c>
      <c r="R52" s="184">
        <f t="shared" si="35"/>
        <v>136.1698751687978</v>
      </c>
      <c r="S52" s="181">
        <f t="shared" si="36"/>
        <v>7</v>
      </c>
      <c r="T52" s="588"/>
      <c r="U52" s="187">
        <v>24</v>
      </c>
      <c r="V52" s="187">
        <v>3268.077004051147</v>
      </c>
      <c r="W52" s="184">
        <f t="shared" si="33"/>
        <v>136.1698751687978</v>
      </c>
      <c r="X52" s="181">
        <f t="shared" si="37"/>
        <v>7</v>
      </c>
      <c r="Y52" s="588"/>
      <c r="Z52" s="187">
        <v>24</v>
      </c>
      <c r="AA52" s="187">
        <v>3266.2770040511477</v>
      </c>
      <c r="AB52" s="184">
        <f t="shared" si="38"/>
        <v>136.09487516879781</v>
      </c>
      <c r="AC52" s="181">
        <f t="shared" si="39"/>
        <v>7</v>
      </c>
      <c r="AD52" s="588"/>
      <c r="AE52" s="187">
        <v>24</v>
      </c>
      <c r="AF52" s="187">
        <v>3267.7170040511473</v>
      </c>
      <c r="AG52" s="184">
        <f t="shared" si="40"/>
        <v>136.15487516879782</v>
      </c>
      <c r="AH52" s="181">
        <f t="shared" si="41"/>
        <v>7</v>
      </c>
      <c r="AI52" s="588"/>
      <c r="AJ52" s="187">
        <v>24</v>
      </c>
      <c r="AK52" s="187">
        <v>3268.4370040511476</v>
      </c>
      <c r="AL52" s="184">
        <f t="shared" si="42"/>
        <v>136.18487516879782</v>
      </c>
      <c r="AM52" s="181">
        <f t="shared" si="43"/>
        <v>7</v>
      </c>
      <c r="AN52" s="588"/>
      <c r="AO52" s="187">
        <v>24</v>
      </c>
      <c r="AP52" s="187">
        <v>3267.3570040511477</v>
      </c>
      <c r="AQ52" s="184">
        <f t="shared" si="44"/>
        <v>136.13987516879783</v>
      </c>
      <c r="AR52" s="181">
        <f t="shared" si="45"/>
        <v>7</v>
      </c>
      <c r="AS52" s="588"/>
      <c r="AT52" s="187">
        <v>24</v>
      </c>
      <c r="AU52" s="187">
        <v>3266.6370040511479</v>
      </c>
      <c r="AV52" s="184">
        <f t="shared" si="46"/>
        <v>136.10987516879783</v>
      </c>
      <c r="AW52" s="181">
        <f t="shared" si="47"/>
        <v>7</v>
      </c>
      <c r="AX52" s="588"/>
    </row>
    <row r="53" spans="2:50" ht="14.25" customHeight="1">
      <c r="B53" s="586"/>
      <c r="C53" s="179">
        <v>7</v>
      </c>
      <c r="D53" s="182" t="s">
        <v>581</v>
      </c>
      <c r="E53" s="179">
        <v>20</v>
      </c>
      <c r="F53" s="179">
        <v>3600</v>
      </c>
      <c r="G53" s="184">
        <f t="shared" si="32"/>
        <v>180</v>
      </c>
      <c r="H53" s="588"/>
      <c r="I53" s="185">
        <f t="shared" si="34"/>
        <v>20</v>
      </c>
      <c r="J53" s="185">
        <f t="shared" si="34"/>
        <v>3262.4624247208967</v>
      </c>
      <c r="K53" s="186">
        <f t="shared" si="34"/>
        <v>163.12312123604485</v>
      </c>
      <c r="L53" s="589"/>
      <c r="M53" s="185">
        <f>RANK(K53, K$47:$K$61)</f>
        <v>4</v>
      </c>
      <c r="N53" s="586"/>
      <c r="O53" s="586"/>
      <c r="P53" s="187">
        <v>20</v>
      </c>
      <c r="Q53" s="187">
        <v>3262.616710435183</v>
      </c>
      <c r="R53" s="184">
        <f t="shared" si="35"/>
        <v>163.13083552175914</v>
      </c>
      <c r="S53" s="181">
        <f t="shared" si="36"/>
        <v>4</v>
      </c>
      <c r="T53" s="588"/>
      <c r="U53" s="187">
        <v>20</v>
      </c>
      <c r="V53" s="187">
        <v>3261.8967104351827</v>
      </c>
      <c r="W53" s="184">
        <f t="shared" si="33"/>
        <v>163.09483552175914</v>
      </c>
      <c r="X53" s="181">
        <f t="shared" si="37"/>
        <v>4</v>
      </c>
      <c r="Y53" s="588"/>
      <c r="Z53" s="187">
        <v>20</v>
      </c>
      <c r="AA53" s="187">
        <v>3261.1767104351829</v>
      </c>
      <c r="AB53" s="184">
        <f t="shared" si="38"/>
        <v>163.05883552175914</v>
      </c>
      <c r="AC53" s="181">
        <f t="shared" si="39"/>
        <v>4</v>
      </c>
      <c r="AD53" s="588"/>
      <c r="AE53" s="187">
        <v>20</v>
      </c>
      <c r="AF53" s="187">
        <v>3260.4567104351827</v>
      </c>
      <c r="AG53" s="184">
        <f t="shared" si="40"/>
        <v>163.02283552175913</v>
      </c>
      <c r="AH53" s="181">
        <f t="shared" si="41"/>
        <v>4</v>
      </c>
      <c r="AI53" s="588"/>
      <c r="AJ53" s="187">
        <v>20</v>
      </c>
      <c r="AK53" s="187">
        <v>3261.8967104351827</v>
      </c>
      <c r="AL53" s="184">
        <f t="shared" si="42"/>
        <v>163.09483552175914</v>
      </c>
      <c r="AM53" s="181">
        <f t="shared" si="43"/>
        <v>4</v>
      </c>
      <c r="AN53" s="588"/>
      <c r="AO53" s="187">
        <v>20</v>
      </c>
      <c r="AP53" s="187">
        <v>3263.696710435182</v>
      </c>
      <c r="AQ53" s="184">
        <f t="shared" si="44"/>
        <v>163.18483552175911</v>
      </c>
      <c r="AR53" s="181">
        <f t="shared" si="45"/>
        <v>4</v>
      </c>
      <c r="AS53" s="588"/>
      <c r="AT53" s="187">
        <v>20</v>
      </c>
      <c r="AU53" s="187">
        <v>3265.4967104351817</v>
      </c>
      <c r="AV53" s="184">
        <f t="shared" si="46"/>
        <v>163.27483552175909</v>
      </c>
      <c r="AW53" s="181">
        <f t="shared" si="47"/>
        <v>4</v>
      </c>
      <c r="AX53" s="588"/>
    </row>
    <row r="54" spans="2:50" ht="14.25" customHeight="1">
      <c r="B54" s="586"/>
      <c r="C54" s="179">
        <v>8</v>
      </c>
      <c r="D54" s="182" t="s">
        <v>690</v>
      </c>
      <c r="E54" s="179">
        <v>21</v>
      </c>
      <c r="F54" s="179">
        <v>3600</v>
      </c>
      <c r="G54" s="184">
        <f t="shared" si="32"/>
        <v>171.42857142857142</v>
      </c>
      <c r="H54" s="588"/>
      <c r="I54" s="185">
        <f t="shared" si="34"/>
        <v>21</v>
      </c>
      <c r="J54" s="185">
        <f t="shared" si="34"/>
        <v>3192.8299533597356</v>
      </c>
      <c r="K54" s="186">
        <f t="shared" si="34"/>
        <v>152.03952158855887</v>
      </c>
      <c r="L54" s="589"/>
      <c r="M54" s="185">
        <f>RANK(K54, K$47:$K$61)</f>
        <v>6</v>
      </c>
      <c r="N54" s="586"/>
      <c r="O54" s="586"/>
      <c r="P54" s="187">
        <v>21</v>
      </c>
      <c r="Q54" s="187">
        <v>3194.0904638008233</v>
      </c>
      <c r="R54" s="184">
        <f t="shared" si="35"/>
        <v>152.09954589527729</v>
      </c>
      <c r="S54" s="181">
        <f t="shared" si="36"/>
        <v>6</v>
      </c>
      <c r="T54" s="588"/>
      <c r="U54" s="187">
        <v>21</v>
      </c>
      <c r="V54" s="187">
        <v>3195.1704638008232</v>
      </c>
      <c r="W54" s="184">
        <f t="shared" si="33"/>
        <v>152.15097446670586</v>
      </c>
      <c r="X54" s="181">
        <f t="shared" si="37"/>
        <v>6</v>
      </c>
      <c r="Y54" s="588"/>
      <c r="Z54" s="187">
        <v>21</v>
      </c>
      <c r="AA54" s="187">
        <v>3193.3704638008239</v>
      </c>
      <c r="AB54" s="184">
        <f t="shared" si="38"/>
        <v>152.06526018099163</v>
      </c>
      <c r="AC54" s="181">
        <f t="shared" si="39"/>
        <v>6</v>
      </c>
      <c r="AD54" s="588"/>
      <c r="AE54" s="187">
        <v>21</v>
      </c>
      <c r="AF54" s="187">
        <v>3193.3704638008244</v>
      </c>
      <c r="AG54" s="184">
        <f t="shared" si="40"/>
        <v>152.06526018099163</v>
      </c>
      <c r="AH54" s="181">
        <f t="shared" si="41"/>
        <v>6</v>
      </c>
      <c r="AI54" s="588"/>
      <c r="AJ54" s="187">
        <v>21</v>
      </c>
      <c r="AK54" s="187">
        <v>3192.5892727716182</v>
      </c>
      <c r="AL54" s="184">
        <f t="shared" si="42"/>
        <v>152.0280606081723</v>
      </c>
      <c r="AM54" s="181">
        <f t="shared" si="43"/>
        <v>6</v>
      </c>
      <c r="AN54" s="588"/>
      <c r="AO54" s="187">
        <v>21</v>
      </c>
      <c r="AP54" s="187">
        <v>3190.7892727716189</v>
      </c>
      <c r="AQ54" s="184">
        <f t="shared" si="44"/>
        <v>151.94234632245804</v>
      </c>
      <c r="AR54" s="181">
        <f t="shared" si="45"/>
        <v>6</v>
      </c>
      <c r="AS54" s="588"/>
      <c r="AT54" s="187">
        <v>21</v>
      </c>
      <c r="AU54" s="187">
        <v>3190.4292727716193</v>
      </c>
      <c r="AV54" s="184">
        <f t="shared" si="46"/>
        <v>151.92520346531521</v>
      </c>
      <c r="AW54" s="181">
        <f t="shared" si="47"/>
        <v>6</v>
      </c>
      <c r="AX54" s="588"/>
    </row>
    <row r="55" spans="2:50" ht="14.25" customHeight="1">
      <c r="B55" s="586"/>
      <c r="C55" s="179">
        <v>9</v>
      </c>
      <c r="D55" s="182"/>
      <c r="E55" s="179"/>
      <c r="F55" s="179"/>
      <c r="G55" s="184"/>
      <c r="H55" s="588"/>
      <c r="I55" s="185"/>
      <c r="J55" s="185"/>
      <c r="K55" s="186"/>
      <c r="L55" s="589"/>
      <c r="M55" s="185"/>
      <c r="N55" s="586"/>
      <c r="O55" s="586"/>
      <c r="P55" s="187"/>
      <c r="Q55" s="187"/>
      <c r="R55" s="184"/>
      <c r="S55" s="181"/>
      <c r="T55" s="588"/>
      <c r="U55" s="187"/>
      <c r="V55" s="187"/>
      <c r="W55" s="184"/>
      <c r="X55" s="181"/>
      <c r="Y55" s="588"/>
      <c r="Z55" s="187"/>
      <c r="AA55" s="187"/>
      <c r="AB55" s="184"/>
      <c r="AC55" s="181"/>
      <c r="AD55" s="588"/>
      <c r="AE55" s="187"/>
      <c r="AF55" s="187"/>
      <c r="AG55" s="184"/>
      <c r="AH55" s="181"/>
      <c r="AI55" s="588"/>
      <c r="AJ55" s="187"/>
      <c r="AK55" s="187"/>
      <c r="AL55" s="184"/>
      <c r="AM55" s="181"/>
      <c r="AN55" s="588"/>
      <c r="AO55" s="187"/>
      <c r="AP55" s="187"/>
      <c r="AQ55" s="184"/>
      <c r="AR55" s="181"/>
      <c r="AS55" s="588"/>
      <c r="AT55" s="187"/>
      <c r="AU55" s="187"/>
      <c r="AV55" s="184"/>
      <c r="AW55" s="181"/>
      <c r="AX55" s="588"/>
    </row>
    <row r="56" spans="2:50" ht="14.25" customHeight="1">
      <c r="B56" s="586"/>
      <c r="C56" s="179">
        <v>10</v>
      </c>
      <c r="D56" s="182"/>
      <c r="E56" s="179"/>
      <c r="F56" s="179"/>
      <c r="G56" s="184"/>
      <c r="H56" s="588"/>
      <c r="I56" s="185"/>
      <c r="J56" s="185"/>
      <c r="K56" s="186"/>
      <c r="L56" s="589"/>
      <c r="M56" s="185"/>
      <c r="N56" s="586"/>
      <c r="O56" s="586"/>
      <c r="P56" s="187"/>
      <c r="Q56" s="187"/>
      <c r="R56" s="184"/>
      <c r="S56" s="181"/>
      <c r="T56" s="588"/>
      <c r="U56" s="187"/>
      <c r="V56" s="187"/>
      <c r="W56" s="184"/>
      <c r="X56" s="181"/>
      <c r="Y56" s="588"/>
      <c r="Z56" s="187"/>
      <c r="AA56" s="187"/>
      <c r="AB56" s="184"/>
      <c r="AC56" s="181"/>
      <c r="AD56" s="588"/>
      <c r="AE56" s="187"/>
      <c r="AF56" s="187"/>
      <c r="AG56" s="184"/>
      <c r="AH56" s="181"/>
      <c r="AI56" s="588"/>
      <c r="AJ56" s="187"/>
      <c r="AK56" s="187"/>
      <c r="AL56" s="184"/>
      <c r="AM56" s="181"/>
      <c r="AN56" s="588"/>
      <c r="AO56" s="187"/>
      <c r="AP56" s="187"/>
      <c r="AQ56" s="184"/>
      <c r="AR56" s="181"/>
      <c r="AS56" s="588"/>
      <c r="AT56" s="187"/>
      <c r="AU56" s="187"/>
      <c r="AV56" s="184"/>
      <c r="AW56" s="181"/>
      <c r="AX56" s="588"/>
    </row>
    <row r="57" spans="2:50" ht="14.25" customHeight="1">
      <c r="B57" s="586"/>
      <c r="C57" s="179">
        <v>11</v>
      </c>
      <c r="D57" s="182"/>
      <c r="E57" s="179"/>
      <c r="F57" s="179"/>
      <c r="G57" s="184"/>
      <c r="H57" s="588"/>
      <c r="I57" s="185"/>
      <c r="J57" s="185"/>
      <c r="K57" s="186"/>
      <c r="L57" s="589"/>
      <c r="M57" s="185"/>
      <c r="N57" s="586"/>
      <c r="O57" s="586"/>
      <c r="P57" s="187"/>
      <c r="Q57" s="187"/>
      <c r="R57" s="184"/>
      <c r="S57" s="181"/>
      <c r="T57" s="588"/>
      <c r="U57" s="187"/>
      <c r="V57" s="187"/>
      <c r="W57" s="184"/>
      <c r="X57" s="181"/>
      <c r="Y57" s="588"/>
      <c r="Z57" s="187"/>
      <c r="AA57" s="187"/>
      <c r="AB57" s="184"/>
      <c r="AC57" s="181"/>
      <c r="AD57" s="588"/>
      <c r="AE57" s="187"/>
      <c r="AF57" s="187"/>
      <c r="AG57" s="184"/>
      <c r="AH57" s="181"/>
      <c r="AI57" s="588"/>
      <c r="AJ57" s="187"/>
      <c r="AK57" s="187"/>
      <c r="AL57" s="184"/>
      <c r="AM57" s="181"/>
      <c r="AN57" s="588"/>
      <c r="AO57" s="187"/>
      <c r="AP57" s="187"/>
      <c r="AQ57" s="184"/>
      <c r="AR57" s="181"/>
      <c r="AS57" s="588"/>
      <c r="AT57" s="187"/>
      <c r="AU57" s="187"/>
      <c r="AV57" s="184"/>
      <c r="AW57" s="181"/>
      <c r="AX57" s="588"/>
    </row>
    <row r="58" spans="2:50" ht="14.25" customHeight="1">
      <c r="B58" s="586"/>
      <c r="C58" s="179">
        <v>12</v>
      </c>
      <c r="D58" s="182"/>
      <c r="E58" s="179"/>
      <c r="F58" s="179"/>
      <c r="G58" s="184"/>
      <c r="H58" s="588"/>
      <c r="I58" s="185"/>
      <c r="J58" s="185"/>
      <c r="K58" s="186"/>
      <c r="L58" s="589"/>
      <c r="M58" s="185"/>
      <c r="N58" s="586"/>
      <c r="O58" s="586"/>
      <c r="P58" s="187"/>
      <c r="Q58" s="187"/>
      <c r="R58" s="184"/>
      <c r="S58" s="181"/>
      <c r="T58" s="588"/>
      <c r="U58" s="187"/>
      <c r="V58" s="187"/>
      <c r="W58" s="184"/>
      <c r="X58" s="181"/>
      <c r="Y58" s="588"/>
      <c r="Z58" s="187"/>
      <c r="AA58" s="187"/>
      <c r="AB58" s="184"/>
      <c r="AC58" s="181"/>
      <c r="AD58" s="588"/>
      <c r="AE58" s="187"/>
      <c r="AF58" s="187"/>
      <c r="AG58" s="184"/>
      <c r="AH58" s="181"/>
      <c r="AI58" s="588"/>
      <c r="AJ58" s="187"/>
      <c r="AK58" s="187"/>
      <c r="AL58" s="184"/>
      <c r="AM58" s="181"/>
      <c r="AN58" s="588"/>
      <c r="AO58" s="187"/>
      <c r="AP58" s="187"/>
      <c r="AQ58" s="184"/>
      <c r="AR58" s="181"/>
      <c r="AS58" s="588"/>
      <c r="AT58" s="187"/>
      <c r="AU58" s="187"/>
      <c r="AV58" s="184"/>
      <c r="AW58" s="181"/>
      <c r="AX58" s="588"/>
    </row>
    <row r="59" spans="2:50" ht="14.25" customHeight="1">
      <c r="B59" s="586"/>
      <c r="C59" s="179">
        <v>13</v>
      </c>
      <c r="D59" s="182"/>
      <c r="E59" s="179"/>
      <c r="F59" s="179"/>
      <c r="G59" s="184"/>
      <c r="H59" s="588"/>
      <c r="I59" s="185"/>
      <c r="J59" s="185"/>
      <c r="K59" s="186"/>
      <c r="L59" s="589"/>
      <c r="M59" s="185"/>
      <c r="N59" s="586"/>
      <c r="O59" s="586"/>
      <c r="P59" s="187"/>
      <c r="Q59" s="187"/>
      <c r="R59" s="184"/>
      <c r="S59" s="181"/>
      <c r="T59" s="588"/>
      <c r="U59" s="187"/>
      <c r="V59" s="187"/>
      <c r="W59" s="184"/>
      <c r="X59" s="181"/>
      <c r="Y59" s="588"/>
      <c r="Z59" s="187"/>
      <c r="AA59" s="187"/>
      <c r="AB59" s="184"/>
      <c r="AC59" s="181"/>
      <c r="AD59" s="588"/>
      <c r="AE59" s="187"/>
      <c r="AF59" s="187"/>
      <c r="AG59" s="184"/>
      <c r="AH59" s="181"/>
      <c r="AI59" s="588"/>
      <c r="AJ59" s="187"/>
      <c r="AK59" s="187"/>
      <c r="AL59" s="184"/>
      <c r="AM59" s="181"/>
      <c r="AN59" s="588"/>
      <c r="AO59" s="187"/>
      <c r="AP59" s="187"/>
      <c r="AQ59" s="184"/>
      <c r="AR59" s="181"/>
      <c r="AS59" s="588"/>
      <c r="AT59" s="187"/>
      <c r="AU59" s="187"/>
      <c r="AV59" s="184"/>
      <c r="AW59" s="181"/>
      <c r="AX59" s="588"/>
    </row>
    <row r="60" spans="2:50" ht="14.25" customHeight="1">
      <c r="B60" s="586"/>
      <c r="C60" s="179">
        <v>14</v>
      </c>
      <c r="D60" s="182"/>
      <c r="E60" s="179"/>
      <c r="F60" s="179"/>
      <c r="G60" s="184"/>
      <c r="H60" s="588"/>
      <c r="I60" s="185"/>
      <c r="J60" s="185"/>
      <c r="K60" s="186"/>
      <c r="L60" s="589"/>
      <c r="M60" s="185"/>
      <c r="N60" s="586"/>
      <c r="O60" s="586"/>
      <c r="P60" s="187"/>
      <c r="Q60" s="187"/>
      <c r="R60" s="184"/>
      <c r="S60" s="181"/>
      <c r="T60" s="588"/>
      <c r="U60" s="187"/>
      <c r="V60" s="187"/>
      <c r="W60" s="184"/>
      <c r="X60" s="181"/>
      <c r="Y60" s="588"/>
      <c r="Z60" s="187"/>
      <c r="AA60" s="187"/>
      <c r="AB60" s="184"/>
      <c r="AC60" s="181"/>
      <c r="AD60" s="588"/>
      <c r="AE60" s="187"/>
      <c r="AF60" s="187"/>
      <c r="AG60" s="184"/>
      <c r="AH60" s="181"/>
      <c r="AI60" s="588"/>
      <c r="AJ60" s="187"/>
      <c r="AK60" s="187"/>
      <c r="AL60" s="184"/>
      <c r="AM60" s="181"/>
      <c r="AN60" s="588"/>
      <c r="AO60" s="187"/>
      <c r="AP60" s="187"/>
      <c r="AQ60" s="184"/>
      <c r="AR60" s="181"/>
      <c r="AS60" s="588"/>
      <c r="AT60" s="187"/>
      <c r="AU60" s="187"/>
      <c r="AV60" s="184"/>
      <c r="AW60" s="181"/>
      <c r="AX60" s="588"/>
    </row>
    <row r="61" spans="2:50" ht="14.25" customHeight="1">
      <c r="B61" s="586"/>
      <c r="C61" s="179">
        <v>15</v>
      </c>
      <c r="D61" s="182"/>
      <c r="E61" s="179"/>
      <c r="F61" s="179"/>
      <c r="G61" s="184"/>
      <c r="H61" s="588"/>
      <c r="I61" s="185"/>
      <c r="J61" s="185"/>
      <c r="K61" s="186"/>
      <c r="L61" s="589"/>
      <c r="M61" s="185"/>
      <c r="N61" s="586"/>
      <c r="O61" s="586"/>
      <c r="P61" s="187"/>
      <c r="Q61" s="187"/>
      <c r="R61" s="184"/>
      <c r="S61" s="181"/>
      <c r="T61" s="588"/>
      <c r="U61" s="187"/>
      <c r="V61" s="187"/>
      <c r="W61" s="184"/>
      <c r="X61" s="181"/>
      <c r="Y61" s="588"/>
      <c r="Z61" s="187"/>
      <c r="AA61" s="187"/>
      <c r="AB61" s="184"/>
      <c r="AC61" s="181"/>
      <c r="AD61" s="588"/>
      <c r="AE61" s="187"/>
      <c r="AF61" s="187"/>
      <c r="AG61" s="184"/>
      <c r="AH61" s="181"/>
      <c r="AI61" s="588"/>
      <c r="AJ61" s="187"/>
      <c r="AK61" s="187"/>
      <c r="AL61" s="184"/>
      <c r="AM61" s="181"/>
      <c r="AN61" s="588"/>
      <c r="AO61" s="187"/>
      <c r="AP61" s="187"/>
      <c r="AQ61" s="184"/>
      <c r="AR61" s="181"/>
      <c r="AS61" s="588"/>
      <c r="AT61" s="187"/>
      <c r="AU61" s="187"/>
      <c r="AV61" s="184"/>
      <c r="AW61" s="181"/>
      <c r="AX61" s="588"/>
    </row>
  </sheetData>
  <mergeCells count="177">
    <mergeCell ref="AX47:AX61"/>
    <mergeCell ref="B47:B61"/>
    <mergeCell ref="H47:H61"/>
    <mergeCell ref="L47:L61"/>
    <mergeCell ref="T47:T61"/>
    <mergeCell ref="Y47:Y61"/>
    <mergeCell ref="AD47:AD61"/>
    <mergeCell ref="AI47:AI61"/>
    <mergeCell ref="AN47:AN61"/>
    <mergeCell ref="AS47:AS61"/>
    <mergeCell ref="AI44:AI46"/>
    <mergeCell ref="AJ44:AM44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Z45:AC45"/>
    <mergeCell ref="AE45:AH45"/>
    <mergeCell ref="AJ45:AM45"/>
    <mergeCell ref="AO45:AR45"/>
    <mergeCell ref="AT45:AW45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P44:S44"/>
    <mergeCell ref="T44:T46"/>
    <mergeCell ref="U44:X44"/>
    <mergeCell ref="Y44:Y46"/>
    <mergeCell ref="Z44:AC44"/>
    <mergeCell ref="AD44:AD46"/>
    <mergeCell ref="AE44:AH44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P4:S4"/>
    <mergeCell ref="AI4:AI6"/>
    <mergeCell ref="AJ4:AM4"/>
    <mergeCell ref="AN4:AN6"/>
    <mergeCell ref="AO4:AR4"/>
    <mergeCell ref="AS4:AS6"/>
    <mergeCell ref="AT4:AW4"/>
    <mergeCell ref="T4:T6"/>
    <mergeCell ref="U4:X4"/>
    <mergeCell ref="Y4:Y6"/>
    <mergeCell ref="Z4:AC4"/>
    <mergeCell ref="AD4:AD6"/>
    <mergeCell ref="AT22:AX22"/>
    <mergeCell ref="E5:G5"/>
    <mergeCell ref="I5:K5"/>
    <mergeCell ref="P5:S5"/>
    <mergeCell ref="U5:X5"/>
    <mergeCell ref="Z5:AC5"/>
    <mergeCell ref="AT2:AX2"/>
    <mergeCell ref="P3:T3"/>
    <mergeCell ref="U3:Y3"/>
    <mergeCell ref="Z3:AD3"/>
    <mergeCell ref="AE3:AI3"/>
    <mergeCell ref="AJ3:AN3"/>
    <mergeCell ref="AO3:AS3"/>
    <mergeCell ref="AT3:AX3"/>
    <mergeCell ref="AJ2:AN2"/>
    <mergeCell ref="AO2:AS2"/>
    <mergeCell ref="AE2:AI2"/>
    <mergeCell ref="AJ5:AM5"/>
    <mergeCell ref="AO5:AR5"/>
    <mergeCell ref="AT5:AW5"/>
    <mergeCell ref="L4:L6"/>
    <mergeCell ref="M4:M6"/>
    <mergeCell ref="N4:N21"/>
    <mergeCell ref="O4:O21"/>
    <mergeCell ref="U24:X24"/>
    <mergeCell ref="Y24:Y26"/>
    <mergeCell ref="Z24:AC24"/>
    <mergeCell ref="AD24:AD26"/>
    <mergeCell ref="L24:L26"/>
    <mergeCell ref="M24:M26"/>
    <mergeCell ref="AX4:AX6"/>
    <mergeCell ref="B22:M23"/>
    <mergeCell ref="N22:N23"/>
    <mergeCell ref="O22:O23"/>
    <mergeCell ref="P22:T22"/>
    <mergeCell ref="U22:Y22"/>
    <mergeCell ref="P23:T23"/>
    <mergeCell ref="U23:Y23"/>
    <mergeCell ref="AE4:AH4"/>
    <mergeCell ref="Z23:AD23"/>
    <mergeCell ref="AE23:AI23"/>
    <mergeCell ref="AJ23:AN23"/>
    <mergeCell ref="AO23:AS23"/>
    <mergeCell ref="AT23:AX23"/>
    <mergeCell ref="Z22:AD22"/>
    <mergeCell ref="AE22:AI22"/>
    <mergeCell ref="AJ22:AN22"/>
    <mergeCell ref="AO22:AS22"/>
    <mergeCell ref="AI24:AI26"/>
    <mergeCell ref="AJ24:AM24"/>
    <mergeCell ref="AN24:AN26"/>
    <mergeCell ref="AO24:AR24"/>
    <mergeCell ref="AD27:AD41"/>
    <mergeCell ref="AI27:AI41"/>
    <mergeCell ref="AN27:AN41"/>
    <mergeCell ref="AS27:AS41"/>
    <mergeCell ref="B2:M3"/>
    <mergeCell ref="N2:N3"/>
    <mergeCell ref="O2:O3"/>
    <mergeCell ref="P2:T2"/>
    <mergeCell ref="U2:Y2"/>
    <mergeCell ref="Z2:AD2"/>
    <mergeCell ref="U25:X25"/>
    <mergeCell ref="Z25:AC25"/>
    <mergeCell ref="AE25:AH25"/>
    <mergeCell ref="B4:B6"/>
    <mergeCell ref="C4:D6"/>
    <mergeCell ref="E4:G4"/>
    <mergeCell ref="H4:H6"/>
    <mergeCell ref="AE5:AH5"/>
    <mergeCell ref="I4:K4"/>
    <mergeCell ref="T24:T26"/>
    <mergeCell ref="AX27:AX41"/>
    <mergeCell ref="B27:B41"/>
    <mergeCell ref="H27:H41"/>
    <mergeCell ref="L27:L41"/>
    <mergeCell ref="T27:T41"/>
    <mergeCell ref="Y27:Y41"/>
    <mergeCell ref="N24:N41"/>
    <mergeCell ref="O24:O41"/>
    <mergeCell ref="P24:S24"/>
    <mergeCell ref="B24:B26"/>
    <mergeCell ref="C24:D26"/>
    <mergeCell ref="E24:G24"/>
    <mergeCell ref="H24:H26"/>
    <mergeCell ref="I24:K24"/>
    <mergeCell ref="AS24:AS26"/>
    <mergeCell ref="AT24:AW24"/>
    <mergeCell ref="AX24:AX26"/>
    <mergeCell ref="E25:G25"/>
    <mergeCell ref="I25:K25"/>
    <mergeCell ref="P25:S25"/>
    <mergeCell ref="AJ25:AM25"/>
    <mergeCell ref="AO25:AR25"/>
    <mergeCell ref="AT25:AW25"/>
    <mergeCell ref="AE24:AH24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6">
    <tabColor rgb="FFFFFFCC"/>
  </sheetPr>
  <dimension ref="A1:AX61"/>
  <sheetViews>
    <sheetView zoomScaleNormal="100" workbookViewId="0">
      <pane xSplit="13" ySplit="1" topLeftCell="N26" activePane="bottomRight" state="frozen"/>
      <selection activeCell="B86" sqref="B86:M87"/>
      <selection pane="topRight" activeCell="B86" sqref="B86:M87"/>
      <selection pane="bottomLeft" activeCell="B86" sqref="B86:M87"/>
      <selection pane="bottomRight" activeCell="AW51" sqref="AW51"/>
    </sheetView>
  </sheetViews>
  <sheetFormatPr defaultColWidth="8.85546875" defaultRowHeight="12"/>
  <cols>
    <col min="1" max="1" width="5.5703125" style="78" customWidth="1"/>
    <col min="2" max="2" width="12.42578125" style="78" customWidth="1"/>
    <col min="3" max="3" width="9.28515625" style="176" bestFit="1" customWidth="1"/>
    <col min="4" max="4" width="26.42578125" style="175" customWidth="1"/>
    <col min="5" max="5" width="7.7109375" style="176" customWidth="1"/>
    <col min="6" max="7" width="8.7109375" style="176" customWidth="1"/>
    <col min="8" max="8" width="10.7109375" style="176" customWidth="1"/>
    <col min="9" max="9" width="7.7109375" style="177" customWidth="1"/>
    <col min="10" max="11" width="8.7109375" style="177" customWidth="1"/>
    <col min="12" max="12" width="10.7109375" style="177" customWidth="1"/>
    <col min="13" max="13" width="5.7109375" style="177" customWidth="1"/>
    <col min="14" max="14" width="9.85546875" style="176" customWidth="1"/>
    <col min="15" max="15" width="7.140625" style="176" customWidth="1"/>
    <col min="16" max="16" width="7.7109375" style="176" customWidth="1"/>
    <col min="17" max="18" width="8.7109375" style="176" customWidth="1"/>
    <col min="19" max="19" width="5.7109375" style="177" customWidth="1"/>
    <col min="20" max="20" width="10.7109375" style="176" customWidth="1"/>
    <col min="21" max="21" width="7.7109375" style="78" customWidth="1"/>
    <col min="22" max="23" width="8.7109375" style="78" customWidth="1"/>
    <col min="24" max="24" width="5.42578125" style="177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77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77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77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78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78" customWidth="1"/>
    <col min="50" max="50" width="10.7109375" style="78" customWidth="1"/>
    <col min="51" max="51" width="9" style="78" customWidth="1"/>
    <col min="52" max="16384" width="8.85546875" style="78"/>
  </cols>
  <sheetData>
    <row r="1" spans="1:50" ht="21">
      <c r="A1" s="74"/>
      <c r="B1" s="450" t="s">
        <v>672</v>
      </c>
      <c r="C1" s="174">
        <f>AVERAGE(L27,L47)</f>
        <v>116.01672254507379</v>
      </c>
    </row>
    <row r="2" spans="1:50" ht="14.25" customHeight="1">
      <c r="B2" s="612" t="s">
        <v>628</v>
      </c>
      <c r="C2" s="613"/>
      <c r="D2" s="613"/>
      <c r="E2" s="613"/>
      <c r="F2" s="613"/>
      <c r="G2" s="613"/>
      <c r="H2" s="613"/>
      <c r="I2" s="613"/>
      <c r="J2" s="613"/>
      <c r="K2" s="613"/>
      <c r="L2" s="613"/>
      <c r="M2" s="614"/>
      <c r="N2" s="617" t="s">
        <v>341</v>
      </c>
      <c r="O2" s="617" t="s">
        <v>105</v>
      </c>
      <c r="P2" s="600">
        <v>46231</v>
      </c>
      <c r="Q2" s="601"/>
      <c r="R2" s="601"/>
      <c r="S2" s="601"/>
      <c r="T2" s="601"/>
      <c r="U2" s="602">
        <v>46232</v>
      </c>
      <c r="V2" s="603"/>
      <c r="W2" s="603"/>
      <c r="X2" s="603"/>
      <c r="Y2" s="603"/>
      <c r="Z2" s="600">
        <v>46233</v>
      </c>
      <c r="AA2" s="601"/>
      <c r="AB2" s="601"/>
      <c r="AC2" s="601"/>
      <c r="AD2" s="601"/>
      <c r="AE2" s="602">
        <v>46234</v>
      </c>
      <c r="AF2" s="603"/>
      <c r="AG2" s="603"/>
      <c r="AH2" s="603"/>
      <c r="AI2" s="603"/>
      <c r="AJ2" s="609">
        <v>46235</v>
      </c>
      <c r="AK2" s="610"/>
      <c r="AL2" s="610"/>
      <c r="AM2" s="610"/>
      <c r="AN2" s="611"/>
      <c r="AO2" s="602">
        <v>46236</v>
      </c>
      <c r="AP2" s="603"/>
      <c r="AQ2" s="603"/>
      <c r="AR2" s="603"/>
      <c r="AS2" s="603"/>
      <c r="AT2" s="609">
        <v>46237</v>
      </c>
      <c r="AU2" s="610"/>
      <c r="AV2" s="610"/>
      <c r="AW2" s="610"/>
      <c r="AX2" s="611"/>
    </row>
    <row r="3" spans="1:50" ht="14.25" customHeight="1">
      <c r="B3" s="615"/>
      <c r="C3" s="615"/>
      <c r="D3" s="615"/>
      <c r="E3" s="615"/>
      <c r="F3" s="615"/>
      <c r="G3" s="615"/>
      <c r="H3" s="615"/>
      <c r="I3" s="615"/>
      <c r="J3" s="615"/>
      <c r="K3" s="615"/>
      <c r="L3" s="615"/>
      <c r="M3" s="616"/>
      <c r="N3" s="618"/>
      <c r="O3" s="618"/>
      <c r="P3" s="604">
        <v>46196</v>
      </c>
      <c r="Q3" s="604"/>
      <c r="R3" s="604"/>
      <c r="S3" s="604"/>
      <c r="T3" s="604"/>
      <c r="U3" s="605">
        <v>46197</v>
      </c>
      <c r="V3" s="605"/>
      <c r="W3" s="605"/>
      <c r="X3" s="605"/>
      <c r="Y3" s="605"/>
      <c r="Z3" s="604">
        <v>46198</v>
      </c>
      <c r="AA3" s="604"/>
      <c r="AB3" s="604"/>
      <c r="AC3" s="604"/>
      <c r="AD3" s="604"/>
      <c r="AE3" s="605">
        <v>46199</v>
      </c>
      <c r="AF3" s="605"/>
      <c r="AG3" s="605"/>
      <c r="AH3" s="605"/>
      <c r="AI3" s="605"/>
      <c r="AJ3" s="606">
        <v>46200</v>
      </c>
      <c r="AK3" s="607"/>
      <c r="AL3" s="607"/>
      <c r="AM3" s="607"/>
      <c r="AN3" s="608"/>
      <c r="AO3" s="605">
        <v>46201</v>
      </c>
      <c r="AP3" s="605"/>
      <c r="AQ3" s="605"/>
      <c r="AR3" s="605"/>
      <c r="AS3" s="605"/>
      <c r="AT3" s="606">
        <v>46202</v>
      </c>
      <c r="AU3" s="607"/>
      <c r="AV3" s="607"/>
      <c r="AW3" s="607"/>
      <c r="AX3" s="608"/>
    </row>
    <row r="4" spans="1:50" ht="14.25" customHeight="1">
      <c r="B4" s="586" t="s">
        <v>162</v>
      </c>
      <c r="C4" s="586" t="s">
        <v>157</v>
      </c>
      <c r="D4" s="586"/>
      <c r="E4" s="586" t="s">
        <v>158</v>
      </c>
      <c r="F4" s="586"/>
      <c r="G4" s="586"/>
      <c r="H4" s="586" t="s">
        <v>163</v>
      </c>
      <c r="I4" s="592" t="s">
        <v>342</v>
      </c>
      <c r="J4" s="592"/>
      <c r="K4" s="592"/>
      <c r="L4" s="592" t="s">
        <v>163</v>
      </c>
      <c r="M4" s="592" t="s">
        <v>165</v>
      </c>
      <c r="N4" s="586"/>
      <c r="O4" s="586" t="s">
        <v>164</v>
      </c>
      <c r="P4" s="586" t="s">
        <v>160</v>
      </c>
      <c r="Q4" s="586"/>
      <c r="R4" s="586"/>
      <c r="S4" s="586"/>
      <c r="T4" s="586" t="s">
        <v>163</v>
      </c>
      <c r="U4" s="586" t="s">
        <v>160</v>
      </c>
      <c r="V4" s="586"/>
      <c r="W4" s="586"/>
      <c r="X4" s="586"/>
      <c r="Y4" s="586" t="s">
        <v>163</v>
      </c>
      <c r="Z4" s="586" t="s">
        <v>160</v>
      </c>
      <c r="AA4" s="586"/>
      <c r="AB4" s="586"/>
      <c r="AC4" s="586"/>
      <c r="AD4" s="586" t="s">
        <v>163</v>
      </c>
      <c r="AE4" s="586" t="s">
        <v>160</v>
      </c>
      <c r="AF4" s="586"/>
      <c r="AG4" s="586"/>
      <c r="AH4" s="586"/>
      <c r="AI4" s="586" t="s">
        <v>163</v>
      </c>
      <c r="AJ4" s="586" t="s">
        <v>160</v>
      </c>
      <c r="AK4" s="586"/>
      <c r="AL4" s="586"/>
      <c r="AM4" s="586"/>
      <c r="AN4" s="586" t="s">
        <v>163</v>
      </c>
      <c r="AO4" s="586" t="s">
        <v>160</v>
      </c>
      <c r="AP4" s="586"/>
      <c r="AQ4" s="586"/>
      <c r="AR4" s="586"/>
      <c r="AS4" s="586" t="s">
        <v>163</v>
      </c>
      <c r="AT4" s="586" t="s">
        <v>160</v>
      </c>
      <c r="AU4" s="586"/>
      <c r="AV4" s="586"/>
      <c r="AW4" s="586"/>
      <c r="AX4" s="586" t="s">
        <v>163</v>
      </c>
    </row>
    <row r="5" spans="1:50" ht="14.25" customHeight="1">
      <c r="B5" s="586"/>
      <c r="C5" s="586"/>
      <c r="D5" s="586"/>
      <c r="E5" s="586" t="s">
        <v>343</v>
      </c>
      <c r="F5" s="586"/>
      <c r="G5" s="586"/>
      <c r="H5" s="586"/>
      <c r="I5" s="592" t="s">
        <v>343</v>
      </c>
      <c r="J5" s="592"/>
      <c r="K5" s="592"/>
      <c r="L5" s="592"/>
      <c r="M5" s="592"/>
      <c r="N5" s="586"/>
      <c r="O5" s="586"/>
      <c r="P5" s="586" t="s">
        <v>344</v>
      </c>
      <c r="Q5" s="586"/>
      <c r="R5" s="586"/>
      <c r="S5" s="586"/>
      <c r="T5" s="586"/>
      <c r="U5" s="586" t="s">
        <v>344</v>
      </c>
      <c r="V5" s="586"/>
      <c r="W5" s="586"/>
      <c r="X5" s="586"/>
      <c r="Y5" s="586"/>
      <c r="Z5" s="586" t="s">
        <v>344</v>
      </c>
      <c r="AA5" s="586"/>
      <c r="AB5" s="586"/>
      <c r="AC5" s="586"/>
      <c r="AD5" s="586"/>
      <c r="AE5" s="586" t="s">
        <v>344</v>
      </c>
      <c r="AF5" s="586"/>
      <c r="AG5" s="586"/>
      <c r="AH5" s="586"/>
      <c r="AI5" s="586"/>
      <c r="AJ5" s="586" t="s">
        <v>344</v>
      </c>
      <c r="AK5" s="586"/>
      <c r="AL5" s="586"/>
      <c r="AM5" s="586"/>
      <c r="AN5" s="586"/>
      <c r="AO5" s="586" t="s">
        <v>344</v>
      </c>
      <c r="AP5" s="586"/>
      <c r="AQ5" s="586"/>
      <c r="AR5" s="586"/>
      <c r="AS5" s="586"/>
      <c r="AT5" s="586" t="s">
        <v>344</v>
      </c>
      <c r="AU5" s="586"/>
      <c r="AV5" s="586"/>
      <c r="AW5" s="586"/>
      <c r="AX5" s="586"/>
    </row>
    <row r="6" spans="1:50" ht="14.25" customHeight="1">
      <c r="B6" s="586"/>
      <c r="C6" s="586"/>
      <c r="D6" s="586"/>
      <c r="E6" s="179" t="s">
        <v>159</v>
      </c>
      <c r="F6" s="179" t="s">
        <v>345</v>
      </c>
      <c r="G6" s="179" t="s">
        <v>161</v>
      </c>
      <c r="H6" s="586"/>
      <c r="I6" s="180" t="s">
        <v>159</v>
      </c>
      <c r="J6" s="180" t="s">
        <v>345</v>
      </c>
      <c r="K6" s="180" t="s">
        <v>161</v>
      </c>
      <c r="L6" s="592"/>
      <c r="M6" s="592"/>
      <c r="N6" s="586"/>
      <c r="O6" s="586"/>
      <c r="P6" s="179" t="s">
        <v>159</v>
      </c>
      <c r="Q6" s="179" t="s">
        <v>345</v>
      </c>
      <c r="R6" s="179" t="s">
        <v>161</v>
      </c>
      <c r="S6" s="181" t="s">
        <v>165</v>
      </c>
      <c r="T6" s="586"/>
      <c r="U6" s="179" t="s">
        <v>159</v>
      </c>
      <c r="V6" s="179" t="s">
        <v>345</v>
      </c>
      <c r="W6" s="179" t="s">
        <v>161</v>
      </c>
      <c r="X6" s="181" t="s">
        <v>165</v>
      </c>
      <c r="Y6" s="586"/>
      <c r="Z6" s="179" t="s">
        <v>159</v>
      </c>
      <c r="AA6" s="179" t="s">
        <v>345</v>
      </c>
      <c r="AB6" s="179" t="s">
        <v>161</v>
      </c>
      <c r="AC6" s="181" t="s">
        <v>165</v>
      </c>
      <c r="AD6" s="586"/>
      <c r="AE6" s="179" t="s">
        <v>159</v>
      </c>
      <c r="AF6" s="179" t="s">
        <v>345</v>
      </c>
      <c r="AG6" s="179" t="s">
        <v>161</v>
      </c>
      <c r="AH6" s="181" t="s">
        <v>165</v>
      </c>
      <c r="AI6" s="586"/>
      <c r="AJ6" s="179" t="s">
        <v>159</v>
      </c>
      <c r="AK6" s="179" t="s">
        <v>345</v>
      </c>
      <c r="AL6" s="179" t="s">
        <v>161</v>
      </c>
      <c r="AM6" s="181" t="s">
        <v>165</v>
      </c>
      <c r="AN6" s="586"/>
      <c r="AO6" s="179" t="s">
        <v>159</v>
      </c>
      <c r="AP6" s="179" t="s">
        <v>345</v>
      </c>
      <c r="AQ6" s="179" t="s">
        <v>161</v>
      </c>
      <c r="AR6" s="181" t="s">
        <v>165</v>
      </c>
      <c r="AS6" s="586"/>
      <c r="AT6" s="179" t="s">
        <v>159</v>
      </c>
      <c r="AU6" s="179" t="s">
        <v>345</v>
      </c>
      <c r="AV6" s="179" t="s">
        <v>161</v>
      </c>
      <c r="AW6" s="181" t="s">
        <v>165</v>
      </c>
      <c r="AX6" s="586"/>
    </row>
    <row r="7" spans="1:50" ht="14.25" customHeight="1">
      <c r="B7" s="586" t="s">
        <v>143</v>
      </c>
      <c r="C7" s="179">
        <v>1</v>
      </c>
      <c r="D7" s="182" t="s">
        <v>551</v>
      </c>
      <c r="E7" s="183">
        <v>19</v>
      </c>
      <c r="F7" s="179">
        <v>2000</v>
      </c>
      <c r="G7" s="184">
        <f t="shared" ref="G7:G11" si="0">IFERROR(F7/E7,"")</f>
        <v>105.26315789473684</v>
      </c>
      <c r="H7" s="588">
        <f>AVERAGE(G7:G21)</f>
        <v>130.42326094957676</v>
      </c>
      <c r="I7" s="185">
        <f>AVERAGE(P7,U7,Z7,AE7,AJ7,AO7,AT7)</f>
        <v>19</v>
      </c>
      <c r="J7" s="185">
        <f>AVERAGE(Q7,V7,AA7,AF7,AK7,AP7,AU7)</f>
        <v>1801.9709154418076</v>
      </c>
      <c r="K7" s="186">
        <f>AVERAGE(R7,W7,AB7,AG7,AL7,AQ7,AV7)</f>
        <v>94.840574496937251</v>
      </c>
      <c r="L7" s="589">
        <f>IFERROR(AVERAGE(K7:K21),"-")</f>
        <v>117.75467132365129</v>
      </c>
      <c r="M7" s="185">
        <f>RANK(K7, K$7:$K$21)</f>
        <v>3</v>
      </c>
      <c r="N7" s="586"/>
      <c r="O7" s="586"/>
      <c r="P7" s="187">
        <v>19</v>
      </c>
      <c r="Q7" s="187">
        <v>1801.3709154418077</v>
      </c>
      <c r="R7" s="184">
        <f>IFERROR(Q7/P7,"")</f>
        <v>94.80899554956882</v>
      </c>
      <c r="S7" s="181">
        <f>RANK(R7, R$7:R$21)</f>
        <v>3</v>
      </c>
      <c r="T7" s="588">
        <f>AVERAGE(R7:R21)</f>
        <v>117.73039349621554</v>
      </c>
      <c r="U7" s="187">
        <v>19</v>
      </c>
      <c r="V7" s="187">
        <v>1801.5709154418075</v>
      </c>
      <c r="W7" s="184">
        <f t="shared" ref="W7:W11" si="1">IFERROR(V7/U7,"")</f>
        <v>94.819521865358297</v>
      </c>
      <c r="X7" s="181">
        <f>RANK(W7, W$7:W$21)</f>
        <v>3</v>
      </c>
      <c r="Y7" s="588">
        <f>AVERAGE(W7:W21)</f>
        <v>117.74533792021262</v>
      </c>
      <c r="Z7" s="187">
        <v>19</v>
      </c>
      <c r="AA7" s="187">
        <v>1801.3709154418079</v>
      </c>
      <c r="AB7" s="184">
        <f>IFERROR(AA7/Z7,"")</f>
        <v>94.808995549568834</v>
      </c>
      <c r="AC7" s="181">
        <f>RANK(AB7, AB$7:AB$21)</f>
        <v>3</v>
      </c>
      <c r="AD7" s="588">
        <f>AVERAGE(AB7:AB21)</f>
        <v>117.7322396500617</v>
      </c>
      <c r="AE7" s="187">
        <v>19</v>
      </c>
      <c r="AF7" s="187">
        <v>1801.3709154418077</v>
      </c>
      <c r="AG7" s="184">
        <f>IFERROR(AF7/AE7,"")</f>
        <v>94.80899554956882</v>
      </c>
      <c r="AH7" s="181">
        <f>RANK(AG7, AG$7:AG$21)</f>
        <v>3</v>
      </c>
      <c r="AI7" s="588">
        <f>AVERAGE(AG7:AG21)</f>
        <v>117.76868720250926</v>
      </c>
      <c r="AJ7" s="187">
        <v>19</v>
      </c>
      <c r="AK7" s="187">
        <v>1802.1709154418077</v>
      </c>
      <c r="AL7" s="184">
        <f>IFERROR(AK7/AJ7,"")</f>
        <v>94.851100812726713</v>
      </c>
      <c r="AM7" s="181">
        <f>RANK(AL7, AL$7:AL$21)</f>
        <v>3</v>
      </c>
      <c r="AN7" s="588">
        <f>AVERAGE(AL7:AL21)</f>
        <v>117.77154182157442</v>
      </c>
      <c r="AO7" s="187">
        <v>19</v>
      </c>
      <c r="AP7" s="187">
        <v>1802.7709154418078</v>
      </c>
      <c r="AQ7" s="184">
        <f>IFERROR(AP7/AO7,"")</f>
        <v>94.882679760095144</v>
      </c>
      <c r="AR7" s="181">
        <f>RANK(AQ7, AQ$7:AQ$21)</f>
        <v>3</v>
      </c>
      <c r="AS7" s="588">
        <f>AVERAGE(AQ7:AQ21)</f>
        <v>117.75791355510405</v>
      </c>
      <c r="AT7" s="187">
        <v>19</v>
      </c>
      <c r="AU7" s="187">
        <v>1803.1709154418081</v>
      </c>
      <c r="AV7" s="184">
        <f>IFERROR(AU7/AT7,"")</f>
        <v>94.903732391674112</v>
      </c>
      <c r="AW7" s="181">
        <f>RANK(AV7, AV$7:AV$21)</f>
        <v>3</v>
      </c>
      <c r="AX7" s="588">
        <f>AVERAGE(AV7:AV21)</f>
        <v>117.77658561988139</v>
      </c>
    </row>
    <row r="8" spans="1:50" ht="14.25" customHeight="1">
      <c r="B8" s="586"/>
      <c r="C8" s="179">
        <v>2</v>
      </c>
      <c r="D8" s="182" t="s">
        <v>332</v>
      </c>
      <c r="E8" s="179">
        <v>13</v>
      </c>
      <c r="F8" s="179">
        <v>1200</v>
      </c>
      <c r="G8" s="184">
        <f t="shared" si="0"/>
        <v>92.307692307692307</v>
      </c>
      <c r="H8" s="588"/>
      <c r="I8" s="185">
        <f t="shared" ref="I8:K11" si="2">AVERAGE(P8,U8,Z8,AE8,AJ8,AO8,AT8)</f>
        <v>13</v>
      </c>
      <c r="J8" s="185">
        <f t="shared" si="2"/>
        <v>1083.2587167482773</v>
      </c>
      <c r="K8" s="186">
        <f t="shared" si="2"/>
        <v>83.32759359602133</v>
      </c>
      <c r="L8" s="589"/>
      <c r="M8" s="185">
        <f>RANK(K8, K$7:$K$21)</f>
        <v>4</v>
      </c>
      <c r="N8" s="586"/>
      <c r="O8" s="586"/>
      <c r="P8" s="187">
        <v>13</v>
      </c>
      <c r="Q8" s="187">
        <v>1083.0872881768487</v>
      </c>
      <c r="R8" s="184">
        <f t="shared" ref="R8:R11" si="3">IFERROR(Q8/P8,"")</f>
        <v>83.31440678283451</v>
      </c>
      <c r="S8" s="181">
        <f t="shared" ref="S8:S11" si="4">RANK(R8, R$7:R$21)</f>
        <v>4</v>
      </c>
      <c r="T8" s="588"/>
      <c r="U8" s="187">
        <v>13</v>
      </c>
      <c r="V8" s="187">
        <v>1083.5672881768487</v>
      </c>
      <c r="W8" s="184">
        <f t="shared" si="1"/>
        <v>83.351329859757598</v>
      </c>
      <c r="X8" s="181">
        <f t="shared" ref="X8:X11" si="5">RANK(W8, W$7:W$21)</f>
        <v>4</v>
      </c>
      <c r="Y8" s="588"/>
      <c r="Z8" s="187">
        <v>13</v>
      </c>
      <c r="AA8" s="187">
        <v>1083.2072881768488</v>
      </c>
      <c r="AB8" s="184">
        <f t="shared" ref="AB8:AB11" si="6">IFERROR(AA8/Z8,"")</f>
        <v>83.323637552065293</v>
      </c>
      <c r="AC8" s="181">
        <f t="shared" ref="AC8:AC11" si="7">RANK(AB8, AB$7:AB$21)</f>
        <v>4</v>
      </c>
      <c r="AD8" s="588"/>
      <c r="AE8" s="187">
        <v>13</v>
      </c>
      <c r="AF8" s="187">
        <v>1083.5672881768487</v>
      </c>
      <c r="AG8" s="184">
        <f t="shared" ref="AG8:AG11" si="8">IFERROR(AF8/AE8,"")</f>
        <v>83.351329859757598</v>
      </c>
      <c r="AH8" s="181">
        <f t="shared" ref="AH8:AH11" si="9">RANK(AG8, AG$7:AG$21)</f>
        <v>4</v>
      </c>
      <c r="AI8" s="588"/>
      <c r="AJ8" s="187">
        <v>13</v>
      </c>
      <c r="AK8" s="187">
        <v>1083.0872881768487</v>
      </c>
      <c r="AL8" s="184">
        <f t="shared" ref="AL8:AL11" si="10">IFERROR(AK8/AJ8,"")</f>
        <v>83.31440678283451</v>
      </c>
      <c r="AM8" s="181">
        <f t="shared" ref="AM8:AM11" si="11">RANK(AL8, AL$7:AL$21)</f>
        <v>4</v>
      </c>
      <c r="AN8" s="588"/>
      <c r="AO8" s="187">
        <v>13</v>
      </c>
      <c r="AP8" s="187">
        <v>1083.3272881768489</v>
      </c>
      <c r="AQ8" s="184">
        <f t="shared" ref="AQ8:AQ11" si="12">IFERROR(AP8/AO8,"")</f>
        <v>83.332868321296075</v>
      </c>
      <c r="AR8" s="181">
        <f t="shared" ref="AR8:AR11" si="13">RANK(AQ8, AQ$7:AQ$21)</f>
        <v>4</v>
      </c>
      <c r="AS8" s="588"/>
      <c r="AT8" s="187">
        <v>13</v>
      </c>
      <c r="AU8" s="187">
        <v>1082.967288176849</v>
      </c>
      <c r="AV8" s="184">
        <f t="shared" ref="AV8:AV11" si="14">IFERROR(AU8/AT8,"")</f>
        <v>83.30517601360377</v>
      </c>
      <c r="AW8" s="181">
        <f t="shared" ref="AW8:AW11" si="15">RANK(AV8, AV$7:AV$21)</f>
        <v>4</v>
      </c>
      <c r="AX8" s="588"/>
    </row>
    <row r="9" spans="1:50" ht="14.25" customHeight="1">
      <c r="B9" s="586"/>
      <c r="C9" s="179">
        <v>3</v>
      </c>
      <c r="D9" s="182" t="s">
        <v>537</v>
      </c>
      <c r="E9" s="179">
        <v>11</v>
      </c>
      <c r="F9" s="179">
        <v>2000</v>
      </c>
      <c r="G9" s="184">
        <f t="shared" si="0"/>
        <v>181.81818181818181</v>
      </c>
      <c r="H9" s="588"/>
      <c r="I9" s="185">
        <f t="shared" si="2"/>
        <v>11</v>
      </c>
      <c r="J9" s="185">
        <f t="shared" si="2"/>
        <v>1807.6010354301091</v>
      </c>
      <c r="K9" s="186">
        <f t="shared" si="2"/>
        <v>164.32736685728267</v>
      </c>
      <c r="L9" s="589"/>
      <c r="M9" s="185">
        <f>RANK(K9, K$7:$K$21)</f>
        <v>2</v>
      </c>
      <c r="N9" s="586"/>
      <c r="O9" s="586"/>
      <c r="P9" s="187">
        <v>11</v>
      </c>
      <c r="Q9" s="187">
        <v>1807.7724640015379</v>
      </c>
      <c r="R9" s="184">
        <f t="shared" si="3"/>
        <v>164.34295127286708</v>
      </c>
      <c r="S9" s="181">
        <f t="shared" si="4"/>
        <v>2</v>
      </c>
      <c r="T9" s="588"/>
      <c r="U9" s="187">
        <v>11</v>
      </c>
      <c r="V9" s="187">
        <v>1807.5724640015378</v>
      </c>
      <c r="W9" s="184">
        <f t="shared" si="1"/>
        <v>164.32476945468525</v>
      </c>
      <c r="X9" s="181">
        <f t="shared" si="5"/>
        <v>2</v>
      </c>
      <c r="Y9" s="588"/>
      <c r="Z9" s="187">
        <v>11</v>
      </c>
      <c r="AA9" s="187">
        <v>1807.3724640015378</v>
      </c>
      <c r="AB9" s="184">
        <f t="shared" si="6"/>
        <v>164.30658763650342</v>
      </c>
      <c r="AC9" s="181">
        <f t="shared" si="7"/>
        <v>2</v>
      </c>
      <c r="AD9" s="588"/>
      <c r="AE9" s="187">
        <v>11</v>
      </c>
      <c r="AF9" s="187">
        <v>1807.9724640015377</v>
      </c>
      <c r="AG9" s="184">
        <f t="shared" si="8"/>
        <v>164.36113309104888</v>
      </c>
      <c r="AH9" s="181">
        <f t="shared" si="9"/>
        <v>2</v>
      </c>
      <c r="AI9" s="588"/>
      <c r="AJ9" s="187">
        <v>11</v>
      </c>
      <c r="AK9" s="187">
        <v>1807.5724640015378</v>
      </c>
      <c r="AL9" s="184">
        <f t="shared" si="10"/>
        <v>164.32476945468525</v>
      </c>
      <c r="AM9" s="181">
        <f t="shared" si="11"/>
        <v>2</v>
      </c>
      <c r="AN9" s="588"/>
      <c r="AO9" s="187">
        <v>11</v>
      </c>
      <c r="AP9" s="187">
        <v>1806.9724640015379</v>
      </c>
      <c r="AQ9" s="184">
        <f t="shared" si="12"/>
        <v>164.27022400013982</v>
      </c>
      <c r="AR9" s="181">
        <f t="shared" si="13"/>
        <v>2</v>
      </c>
      <c r="AS9" s="588"/>
      <c r="AT9" s="187">
        <v>11</v>
      </c>
      <c r="AU9" s="187">
        <v>1807.9724640015379</v>
      </c>
      <c r="AV9" s="184">
        <f t="shared" si="14"/>
        <v>164.36113309104891</v>
      </c>
      <c r="AW9" s="181">
        <f t="shared" si="15"/>
        <v>2</v>
      </c>
      <c r="AX9" s="588"/>
    </row>
    <row r="10" spans="1:50" ht="14.25" customHeight="1">
      <c r="B10" s="586"/>
      <c r="C10" s="179">
        <v>4</v>
      </c>
      <c r="D10" s="182" t="s">
        <v>538</v>
      </c>
      <c r="E10" s="179">
        <v>22</v>
      </c>
      <c r="F10" s="179">
        <v>2000</v>
      </c>
      <c r="G10" s="184">
        <f t="shared" si="0"/>
        <v>90.909090909090907</v>
      </c>
      <c r="H10" s="588"/>
      <c r="I10" s="185">
        <f t="shared" si="2"/>
        <v>22</v>
      </c>
      <c r="J10" s="185">
        <f t="shared" si="2"/>
        <v>1800.827514282724</v>
      </c>
      <c r="K10" s="186">
        <f t="shared" si="2"/>
        <v>81.855796103760184</v>
      </c>
      <c r="L10" s="589"/>
      <c r="M10" s="185">
        <f>RANK(K10, K$7:$K$21)</f>
        <v>5</v>
      </c>
      <c r="N10" s="586"/>
      <c r="O10" s="586"/>
      <c r="P10" s="187">
        <v>22</v>
      </c>
      <c r="Q10" s="187">
        <v>1800.2275142827236</v>
      </c>
      <c r="R10" s="184">
        <f t="shared" si="3"/>
        <v>81.828523376487439</v>
      </c>
      <c r="S10" s="181">
        <f t="shared" si="4"/>
        <v>5</v>
      </c>
      <c r="T10" s="588"/>
      <c r="U10" s="187">
        <v>22</v>
      </c>
      <c r="V10" s="187">
        <v>1800.0275142827238</v>
      </c>
      <c r="W10" s="184">
        <f t="shared" si="1"/>
        <v>81.819432467396538</v>
      </c>
      <c r="X10" s="181">
        <f t="shared" si="5"/>
        <v>5</v>
      </c>
      <c r="Y10" s="588"/>
      <c r="Z10" s="187">
        <v>22</v>
      </c>
      <c r="AA10" s="187">
        <v>1799.8275142827238</v>
      </c>
      <c r="AB10" s="184">
        <f t="shared" si="6"/>
        <v>81.810341558305623</v>
      </c>
      <c r="AC10" s="181">
        <f t="shared" si="7"/>
        <v>5</v>
      </c>
      <c r="AD10" s="588"/>
      <c r="AE10" s="187">
        <v>22</v>
      </c>
      <c r="AF10" s="187">
        <v>1800.8275142827238</v>
      </c>
      <c r="AG10" s="184">
        <f t="shared" si="8"/>
        <v>81.85579610376017</v>
      </c>
      <c r="AH10" s="181">
        <f t="shared" si="9"/>
        <v>5</v>
      </c>
      <c r="AI10" s="588"/>
      <c r="AJ10" s="187">
        <v>22</v>
      </c>
      <c r="AK10" s="187">
        <v>1801.4275142827237</v>
      </c>
      <c r="AL10" s="184">
        <f t="shared" si="10"/>
        <v>81.883068831032901</v>
      </c>
      <c r="AM10" s="181">
        <f t="shared" si="11"/>
        <v>5</v>
      </c>
      <c r="AN10" s="588"/>
      <c r="AO10" s="187">
        <v>22</v>
      </c>
      <c r="AP10" s="187">
        <v>1801.2275142827239</v>
      </c>
      <c r="AQ10" s="184">
        <f t="shared" si="12"/>
        <v>81.873977921942</v>
      </c>
      <c r="AR10" s="181">
        <f t="shared" si="13"/>
        <v>5</v>
      </c>
      <c r="AS10" s="588"/>
      <c r="AT10" s="187">
        <v>22</v>
      </c>
      <c r="AU10" s="187">
        <v>1802.2275142827241</v>
      </c>
      <c r="AV10" s="184">
        <f t="shared" si="14"/>
        <v>81.919432467396547</v>
      </c>
      <c r="AW10" s="181">
        <f t="shared" si="15"/>
        <v>5</v>
      </c>
      <c r="AX10" s="588"/>
    </row>
    <row r="11" spans="1:50" ht="14.25" customHeight="1">
      <c r="B11" s="586"/>
      <c r="C11" s="179">
        <v>5</v>
      </c>
      <c r="D11" s="182" t="s">
        <v>539</v>
      </c>
      <c r="E11" s="179">
        <v>11</v>
      </c>
      <c r="F11" s="179">
        <v>2000</v>
      </c>
      <c r="G11" s="184">
        <f t="shared" si="0"/>
        <v>181.81818181818181</v>
      </c>
      <c r="H11" s="588"/>
      <c r="I11" s="185">
        <f t="shared" si="2"/>
        <v>11</v>
      </c>
      <c r="J11" s="185">
        <f t="shared" si="2"/>
        <v>1808.6422812068051</v>
      </c>
      <c r="K11" s="186">
        <f t="shared" si="2"/>
        <v>164.42202556425499</v>
      </c>
      <c r="L11" s="589"/>
      <c r="M11" s="185">
        <f>RANK(K11, K$7:$K$21)</f>
        <v>1</v>
      </c>
      <c r="N11" s="586"/>
      <c r="O11" s="586"/>
      <c r="P11" s="187">
        <v>11</v>
      </c>
      <c r="Q11" s="187">
        <v>1807.9279954925189</v>
      </c>
      <c r="R11" s="184">
        <f t="shared" si="3"/>
        <v>164.3570904993199</v>
      </c>
      <c r="S11" s="181">
        <f t="shared" si="4"/>
        <v>1</v>
      </c>
      <c r="T11" s="588"/>
      <c r="U11" s="187">
        <v>11</v>
      </c>
      <c r="V11" s="187">
        <v>1808.5279954925188</v>
      </c>
      <c r="W11" s="184">
        <f t="shared" si="1"/>
        <v>164.41163595386536</v>
      </c>
      <c r="X11" s="181">
        <f t="shared" si="5"/>
        <v>1</v>
      </c>
      <c r="Y11" s="588"/>
      <c r="Z11" s="187">
        <v>11</v>
      </c>
      <c r="AA11" s="187">
        <v>1808.5279954925188</v>
      </c>
      <c r="AB11" s="184">
        <f t="shared" si="6"/>
        <v>164.41163595386536</v>
      </c>
      <c r="AC11" s="181">
        <f t="shared" si="7"/>
        <v>1</v>
      </c>
      <c r="AD11" s="588"/>
      <c r="AE11" s="187">
        <v>11</v>
      </c>
      <c r="AF11" s="187">
        <v>1809.1279954925192</v>
      </c>
      <c r="AG11" s="184">
        <f t="shared" si="8"/>
        <v>164.46618140841085</v>
      </c>
      <c r="AH11" s="181">
        <f t="shared" si="9"/>
        <v>1</v>
      </c>
      <c r="AI11" s="588"/>
      <c r="AJ11" s="187">
        <v>11</v>
      </c>
      <c r="AK11" s="187">
        <v>1809.3279954925194</v>
      </c>
      <c r="AL11" s="184">
        <f t="shared" si="10"/>
        <v>164.48436322659268</v>
      </c>
      <c r="AM11" s="181">
        <f t="shared" si="11"/>
        <v>1</v>
      </c>
      <c r="AN11" s="588"/>
      <c r="AO11" s="187">
        <v>11</v>
      </c>
      <c r="AP11" s="187">
        <v>1808.7279954925195</v>
      </c>
      <c r="AQ11" s="184">
        <f t="shared" si="12"/>
        <v>164.42981777204724</v>
      </c>
      <c r="AR11" s="181">
        <f t="shared" si="13"/>
        <v>1</v>
      </c>
      <c r="AS11" s="588"/>
      <c r="AT11" s="187">
        <v>11</v>
      </c>
      <c r="AU11" s="187">
        <v>1808.3279954925199</v>
      </c>
      <c r="AV11" s="184">
        <f t="shared" si="14"/>
        <v>164.39345413568364</v>
      </c>
      <c r="AW11" s="181">
        <f t="shared" si="15"/>
        <v>1</v>
      </c>
      <c r="AX11" s="588"/>
    </row>
    <row r="12" spans="1:50" ht="14.25" customHeight="1">
      <c r="B12" s="586"/>
      <c r="C12" s="179">
        <v>6</v>
      </c>
      <c r="D12" s="182"/>
      <c r="E12" s="179"/>
      <c r="F12" s="179"/>
      <c r="G12" s="184"/>
      <c r="H12" s="588"/>
      <c r="I12" s="185"/>
      <c r="J12" s="185"/>
      <c r="K12" s="186"/>
      <c r="L12" s="589"/>
      <c r="M12" s="185"/>
      <c r="N12" s="586"/>
      <c r="O12" s="586"/>
      <c r="P12" s="187"/>
      <c r="Q12" s="187"/>
      <c r="R12" s="184"/>
      <c r="S12" s="181"/>
      <c r="T12" s="588"/>
      <c r="U12" s="187"/>
      <c r="V12" s="187"/>
      <c r="W12" s="184"/>
      <c r="X12" s="181"/>
      <c r="Y12" s="588"/>
      <c r="Z12" s="187"/>
      <c r="AA12" s="187"/>
      <c r="AB12" s="184"/>
      <c r="AC12" s="181"/>
      <c r="AD12" s="588"/>
      <c r="AE12" s="187"/>
      <c r="AF12" s="187"/>
      <c r="AG12" s="184"/>
      <c r="AH12" s="181"/>
      <c r="AI12" s="588"/>
      <c r="AJ12" s="187"/>
      <c r="AK12" s="187"/>
      <c r="AL12" s="184"/>
      <c r="AM12" s="181"/>
      <c r="AN12" s="588"/>
      <c r="AO12" s="187"/>
      <c r="AP12" s="187"/>
      <c r="AQ12" s="184"/>
      <c r="AR12" s="181"/>
      <c r="AS12" s="588"/>
      <c r="AT12" s="187"/>
      <c r="AU12" s="187"/>
      <c r="AV12" s="184"/>
      <c r="AW12" s="181"/>
      <c r="AX12" s="588"/>
    </row>
    <row r="13" spans="1:50" ht="14.25" customHeight="1">
      <c r="B13" s="586"/>
      <c r="C13" s="179">
        <v>7</v>
      </c>
      <c r="D13" s="182"/>
      <c r="E13" s="179"/>
      <c r="F13" s="179"/>
      <c r="G13" s="184"/>
      <c r="H13" s="588"/>
      <c r="I13" s="185"/>
      <c r="J13" s="185"/>
      <c r="K13" s="186"/>
      <c r="L13" s="589"/>
      <c r="M13" s="185"/>
      <c r="N13" s="586"/>
      <c r="O13" s="586"/>
      <c r="P13" s="187"/>
      <c r="Q13" s="187"/>
      <c r="R13" s="184"/>
      <c r="S13" s="181"/>
      <c r="T13" s="588"/>
      <c r="U13" s="187"/>
      <c r="V13" s="187"/>
      <c r="W13" s="184"/>
      <c r="X13" s="181"/>
      <c r="Y13" s="588"/>
      <c r="Z13" s="187"/>
      <c r="AA13" s="187"/>
      <c r="AB13" s="184"/>
      <c r="AC13" s="181"/>
      <c r="AD13" s="588"/>
      <c r="AE13" s="187"/>
      <c r="AF13" s="187"/>
      <c r="AG13" s="184"/>
      <c r="AH13" s="181"/>
      <c r="AI13" s="588"/>
      <c r="AJ13" s="187"/>
      <c r="AK13" s="187"/>
      <c r="AL13" s="184"/>
      <c r="AM13" s="181"/>
      <c r="AN13" s="588"/>
      <c r="AO13" s="187"/>
      <c r="AP13" s="187"/>
      <c r="AQ13" s="184"/>
      <c r="AR13" s="181"/>
      <c r="AS13" s="588"/>
      <c r="AT13" s="187"/>
      <c r="AU13" s="187"/>
      <c r="AV13" s="184"/>
      <c r="AW13" s="181"/>
      <c r="AX13" s="588"/>
    </row>
    <row r="14" spans="1:50" ht="14.25" customHeight="1">
      <c r="B14" s="586"/>
      <c r="C14" s="179">
        <v>8</v>
      </c>
      <c r="D14" s="182"/>
      <c r="E14" s="179"/>
      <c r="F14" s="179"/>
      <c r="G14" s="184"/>
      <c r="H14" s="588"/>
      <c r="I14" s="185"/>
      <c r="J14" s="185"/>
      <c r="K14" s="186"/>
      <c r="L14" s="589"/>
      <c r="M14" s="185"/>
      <c r="N14" s="586"/>
      <c r="O14" s="586"/>
      <c r="P14" s="187"/>
      <c r="Q14" s="187"/>
      <c r="R14" s="184"/>
      <c r="S14" s="181"/>
      <c r="T14" s="588"/>
      <c r="U14" s="187"/>
      <c r="V14" s="187"/>
      <c r="W14" s="184"/>
      <c r="X14" s="181"/>
      <c r="Y14" s="588"/>
      <c r="Z14" s="187"/>
      <c r="AA14" s="187"/>
      <c r="AB14" s="184"/>
      <c r="AC14" s="181"/>
      <c r="AD14" s="588"/>
      <c r="AE14" s="187"/>
      <c r="AF14" s="187"/>
      <c r="AG14" s="184"/>
      <c r="AH14" s="181"/>
      <c r="AI14" s="588"/>
      <c r="AJ14" s="187"/>
      <c r="AK14" s="187"/>
      <c r="AL14" s="184"/>
      <c r="AM14" s="181"/>
      <c r="AN14" s="588"/>
      <c r="AO14" s="187"/>
      <c r="AP14" s="187"/>
      <c r="AQ14" s="184"/>
      <c r="AR14" s="181"/>
      <c r="AS14" s="588"/>
      <c r="AT14" s="187"/>
      <c r="AU14" s="187"/>
      <c r="AV14" s="184"/>
      <c r="AW14" s="181"/>
      <c r="AX14" s="588"/>
    </row>
    <row r="15" spans="1:50" ht="14.25" customHeight="1">
      <c r="B15" s="586"/>
      <c r="C15" s="179">
        <v>9</v>
      </c>
      <c r="D15" s="182"/>
      <c r="E15" s="179"/>
      <c r="F15" s="179"/>
      <c r="G15" s="184"/>
      <c r="H15" s="588"/>
      <c r="I15" s="185"/>
      <c r="J15" s="185"/>
      <c r="K15" s="186"/>
      <c r="L15" s="589"/>
      <c r="M15" s="185"/>
      <c r="N15" s="586"/>
      <c r="O15" s="586"/>
      <c r="P15" s="187"/>
      <c r="Q15" s="187"/>
      <c r="R15" s="184"/>
      <c r="S15" s="181"/>
      <c r="T15" s="588"/>
      <c r="U15" s="187"/>
      <c r="V15" s="187"/>
      <c r="W15" s="184"/>
      <c r="X15" s="181"/>
      <c r="Y15" s="588"/>
      <c r="Z15" s="187"/>
      <c r="AA15" s="187"/>
      <c r="AB15" s="184"/>
      <c r="AC15" s="181"/>
      <c r="AD15" s="588"/>
      <c r="AE15" s="187"/>
      <c r="AF15" s="187"/>
      <c r="AG15" s="184"/>
      <c r="AH15" s="181"/>
      <c r="AI15" s="588"/>
      <c r="AJ15" s="187"/>
      <c r="AK15" s="187"/>
      <c r="AL15" s="184"/>
      <c r="AM15" s="181"/>
      <c r="AN15" s="588"/>
      <c r="AO15" s="187"/>
      <c r="AP15" s="187"/>
      <c r="AQ15" s="184"/>
      <c r="AR15" s="181"/>
      <c r="AS15" s="588"/>
      <c r="AT15" s="187"/>
      <c r="AU15" s="187"/>
      <c r="AV15" s="184"/>
      <c r="AW15" s="181"/>
      <c r="AX15" s="588"/>
    </row>
    <row r="16" spans="1:50" ht="14.25" customHeight="1">
      <c r="B16" s="586"/>
      <c r="C16" s="179">
        <v>10</v>
      </c>
      <c r="D16" s="182"/>
      <c r="E16" s="179"/>
      <c r="F16" s="179"/>
      <c r="G16" s="184"/>
      <c r="H16" s="588"/>
      <c r="I16" s="185"/>
      <c r="J16" s="185"/>
      <c r="K16" s="186"/>
      <c r="L16" s="589"/>
      <c r="M16" s="185"/>
      <c r="N16" s="586"/>
      <c r="O16" s="586"/>
      <c r="P16" s="187"/>
      <c r="Q16" s="187"/>
      <c r="R16" s="184"/>
      <c r="S16" s="181"/>
      <c r="T16" s="588"/>
      <c r="U16" s="187"/>
      <c r="V16" s="187"/>
      <c r="W16" s="184"/>
      <c r="X16" s="181"/>
      <c r="Y16" s="588"/>
      <c r="Z16" s="187"/>
      <c r="AA16" s="187"/>
      <c r="AB16" s="184"/>
      <c r="AC16" s="181"/>
      <c r="AD16" s="588"/>
      <c r="AE16" s="187"/>
      <c r="AF16" s="187"/>
      <c r="AG16" s="184"/>
      <c r="AH16" s="181"/>
      <c r="AI16" s="588"/>
      <c r="AJ16" s="187"/>
      <c r="AK16" s="187"/>
      <c r="AL16" s="184"/>
      <c r="AM16" s="181"/>
      <c r="AN16" s="588"/>
      <c r="AO16" s="187"/>
      <c r="AP16" s="187"/>
      <c r="AQ16" s="184"/>
      <c r="AR16" s="181"/>
      <c r="AS16" s="588"/>
      <c r="AT16" s="187"/>
      <c r="AU16" s="187"/>
      <c r="AV16" s="184"/>
      <c r="AW16" s="181"/>
      <c r="AX16" s="588"/>
    </row>
    <row r="17" spans="2:50" ht="14.25" customHeight="1">
      <c r="B17" s="586"/>
      <c r="C17" s="179">
        <v>11</v>
      </c>
      <c r="D17" s="182"/>
      <c r="E17" s="179"/>
      <c r="F17" s="179"/>
      <c r="G17" s="184"/>
      <c r="H17" s="588"/>
      <c r="I17" s="185"/>
      <c r="J17" s="185"/>
      <c r="K17" s="186"/>
      <c r="L17" s="589"/>
      <c r="M17" s="185"/>
      <c r="N17" s="586"/>
      <c r="O17" s="586"/>
      <c r="P17" s="187"/>
      <c r="Q17" s="187"/>
      <c r="R17" s="184"/>
      <c r="S17" s="181"/>
      <c r="T17" s="588"/>
      <c r="U17" s="187"/>
      <c r="V17" s="187"/>
      <c r="W17" s="184"/>
      <c r="X17" s="181"/>
      <c r="Y17" s="588"/>
      <c r="Z17" s="187"/>
      <c r="AA17" s="187"/>
      <c r="AB17" s="184"/>
      <c r="AC17" s="181"/>
      <c r="AD17" s="588"/>
      <c r="AE17" s="187"/>
      <c r="AF17" s="187"/>
      <c r="AG17" s="184"/>
      <c r="AH17" s="181"/>
      <c r="AI17" s="588"/>
      <c r="AJ17" s="187"/>
      <c r="AK17" s="187"/>
      <c r="AL17" s="184"/>
      <c r="AM17" s="181"/>
      <c r="AN17" s="588"/>
      <c r="AO17" s="187"/>
      <c r="AP17" s="187"/>
      <c r="AQ17" s="184"/>
      <c r="AR17" s="181"/>
      <c r="AS17" s="588"/>
      <c r="AT17" s="187"/>
      <c r="AU17" s="187"/>
      <c r="AV17" s="184"/>
      <c r="AW17" s="181"/>
      <c r="AX17" s="588"/>
    </row>
    <row r="18" spans="2:50" ht="14.25" customHeight="1">
      <c r="B18" s="586"/>
      <c r="C18" s="179">
        <v>12</v>
      </c>
      <c r="D18" s="182"/>
      <c r="E18" s="179"/>
      <c r="F18" s="179"/>
      <c r="G18" s="184"/>
      <c r="H18" s="588"/>
      <c r="I18" s="185"/>
      <c r="J18" s="185"/>
      <c r="K18" s="186"/>
      <c r="L18" s="589"/>
      <c r="M18" s="185"/>
      <c r="N18" s="586"/>
      <c r="O18" s="586"/>
      <c r="P18" s="187"/>
      <c r="Q18" s="187"/>
      <c r="R18" s="184"/>
      <c r="S18" s="181"/>
      <c r="T18" s="588"/>
      <c r="U18" s="187"/>
      <c r="V18" s="187"/>
      <c r="W18" s="184"/>
      <c r="X18" s="181"/>
      <c r="Y18" s="588"/>
      <c r="Z18" s="187"/>
      <c r="AA18" s="187"/>
      <c r="AB18" s="184"/>
      <c r="AC18" s="181"/>
      <c r="AD18" s="588"/>
      <c r="AE18" s="187"/>
      <c r="AF18" s="187"/>
      <c r="AG18" s="184"/>
      <c r="AH18" s="181"/>
      <c r="AI18" s="588"/>
      <c r="AJ18" s="187"/>
      <c r="AK18" s="187"/>
      <c r="AL18" s="184"/>
      <c r="AM18" s="181"/>
      <c r="AN18" s="588"/>
      <c r="AO18" s="187"/>
      <c r="AP18" s="187"/>
      <c r="AQ18" s="184"/>
      <c r="AR18" s="181"/>
      <c r="AS18" s="588"/>
      <c r="AT18" s="187"/>
      <c r="AU18" s="187"/>
      <c r="AV18" s="184"/>
      <c r="AW18" s="181"/>
      <c r="AX18" s="588"/>
    </row>
    <row r="19" spans="2:50" ht="14.25" customHeight="1">
      <c r="B19" s="586"/>
      <c r="C19" s="179">
        <v>13</v>
      </c>
      <c r="D19" s="182"/>
      <c r="E19" s="179"/>
      <c r="F19" s="179"/>
      <c r="G19" s="184"/>
      <c r="H19" s="588"/>
      <c r="I19" s="185"/>
      <c r="J19" s="185"/>
      <c r="K19" s="186"/>
      <c r="L19" s="589"/>
      <c r="M19" s="185"/>
      <c r="N19" s="586"/>
      <c r="O19" s="586"/>
      <c r="P19" s="187"/>
      <c r="Q19" s="187"/>
      <c r="R19" s="184"/>
      <c r="S19" s="181"/>
      <c r="T19" s="588"/>
      <c r="U19" s="187"/>
      <c r="V19" s="187"/>
      <c r="W19" s="184"/>
      <c r="X19" s="181"/>
      <c r="Y19" s="588"/>
      <c r="Z19" s="187"/>
      <c r="AA19" s="187"/>
      <c r="AB19" s="184"/>
      <c r="AC19" s="181"/>
      <c r="AD19" s="588"/>
      <c r="AE19" s="187"/>
      <c r="AF19" s="187"/>
      <c r="AG19" s="184"/>
      <c r="AH19" s="181"/>
      <c r="AI19" s="588"/>
      <c r="AJ19" s="187"/>
      <c r="AK19" s="187"/>
      <c r="AL19" s="184"/>
      <c r="AM19" s="181"/>
      <c r="AN19" s="588"/>
      <c r="AO19" s="187"/>
      <c r="AP19" s="187"/>
      <c r="AQ19" s="184"/>
      <c r="AR19" s="181"/>
      <c r="AS19" s="588"/>
      <c r="AT19" s="187"/>
      <c r="AU19" s="187"/>
      <c r="AV19" s="184"/>
      <c r="AW19" s="181"/>
      <c r="AX19" s="588"/>
    </row>
    <row r="20" spans="2:50" ht="14.25" customHeight="1">
      <c r="B20" s="586"/>
      <c r="C20" s="179">
        <v>14</v>
      </c>
      <c r="D20" s="182"/>
      <c r="E20" s="179"/>
      <c r="F20" s="179"/>
      <c r="G20" s="184"/>
      <c r="H20" s="588"/>
      <c r="I20" s="185"/>
      <c r="J20" s="185"/>
      <c r="K20" s="186"/>
      <c r="L20" s="589"/>
      <c r="M20" s="185"/>
      <c r="N20" s="586"/>
      <c r="O20" s="586"/>
      <c r="P20" s="187"/>
      <c r="Q20" s="187"/>
      <c r="R20" s="184"/>
      <c r="S20" s="181"/>
      <c r="T20" s="588"/>
      <c r="U20" s="187"/>
      <c r="V20" s="187"/>
      <c r="W20" s="184"/>
      <c r="X20" s="181"/>
      <c r="Y20" s="588"/>
      <c r="Z20" s="187"/>
      <c r="AA20" s="187"/>
      <c r="AB20" s="184"/>
      <c r="AC20" s="181"/>
      <c r="AD20" s="588"/>
      <c r="AE20" s="187"/>
      <c r="AF20" s="187"/>
      <c r="AG20" s="184"/>
      <c r="AH20" s="181"/>
      <c r="AI20" s="588"/>
      <c r="AJ20" s="187"/>
      <c r="AK20" s="187"/>
      <c r="AL20" s="184"/>
      <c r="AM20" s="181"/>
      <c r="AN20" s="588"/>
      <c r="AO20" s="187"/>
      <c r="AP20" s="187"/>
      <c r="AQ20" s="184"/>
      <c r="AR20" s="181"/>
      <c r="AS20" s="588"/>
      <c r="AT20" s="187"/>
      <c r="AU20" s="187"/>
      <c r="AV20" s="184"/>
      <c r="AW20" s="181"/>
      <c r="AX20" s="588"/>
    </row>
    <row r="21" spans="2:50" ht="14.25" customHeight="1">
      <c r="B21" s="586"/>
      <c r="C21" s="179">
        <v>15</v>
      </c>
      <c r="D21" s="182"/>
      <c r="E21" s="179"/>
      <c r="F21" s="179"/>
      <c r="G21" s="184"/>
      <c r="H21" s="588"/>
      <c r="I21" s="185"/>
      <c r="J21" s="185"/>
      <c r="K21" s="186"/>
      <c r="L21" s="589"/>
      <c r="M21" s="185"/>
      <c r="N21" s="586"/>
      <c r="O21" s="586"/>
      <c r="P21" s="187"/>
      <c r="Q21" s="187"/>
      <c r="R21" s="184"/>
      <c r="S21" s="181"/>
      <c r="T21" s="588"/>
      <c r="U21" s="187"/>
      <c r="V21" s="187"/>
      <c r="W21" s="184"/>
      <c r="X21" s="181"/>
      <c r="Y21" s="588"/>
      <c r="Z21" s="187"/>
      <c r="AA21" s="187"/>
      <c r="AB21" s="184"/>
      <c r="AC21" s="181"/>
      <c r="AD21" s="588"/>
      <c r="AE21" s="187"/>
      <c r="AF21" s="187"/>
      <c r="AG21" s="184"/>
      <c r="AH21" s="181"/>
      <c r="AI21" s="588"/>
      <c r="AJ21" s="187"/>
      <c r="AK21" s="187"/>
      <c r="AL21" s="184"/>
      <c r="AM21" s="181"/>
      <c r="AN21" s="588"/>
      <c r="AO21" s="187"/>
      <c r="AP21" s="187"/>
      <c r="AQ21" s="184"/>
      <c r="AR21" s="181"/>
      <c r="AS21" s="588"/>
      <c r="AT21" s="187"/>
      <c r="AU21" s="187"/>
      <c r="AV21" s="184"/>
      <c r="AW21" s="181"/>
      <c r="AX21" s="588"/>
    </row>
    <row r="22" spans="2:50" ht="14.25" customHeight="1">
      <c r="B22" s="612" t="s">
        <v>689</v>
      </c>
      <c r="C22" s="613"/>
      <c r="D22" s="613"/>
      <c r="E22" s="613"/>
      <c r="F22" s="613"/>
      <c r="G22" s="613"/>
      <c r="H22" s="613"/>
      <c r="I22" s="613"/>
      <c r="J22" s="613"/>
      <c r="K22" s="613"/>
      <c r="L22" s="613"/>
      <c r="M22" s="614"/>
      <c r="N22" s="617" t="s">
        <v>341</v>
      </c>
      <c r="O22" s="617" t="s">
        <v>105</v>
      </c>
      <c r="P22" s="600">
        <v>46238</v>
      </c>
      <c r="Q22" s="601"/>
      <c r="R22" s="601"/>
      <c r="S22" s="601"/>
      <c r="T22" s="601"/>
      <c r="U22" s="602">
        <v>46239</v>
      </c>
      <c r="V22" s="603"/>
      <c r="W22" s="603"/>
      <c r="X22" s="603"/>
      <c r="Y22" s="603"/>
      <c r="Z22" s="600">
        <v>46240</v>
      </c>
      <c r="AA22" s="601"/>
      <c r="AB22" s="601"/>
      <c r="AC22" s="601"/>
      <c r="AD22" s="601"/>
      <c r="AE22" s="602">
        <v>46241</v>
      </c>
      <c r="AF22" s="603"/>
      <c r="AG22" s="603"/>
      <c r="AH22" s="603"/>
      <c r="AI22" s="603"/>
      <c r="AJ22" s="609">
        <v>46242</v>
      </c>
      <c r="AK22" s="610"/>
      <c r="AL22" s="610"/>
      <c r="AM22" s="610"/>
      <c r="AN22" s="611"/>
      <c r="AO22" s="602">
        <v>46243</v>
      </c>
      <c r="AP22" s="603"/>
      <c r="AQ22" s="603"/>
      <c r="AR22" s="603"/>
      <c r="AS22" s="603"/>
      <c r="AT22" s="609">
        <v>46244</v>
      </c>
      <c r="AU22" s="610"/>
      <c r="AV22" s="610"/>
      <c r="AW22" s="610"/>
      <c r="AX22" s="611"/>
    </row>
    <row r="23" spans="2:50" ht="14.25" customHeight="1">
      <c r="B23" s="615"/>
      <c r="C23" s="615"/>
      <c r="D23" s="615"/>
      <c r="E23" s="615"/>
      <c r="F23" s="615"/>
      <c r="G23" s="615"/>
      <c r="H23" s="615"/>
      <c r="I23" s="615"/>
      <c r="J23" s="615"/>
      <c r="K23" s="615"/>
      <c r="L23" s="615"/>
      <c r="M23" s="616"/>
      <c r="N23" s="618"/>
      <c r="O23" s="618"/>
      <c r="P23" s="604">
        <v>46196</v>
      </c>
      <c r="Q23" s="604"/>
      <c r="R23" s="604"/>
      <c r="S23" s="604"/>
      <c r="T23" s="604"/>
      <c r="U23" s="605">
        <v>46197</v>
      </c>
      <c r="V23" s="605"/>
      <c r="W23" s="605"/>
      <c r="X23" s="605"/>
      <c r="Y23" s="605"/>
      <c r="Z23" s="604">
        <v>46198</v>
      </c>
      <c r="AA23" s="604"/>
      <c r="AB23" s="604"/>
      <c r="AC23" s="604"/>
      <c r="AD23" s="604"/>
      <c r="AE23" s="605">
        <v>46199</v>
      </c>
      <c r="AF23" s="605"/>
      <c r="AG23" s="605"/>
      <c r="AH23" s="605"/>
      <c r="AI23" s="605"/>
      <c r="AJ23" s="606">
        <v>46200</v>
      </c>
      <c r="AK23" s="607"/>
      <c r="AL23" s="607"/>
      <c r="AM23" s="607"/>
      <c r="AN23" s="608"/>
      <c r="AO23" s="605">
        <v>46201</v>
      </c>
      <c r="AP23" s="605"/>
      <c r="AQ23" s="605"/>
      <c r="AR23" s="605"/>
      <c r="AS23" s="605"/>
      <c r="AT23" s="606">
        <v>46202</v>
      </c>
      <c r="AU23" s="607"/>
      <c r="AV23" s="607"/>
      <c r="AW23" s="607"/>
      <c r="AX23" s="608"/>
    </row>
    <row r="24" spans="2:50" ht="14.25" customHeight="1">
      <c r="B24" s="586" t="s">
        <v>162</v>
      </c>
      <c r="C24" s="586" t="s">
        <v>157</v>
      </c>
      <c r="D24" s="586"/>
      <c r="E24" s="586" t="s">
        <v>158</v>
      </c>
      <c r="F24" s="586"/>
      <c r="G24" s="586"/>
      <c r="H24" s="586" t="s">
        <v>163</v>
      </c>
      <c r="I24" s="592" t="s">
        <v>342</v>
      </c>
      <c r="J24" s="592"/>
      <c r="K24" s="592"/>
      <c r="L24" s="592" t="s">
        <v>163</v>
      </c>
      <c r="M24" s="592" t="s">
        <v>165</v>
      </c>
      <c r="N24" s="586"/>
      <c r="O24" s="586" t="s">
        <v>164</v>
      </c>
      <c r="P24" s="586" t="s">
        <v>160</v>
      </c>
      <c r="Q24" s="586"/>
      <c r="R24" s="586"/>
      <c r="S24" s="586"/>
      <c r="T24" s="586" t="s">
        <v>163</v>
      </c>
      <c r="U24" s="586" t="s">
        <v>160</v>
      </c>
      <c r="V24" s="586"/>
      <c r="W24" s="586"/>
      <c r="X24" s="586"/>
      <c r="Y24" s="586" t="s">
        <v>163</v>
      </c>
      <c r="Z24" s="586" t="s">
        <v>160</v>
      </c>
      <c r="AA24" s="586"/>
      <c r="AB24" s="586"/>
      <c r="AC24" s="586"/>
      <c r="AD24" s="586" t="s">
        <v>163</v>
      </c>
      <c r="AE24" s="586" t="s">
        <v>160</v>
      </c>
      <c r="AF24" s="586"/>
      <c r="AG24" s="586"/>
      <c r="AH24" s="586"/>
      <c r="AI24" s="586" t="s">
        <v>163</v>
      </c>
      <c r="AJ24" s="586" t="s">
        <v>160</v>
      </c>
      <c r="AK24" s="586"/>
      <c r="AL24" s="586"/>
      <c r="AM24" s="586"/>
      <c r="AN24" s="586" t="s">
        <v>163</v>
      </c>
      <c r="AO24" s="586" t="s">
        <v>160</v>
      </c>
      <c r="AP24" s="586"/>
      <c r="AQ24" s="586"/>
      <c r="AR24" s="586"/>
      <c r="AS24" s="586" t="s">
        <v>163</v>
      </c>
      <c r="AT24" s="586" t="s">
        <v>160</v>
      </c>
      <c r="AU24" s="586"/>
      <c r="AV24" s="586"/>
      <c r="AW24" s="586"/>
      <c r="AX24" s="586" t="s">
        <v>163</v>
      </c>
    </row>
    <row r="25" spans="2:50" ht="14.25" customHeight="1">
      <c r="B25" s="586"/>
      <c r="C25" s="586"/>
      <c r="D25" s="586"/>
      <c r="E25" s="586" t="s">
        <v>343</v>
      </c>
      <c r="F25" s="586"/>
      <c r="G25" s="586"/>
      <c r="H25" s="586"/>
      <c r="I25" s="592" t="s">
        <v>343</v>
      </c>
      <c r="J25" s="592"/>
      <c r="K25" s="592"/>
      <c r="L25" s="592"/>
      <c r="M25" s="592"/>
      <c r="N25" s="586"/>
      <c r="O25" s="586"/>
      <c r="P25" s="586" t="s">
        <v>344</v>
      </c>
      <c r="Q25" s="586"/>
      <c r="R25" s="586"/>
      <c r="S25" s="586"/>
      <c r="T25" s="586"/>
      <c r="U25" s="586" t="s">
        <v>344</v>
      </c>
      <c r="V25" s="586"/>
      <c r="W25" s="586"/>
      <c r="X25" s="586"/>
      <c r="Y25" s="586"/>
      <c r="Z25" s="586" t="s">
        <v>344</v>
      </c>
      <c r="AA25" s="586"/>
      <c r="AB25" s="586"/>
      <c r="AC25" s="586"/>
      <c r="AD25" s="586"/>
      <c r="AE25" s="586" t="s">
        <v>344</v>
      </c>
      <c r="AF25" s="586"/>
      <c r="AG25" s="586"/>
      <c r="AH25" s="586"/>
      <c r="AI25" s="586"/>
      <c r="AJ25" s="586" t="s">
        <v>344</v>
      </c>
      <c r="AK25" s="586"/>
      <c r="AL25" s="586"/>
      <c r="AM25" s="586"/>
      <c r="AN25" s="586"/>
      <c r="AO25" s="586" t="s">
        <v>344</v>
      </c>
      <c r="AP25" s="586"/>
      <c r="AQ25" s="586"/>
      <c r="AR25" s="586"/>
      <c r="AS25" s="586"/>
      <c r="AT25" s="586" t="s">
        <v>344</v>
      </c>
      <c r="AU25" s="586"/>
      <c r="AV25" s="586"/>
      <c r="AW25" s="586"/>
      <c r="AX25" s="586"/>
    </row>
    <row r="26" spans="2:50" ht="14.25" customHeight="1">
      <c r="B26" s="586"/>
      <c r="C26" s="586"/>
      <c r="D26" s="586"/>
      <c r="E26" s="179" t="s">
        <v>159</v>
      </c>
      <c r="F26" s="179" t="s">
        <v>345</v>
      </c>
      <c r="G26" s="179" t="s">
        <v>161</v>
      </c>
      <c r="H26" s="586"/>
      <c r="I26" s="180" t="s">
        <v>159</v>
      </c>
      <c r="J26" s="180" t="s">
        <v>345</v>
      </c>
      <c r="K26" s="180" t="s">
        <v>161</v>
      </c>
      <c r="L26" s="592"/>
      <c r="M26" s="592"/>
      <c r="N26" s="586"/>
      <c r="O26" s="586"/>
      <c r="P26" s="179" t="s">
        <v>159</v>
      </c>
      <c r="Q26" s="179" t="s">
        <v>345</v>
      </c>
      <c r="R26" s="179" t="s">
        <v>161</v>
      </c>
      <c r="S26" s="181" t="s">
        <v>165</v>
      </c>
      <c r="T26" s="586"/>
      <c r="U26" s="179" t="s">
        <v>159</v>
      </c>
      <c r="V26" s="179" t="s">
        <v>345</v>
      </c>
      <c r="W26" s="179" t="s">
        <v>161</v>
      </c>
      <c r="X26" s="181" t="s">
        <v>165</v>
      </c>
      <c r="Y26" s="586"/>
      <c r="Z26" s="179" t="s">
        <v>159</v>
      </c>
      <c r="AA26" s="179" t="s">
        <v>345</v>
      </c>
      <c r="AB26" s="179" t="s">
        <v>161</v>
      </c>
      <c r="AC26" s="181" t="s">
        <v>165</v>
      </c>
      <c r="AD26" s="586"/>
      <c r="AE26" s="179" t="s">
        <v>159</v>
      </c>
      <c r="AF26" s="179" t="s">
        <v>345</v>
      </c>
      <c r="AG26" s="179" t="s">
        <v>161</v>
      </c>
      <c r="AH26" s="181" t="s">
        <v>165</v>
      </c>
      <c r="AI26" s="586"/>
      <c r="AJ26" s="179" t="s">
        <v>159</v>
      </c>
      <c r="AK26" s="179" t="s">
        <v>345</v>
      </c>
      <c r="AL26" s="179" t="s">
        <v>161</v>
      </c>
      <c r="AM26" s="181" t="s">
        <v>165</v>
      </c>
      <c r="AN26" s="586"/>
      <c r="AO26" s="179" t="s">
        <v>159</v>
      </c>
      <c r="AP26" s="179" t="s">
        <v>345</v>
      </c>
      <c r="AQ26" s="179" t="s">
        <v>161</v>
      </c>
      <c r="AR26" s="181" t="s">
        <v>165</v>
      </c>
      <c r="AS26" s="586"/>
      <c r="AT26" s="179" t="s">
        <v>159</v>
      </c>
      <c r="AU26" s="179" t="s">
        <v>345</v>
      </c>
      <c r="AV26" s="179" t="s">
        <v>161</v>
      </c>
      <c r="AW26" s="181" t="s">
        <v>165</v>
      </c>
      <c r="AX26" s="586"/>
    </row>
    <row r="27" spans="2:50" ht="14.25" customHeight="1">
      <c r="B27" s="586" t="s">
        <v>143</v>
      </c>
      <c r="C27" s="179">
        <v>1</v>
      </c>
      <c r="D27" s="182" t="s">
        <v>551</v>
      </c>
      <c r="E27" s="183">
        <v>19</v>
      </c>
      <c r="F27" s="179">
        <v>2000</v>
      </c>
      <c r="G27" s="184">
        <f t="shared" ref="G27:G31" si="16">IFERROR(F27/E27,"")</f>
        <v>105.26315789473684</v>
      </c>
      <c r="H27" s="588">
        <f>AVERAGE(G27:G41)</f>
        <v>130.42326094957676</v>
      </c>
      <c r="I27" s="185">
        <f>AVERAGE(P27,U27,Z27,AE27,AJ27,AO27,AT27)</f>
        <v>19</v>
      </c>
      <c r="J27" s="185">
        <f>AVERAGE(Q27,V27,AA27,AF27,AK27,AP27,AU27)</f>
        <v>1804.3994868703796</v>
      </c>
      <c r="K27" s="186">
        <f>AVERAGE(R27,W27,AB27,AG27,AL27,AQ27,AV27)</f>
        <v>94.968394045809461</v>
      </c>
      <c r="L27" s="589">
        <f>IFERROR(AVERAGE(K27:K41),"-")</f>
        <v>117.80385480032255</v>
      </c>
      <c r="M27" s="185">
        <f>RANK(K27, K$27:$K$41)</f>
        <v>3</v>
      </c>
      <c r="N27" s="586"/>
      <c r="O27" s="586"/>
      <c r="P27" s="187">
        <v>19</v>
      </c>
      <c r="Q27" s="187">
        <v>1803.5709154418082</v>
      </c>
      <c r="R27" s="184">
        <f>IFERROR(Q27/P27,"")</f>
        <v>94.924785023253065</v>
      </c>
      <c r="S27" s="181">
        <f>RANK(R27, R$27:R$41)</f>
        <v>3</v>
      </c>
      <c r="T27" s="588">
        <f>AVERAGE(R27:R41)</f>
        <v>117.78437656577762</v>
      </c>
      <c r="U27" s="187">
        <v>19</v>
      </c>
      <c r="V27" s="187">
        <v>1803.7709154418083</v>
      </c>
      <c r="W27" s="184">
        <f t="shared" ref="W27:W31" si="17">IFERROR(V27/U27,"")</f>
        <v>94.935311339042542</v>
      </c>
      <c r="X27" s="181">
        <f>RANK(W27, W$27:W$41)</f>
        <v>3</v>
      </c>
      <c r="Y27" s="588">
        <f>AVERAGE(W27:W41)</f>
        <v>117.79785144240165</v>
      </c>
      <c r="Z27" s="187">
        <v>19</v>
      </c>
      <c r="AA27" s="187">
        <v>1804.3709154418084</v>
      </c>
      <c r="AB27" s="184">
        <f>IFERROR(AA27/Z27,"")</f>
        <v>94.966890286410973</v>
      </c>
      <c r="AC27" s="181">
        <f>RANK(AB27, AB$27:AB$41)</f>
        <v>3</v>
      </c>
      <c r="AD27" s="588">
        <f>AVERAGE(AB27:AB41)</f>
        <v>117.81692247663059</v>
      </c>
      <c r="AE27" s="187">
        <v>19</v>
      </c>
      <c r="AF27" s="187">
        <v>1804.3709154418084</v>
      </c>
      <c r="AG27" s="184">
        <f>IFERROR(AF27/AE27,"")</f>
        <v>94.966890286410973</v>
      </c>
      <c r="AH27" s="181">
        <f>RANK(AG27, AG$27:AG$41)</f>
        <v>3</v>
      </c>
      <c r="AI27" s="588">
        <f>AVERAGE(AG27:AG41)</f>
        <v>117.81337002907813</v>
      </c>
      <c r="AJ27" s="187">
        <v>19</v>
      </c>
      <c r="AK27" s="187">
        <v>1804.7709154418083</v>
      </c>
      <c r="AL27" s="184">
        <f>IFERROR(AK27/AJ27,"")</f>
        <v>94.987942917989912</v>
      </c>
      <c r="AM27" s="181">
        <f>RANK(AL27, AL$27:AL$41)</f>
        <v>3</v>
      </c>
      <c r="AN27" s="588">
        <f>AVERAGE(AL27:AL41)</f>
        <v>117.80655957637296</v>
      </c>
      <c r="AO27" s="187">
        <v>19</v>
      </c>
      <c r="AP27" s="187">
        <v>1804.7709154418083</v>
      </c>
      <c r="AQ27" s="184">
        <f>IFERROR(AP27/AO27,"")</f>
        <v>94.987942917989912</v>
      </c>
      <c r="AR27" s="181">
        <f>RANK(AQ27, AQ$27:AQ$41)</f>
        <v>2</v>
      </c>
      <c r="AS27" s="588">
        <f>AVERAGE(AQ27:AQ41)</f>
        <v>106.14922865639574</v>
      </c>
      <c r="AT27" s="187">
        <v>19</v>
      </c>
      <c r="AU27" s="187">
        <v>1805.1709154418086</v>
      </c>
      <c r="AV27" s="184">
        <f>IFERROR(AU27/AT27,"")</f>
        <v>95.008995549568866</v>
      </c>
      <c r="AW27" s="181">
        <f>RANK(AV27, AV$27:AV$41)</f>
        <v>2</v>
      </c>
      <c r="AX27" s="588">
        <f>AVERAGE(AV27:AV41)</f>
        <v>106.18637992617857</v>
      </c>
    </row>
    <row r="28" spans="2:50" ht="14.25" customHeight="1">
      <c r="B28" s="586"/>
      <c r="C28" s="179">
        <v>2</v>
      </c>
      <c r="D28" s="182" t="s">
        <v>332</v>
      </c>
      <c r="E28" s="179">
        <v>13</v>
      </c>
      <c r="F28" s="179">
        <v>1200</v>
      </c>
      <c r="G28" s="184">
        <f t="shared" si="16"/>
        <v>92.307692307692307</v>
      </c>
      <c r="H28" s="588"/>
      <c r="I28" s="185">
        <f t="shared" ref="I28:K31" si="18">AVERAGE(P28,U28,Z28,AE28,AJ28,AO28,AT28)</f>
        <v>13</v>
      </c>
      <c r="J28" s="185">
        <f t="shared" si="18"/>
        <v>1082.8472881768489</v>
      </c>
      <c r="K28" s="186">
        <f t="shared" si="18"/>
        <v>83.295945244373002</v>
      </c>
      <c r="L28" s="589"/>
      <c r="M28" s="185">
        <f>RANK(K28, K$27:$K$41)</f>
        <v>4</v>
      </c>
      <c r="N28" s="586"/>
      <c r="O28" s="586"/>
      <c r="P28" s="187">
        <v>13</v>
      </c>
      <c r="Q28" s="187">
        <v>1082.727288176849</v>
      </c>
      <c r="R28" s="184">
        <f t="shared" ref="R28:R31" si="19">IFERROR(Q28/P28,"")</f>
        <v>83.286714475142233</v>
      </c>
      <c r="S28" s="181">
        <f t="shared" ref="S28:S31" si="20">RANK(R28, R$27:R$41)</f>
        <v>4</v>
      </c>
      <c r="T28" s="588"/>
      <c r="U28" s="187">
        <v>13</v>
      </c>
      <c r="V28" s="187">
        <v>1082.6072881768491</v>
      </c>
      <c r="W28" s="184">
        <f t="shared" si="17"/>
        <v>83.277483705911465</v>
      </c>
      <c r="X28" s="181">
        <f t="shared" ref="X28:X31" si="21">RANK(W28, W$27:W$41)</f>
        <v>4</v>
      </c>
      <c r="Y28" s="588"/>
      <c r="Z28" s="187">
        <v>13</v>
      </c>
      <c r="AA28" s="187">
        <v>1082.727288176849</v>
      </c>
      <c r="AB28" s="184">
        <f t="shared" ref="AB28:AB31" si="22">IFERROR(AA28/Z28,"")</f>
        <v>83.286714475142233</v>
      </c>
      <c r="AC28" s="181">
        <f t="shared" ref="AC28:AC31" si="23">RANK(AB28, AB$27:AB$41)</f>
        <v>4</v>
      </c>
      <c r="AD28" s="588"/>
      <c r="AE28" s="187">
        <v>13</v>
      </c>
      <c r="AF28" s="187">
        <v>1083.0872881768491</v>
      </c>
      <c r="AG28" s="184">
        <f t="shared" ref="AG28:AG31" si="24">IFERROR(AF28/AE28,"")</f>
        <v>83.314406782834553</v>
      </c>
      <c r="AH28" s="181">
        <f t="shared" ref="AH28:AH31" si="25">RANK(AG28, AG$27:AG$41)</f>
        <v>4</v>
      </c>
      <c r="AI28" s="588"/>
      <c r="AJ28" s="187">
        <v>13</v>
      </c>
      <c r="AK28" s="187">
        <v>1082.6072881768489</v>
      </c>
      <c r="AL28" s="184">
        <f t="shared" ref="AL28:AL31" si="26">IFERROR(AK28/AJ28,"")</f>
        <v>83.27748370591145</v>
      </c>
      <c r="AM28" s="181">
        <f t="shared" ref="AM28:AM31" si="27">RANK(AL28, AL$27:AL$41)</f>
        <v>4</v>
      </c>
      <c r="AN28" s="588"/>
      <c r="AO28" s="187">
        <v>13</v>
      </c>
      <c r="AP28" s="187">
        <v>1082.9672881768488</v>
      </c>
      <c r="AQ28" s="184">
        <f t="shared" ref="AQ28:AQ31" si="28">IFERROR(AP28/AO28,"")</f>
        <v>83.305176013603756</v>
      </c>
      <c r="AR28" s="181">
        <f t="shared" ref="AR28:AR31" si="29">RANK(AQ28, AQ$27:AQ$41)</f>
        <v>3</v>
      </c>
      <c r="AS28" s="588"/>
      <c r="AT28" s="187">
        <v>13</v>
      </c>
      <c r="AU28" s="187">
        <v>1083.2072881768488</v>
      </c>
      <c r="AV28" s="184">
        <f t="shared" ref="AV28:AV31" si="30">IFERROR(AU28/AT28,"")</f>
        <v>83.323637552065293</v>
      </c>
      <c r="AW28" s="181">
        <f t="shared" ref="AW28:AW31" si="31">RANK(AV28, AV$27:AV$41)</f>
        <v>3</v>
      </c>
      <c r="AX28" s="588"/>
    </row>
    <row r="29" spans="2:50" ht="14.25" customHeight="1">
      <c r="B29" s="586"/>
      <c r="C29" s="179">
        <v>3</v>
      </c>
      <c r="D29" s="182" t="s">
        <v>537</v>
      </c>
      <c r="E29" s="179">
        <v>11</v>
      </c>
      <c r="F29" s="179">
        <v>2000</v>
      </c>
      <c r="G29" s="184">
        <f t="shared" si="16"/>
        <v>181.81818181818181</v>
      </c>
      <c r="H29" s="588"/>
      <c r="I29" s="185">
        <f t="shared" si="18"/>
        <v>11</v>
      </c>
      <c r="J29" s="185">
        <f t="shared" si="18"/>
        <v>1807.8339577632796</v>
      </c>
      <c r="K29" s="186">
        <f t="shared" si="18"/>
        <v>164.34854161484358</v>
      </c>
      <c r="L29" s="589"/>
      <c r="M29" s="185">
        <f>RANK(K29, K$27:$K$41)</f>
        <v>2</v>
      </c>
      <c r="N29" s="586"/>
      <c r="O29" s="586"/>
      <c r="P29" s="187">
        <v>11</v>
      </c>
      <c r="Q29" s="187">
        <v>1807.372464001538</v>
      </c>
      <c r="R29" s="184">
        <f t="shared" si="19"/>
        <v>164.30658763650345</v>
      </c>
      <c r="S29" s="181">
        <f t="shared" si="20"/>
        <v>2</v>
      </c>
      <c r="T29" s="588"/>
      <c r="U29" s="187">
        <v>11</v>
      </c>
      <c r="V29" s="187">
        <v>1807.7993312037147</v>
      </c>
      <c r="W29" s="184">
        <f t="shared" si="17"/>
        <v>164.34539374579225</v>
      </c>
      <c r="X29" s="181">
        <f t="shared" si="21"/>
        <v>2</v>
      </c>
      <c r="Y29" s="588"/>
      <c r="Z29" s="187">
        <v>11</v>
      </c>
      <c r="AA29" s="187">
        <v>1808.1993312037146</v>
      </c>
      <c r="AB29" s="184">
        <f t="shared" si="22"/>
        <v>164.38175738215588</v>
      </c>
      <c r="AC29" s="181">
        <f t="shared" si="23"/>
        <v>2</v>
      </c>
      <c r="AD29" s="588"/>
      <c r="AE29" s="187">
        <v>11</v>
      </c>
      <c r="AF29" s="187">
        <v>1807.5993312037149</v>
      </c>
      <c r="AG29" s="184">
        <f t="shared" si="24"/>
        <v>164.32721192761045</v>
      </c>
      <c r="AH29" s="181">
        <f t="shared" si="25"/>
        <v>2</v>
      </c>
      <c r="AI29" s="588"/>
      <c r="AJ29" s="187">
        <v>11</v>
      </c>
      <c r="AK29" s="187">
        <v>1808.199331203715</v>
      </c>
      <c r="AL29" s="184">
        <f t="shared" si="26"/>
        <v>164.38175738215591</v>
      </c>
      <c r="AM29" s="181">
        <f t="shared" si="27"/>
        <v>1</v>
      </c>
      <c r="AN29" s="588"/>
      <c r="AO29" s="187"/>
      <c r="AP29" s="187"/>
      <c r="AQ29" s="184"/>
      <c r="AR29" s="181"/>
      <c r="AS29" s="588"/>
      <c r="AT29" s="187"/>
      <c r="AU29" s="187"/>
      <c r="AV29" s="184"/>
      <c r="AW29" s="181"/>
      <c r="AX29" s="588"/>
    </row>
    <row r="30" spans="2:50" ht="14.25" customHeight="1">
      <c r="B30" s="586"/>
      <c r="C30" s="179">
        <v>4</v>
      </c>
      <c r="D30" s="182" t="s">
        <v>538</v>
      </c>
      <c r="E30" s="179">
        <v>22</v>
      </c>
      <c r="F30" s="179">
        <v>2000</v>
      </c>
      <c r="G30" s="184">
        <f t="shared" si="16"/>
        <v>90.909090909090907</v>
      </c>
      <c r="H30" s="588"/>
      <c r="I30" s="185">
        <f t="shared" si="18"/>
        <v>22</v>
      </c>
      <c r="J30" s="185">
        <f t="shared" si="18"/>
        <v>1803.9989428541526</v>
      </c>
      <c r="K30" s="186">
        <f t="shared" si="18"/>
        <v>81.999951947916017</v>
      </c>
      <c r="L30" s="589"/>
      <c r="M30" s="185">
        <f>RANK(K30, K$27:$K$41)</f>
        <v>5</v>
      </c>
      <c r="N30" s="586"/>
      <c r="O30" s="586"/>
      <c r="P30" s="187">
        <v>22</v>
      </c>
      <c r="Q30" s="187">
        <v>1803.0275142827238</v>
      </c>
      <c r="R30" s="184">
        <f t="shared" si="19"/>
        <v>81.955796103760179</v>
      </c>
      <c r="S30" s="181">
        <f t="shared" si="20"/>
        <v>5</v>
      </c>
      <c r="T30" s="588"/>
      <c r="U30" s="187">
        <v>22</v>
      </c>
      <c r="V30" s="187">
        <v>1803.2275142827241</v>
      </c>
      <c r="W30" s="184">
        <f t="shared" si="17"/>
        <v>81.964887012851094</v>
      </c>
      <c r="X30" s="181">
        <f t="shared" si="21"/>
        <v>5</v>
      </c>
      <c r="Y30" s="588"/>
      <c r="Z30" s="187">
        <v>22</v>
      </c>
      <c r="AA30" s="187">
        <v>1804.027514282724</v>
      </c>
      <c r="AB30" s="184">
        <f t="shared" si="22"/>
        <v>82.001250649214725</v>
      </c>
      <c r="AC30" s="181">
        <f t="shared" si="23"/>
        <v>5</v>
      </c>
      <c r="AD30" s="588"/>
      <c r="AE30" s="187">
        <v>22</v>
      </c>
      <c r="AF30" s="187">
        <v>1804.627514282724</v>
      </c>
      <c r="AG30" s="184">
        <f t="shared" si="24"/>
        <v>82.028523376487456</v>
      </c>
      <c r="AH30" s="181">
        <f t="shared" si="25"/>
        <v>5</v>
      </c>
      <c r="AI30" s="588"/>
      <c r="AJ30" s="187">
        <v>22</v>
      </c>
      <c r="AK30" s="187">
        <v>1804.2275142827243</v>
      </c>
      <c r="AL30" s="184">
        <f t="shared" si="26"/>
        <v>82.010341558305655</v>
      </c>
      <c r="AM30" s="181">
        <f t="shared" si="27"/>
        <v>5</v>
      </c>
      <c r="AN30" s="588"/>
      <c r="AO30" s="187">
        <v>22</v>
      </c>
      <c r="AP30" s="187">
        <v>1804.0275142827245</v>
      </c>
      <c r="AQ30" s="184">
        <f t="shared" si="28"/>
        <v>82.001250649214754</v>
      </c>
      <c r="AR30" s="181">
        <f t="shared" si="29"/>
        <v>4</v>
      </c>
      <c r="AS30" s="588"/>
      <c r="AT30" s="187">
        <v>22</v>
      </c>
      <c r="AU30" s="187">
        <v>1804.8275142827247</v>
      </c>
      <c r="AV30" s="184">
        <f t="shared" si="30"/>
        <v>82.0376142855784</v>
      </c>
      <c r="AW30" s="181">
        <f t="shared" si="31"/>
        <v>4</v>
      </c>
      <c r="AX30" s="588"/>
    </row>
    <row r="31" spans="2:50" ht="14.25" customHeight="1">
      <c r="B31" s="586"/>
      <c r="C31" s="179">
        <v>5</v>
      </c>
      <c r="D31" s="182" t="s">
        <v>539</v>
      </c>
      <c r="E31" s="179">
        <v>11</v>
      </c>
      <c r="F31" s="179">
        <v>2000</v>
      </c>
      <c r="G31" s="184">
        <f t="shared" si="16"/>
        <v>181.81818181818181</v>
      </c>
      <c r="H31" s="588"/>
      <c r="I31" s="185">
        <f t="shared" si="18"/>
        <v>11</v>
      </c>
      <c r="J31" s="185">
        <f t="shared" si="18"/>
        <v>1808.470852635377</v>
      </c>
      <c r="K31" s="186">
        <f t="shared" si="18"/>
        <v>164.40644114867064</v>
      </c>
      <c r="L31" s="589"/>
      <c r="M31" s="185">
        <f>RANK(K31, K$27:$K$41)</f>
        <v>1</v>
      </c>
      <c r="N31" s="586"/>
      <c r="O31" s="586"/>
      <c r="P31" s="187">
        <v>11</v>
      </c>
      <c r="Q31" s="187">
        <v>1808.92799549252</v>
      </c>
      <c r="R31" s="184">
        <f t="shared" si="19"/>
        <v>164.4479995902291</v>
      </c>
      <c r="S31" s="181">
        <f t="shared" si="20"/>
        <v>1</v>
      </c>
      <c r="T31" s="588"/>
      <c r="U31" s="187">
        <v>11</v>
      </c>
      <c r="V31" s="187">
        <v>1809.1279954925201</v>
      </c>
      <c r="W31" s="184">
        <f t="shared" si="17"/>
        <v>164.4661814084109</v>
      </c>
      <c r="X31" s="181">
        <f t="shared" si="21"/>
        <v>1</v>
      </c>
      <c r="Y31" s="588"/>
      <c r="Z31" s="187">
        <v>11</v>
      </c>
      <c r="AA31" s="187">
        <v>1808.9279954925198</v>
      </c>
      <c r="AB31" s="184">
        <f t="shared" si="22"/>
        <v>164.44799959022907</v>
      </c>
      <c r="AC31" s="181">
        <f t="shared" si="23"/>
        <v>1</v>
      </c>
      <c r="AD31" s="588"/>
      <c r="AE31" s="187">
        <v>11</v>
      </c>
      <c r="AF31" s="187">
        <v>1808.7279954925198</v>
      </c>
      <c r="AG31" s="184">
        <f t="shared" si="24"/>
        <v>164.42981777204724</v>
      </c>
      <c r="AH31" s="181">
        <f t="shared" si="25"/>
        <v>1</v>
      </c>
      <c r="AI31" s="588"/>
      <c r="AJ31" s="187">
        <v>11</v>
      </c>
      <c r="AK31" s="187">
        <v>1808.1279954925199</v>
      </c>
      <c r="AL31" s="184">
        <f t="shared" si="26"/>
        <v>164.37527231750181</v>
      </c>
      <c r="AM31" s="181">
        <f t="shared" si="27"/>
        <v>2</v>
      </c>
      <c r="AN31" s="588"/>
      <c r="AO31" s="187">
        <v>11</v>
      </c>
      <c r="AP31" s="187">
        <v>1807.3279954925199</v>
      </c>
      <c r="AQ31" s="184">
        <f t="shared" si="28"/>
        <v>164.30254504477455</v>
      </c>
      <c r="AR31" s="181">
        <f t="shared" si="29"/>
        <v>1</v>
      </c>
      <c r="AS31" s="588"/>
      <c r="AT31" s="187">
        <v>11</v>
      </c>
      <c r="AU31" s="187">
        <v>1808.1279954925196</v>
      </c>
      <c r="AV31" s="184">
        <f t="shared" si="30"/>
        <v>164.37527231750178</v>
      </c>
      <c r="AW31" s="181">
        <f t="shared" si="31"/>
        <v>1</v>
      </c>
      <c r="AX31" s="588"/>
    </row>
    <row r="32" spans="2:50" ht="14.25" customHeight="1">
      <c r="B32" s="586"/>
      <c r="C32" s="179">
        <v>6</v>
      </c>
      <c r="D32" s="182"/>
      <c r="E32" s="179"/>
      <c r="F32" s="179"/>
      <c r="G32" s="184"/>
      <c r="H32" s="588"/>
      <c r="I32" s="185"/>
      <c r="J32" s="185"/>
      <c r="K32" s="186"/>
      <c r="L32" s="589"/>
      <c r="M32" s="185"/>
      <c r="N32" s="586"/>
      <c r="O32" s="586"/>
      <c r="P32" s="187"/>
      <c r="Q32" s="187"/>
      <c r="R32" s="184"/>
      <c r="S32" s="181"/>
      <c r="T32" s="588"/>
      <c r="U32" s="187"/>
      <c r="V32" s="187"/>
      <c r="W32" s="184"/>
      <c r="X32" s="181"/>
      <c r="Y32" s="588"/>
      <c r="Z32" s="187"/>
      <c r="AA32" s="187"/>
      <c r="AB32" s="184"/>
      <c r="AC32" s="181"/>
      <c r="AD32" s="588"/>
      <c r="AE32" s="187"/>
      <c r="AF32" s="187"/>
      <c r="AG32" s="184"/>
      <c r="AH32" s="181"/>
      <c r="AI32" s="588"/>
      <c r="AJ32" s="187"/>
      <c r="AK32" s="187"/>
      <c r="AL32" s="184"/>
      <c r="AM32" s="181"/>
      <c r="AN32" s="588"/>
      <c r="AO32" s="187"/>
      <c r="AP32" s="187"/>
      <c r="AQ32" s="184"/>
      <c r="AR32" s="181"/>
      <c r="AS32" s="588"/>
      <c r="AT32" s="187"/>
      <c r="AU32" s="187"/>
      <c r="AV32" s="184"/>
      <c r="AW32" s="181"/>
      <c r="AX32" s="588"/>
    </row>
    <row r="33" spans="2:50" ht="14.25" customHeight="1">
      <c r="B33" s="586"/>
      <c r="C33" s="179">
        <v>7</v>
      </c>
      <c r="D33" s="182"/>
      <c r="E33" s="179"/>
      <c r="F33" s="179"/>
      <c r="G33" s="184"/>
      <c r="H33" s="588"/>
      <c r="I33" s="185"/>
      <c r="J33" s="185"/>
      <c r="K33" s="186"/>
      <c r="L33" s="589"/>
      <c r="M33" s="185"/>
      <c r="N33" s="586"/>
      <c r="O33" s="586"/>
      <c r="P33" s="187"/>
      <c r="Q33" s="187"/>
      <c r="R33" s="184"/>
      <c r="S33" s="181"/>
      <c r="T33" s="588"/>
      <c r="U33" s="187"/>
      <c r="V33" s="187"/>
      <c r="W33" s="184"/>
      <c r="X33" s="181"/>
      <c r="Y33" s="588"/>
      <c r="Z33" s="187"/>
      <c r="AA33" s="187"/>
      <c r="AB33" s="184"/>
      <c r="AC33" s="181"/>
      <c r="AD33" s="588"/>
      <c r="AE33" s="187"/>
      <c r="AF33" s="187"/>
      <c r="AG33" s="184"/>
      <c r="AH33" s="181"/>
      <c r="AI33" s="588"/>
      <c r="AJ33" s="187"/>
      <c r="AK33" s="187"/>
      <c r="AL33" s="184"/>
      <c r="AM33" s="181"/>
      <c r="AN33" s="588"/>
      <c r="AO33" s="187"/>
      <c r="AP33" s="187"/>
      <c r="AQ33" s="184"/>
      <c r="AR33" s="181"/>
      <c r="AS33" s="588"/>
      <c r="AT33" s="187"/>
      <c r="AU33" s="187"/>
      <c r="AV33" s="184"/>
      <c r="AW33" s="181"/>
      <c r="AX33" s="588"/>
    </row>
    <row r="34" spans="2:50" ht="14.25" customHeight="1">
      <c r="B34" s="586"/>
      <c r="C34" s="179">
        <v>8</v>
      </c>
      <c r="D34" s="182"/>
      <c r="E34" s="179"/>
      <c r="F34" s="179"/>
      <c r="G34" s="184"/>
      <c r="H34" s="588"/>
      <c r="I34" s="185"/>
      <c r="J34" s="185"/>
      <c r="K34" s="186"/>
      <c r="L34" s="589"/>
      <c r="M34" s="185"/>
      <c r="N34" s="586"/>
      <c r="O34" s="586"/>
      <c r="P34" s="187"/>
      <c r="Q34" s="187"/>
      <c r="R34" s="184"/>
      <c r="S34" s="181"/>
      <c r="T34" s="588"/>
      <c r="U34" s="187"/>
      <c r="V34" s="187"/>
      <c r="W34" s="184"/>
      <c r="X34" s="181"/>
      <c r="Y34" s="588"/>
      <c r="Z34" s="187"/>
      <c r="AA34" s="187"/>
      <c r="AB34" s="184"/>
      <c r="AC34" s="181"/>
      <c r="AD34" s="588"/>
      <c r="AE34" s="187"/>
      <c r="AF34" s="187"/>
      <c r="AG34" s="184"/>
      <c r="AH34" s="181"/>
      <c r="AI34" s="588"/>
      <c r="AJ34" s="187"/>
      <c r="AK34" s="187"/>
      <c r="AL34" s="184"/>
      <c r="AM34" s="181"/>
      <c r="AN34" s="588"/>
      <c r="AO34" s="187"/>
      <c r="AP34" s="187"/>
      <c r="AQ34" s="184"/>
      <c r="AR34" s="181"/>
      <c r="AS34" s="588"/>
      <c r="AT34" s="187"/>
      <c r="AU34" s="187"/>
      <c r="AV34" s="184"/>
      <c r="AW34" s="181"/>
      <c r="AX34" s="588"/>
    </row>
    <row r="35" spans="2:50" ht="14.25" customHeight="1">
      <c r="B35" s="586"/>
      <c r="C35" s="179">
        <v>9</v>
      </c>
      <c r="D35" s="182"/>
      <c r="E35" s="179"/>
      <c r="F35" s="179"/>
      <c r="G35" s="184"/>
      <c r="H35" s="588"/>
      <c r="I35" s="185"/>
      <c r="J35" s="185"/>
      <c r="K35" s="186"/>
      <c r="L35" s="589"/>
      <c r="M35" s="185"/>
      <c r="N35" s="586"/>
      <c r="O35" s="586"/>
      <c r="P35" s="187"/>
      <c r="Q35" s="187"/>
      <c r="R35" s="184"/>
      <c r="S35" s="181"/>
      <c r="T35" s="588"/>
      <c r="U35" s="187"/>
      <c r="V35" s="187"/>
      <c r="W35" s="184"/>
      <c r="X35" s="181"/>
      <c r="Y35" s="588"/>
      <c r="Z35" s="187"/>
      <c r="AA35" s="187"/>
      <c r="AB35" s="184"/>
      <c r="AC35" s="181"/>
      <c r="AD35" s="588"/>
      <c r="AE35" s="187"/>
      <c r="AF35" s="187"/>
      <c r="AG35" s="184"/>
      <c r="AH35" s="181"/>
      <c r="AI35" s="588"/>
      <c r="AJ35" s="187"/>
      <c r="AK35" s="187"/>
      <c r="AL35" s="184"/>
      <c r="AM35" s="181"/>
      <c r="AN35" s="588"/>
      <c r="AO35" s="187"/>
      <c r="AP35" s="187"/>
      <c r="AQ35" s="184"/>
      <c r="AR35" s="181"/>
      <c r="AS35" s="588"/>
      <c r="AT35" s="187"/>
      <c r="AU35" s="187"/>
      <c r="AV35" s="184"/>
      <c r="AW35" s="181"/>
      <c r="AX35" s="588"/>
    </row>
    <row r="36" spans="2:50" ht="14.25" customHeight="1">
      <c r="B36" s="586"/>
      <c r="C36" s="179">
        <v>10</v>
      </c>
      <c r="D36" s="182"/>
      <c r="E36" s="179"/>
      <c r="F36" s="179"/>
      <c r="G36" s="184"/>
      <c r="H36" s="588"/>
      <c r="I36" s="185"/>
      <c r="J36" s="185"/>
      <c r="K36" s="186"/>
      <c r="L36" s="589"/>
      <c r="M36" s="185"/>
      <c r="N36" s="586"/>
      <c r="O36" s="586"/>
      <c r="P36" s="187"/>
      <c r="Q36" s="187"/>
      <c r="R36" s="184"/>
      <c r="S36" s="181"/>
      <c r="T36" s="588"/>
      <c r="U36" s="187"/>
      <c r="V36" s="187"/>
      <c r="W36" s="184"/>
      <c r="X36" s="181"/>
      <c r="Y36" s="588"/>
      <c r="Z36" s="187"/>
      <c r="AA36" s="187"/>
      <c r="AB36" s="184"/>
      <c r="AC36" s="181"/>
      <c r="AD36" s="588"/>
      <c r="AE36" s="187"/>
      <c r="AF36" s="187"/>
      <c r="AG36" s="184"/>
      <c r="AH36" s="181"/>
      <c r="AI36" s="588"/>
      <c r="AJ36" s="187"/>
      <c r="AK36" s="187"/>
      <c r="AL36" s="184"/>
      <c r="AM36" s="181"/>
      <c r="AN36" s="588"/>
      <c r="AO36" s="187"/>
      <c r="AP36" s="187"/>
      <c r="AQ36" s="184"/>
      <c r="AR36" s="181"/>
      <c r="AS36" s="588"/>
      <c r="AT36" s="187"/>
      <c r="AU36" s="187"/>
      <c r="AV36" s="184"/>
      <c r="AW36" s="181"/>
      <c r="AX36" s="588"/>
    </row>
    <row r="37" spans="2:50" ht="14.25" customHeight="1">
      <c r="B37" s="586"/>
      <c r="C37" s="179">
        <v>11</v>
      </c>
      <c r="D37" s="182"/>
      <c r="E37" s="179"/>
      <c r="F37" s="179"/>
      <c r="G37" s="184"/>
      <c r="H37" s="588"/>
      <c r="I37" s="185"/>
      <c r="J37" s="185"/>
      <c r="K37" s="186"/>
      <c r="L37" s="589"/>
      <c r="M37" s="185"/>
      <c r="N37" s="586"/>
      <c r="O37" s="586"/>
      <c r="P37" s="187"/>
      <c r="Q37" s="187"/>
      <c r="R37" s="184"/>
      <c r="S37" s="181"/>
      <c r="T37" s="588"/>
      <c r="U37" s="187"/>
      <c r="V37" s="187"/>
      <c r="W37" s="184"/>
      <c r="X37" s="181"/>
      <c r="Y37" s="588"/>
      <c r="Z37" s="187"/>
      <c r="AA37" s="187"/>
      <c r="AB37" s="184"/>
      <c r="AC37" s="181"/>
      <c r="AD37" s="588"/>
      <c r="AE37" s="187"/>
      <c r="AF37" s="187"/>
      <c r="AG37" s="184"/>
      <c r="AH37" s="181"/>
      <c r="AI37" s="588"/>
      <c r="AJ37" s="187"/>
      <c r="AK37" s="187"/>
      <c r="AL37" s="184"/>
      <c r="AM37" s="181"/>
      <c r="AN37" s="588"/>
      <c r="AO37" s="187"/>
      <c r="AP37" s="187"/>
      <c r="AQ37" s="184"/>
      <c r="AR37" s="181"/>
      <c r="AS37" s="588"/>
      <c r="AT37" s="187"/>
      <c r="AU37" s="187"/>
      <c r="AV37" s="184"/>
      <c r="AW37" s="181"/>
      <c r="AX37" s="588"/>
    </row>
    <row r="38" spans="2:50" ht="14.25" customHeight="1">
      <c r="B38" s="586"/>
      <c r="C38" s="179">
        <v>12</v>
      </c>
      <c r="D38" s="182"/>
      <c r="E38" s="179"/>
      <c r="F38" s="179"/>
      <c r="G38" s="184"/>
      <c r="H38" s="588"/>
      <c r="I38" s="185"/>
      <c r="J38" s="185"/>
      <c r="K38" s="186"/>
      <c r="L38" s="589"/>
      <c r="M38" s="185"/>
      <c r="N38" s="586"/>
      <c r="O38" s="586"/>
      <c r="P38" s="187"/>
      <c r="Q38" s="187"/>
      <c r="R38" s="184"/>
      <c r="S38" s="181"/>
      <c r="T38" s="588"/>
      <c r="U38" s="187"/>
      <c r="V38" s="187"/>
      <c r="W38" s="184"/>
      <c r="X38" s="181"/>
      <c r="Y38" s="588"/>
      <c r="Z38" s="187"/>
      <c r="AA38" s="187"/>
      <c r="AB38" s="184"/>
      <c r="AC38" s="181"/>
      <c r="AD38" s="588"/>
      <c r="AE38" s="187"/>
      <c r="AF38" s="187"/>
      <c r="AG38" s="184"/>
      <c r="AH38" s="181"/>
      <c r="AI38" s="588"/>
      <c r="AJ38" s="187"/>
      <c r="AK38" s="187"/>
      <c r="AL38" s="184"/>
      <c r="AM38" s="181"/>
      <c r="AN38" s="588"/>
      <c r="AO38" s="187"/>
      <c r="AP38" s="187"/>
      <c r="AQ38" s="184"/>
      <c r="AR38" s="181"/>
      <c r="AS38" s="588"/>
      <c r="AT38" s="187"/>
      <c r="AU38" s="187"/>
      <c r="AV38" s="184"/>
      <c r="AW38" s="181"/>
      <c r="AX38" s="588"/>
    </row>
    <row r="39" spans="2:50" ht="14.25" customHeight="1">
      <c r="B39" s="586"/>
      <c r="C39" s="179">
        <v>13</v>
      </c>
      <c r="D39" s="182"/>
      <c r="E39" s="179"/>
      <c r="F39" s="179"/>
      <c r="G39" s="184"/>
      <c r="H39" s="588"/>
      <c r="I39" s="185"/>
      <c r="J39" s="185"/>
      <c r="K39" s="186"/>
      <c r="L39" s="589"/>
      <c r="M39" s="185"/>
      <c r="N39" s="586"/>
      <c r="O39" s="586"/>
      <c r="P39" s="187"/>
      <c r="Q39" s="187"/>
      <c r="R39" s="184"/>
      <c r="S39" s="181"/>
      <c r="T39" s="588"/>
      <c r="U39" s="187"/>
      <c r="V39" s="187"/>
      <c r="W39" s="184"/>
      <c r="X39" s="181"/>
      <c r="Y39" s="588"/>
      <c r="Z39" s="187"/>
      <c r="AA39" s="187"/>
      <c r="AB39" s="184"/>
      <c r="AC39" s="181"/>
      <c r="AD39" s="588"/>
      <c r="AE39" s="187"/>
      <c r="AF39" s="187"/>
      <c r="AG39" s="184"/>
      <c r="AH39" s="181"/>
      <c r="AI39" s="588"/>
      <c r="AJ39" s="187"/>
      <c r="AK39" s="187"/>
      <c r="AL39" s="184"/>
      <c r="AM39" s="181"/>
      <c r="AN39" s="588"/>
      <c r="AO39" s="187"/>
      <c r="AP39" s="187"/>
      <c r="AQ39" s="184"/>
      <c r="AR39" s="181"/>
      <c r="AS39" s="588"/>
      <c r="AT39" s="187"/>
      <c r="AU39" s="187"/>
      <c r="AV39" s="184"/>
      <c r="AW39" s="181"/>
      <c r="AX39" s="588"/>
    </row>
    <row r="40" spans="2:50" ht="14.25" customHeight="1">
      <c r="B40" s="586"/>
      <c r="C40" s="179">
        <v>14</v>
      </c>
      <c r="D40" s="182"/>
      <c r="E40" s="179"/>
      <c r="F40" s="179"/>
      <c r="G40" s="184"/>
      <c r="H40" s="588"/>
      <c r="I40" s="185"/>
      <c r="J40" s="185"/>
      <c r="K40" s="186"/>
      <c r="L40" s="589"/>
      <c r="M40" s="185"/>
      <c r="N40" s="586"/>
      <c r="O40" s="586"/>
      <c r="P40" s="187"/>
      <c r="Q40" s="187"/>
      <c r="R40" s="184"/>
      <c r="S40" s="181"/>
      <c r="T40" s="588"/>
      <c r="U40" s="187"/>
      <c r="V40" s="187"/>
      <c r="W40" s="184"/>
      <c r="X40" s="181"/>
      <c r="Y40" s="588"/>
      <c r="Z40" s="187"/>
      <c r="AA40" s="187"/>
      <c r="AB40" s="184"/>
      <c r="AC40" s="181"/>
      <c r="AD40" s="588"/>
      <c r="AE40" s="187"/>
      <c r="AF40" s="187"/>
      <c r="AG40" s="184"/>
      <c r="AH40" s="181"/>
      <c r="AI40" s="588"/>
      <c r="AJ40" s="187"/>
      <c r="AK40" s="187"/>
      <c r="AL40" s="184"/>
      <c r="AM40" s="181"/>
      <c r="AN40" s="588"/>
      <c r="AO40" s="187"/>
      <c r="AP40" s="187"/>
      <c r="AQ40" s="184"/>
      <c r="AR40" s="181"/>
      <c r="AS40" s="588"/>
      <c r="AT40" s="187"/>
      <c r="AU40" s="187"/>
      <c r="AV40" s="184"/>
      <c r="AW40" s="181"/>
      <c r="AX40" s="588"/>
    </row>
    <row r="41" spans="2:50" ht="14.25" customHeight="1">
      <c r="B41" s="586"/>
      <c r="C41" s="179">
        <v>15</v>
      </c>
      <c r="D41" s="182"/>
      <c r="E41" s="179"/>
      <c r="F41" s="179"/>
      <c r="G41" s="184"/>
      <c r="H41" s="588"/>
      <c r="I41" s="185"/>
      <c r="J41" s="185"/>
      <c r="K41" s="186"/>
      <c r="L41" s="589"/>
      <c r="M41" s="185"/>
      <c r="N41" s="586"/>
      <c r="O41" s="586"/>
      <c r="P41" s="187"/>
      <c r="Q41" s="187"/>
      <c r="R41" s="184"/>
      <c r="S41" s="181"/>
      <c r="T41" s="588"/>
      <c r="U41" s="187"/>
      <c r="V41" s="187"/>
      <c r="W41" s="184"/>
      <c r="X41" s="181"/>
      <c r="Y41" s="588"/>
      <c r="Z41" s="187"/>
      <c r="AA41" s="187"/>
      <c r="AB41" s="184"/>
      <c r="AC41" s="181"/>
      <c r="AD41" s="588"/>
      <c r="AE41" s="187"/>
      <c r="AF41" s="187"/>
      <c r="AG41" s="184"/>
      <c r="AH41" s="181"/>
      <c r="AI41" s="588"/>
      <c r="AJ41" s="187"/>
      <c r="AK41" s="187"/>
      <c r="AL41" s="184"/>
      <c r="AM41" s="181"/>
      <c r="AN41" s="588"/>
      <c r="AO41" s="187"/>
      <c r="AP41" s="187"/>
      <c r="AQ41" s="184"/>
      <c r="AR41" s="181"/>
      <c r="AS41" s="588"/>
      <c r="AT41" s="187"/>
      <c r="AU41" s="187"/>
      <c r="AV41" s="184"/>
      <c r="AW41" s="181"/>
      <c r="AX41" s="588"/>
    </row>
    <row r="42" spans="2:50" ht="14.25" customHeight="1">
      <c r="B42" s="612" t="s">
        <v>712</v>
      </c>
      <c r="C42" s="613"/>
      <c r="D42" s="613"/>
      <c r="E42" s="613"/>
      <c r="F42" s="613"/>
      <c r="G42" s="613"/>
      <c r="H42" s="613"/>
      <c r="I42" s="613"/>
      <c r="J42" s="613"/>
      <c r="K42" s="613"/>
      <c r="L42" s="613"/>
      <c r="M42" s="614"/>
      <c r="N42" s="617" t="s">
        <v>341</v>
      </c>
      <c r="O42" s="617" t="s">
        <v>105</v>
      </c>
      <c r="P42" s="600">
        <v>46245</v>
      </c>
      <c r="Q42" s="601"/>
      <c r="R42" s="601"/>
      <c r="S42" s="601"/>
      <c r="T42" s="601"/>
      <c r="U42" s="602">
        <v>46246</v>
      </c>
      <c r="V42" s="603"/>
      <c r="W42" s="603"/>
      <c r="X42" s="603"/>
      <c r="Y42" s="603"/>
      <c r="Z42" s="600">
        <v>46247</v>
      </c>
      <c r="AA42" s="601"/>
      <c r="AB42" s="601"/>
      <c r="AC42" s="601"/>
      <c r="AD42" s="601"/>
      <c r="AE42" s="602">
        <v>46248</v>
      </c>
      <c r="AF42" s="603"/>
      <c r="AG42" s="603"/>
      <c r="AH42" s="603"/>
      <c r="AI42" s="603"/>
      <c r="AJ42" s="609">
        <v>46249</v>
      </c>
      <c r="AK42" s="610"/>
      <c r="AL42" s="610"/>
      <c r="AM42" s="610"/>
      <c r="AN42" s="611"/>
      <c r="AO42" s="602">
        <v>46250</v>
      </c>
      <c r="AP42" s="603"/>
      <c r="AQ42" s="603"/>
      <c r="AR42" s="603"/>
      <c r="AS42" s="603"/>
      <c r="AT42" s="609">
        <v>46251</v>
      </c>
      <c r="AU42" s="610"/>
      <c r="AV42" s="610"/>
      <c r="AW42" s="610"/>
      <c r="AX42" s="611"/>
    </row>
    <row r="43" spans="2:50" ht="14.25" customHeight="1">
      <c r="B43" s="615"/>
      <c r="C43" s="615"/>
      <c r="D43" s="615"/>
      <c r="E43" s="615"/>
      <c r="F43" s="615"/>
      <c r="G43" s="615"/>
      <c r="H43" s="615"/>
      <c r="I43" s="615"/>
      <c r="J43" s="615"/>
      <c r="K43" s="615"/>
      <c r="L43" s="615"/>
      <c r="M43" s="616"/>
      <c r="N43" s="618"/>
      <c r="O43" s="618"/>
      <c r="P43" s="604">
        <v>46196</v>
      </c>
      <c r="Q43" s="604"/>
      <c r="R43" s="604"/>
      <c r="S43" s="604"/>
      <c r="T43" s="604"/>
      <c r="U43" s="605">
        <v>46197</v>
      </c>
      <c r="V43" s="605"/>
      <c r="W43" s="605"/>
      <c r="X43" s="605"/>
      <c r="Y43" s="605"/>
      <c r="Z43" s="604">
        <v>46198</v>
      </c>
      <c r="AA43" s="604"/>
      <c r="AB43" s="604"/>
      <c r="AC43" s="604"/>
      <c r="AD43" s="604"/>
      <c r="AE43" s="605">
        <v>46199</v>
      </c>
      <c r="AF43" s="605"/>
      <c r="AG43" s="605"/>
      <c r="AH43" s="605"/>
      <c r="AI43" s="605"/>
      <c r="AJ43" s="606">
        <v>46200</v>
      </c>
      <c r="AK43" s="607"/>
      <c r="AL43" s="607"/>
      <c r="AM43" s="607"/>
      <c r="AN43" s="608"/>
      <c r="AO43" s="605">
        <v>46201</v>
      </c>
      <c r="AP43" s="605"/>
      <c r="AQ43" s="605"/>
      <c r="AR43" s="605"/>
      <c r="AS43" s="605"/>
      <c r="AT43" s="606">
        <v>46202</v>
      </c>
      <c r="AU43" s="607"/>
      <c r="AV43" s="607"/>
      <c r="AW43" s="607"/>
      <c r="AX43" s="608"/>
    </row>
    <row r="44" spans="2:50" ht="14.25" customHeight="1">
      <c r="B44" s="586" t="s">
        <v>162</v>
      </c>
      <c r="C44" s="586" t="s">
        <v>157</v>
      </c>
      <c r="D44" s="586"/>
      <c r="E44" s="586" t="s">
        <v>158</v>
      </c>
      <c r="F44" s="586"/>
      <c r="G44" s="586"/>
      <c r="H44" s="586" t="s">
        <v>163</v>
      </c>
      <c r="I44" s="592" t="s">
        <v>342</v>
      </c>
      <c r="J44" s="592"/>
      <c r="K44" s="592"/>
      <c r="L44" s="592" t="s">
        <v>163</v>
      </c>
      <c r="M44" s="592" t="s">
        <v>165</v>
      </c>
      <c r="N44" s="586"/>
      <c r="O44" s="586" t="s">
        <v>164</v>
      </c>
      <c r="P44" s="586" t="s">
        <v>160</v>
      </c>
      <c r="Q44" s="586"/>
      <c r="R44" s="586"/>
      <c r="S44" s="586"/>
      <c r="T44" s="586" t="s">
        <v>163</v>
      </c>
      <c r="U44" s="586" t="s">
        <v>160</v>
      </c>
      <c r="V44" s="586"/>
      <c r="W44" s="586"/>
      <c r="X44" s="586"/>
      <c r="Y44" s="586" t="s">
        <v>163</v>
      </c>
      <c r="Z44" s="586" t="s">
        <v>160</v>
      </c>
      <c r="AA44" s="586"/>
      <c r="AB44" s="586"/>
      <c r="AC44" s="586"/>
      <c r="AD44" s="586" t="s">
        <v>163</v>
      </c>
      <c r="AE44" s="586" t="s">
        <v>160</v>
      </c>
      <c r="AF44" s="586"/>
      <c r="AG44" s="586"/>
      <c r="AH44" s="586"/>
      <c r="AI44" s="586" t="s">
        <v>163</v>
      </c>
      <c r="AJ44" s="586" t="s">
        <v>160</v>
      </c>
      <c r="AK44" s="586"/>
      <c r="AL44" s="586"/>
      <c r="AM44" s="586"/>
      <c r="AN44" s="586" t="s">
        <v>163</v>
      </c>
      <c r="AO44" s="586" t="s">
        <v>160</v>
      </c>
      <c r="AP44" s="586"/>
      <c r="AQ44" s="586"/>
      <c r="AR44" s="586"/>
      <c r="AS44" s="586" t="s">
        <v>163</v>
      </c>
      <c r="AT44" s="586" t="s">
        <v>160</v>
      </c>
      <c r="AU44" s="586"/>
      <c r="AV44" s="586"/>
      <c r="AW44" s="586"/>
      <c r="AX44" s="586" t="s">
        <v>163</v>
      </c>
    </row>
    <row r="45" spans="2:50" ht="14.25" customHeight="1">
      <c r="B45" s="586"/>
      <c r="C45" s="586"/>
      <c r="D45" s="586"/>
      <c r="E45" s="586" t="s">
        <v>343</v>
      </c>
      <c r="F45" s="586"/>
      <c r="G45" s="586"/>
      <c r="H45" s="586"/>
      <c r="I45" s="592" t="s">
        <v>343</v>
      </c>
      <c r="J45" s="592"/>
      <c r="K45" s="592"/>
      <c r="L45" s="592"/>
      <c r="M45" s="592"/>
      <c r="N45" s="586"/>
      <c r="O45" s="586"/>
      <c r="P45" s="586" t="s">
        <v>344</v>
      </c>
      <c r="Q45" s="586"/>
      <c r="R45" s="586"/>
      <c r="S45" s="586"/>
      <c r="T45" s="586"/>
      <c r="U45" s="586" t="s">
        <v>344</v>
      </c>
      <c r="V45" s="586"/>
      <c r="W45" s="586"/>
      <c r="X45" s="586"/>
      <c r="Y45" s="586"/>
      <c r="Z45" s="586" t="s">
        <v>344</v>
      </c>
      <c r="AA45" s="586"/>
      <c r="AB45" s="586"/>
      <c r="AC45" s="586"/>
      <c r="AD45" s="586"/>
      <c r="AE45" s="586" t="s">
        <v>344</v>
      </c>
      <c r="AF45" s="586"/>
      <c r="AG45" s="586"/>
      <c r="AH45" s="586"/>
      <c r="AI45" s="586"/>
      <c r="AJ45" s="586" t="s">
        <v>344</v>
      </c>
      <c r="AK45" s="586"/>
      <c r="AL45" s="586"/>
      <c r="AM45" s="586"/>
      <c r="AN45" s="586"/>
      <c r="AO45" s="586" t="s">
        <v>344</v>
      </c>
      <c r="AP45" s="586"/>
      <c r="AQ45" s="586"/>
      <c r="AR45" s="586"/>
      <c r="AS45" s="586"/>
      <c r="AT45" s="586" t="s">
        <v>344</v>
      </c>
      <c r="AU45" s="586"/>
      <c r="AV45" s="586"/>
      <c r="AW45" s="586"/>
      <c r="AX45" s="586"/>
    </row>
    <row r="46" spans="2:50" ht="14.25" customHeight="1">
      <c r="B46" s="586"/>
      <c r="C46" s="586"/>
      <c r="D46" s="586"/>
      <c r="E46" s="179" t="s">
        <v>159</v>
      </c>
      <c r="F46" s="179" t="s">
        <v>345</v>
      </c>
      <c r="G46" s="179" t="s">
        <v>161</v>
      </c>
      <c r="H46" s="586"/>
      <c r="I46" s="180" t="s">
        <v>159</v>
      </c>
      <c r="J46" s="180" t="s">
        <v>345</v>
      </c>
      <c r="K46" s="180" t="s">
        <v>161</v>
      </c>
      <c r="L46" s="592"/>
      <c r="M46" s="592"/>
      <c r="N46" s="586"/>
      <c r="O46" s="586"/>
      <c r="P46" s="179" t="s">
        <v>159</v>
      </c>
      <c r="Q46" s="179" t="s">
        <v>345</v>
      </c>
      <c r="R46" s="179" t="s">
        <v>161</v>
      </c>
      <c r="S46" s="181" t="s">
        <v>165</v>
      </c>
      <c r="T46" s="586"/>
      <c r="U46" s="179" t="s">
        <v>159</v>
      </c>
      <c r="V46" s="179" t="s">
        <v>345</v>
      </c>
      <c r="W46" s="179" t="s">
        <v>161</v>
      </c>
      <c r="X46" s="181" t="s">
        <v>165</v>
      </c>
      <c r="Y46" s="586"/>
      <c r="Z46" s="179" t="s">
        <v>159</v>
      </c>
      <c r="AA46" s="179" t="s">
        <v>345</v>
      </c>
      <c r="AB46" s="179" t="s">
        <v>161</v>
      </c>
      <c r="AC46" s="181" t="s">
        <v>165</v>
      </c>
      <c r="AD46" s="586"/>
      <c r="AE46" s="179" t="s">
        <v>159</v>
      </c>
      <c r="AF46" s="179" t="s">
        <v>345</v>
      </c>
      <c r="AG46" s="179" t="s">
        <v>161</v>
      </c>
      <c r="AH46" s="181" t="s">
        <v>165</v>
      </c>
      <c r="AI46" s="586"/>
      <c r="AJ46" s="179" t="s">
        <v>159</v>
      </c>
      <c r="AK46" s="179" t="s">
        <v>345</v>
      </c>
      <c r="AL46" s="179" t="s">
        <v>161</v>
      </c>
      <c r="AM46" s="181" t="s">
        <v>165</v>
      </c>
      <c r="AN46" s="586"/>
      <c r="AO46" s="179" t="s">
        <v>159</v>
      </c>
      <c r="AP46" s="179" t="s">
        <v>345</v>
      </c>
      <c r="AQ46" s="179" t="s">
        <v>161</v>
      </c>
      <c r="AR46" s="181" t="s">
        <v>165</v>
      </c>
      <c r="AS46" s="586"/>
      <c r="AT46" s="179" t="s">
        <v>159</v>
      </c>
      <c r="AU46" s="179" t="s">
        <v>345</v>
      </c>
      <c r="AV46" s="179" t="s">
        <v>161</v>
      </c>
      <c r="AW46" s="181" t="s">
        <v>165</v>
      </c>
      <c r="AX46" s="586"/>
    </row>
    <row r="47" spans="2:50" ht="14.25" customHeight="1">
      <c r="B47" s="586" t="s">
        <v>143</v>
      </c>
      <c r="C47" s="179">
        <v>1</v>
      </c>
      <c r="D47" s="182" t="s">
        <v>551</v>
      </c>
      <c r="E47" s="183">
        <v>19</v>
      </c>
      <c r="F47" s="179">
        <v>2000</v>
      </c>
      <c r="G47" s="184">
        <f t="shared" ref="G47:G49" si="32">IFERROR(F47/E47,"")</f>
        <v>105.26315789473684</v>
      </c>
      <c r="H47" s="588">
        <f>AVERAGE(G47:G61)</f>
        <v>126.46301067353698</v>
      </c>
      <c r="I47" s="185">
        <f>AVERAGE(P47,U47,Z47,AE47,AJ47,AO47,AT47)</f>
        <v>19</v>
      </c>
      <c r="J47" s="185">
        <f>AVERAGE(Q47,V47,AA47,AF47,AK47,AP47,AU47)</f>
        <v>1805.3137725846659</v>
      </c>
      <c r="K47" s="186">
        <f>AVERAGE(R47,W47,AB47,AG47,AL47,AQ47,AV47)</f>
        <v>95.016514346561351</v>
      </c>
      <c r="L47" s="589">
        <f>IFERROR(AVERAGE(K47:K61),"-")</f>
        <v>114.22959028982503</v>
      </c>
      <c r="M47" s="185">
        <f>RANK(K47, K$47:$K$61)</f>
        <v>2</v>
      </c>
      <c r="N47" s="586"/>
      <c r="O47" s="586"/>
      <c r="P47" s="187">
        <v>19</v>
      </c>
      <c r="Q47" s="187">
        <v>1805.9709154418085</v>
      </c>
      <c r="R47" s="184">
        <f>IFERROR(Q47/P47,"")</f>
        <v>95.051100812726759</v>
      </c>
      <c r="S47" s="181">
        <f>RANK(R47, R$47:R$61)</f>
        <v>2</v>
      </c>
      <c r="T47" s="588">
        <f>AVERAGE(R47:R61)</f>
        <v>114.26193829269933</v>
      </c>
      <c r="U47" s="187">
        <v>19</v>
      </c>
      <c r="V47" s="187">
        <v>1806.1709154418083</v>
      </c>
      <c r="W47" s="184">
        <f t="shared" ref="W47:W49" si="33">IFERROR(V47/U47,"")</f>
        <v>95.061627128516236</v>
      </c>
      <c r="X47" s="181">
        <f>RANK(W47, W$47:W$61)</f>
        <v>2</v>
      </c>
      <c r="Y47" s="588">
        <f>AVERAGE(W47:W61)</f>
        <v>114.25323261241472</v>
      </c>
      <c r="Z47" s="187">
        <v>19</v>
      </c>
      <c r="AA47" s="187">
        <v>1806.3709154418086</v>
      </c>
      <c r="AB47" s="184">
        <f>IFERROR(AA47/Z47,"")</f>
        <v>95.072153444305712</v>
      </c>
      <c r="AC47" s="181">
        <f>RANK(AB47, AB$47:AB$61)</f>
        <v>2</v>
      </c>
      <c r="AD47" s="588">
        <f>AVERAGE(AB47:AB61)</f>
        <v>114.23231247991565</v>
      </c>
      <c r="AE47" s="187">
        <v>19</v>
      </c>
      <c r="AF47" s="187">
        <v>1805.3709154418088</v>
      </c>
      <c r="AG47" s="184">
        <f>IFERROR(AF47/AE47,"")</f>
        <v>95.019521865358357</v>
      </c>
      <c r="AH47" s="181">
        <f>RANK(AG47, AG$47:AG$61)</f>
        <v>2</v>
      </c>
      <c r="AI47" s="588">
        <f>AVERAGE(AG47:AG61)</f>
        <v>114.21793878343669</v>
      </c>
      <c r="AJ47" s="187">
        <v>19</v>
      </c>
      <c r="AK47" s="187">
        <v>1804.9709154418092</v>
      </c>
      <c r="AL47" s="184">
        <f>IFERROR(AK47/AJ47,"")</f>
        <v>94.998469233779431</v>
      </c>
      <c r="AM47" s="181">
        <f>RANK(AL47, AL$47:AL$61)</f>
        <v>2</v>
      </c>
      <c r="AN47" s="588">
        <f>AVERAGE(AL47:AL61)</f>
        <v>114.201970190626</v>
      </c>
      <c r="AO47" s="187">
        <v>19</v>
      </c>
      <c r="AP47" s="187">
        <v>1803.9709154418092</v>
      </c>
      <c r="AQ47" s="184">
        <f>IFERROR(AP47/AO47,"")</f>
        <v>94.945837654832062</v>
      </c>
      <c r="AR47" s="181">
        <f>RANK(AQ47, AQ$47:AQ$61)</f>
        <v>1</v>
      </c>
      <c r="AS47" s="588">
        <f>AVERAGE(AQ47:AQ61)</f>
        <v>89.125506834217887</v>
      </c>
      <c r="AT47" s="187">
        <v>19</v>
      </c>
      <c r="AU47" s="187">
        <v>1804.3709154418091</v>
      </c>
      <c r="AV47" s="184">
        <f>IFERROR(AU47/AT47,"")</f>
        <v>94.966890286411001</v>
      </c>
      <c r="AW47" s="181">
        <f>RANK(AV47, AV$47:AV$61)</f>
        <v>1</v>
      </c>
      <c r="AX47" s="588">
        <f>AVERAGE(AV47:AV61)</f>
        <v>89.140648534622727</v>
      </c>
    </row>
    <row r="48" spans="2:50" ht="14.25" customHeight="1">
      <c r="B48" s="586"/>
      <c r="C48" s="179">
        <v>2</v>
      </c>
      <c r="D48" s="182" t="s">
        <v>332</v>
      </c>
      <c r="E48" s="179">
        <v>13</v>
      </c>
      <c r="F48" s="179">
        <v>1200</v>
      </c>
      <c r="G48" s="184">
        <f t="shared" si="32"/>
        <v>92.307692307692307</v>
      </c>
      <c r="H48" s="588"/>
      <c r="I48" s="185">
        <f t="shared" ref="I48:K49" si="34">AVERAGE(P48,U48,Z48,AE48,AJ48,AO48,AT48)</f>
        <v>13</v>
      </c>
      <c r="J48" s="185">
        <f t="shared" si="34"/>
        <v>1082.6244310339914</v>
      </c>
      <c r="K48" s="186">
        <f t="shared" si="34"/>
        <v>83.278802387230101</v>
      </c>
      <c r="L48" s="589"/>
      <c r="M48" s="185">
        <f>RANK(K48, K$47:$K$61)</f>
        <v>3</v>
      </c>
      <c r="N48" s="586"/>
      <c r="O48" s="586"/>
      <c r="P48" s="187">
        <v>13</v>
      </c>
      <c r="Q48" s="187">
        <v>1082.7272881768488</v>
      </c>
      <c r="R48" s="184">
        <f t="shared" ref="R48:R49" si="35">IFERROR(Q48/P48,"")</f>
        <v>83.286714475142219</v>
      </c>
      <c r="S48" s="181">
        <f t="shared" ref="S48:S49" si="36">RANK(R48, R$47:R$61)</f>
        <v>3</v>
      </c>
      <c r="T48" s="588"/>
      <c r="U48" s="187">
        <v>13</v>
      </c>
      <c r="V48" s="187">
        <v>1082.4872881768486</v>
      </c>
      <c r="W48" s="184">
        <f t="shared" si="33"/>
        <v>83.268252936680653</v>
      </c>
      <c r="X48" s="181">
        <f t="shared" ref="X48:X49" si="37">RANK(W48, W$47:W$61)</f>
        <v>3</v>
      </c>
      <c r="Y48" s="588"/>
      <c r="Z48" s="187">
        <v>13</v>
      </c>
      <c r="AA48" s="187">
        <v>1082.0072881768485</v>
      </c>
      <c r="AB48" s="184">
        <f t="shared" ref="AB48:AB49" si="38">IFERROR(AA48/Z48,"")</f>
        <v>83.231329859757579</v>
      </c>
      <c r="AC48" s="181">
        <f t="shared" ref="AC48:AC49" si="39">RANK(AB48, AB$47:AB$61)</f>
        <v>3</v>
      </c>
      <c r="AD48" s="588"/>
      <c r="AE48" s="187">
        <v>13</v>
      </c>
      <c r="AF48" s="187">
        <v>1082.3672881768484</v>
      </c>
      <c r="AG48" s="184">
        <f t="shared" ref="AG48:AG49" si="40">IFERROR(AF48/AE48,"")</f>
        <v>83.259022167449885</v>
      </c>
      <c r="AH48" s="181">
        <f t="shared" ref="AH48:AH49" si="41">RANK(AG48, AG$47:AG$61)</f>
        <v>3</v>
      </c>
      <c r="AI48" s="588"/>
      <c r="AJ48" s="187">
        <v>13</v>
      </c>
      <c r="AK48" s="187">
        <v>1082.7272881768483</v>
      </c>
      <c r="AL48" s="184">
        <f t="shared" ref="AL48:AL49" si="42">IFERROR(AK48/AJ48,"")</f>
        <v>83.286714475142176</v>
      </c>
      <c r="AM48" s="181">
        <f t="shared" ref="AM48:AM49" si="43">RANK(AL48, AL$47:AL$61)</f>
        <v>3</v>
      </c>
      <c r="AN48" s="588"/>
      <c r="AO48" s="187">
        <v>13</v>
      </c>
      <c r="AP48" s="187">
        <v>1082.9672881768483</v>
      </c>
      <c r="AQ48" s="184">
        <f t="shared" ref="AQ48" si="44">IFERROR(AP48/AO48,"")</f>
        <v>83.305176013603713</v>
      </c>
      <c r="AR48" s="181">
        <f t="shared" ref="AR48" si="45">RANK(AQ48, AQ$47:AQ$61)</f>
        <v>2</v>
      </c>
      <c r="AS48" s="588"/>
      <c r="AT48" s="187">
        <v>13</v>
      </c>
      <c r="AU48" s="187">
        <v>1083.087288176848</v>
      </c>
      <c r="AV48" s="184">
        <f t="shared" ref="AV48" si="46">IFERROR(AU48/AT48,"")</f>
        <v>83.314406782834467</v>
      </c>
      <c r="AW48" s="181">
        <f t="shared" ref="AW48" si="47">RANK(AV48, AV$47:AV$61)</f>
        <v>2</v>
      </c>
      <c r="AX48" s="588"/>
    </row>
    <row r="49" spans="2:50" ht="14.25" customHeight="1">
      <c r="B49" s="586"/>
      <c r="C49" s="179">
        <v>3</v>
      </c>
      <c r="D49" s="182" t="s">
        <v>539</v>
      </c>
      <c r="E49" s="179">
        <v>11</v>
      </c>
      <c r="F49" s="179">
        <v>2000</v>
      </c>
      <c r="G49" s="184">
        <f t="shared" si="32"/>
        <v>181.81818181818181</v>
      </c>
      <c r="H49" s="588"/>
      <c r="I49" s="185">
        <f t="shared" si="34"/>
        <v>11</v>
      </c>
      <c r="J49" s="185">
        <f t="shared" si="34"/>
        <v>1808.3279954925197</v>
      </c>
      <c r="K49" s="186">
        <f t="shared" si="34"/>
        <v>164.39345413568361</v>
      </c>
      <c r="L49" s="589"/>
      <c r="M49" s="185">
        <f>RANK(K49, K$47:$K$61)</f>
        <v>1</v>
      </c>
      <c r="N49" s="586"/>
      <c r="O49" s="586"/>
      <c r="P49" s="187">
        <v>11</v>
      </c>
      <c r="Q49" s="187">
        <v>1808.9279954925196</v>
      </c>
      <c r="R49" s="184">
        <f t="shared" si="35"/>
        <v>164.44799959022905</v>
      </c>
      <c r="S49" s="181">
        <f t="shared" si="36"/>
        <v>1</v>
      </c>
      <c r="T49" s="588"/>
      <c r="U49" s="187">
        <v>11</v>
      </c>
      <c r="V49" s="187">
        <v>1808.7279954925195</v>
      </c>
      <c r="W49" s="184">
        <f t="shared" si="33"/>
        <v>164.42981777204724</v>
      </c>
      <c r="X49" s="181">
        <f t="shared" si="37"/>
        <v>1</v>
      </c>
      <c r="Y49" s="588"/>
      <c r="Z49" s="187">
        <v>11</v>
      </c>
      <c r="AA49" s="187">
        <v>1808.3279954925199</v>
      </c>
      <c r="AB49" s="184">
        <f t="shared" si="38"/>
        <v>164.39345413568364</v>
      </c>
      <c r="AC49" s="181">
        <f t="shared" si="39"/>
        <v>1</v>
      </c>
      <c r="AD49" s="588"/>
      <c r="AE49" s="187">
        <v>11</v>
      </c>
      <c r="AF49" s="187">
        <v>1808.1279954925199</v>
      </c>
      <c r="AG49" s="184">
        <f t="shared" si="40"/>
        <v>164.37527231750181</v>
      </c>
      <c r="AH49" s="181">
        <f t="shared" si="41"/>
        <v>1</v>
      </c>
      <c r="AI49" s="588"/>
      <c r="AJ49" s="187">
        <v>11</v>
      </c>
      <c r="AK49" s="187">
        <v>1807.5279954925197</v>
      </c>
      <c r="AL49" s="184">
        <f t="shared" si="42"/>
        <v>164.32072686295635</v>
      </c>
      <c r="AM49" s="181">
        <f t="shared" si="43"/>
        <v>1</v>
      </c>
      <c r="AN49" s="588"/>
      <c r="AO49" s="187"/>
      <c r="AP49" s="187"/>
      <c r="AQ49" s="184"/>
      <c r="AR49" s="181"/>
      <c r="AS49" s="588"/>
      <c r="AT49" s="187"/>
      <c r="AU49" s="187"/>
      <c r="AV49" s="184"/>
      <c r="AW49" s="181"/>
      <c r="AX49" s="588"/>
    </row>
    <row r="50" spans="2:50" ht="14.25" customHeight="1">
      <c r="B50" s="586"/>
      <c r="C50" s="179">
        <v>4</v>
      </c>
      <c r="D50" s="182"/>
      <c r="E50" s="179"/>
      <c r="F50" s="179"/>
      <c r="G50" s="184"/>
      <c r="H50" s="588"/>
      <c r="I50" s="185"/>
      <c r="J50" s="185"/>
      <c r="K50" s="186"/>
      <c r="L50" s="589"/>
      <c r="M50" s="185"/>
      <c r="N50" s="586"/>
      <c r="O50" s="586"/>
      <c r="P50" s="187"/>
      <c r="Q50" s="187"/>
      <c r="R50" s="184"/>
      <c r="S50" s="181"/>
      <c r="T50" s="588"/>
      <c r="U50" s="187"/>
      <c r="V50" s="187"/>
      <c r="W50" s="184"/>
      <c r="X50" s="181"/>
      <c r="Y50" s="588"/>
      <c r="Z50" s="187"/>
      <c r="AA50" s="187"/>
      <c r="AB50" s="184"/>
      <c r="AC50" s="181"/>
      <c r="AD50" s="588"/>
      <c r="AE50" s="187"/>
      <c r="AF50" s="187"/>
      <c r="AG50" s="184"/>
      <c r="AH50" s="181"/>
      <c r="AI50" s="588"/>
      <c r="AJ50" s="187"/>
      <c r="AK50" s="187"/>
      <c r="AL50" s="184"/>
      <c r="AM50" s="181"/>
      <c r="AN50" s="588"/>
      <c r="AO50" s="187"/>
      <c r="AP50" s="187"/>
      <c r="AQ50" s="184"/>
      <c r="AR50" s="181"/>
      <c r="AS50" s="588"/>
      <c r="AT50" s="187"/>
      <c r="AU50" s="187"/>
      <c r="AV50" s="184"/>
      <c r="AW50" s="181"/>
      <c r="AX50" s="588"/>
    </row>
    <row r="51" spans="2:50" ht="14.25" customHeight="1">
      <c r="B51" s="586"/>
      <c r="C51" s="179">
        <v>5</v>
      </c>
      <c r="D51" s="182"/>
      <c r="E51" s="179"/>
      <c r="F51" s="179"/>
      <c r="G51" s="184"/>
      <c r="H51" s="588"/>
      <c r="I51" s="185"/>
      <c r="J51" s="185"/>
      <c r="K51" s="186"/>
      <c r="L51" s="589"/>
      <c r="M51" s="185"/>
      <c r="N51" s="586"/>
      <c r="O51" s="586"/>
      <c r="P51" s="187"/>
      <c r="Q51" s="187"/>
      <c r="R51" s="184"/>
      <c r="S51" s="181"/>
      <c r="T51" s="588"/>
      <c r="U51" s="187"/>
      <c r="V51" s="187"/>
      <c r="W51" s="184"/>
      <c r="X51" s="181"/>
      <c r="Y51" s="588"/>
      <c r="Z51" s="187"/>
      <c r="AA51" s="187"/>
      <c r="AB51" s="184"/>
      <c r="AC51" s="181"/>
      <c r="AD51" s="588"/>
      <c r="AE51" s="187"/>
      <c r="AF51" s="187"/>
      <c r="AG51" s="184"/>
      <c r="AH51" s="181"/>
      <c r="AI51" s="588"/>
      <c r="AJ51" s="187"/>
      <c r="AK51" s="187"/>
      <c r="AL51" s="184"/>
      <c r="AM51" s="181"/>
      <c r="AN51" s="588"/>
      <c r="AO51" s="187"/>
      <c r="AP51" s="187"/>
      <c r="AQ51" s="184"/>
      <c r="AR51" s="181"/>
      <c r="AS51" s="588"/>
      <c r="AT51" s="187"/>
      <c r="AU51" s="187"/>
      <c r="AV51" s="184"/>
      <c r="AW51" s="181"/>
      <c r="AX51" s="588"/>
    </row>
    <row r="52" spans="2:50" ht="14.25" customHeight="1">
      <c r="B52" s="586"/>
      <c r="C52" s="179">
        <v>6</v>
      </c>
      <c r="D52" s="182"/>
      <c r="E52" s="179"/>
      <c r="F52" s="179"/>
      <c r="G52" s="184"/>
      <c r="H52" s="588"/>
      <c r="I52" s="185"/>
      <c r="J52" s="185"/>
      <c r="K52" s="186"/>
      <c r="L52" s="589"/>
      <c r="M52" s="185"/>
      <c r="N52" s="586"/>
      <c r="O52" s="586"/>
      <c r="P52" s="187"/>
      <c r="Q52" s="187"/>
      <c r="R52" s="184"/>
      <c r="S52" s="181"/>
      <c r="T52" s="588"/>
      <c r="U52" s="187"/>
      <c r="V52" s="187"/>
      <c r="W52" s="184"/>
      <c r="X52" s="181"/>
      <c r="Y52" s="588"/>
      <c r="Z52" s="187"/>
      <c r="AA52" s="187"/>
      <c r="AB52" s="184"/>
      <c r="AC52" s="181"/>
      <c r="AD52" s="588"/>
      <c r="AE52" s="187"/>
      <c r="AF52" s="187"/>
      <c r="AG52" s="184"/>
      <c r="AH52" s="181"/>
      <c r="AI52" s="588"/>
      <c r="AJ52" s="187"/>
      <c r="AK52" s="187"/>
      <c r="AL52" s="184"/>
      <c r="AM52" s="181"/>
      <c r="AN52" s="588"/>
      <c r="AO52" s="187"/>
      <c r="AP52" s="187"/>
      <c r="AQ52" s="184"/>
      <c r="AR52" s="181"/>
      <c r="AS52" s="588"/>
      <c r="AT52" s="187"/>
      <c r="AU52" s="187"/>
      <c r="AV52" s="184"/>
      <c r="AW52" s="181"/>
      <c r="AX52" s="588"/>
    </row>
    <row r="53" spans="2:50" ht="14.25" customHeight="1">
      <c r="B53" s="586"/>
      <c r="C53" s="179">
        <v>7</v>
      </c>
      <c r="D53" s="182"/>
      <c r="E53" s="179"/>
      <c r="F53" s="179"/>
      <c r="G53" s="184"/>
      <c r="H53" s="588"/>
      <c r="I53" s="185"/>
      <c r="J53" s="185"/>
      <c r="K53" s="186"/>
      <c r="L53" s="589"/>
      <c r="M53" s="185"/>
      <c r="N53" s="586"/>
      <c r="O53" s="586"/>
      <c r="P53" s="187"/>
      <c r="Q53" s="187"/>
      <c r="R53" s="184"/>
      <c r="S53" s="181"/>
      <c r="T53" s="588"/>
      <c r="U53" s="187"/>
      <c r="V53" s="187"/>
      <c r="W53" s="184"/>
      <c r="X53" s="181"/>
      <c r="Y53" s="588"/>
      <c r="Z53" s="187"/>
      <c r="AA53" s="187"/>
      <c r="AB53" s="184"/>
      <c r="AC53" s="181"/>
      <c r="AD53" s="588"/>
      <c r="AE53" s="187"/>
      <c r="AF53" s="187"/>
      <c r="AG53" s="184"/>
      <c r="AH53" s="181"/>
      <c r="AI53" s="588"/>
      <c r="AJ53" s="187"/>
      <c r="AK53" s="187"/>
      <c r="AL53" s="184"/>
      <c r="AM53" s="181"/>
      <c r="AN53" s="588"/>
      <c r="AO53" s="187"/>
      <c r="AP53" s="187"/>
      <c r="AQ53" s="184"/>
      <c r="AR53" s="181"/>
      <c r="AS53" s="588"/>
      <c r="AT53" s="187"/>
      <c r="AU53" s="187"/>
      <c r="AV53" s="184"/>
      <c r="AW53" s="181"/>
      <c r="AX53" s="588"/>
    </row>
    <row r="54" spans="2:50" ht="14.25" customHeight="1">
      <c r="B54" s="586"/>
      <c r="C54" s="179">
        <v>8</v>
      </c>
      <c r="D54" s="182"/>
      <c r="E54" s="179"/>
      <c r="F54" s="179"/>
      <c r="G54" s="184"/>
      <c r="H54" s="588"/>
      <c r="I54" s="185"/>
      <c r="J54" s="185"/>
      <c r="K54" s="186"/>
      <c r="L54" s="589"/>
      <c r="M54" s="185"/>
      <c r="N54" s="586"/>
      <c r="O54" s="586"/>
      <c r="P54" s="187"/>
      <c r="Q54" s="187"/>
      <c r="R54" s="184"/>
      <c r="S54" s="181"/>
      <c r="T54" s="588"/>
      <c r="U54" s="187"/>
      <c r="V54" s="187"/>
      <c r="W54" s="184"/>
      <c r="X54" s="181"/>
      <c r="Y54" s="588"/>
      <c r="Z54" s="187"/>
      <c r="AA54" s="187"/>
      <c r="AB54" s="184"/>
      <c r="AC54" s="181"/>
      <c r="AD54" s="588"/>
      <c r="AE54" s="187"/>
      <c r="AF54" s="187"/>
      <c r="AG54" s="184"/>
      <c r="AH54" s="181"/>
      <c r="AI54" s="588"/>
      <c r="AJ54" s="187"/>
      <c r="AK54" s="187"/>
      <c r="AL54" s="184"/>
      <c r="AM54" s="181"/>
      <c r="AN54" s="588"/>
      <c r="AO54" s="187"/>
      <c r="AP54" s="187"/>
      <c r="AQ54" s="184"/>
      <c r="AR54" s="181"/>
      <c r="AS54" s="588"/>
      <c r="AT54" s="187"/>
      <c r="AU54" s="187"/>
      <c r="AV54" s="184"/>
      <c r="AW54" s="181"/>
      <c r="AX54" s="588"/>
    </row>
    <row r="55" spans="2:50" ht="14.25" customHeight="1">
      <c r="B55" s="586"/>
      <c r="C55" s="179">
        <v>9</v>
      </c>
      <c r="D55" s="182"/>
      <c r="E55" s="179"/>
      <c r="F55" s="179"/>
      <c r="G55" s="184"/>
      <c r="H55" s="588"/>
      <c r="I55" s="185"/>
      <c r="J55" s="185"/>
      <c r="K55" s="186"/>
      <c r="L55" s="589"/>
      <c r="M55" s="185"/>
      <c r="N55" s="586"/>
      <c r="O55" s="586"/>
      <c r="P55" s="187"/>
      <c r="Q55" s="187"/>
      <c r="R55" s="184"/>
      <c r="S55" s="181"/>
      <c r="T55" s="588"/>
      <c r="U55" s="187"/>
      <c r="V55" s="187"/>
      <c r="W55" s="184"/>
      <c r="X55" s="181"/>
      <c r="Y55" s="588"/>
      <c r="Z55" s="187"/>
      <c r="AA55" s="187"/>
      <c r="AB55" s="184"/>
      <c r="AC55" s="181"/>
      <c r="AD55" s="588"/>
      <c r="AE55" s="187"/>
      <c r="AF55" s="187"/>
      <c r="AG55" s="184"/>
      <c r="AH55" s="181"/>
      <c r="AI55" s="588"/>
      <c r="AJ55" s="187"/>
      <c r="AK55" s="187"/>
      <c r="AL55" s="184"/>
      <c r="AM55" s="181"/>
      <c r="AN55" s="588"/>
      <c r="AO55" s="187"/>
      <c r="AP55" s="187"/>
      <c r="AQ55" s="184"/>
      <c r="AR55" s="181"/>
      <c r="AS55" s="588"/>
      <c r="AT55" s="187"/>
      <c r="AU55" s="187"/>
      <c r="AV55" s="184"/>
      <c r="AW55" s="181"/>
      <c r="AX55" s="588"/>
    </row>
    <row r="56" spans="2:50" ht="14.25" customHeight="1">
      <c r="B56" s="586"/>
      <c r="C56" s="179">
        <v>10</v>
      </c>
      <c r="D56" s="182"/>
      <c r="E56" s="179"/>
      <c r="F56" s="179"/>
      <c r="G56" s="184"/>
      <c r="H56" s="588"/>
      <c r="I56" s="185"/>
      <c r="J56" s="185"/>
      <c r="K56" s="186"/>
      <c r="L56" s="589"/>
      <c r="M56" s="185"/>
      <c r="N56" s="586"/>
      <c r="O56" s="586"/>
      <c r="P56" s="187"/>
      <c r="Q56" s="187"/>
      <c r="R56" s="184"/>
      <c r="S56" s="181"/>
      <c r="T56" s="588"/>
      <c r="U56" s="187"/>
      <c r="V56" s="187"/>
      <c r="W56" s="184"/>
      <c r="X56" s="181"/>
      <c r="Y56" s="588"/>
      <c r="Z56" s="187"/>
      <c r="AA56" s="187"/>
      <c r="AB56" s="184"/>
      <c r="AC56" s="181"/>
      <c r="AD56" s="588"/>
      <c r="AE56" s="187"/>
      <c r="AF56" s="187"/>
      <c r="AG56" s="184"/>
      <c r="AH56" s="181"/>
      <c r="AI56" s="588"/>
      <c r="AJ56" s="187"/>
      <c r="AK56" s="187"/>
      <c r="AL56" s="184"/>
      <c r="AM56" s="181"/>
      <c r="AN56" s="588"/>
      <c r="AO56" s="187"/>
      <c r="AP56" s="187"/>
      <c r="AQ56" s="184"/>
      <c r="AR56" s="181"/>
      <c r="AS56" s="588"/>
      <c r="AT56" s="187"/>
      <c r="AU56" s="187"/>
      <c r="AV56" s="184"/>
      <c r="AW56" s="181"/>
      <c r="AX56" s="588"/>
    </row>
    <row r="57" spans="2:50" ht="14.25" customHeight="1">
      <c r="B57" s="586"/>
      <c r="C57" s="179">
        <v>11</v>
      </c>
      <c r="D57" s="182"/>
      <c r="E57" s="179"/>
      <c r="F57" s="179"/>
      <c r="G57" s="184"/>
      <c r="H57" s="588"/>
      <c r="I57" s="185"/>
      <c r="J57" s="185"/>
      <c r="K57" s="186"/>
      <c r="L57" s="589"/>
      <c r="M57" s="185"/>
      <c r="N57" s="586"/>
      <c r="O57" s="586"/>
      <c r="P57" s="187"/>
      <c r="Q57" s="187"/>
      <c r="R57" s="184"/>
      <c r="S57" s="181"/>
      <c r="T57" s="588"/>
      <c r="U57" s="187"/>
      <c r="V57" s="187"/>
      <c r="W57" s="184"/>
      <c r="X57" s="181"/>
      <c r="Y57" s="588"/>
      <c r="Z57" s="187"/>
      <c r="AA57" s="187"/>
      <c r="AB57" s="184"/>
      <c r="AC57" s="181"/>
      <c r="AD57" s="588"/>
      <c r="AE57" s="187"/>
      <c r="AF57" s="187"/>
      <c r="AG57" s="184"/>
      <c r="AH57" s="181"/>
      <c r="AI57" s="588"/>
      <c r="AJ57" s="187"/>
      <c r="AK57" s="187"/>
      <c r="AL57" s="184"/>
      <c r="AM57" s="181"/>
      <c r="AN57" s="588"/>
      <c r="AO57" s="187"/>
      <c r="AP57" s="187"/>
      <c r="AQ57" s="184"/>
      <c r="AR57" s="181"/>
      <c r="AS57" s="588"/>
      <c r="AT57" s="187"/>
      <c r="AU57" s="187"/>
      <c r="AV57" s="184"/>
      <c r="AW57" s="181"/>
      <c r="AX57" s="588"/>
    </row>
    <row r="58" spans="2:50" ht="14.25" customHeight="1">
      <c r="B58" s="586"/>
      <c r="C58" s="179">
        <v>12</v>
      </c>
      <c r="D58" s="182"/>
      <c r="E58" s="179"/>
      <c r="F58" s="179"/>
      <c r="G58" s="184"/>
      <c r="H58" s="588"/>
      <c r="I58" s="185"/>
      <c r="J58" s="185"/>
      <c r="K58" s="186"/>
      <c r="L58" s="589"/>
      <c r="M58" s="185"/>
      <c r="N58" s="586"/>
      <c r="O58" s="586"/>
      <c r="P58" s="187"/>
      <c r="Q58" s="187"/>
      <c r="R58" s="184"/>
      <c r="S58" s="181"/>
      <c r="T58" s="588"/>
      <c r="U58" s="187"/>
      <c r="V58" s="187"/>
      <c r="W58" s="184"/>
      <c r="X58" s="181"/>
      <c r="Y58" s="588"/>
      <c r="Z58" s="187"/>
      <c r="AA58" s="187"/>
      <c r="AB58" s="184"/>
      <c r="AC58" s="181"/>
      <c r="AD58" s="588"/>
      <c r="AE58" s="187"/>
      <c r="AF58" s="187"/>
      <c r="AG58" s="184"/>
      <c r="AH58" s="181"/>
      <c r="AI58" s="588"/>
      <c r="AJ58" s="187"/>
      <c r="AK58" s="187"/>
      <c r="AL58" s="184"/>
      <c r="AM58" s="181"/>
      <c r="AN58" s="588"/>
      <c r="AO58" s="187"/>
      <c r="AP58" s="187"/>
      <c r="AQ58" s="184"/>
      <c r="AR58" s="181"/>
      <c r="AS58" s="588"/>
      <c r="AT58" s="187"/>
      <c r="AU58" s="187"/>
      <c r="AV58" s="184"/>
      <c r="AW58" s="181"/>
      <c r="AX58" s="588"/>
    </row>
    <row r="59" spans="2:50" ht="14.25" customHeight="1">
      <c r="B59" s="586"/>
      <c r="C59" s="179">
        <v>13</v>
      </c>
      <c r="D59" s="182"/>
      <c r="E59" s="179"/>
      <c r="F59" s="179"/>
      <c r="G59" s="184"/>
      <c r="H59" s="588"/>
      <c r="I59" s="185"/>
      <c r="J59" s="185"/>
      <c r="K59" s="186"/>
      <c r="L59" s="589"/>
      <c r="M59" s="185"/>
      <c r="N59" s="586"/>
      <c r="O59" s="586"/>
      <c r="P59" s="187"/>
      <c r="Q59" s="187"/>
      <c r="R59" s="184"/>
      <c r="S59" s="181"/>
      <c r="T59" s="588"/>
      <c r="U59" s="187"/>
      <c r="V59" s="187"/>
      <c r="W59" s="184"/>
      <c r="X59" s="181"/>
      <c r="Y59" s="588"/>
      <c r="Z59" s="187"/>
      <c r="AA59" s="187"/>
      <c r="AB59" s="184"/>
      <c r="AC59" s="181"/>
      <c r="AD59" s="588"/>
      <c r="AE59" s="187"/>
      <c r="AF59" s="187"/>
      <c r="AG59" s="184"/>
      <c r="AH59" s="181"/>
      <c r="AI59" s="588"/>
      <c r="AJ59" s="187"/>
      <c r="AK59" s="187"/>
      <c r="AL59" s="184"/>
      <c r="AM59" s="181"/>
      <c r="AN59" s="588"/>
      <c r="AO59" s="187"/>
      <c r="AP59" s="187"/>
      <c r="AQ59" s="184"/>
      <c r="AR59" s="181"/>
      <c r="AS59" s="588"/>
      <c r="AT59" s="187"/>
      <c r="AU59" s="187"/>
      <c r="AV59" s="184"/>
      <c r="AW59" s="181"/>
      <c r="AX59" s="588"/>
    </row>
    <row r="60" spans="2:50" ht="14.25" customHeight="1">
      <c r="B60" s="586"/>
      <c r="C60" s="179">
        <v>14</v>
      </c>
      <c r="D60" s="182"/>
      <c r="E60" s="179"/>
      <c r="F60" s="179"/>
      <c r="G60" s="184"/>
      <c r="H60" s="588"/>
      <c r="I60" s="185"/>
      <c r="J60" s="185"/>
      <c r="K60" s="186"/>
      <c r="L60" s="589"/>
      <c r="M60" s="185"/>
      <c r="N60" s="586"/>
      <c r="O60" s="586"/>
      <c r="P60" s="187"/>
      <c r="Q60" s="187"/>
      <c r="R60" s="184"/>
      <c r="S60" s="181"/>
      <c r="T60" s="588"/>
      <c r="U60" s="187"/>
      <c r="V60" s="187"/>
      <c r="W60" s="184"/>
      <c r="X60" s="181"/>
      <c r="Y60" s="588"/>
      <c r="Z60" s="187"/>
      <c r="AA60" s="187"/>
      <c r="AB60" s="184"/>
      <c r="AC60" s="181"/>
      <c r="AD60" s="588"/>
      <c r="AE60" s="187"/>
      <c r="AF60" s="187"/>
      <c r="AG60" s="184"/>
      <c r="AH60" s="181"/>
      <c r="AI60" s="588"/>
      <c r="AJ60" s="187"/>
      <c r="AK60" s="187"/>
      <c r="AL60" s="184"/>
      <c r="AM60" s="181"/>
      <c r="AN60" s="588"/>
      <c r="AO60" s="187"/>
      <c r="AP60" s="187"/>
      <c r="AQ60" s="184"/>
      <c r="AR60" s="181"/>
      <c r="AS60" s="588"/>
      <c r="AT60" s="187"/>
      <c r="AU60" s="187"/>
      <c r="AV60" s="184"/>
      <c r="AW60" s="181"/>
      <c r="AX60" s="588"/>
    </row>
    <row r="61" spans="2:50" ht="14.25" customHeight="1">
      <c r="B61" s="586"/>
      <c r="C61" s="179">
        <v>15</v>
      </c>
      <c r="D61" s="182"/>
      <c r="E61" s="179"/>
      <c r="F61" s="179"/>
      <c r="G61" s="184"/>
      <c r="H61" s="588"/>
      <c r="I61" s="185"/>
      <c r="J61" s="185"/>
      <c r="K61" s="186"/>
      <c r="L61" s="589"/>
      <c r="M61" s="185"/>
      <c r="N61" s="586"/>
      <c r="O61" s="586"/>
      <c r="P61" s="187"/>
      <c r="Q61" s="187"/>
      <c r="R61" s="184"/>
      <c r="S61" s="181"/>
      <c r="T61" s="588"/>
      <c r="U61" s="187"/>
      <c r="V61" s="187"/>
      <c r="W61" s="184"/>
      <c r="X61" s="181"/>
      <c r="Y61" s="588"/>
      <c r="Z61" s="187"/>
      <c r="AA61" s="187"/>
      <c r="AB61" s="184"/>
      <c r="AC61" s="181"/>
      <c r="AD61" s="588"/>
      <c r="AE61" s="187"/>
      <c r="AF61" s="187"/>
      <c r="AG61" s="184"/>
      <c r="AH61" s="181"/>
      <c r="AI61" s="588"/>
      <c r="AJ61" s="187"/>
      <c r="AK61" s="187"/>
      <c r="AL61" s="184"/>
      <c r="AM61" s="181"/>
      <c r="AN61" s="588"/>
      <c r="AO61" s="187"/>
      <c r="AP61" s="187"/>
      <c r="AQ61" s="184"/>
      <c r="AR61" s="181"/>
      <c r="AS61" s="588"/>
      <c r="AT61" s="187"/>
      <c r="AU61" s="187"/>
      <c r="AV61" s="184"/>
      <c r="AW61" s="181"/>
      <c r="AX61" s="588"/>
    </row>
  </sheetData>
  <mergeCells count="177">
    <mergeCell ref="AX47:AX61"/>
    <mergeCell ref="B47:B61"/>
    <mergeCell ref="H47:H61"/>
    <mergeCell ref="L47:L61"/>
    <mergeCell ref="T47:T61"/>
    <mergeCell ref="Y47:Y61"/>
    <mergeCell ref="AD47:AD61"/>
    <mergeCell ref="AI47:AI61"/>
    <mergeCell ref="AN47:AN61"/>
    <mergeCell ref="AS47:AS61"/>
    <mergeCell ref="AI44:AI46"/>
    <mergeCell ref="AJ44:AM44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Z45:AC45"/>
    <mergeCell ref="AE45:AH45"/>
    <mergeCell ref="AJ45:AM45"/>
    <mergeCell ref="AO45:AR45"/>
    <mergeCell ref="AT45:AW45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P44:S44"/>
    <mergeCell ref="T44:T46"/>
    <mergeCell ref="U44:X44"/>
    <mergeCell ref="Y44:Y46"/>
    <mergeCell ref="Z44:AC44"/>
    <mergeCell ref="AD44:AD46"/>
    <mergeCell ref="AE44:AH44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P4:S4"/>
    <mergeCell ref="AI4:AI6"/>
    <mergeCell ref="AJ4:AM4"/>
    <mergeCell ref="AN4:AN6"/>
    <mergeCell ref="AO4:AR4"/>
    <mergeCell ref="AS4:AS6"/>
    <mergeCell ref="AT4:AW4"/>
    <mergeCell ref="T4:T6"/>
    <mergeCell ref="U4:X4"/>
    <mergeCell ref="Y4:Y6"/>
    <mergeCell ref="Z4:AC4"/>
    <mergeCell ref="AD4:AD6"/>
    <mergeCell ref="AT22:AX22"/>
    <mergeCell ref="E5:G5"/>
    <mergeCell ref="I5:K5"/>
    <mergeCell ref="P5:S5"/>
    <mergeCell ref="U5:X5"/>
    <mergeCell ref="Z5:AC5"/>
    <mergeCell ref="AT2:AX2"/>
    <mergeCell ref="P3:T3"/>
    <mergeCell ref="U3:Y3"/>
    <mergeCell ref="Z3:AD3"/>
    <mergeCell ref="AE3:AI3"/>
    <mergeCell ref="AJ3:AN3"/>
    <mergeCell ref="AO3:AS3"/>
    <mergeCell ref="AT3:AX3"/>
    <mergeCell ref="AJ2:AN2"/>
    <mergeCell ref="AO2:AS2"/>
    <mergeCell ref="AE2:AI2"/>
    <mergeCell ref="AJ5:AM5"/>
    <mergeCell ref="AO5:AR5"/>
    <mergeCell ref="AT5:AW5"/>
    <mergeCell ref="L4:L6"/>
    <mergeCell ref="M4:M6"/>
    <mergeCell ref="N4:N21"/>
    <mergeCell ref="O4:O21"/>
    <mergeCell ref="U24:X24"/>
    <mergeCell ref="Y24:Y26"/>
    <mergeCell ref="Z24:AC24"/>
    <mergeCell ref="AD24:AD26"/>
    <mergeCell ref="L24:L26"/>
    <mergeCell ref="M24:M26"/>
    <mergeCell ref="AX4:AX6"/>
    <mergeCell ref="B22:M23"/>
    <mergeCell ref="N22:N23"/>
    <mergeCell ref="O22:O23"/>
    <mergeCell ref="P22:T22"/>
    <mergeCell ref="U22:Y22"/>
    <mergeCell ref="P23:T23"/>
    <mergeCell ref="U23:Y23"/>
    <mergeCell ref="AE4:AH4"/>
    <mergeCell ref="Z23:AD23"/>
    <mergeCell ref="AE23:AI23"/>
    <mergeCell ref="AJ23:AN23"/>
    <mergeCell ref="AO23:AS23"/>
    <mergeCell ref="AT23:AX23"/>
    <mergeCell ref="Z22:AD22"/>
    <mergeCell ref="AE22:AI22"/>
    <mergeCell ref="AJ22:AN22"/>
    <mergeCell ref="AO22:AS22"/>
    <mergeCell ref="AI24:AI26"/>
    <mergeCell ref="AJ24:AM24"/>
    <mergeCell ref="AN24:AN26"/>
    <mergeCell ref="AO24:AR24"/>
    <mergeCell ref="AD27:AD41"/>
    <mergeCell ref="AI27:AI41"/>
    <mergeCell ref="AN27:AN41"/>
    <mergeCell ref="AS27:AS41"/>
    <mergeCell ref="B2:M3"/>
    <mergeCell ref="N2:N3"/>
    <mergeCell ref="O2:O3"/>
    <mergeCell ref="P2:T2"/>
    <mergeCell ref="U2:Y2"/>
    <mergeCell ref="Z2:AD2"/>
    <mergeCell ref="U25:X25"/>
    <mergeCell ref="Z25:AC25"/>
    <mergeCell ref="AE25:AH25"/>
    <mergeCell ref="B4:B6"/>
    <mergeCell ref="C4:D6"/>
    <mergeCell ref="E4:G4"/>
    <mergeCell ref="H4:H6"/>
    <mergeCell ref="AE5:AH5"/>
    <mergeCell ref="I4:K4"/>
    <mergeCell ref="T24:T26"/>
    <mergeCell ref="AX27:AX41"/>
    <mergeCell ref="B27:B41"/>
    <mergeCell ref="H27:H41"/>
    <mergeCell ref="L27:L41"/>
    <mergeCell ref="T27:T41"/>
    <mergeCell ref="Y27:Y41"/>
    <mergeCell ref="N24:N41"/>
    <mergeCell ref="O24:O41"/>
    <mergeCell ref="P24:S24"/>
    <mergeCell ref="B24:B26"/>
    <mergeCell ref="C24:D26"/>
    <mergeCell ref="E24:G24"/>
    <mergeCell ref="H24:H26"/>
    <mergeCell ref="I24:K24"/>
    <mergeCell ref="AS24:AS26"/>
    <mergeCell ref="AT24:AW24"/>
    <mergeCell ref="AX24:AX26"/>
    <mergeCell ref="E25:G25"/>
    <mergeCell ref="I25:K25"/>
    <mergeCell ref="P25:S25"/>
    <mergeCell ref="AJ25:AM25"/>
    <mergeCell ref="AO25:AR25"/>
    <mergeCell ref="AT25:AW25"/>
    <mergeCell ref="AE24:AH24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7">
    <tabColor rgb="FF92D050"/>
    <outlinePr summaryBelow="0" summaryRight="0"/>
  </sheetPr>
  <dimension ref="A1:R106"/>
  <sheetViews>
    <sheetView view="pageBreakPreview" topLeftCell="A65" zoomScaleNormal="60" zoomScaleSheetLayoutView="100" workbookViewId="0">
      <selection activeCell="M81" sqref="A81:XFD82"/>
    </sheetView>
  </sheetViews>
  <sheetFormatPr defaultColWidth="12.5703125" defaultRowHeight="15.75" customHeight="1"/>
  <cols>
    <col min="1" max="1" width="6.42578125" style="188" customWidth="1"/>
    <col min="2" max="10" width="11.5703125" style="188" customWidth="1"/>
    <col min="11" max="11" width="12.85546875" style="188" customWidth="1"/>
    <col min="12" max="12" width="41.85546875" style="188" customWidth="1"/>
    <col min="13" max="13" width="12.5703125" style="189"/>
    <col min="14" max="16384" width="12.5703125" style="188"/>
  </cols>
  <sheetData>
    <row r="1" spans="1:18" ht="15.75" customHeight="1">
      <c r="A1" s="526" t="s">
        <v>350</v>
      </c>
      <c r="B1" s="526"/>
      <c r="C1" s="526"/>
      <c r="D1" s="526"/>
      <c r="E1" s="526"/>
      <c r="F1" s="526"/>
      <c r="G1" s="526"/>
      <c r="H1" s="526"/>
      <c r="I1" s="526"/>
      <c r="J1" s="526"/>
      <c r="K1" s="526"/>
      <c r="L1" s="526"/>
      <c r="M1" s="188"/>
    </row>
    <row r="2" spans="1:18" s="189" customFormat="1" ht="15.75" customHeight="1">
      <c r="A2" s="526"/>
      <c r="B2" s="526"/>
      <c r="C2" s="526"/>
      <c r="D2" s="526"/>
      <c r="E2" s="526"/>
      <c r="F2" s="526"/>
      <c r="G2" s="526"/>
      <c r="H2" s="526"/>
      <c r="I2" s="526"/>
      <c r="J2" s="526"/>
      <c r="K2" s="526"/>
      <c r="L2" s="526"/>
    </row>
    <row r="3" spans="1:18" ht="15.75" customHeight="1">
      <c r="A3" s="624" t="s">
        <v>615</v>
      </c>
      <c r="B3" s="624"/>
      <c r="C3" s="624"/>
      <c r="D3" s="624"/>
      <c r="E3" s="624"/>
      <c r="F3" s="624"/>
      <c r="G3" s="624"/>
      <c r="H3" s="624"/>
      <c r="I3" s="624"/>
      <c r="J3" s="624"/>
      <c r="K3" s="624"/>
      <c r="L3" s="624"/>
      <c r="M3" s="188"/>
    </row>
    <row r="4" spans="1:18" s="189" customFormat="1" ht="15.75" customHeight="1">
      <c r="A4" s="624"/>
      <c r="B4" s="624"/>
      <c r="C4" s="624"/>
      <c r="D4" s="624"/>
      <c r="E4" s="624"/>
      <c r="F4" s="624"/>
      <c r="G4" s="624"/>
      <c r="H4" s="624"/>
      <c r="I4" s="624"/>
      <c r="J4" s="624"/>
      <c r="K4" s="624"/>
      <c r="L4" s="624"/>
    </row>
    <row r="5" spans="1:18" s="177" customFormat="1" ht="15.75" customHeight="1">
      <c r="A5" s="620" t="s">
        <v>162</v>
      </c>
      <c r="B5" s="190">
        <v>1</v>
      </c>
      <c r="C5" s="190">
        <v>2</v>
      </c>
      <c r="D5" s="169">
        <v>3</v>
      </c>
      <c r="E5" s="169">
        <v>4</v>
      </c>
      <c r="F5" s="169">
        <v>5</v>
      </c>
      <c r="G5" s="169">
        <v>6</v>
      </c>
      <c r="H5" s="169">
        <v>7</v>
      </c>
      <c r="I5" s="169">
        <v>8</v>
      </c>
      <c r="J5" s="169">
        <v>9</v>
      </c>
      <c r="K5" s="191"/>
      <c r="L5" s="191"/>
      <c r="M5" s="192"/>
    </row>
    <row r="6" spans="1:18" ht="16.350000000000001" customHeight="1">
      <c r="A6" s="620"/>
      <c r="B6" s="193" t="s">
        <v>189</v>
      </c>
      <c r="C6" s="193" t="s">
        <v>155</v>
      </c>
      <c r="D6" s="194" t="s">
        <v>190</v>
      </c>
      <c r="E6" s="194" t="s">
        <v>156</v>
      </c>
      <c r="F6" s="194" t="s">
        <v>327</v>
      </c>
      <c r="G6" s="195" t="s">
        <v>136</v>
      </c>
      <c r="H6" s="196" t="s">
        <v>191</v>
      </c>
      <c r="I6" s="195" t="s">
        <v>351</v>
      </c>
      <c r="J6" s="195" t="s">
        <v>142</v>
      </c>
      <c r="K6" s="197"/>
      <c r="L6" s="197"/>
      <c r="N6" s="198"/>
      <c r="O6" s="198"/>
      <c r="P6" s="198"/>
      <c r="Q6" s="198"/>
      <c r="R6" s="198"/>
    </row>
    <row r="7" spans="1:18" s="177" customFormat="1" ht="15.75" customHeight="1">
      <c r="A7" s="621" t="s">
        <v>171</v>
      </c>
      <c r="B7" s="621"/>
      <c r="C7" s="159" t="s">
        <v>47</v>
      </c>
      <c r="D7" s="621" t="s">
        <v>12</v>
      </c>
      <c r="E7" s="625"/>
      <c r="F7" s="625"/>
      <c r="G7" s="159" t="s">
        <v>46</v>
      </c>
      <c r="H7" s="159" t="s">
        <v>352</v>
      </c>
      <c r="I7" s="159" t="s">
        <v>353</v>
      </c>
      <c r="J7" s="159" t="s">
        <v>311</v>
      </c>
      <c r="K7" s="621" t="s">
        <v>51</v>
      </c>
      <c r="L7" s="625"/>
      <c r="M7" s="192"/>
      <c r="N7" s="188"/>
      <c r="P7" s="380"/>
      <c r="Q7" s="380"/>
    </row>
    <row r="8" spans="1:18" ht="15.75" customHeight="1">
      <c r="A8" s="620">
        <v>1</v>
      </c>
      <c r="B8" s="621" t="s">
        <v>354</v>
      </c>
      <c r="C8" s="199">
        <v>1</v>
      </c>
      <c r="D8" s="622" t="s">
        <v>412</v>
      </c>
      <c r="E8" s="623"/>
      <c r="F8" s="623"/>
      <c r="G8" s="199">
        <v>3</v>
      </c>
      <c r="H8" s="201">
        <v>3212.7668521761993</v>
      </c>
      <c r="I8" s="202">
        <v>1070.9222840587331</v>
      </c>
      <c r="J8" s="220">
        <v>4.7717720840719267</v>
      </c>
      <c r="K8" s="622" t="s">
        <v>405</v>
      </c>
      <c r="L8" s="623"/>
      <c r="N8" s="177"/>
      <c r="O8" s="177"/>
      <c r="P8" s="380"/>
      <c r="Q8" s="380"/>
      <c r="R8" s="177"/>
    </row>
    <row r="9" spans="1:18" ht="15.75" customHeight="1">
      <c r="A9" s="620"/>
      <c r="B9" s="621"/>
      <c r="C9" s="199">
        <v>2</v>
      </c>
      <c r="D9" s="622" t="s">
        <v>368</v>
      </c>
      <c r="E9" s="623"/>
      <c r="F9" s="623"/>
      <c r="G9" s="199">
        <v>3</v>
      </c>
      <c r="H9" s="201">
        <v>3211.0646645229745</v>
      </c>
      <c r="I9" s="202">
        <v>1070.354888174325</v>
      </c>
      <c r="J9" s="220">
        <v>4.0535708739007532</v>
      </c>
      <c r="K9" s="622" t="s">
        <v>405</v>
      </c>
      <c r="L9" s="623"/>
      <c r="N9" s="177"/>
      <c r="O9" s="177"/>
      <c r="P9" s="380"/>
      <c r="Q9" s="380"/>
      <c r="R9" s="177"/>
    </row>
    <row r="10" spans="1:18" ht="15.75" customHeight="1">
      <c r="A10" s="620"/>
      <c r="B10" s="621"/>
      <c r="C10" s="199">
        <v>3</v>
      </c>
      <c r="D10" s="622" t="s">
        <v>377</v>
      </c>
      <c r="E10" s="623"/>
      <c r="F10" s="623"/>
      <c r="G10" s="199">
        <v>3</v>
      </c>
      <c r="H10" s="201">
        <v>3210.2740297791215</v>
      </c>
      <c r="I10" s="202">
        <v>1070.0913432597072</v>
      </c>
      <c r="J10" s="220">
        <v>3.8508431727220795</v>
      </c>
      <c r="K10" s="622" t="s">
        <v>405</v>
      </c>
      <c r="L10" s="623"/>
      <c r="N10" s="177"/>
      <c r="O10" s="177"/>
      <c r="P10" s="380"/>
      <c r="Q10" s="380"/>
      <c r="R10" s="177"/>
    </row>
    <row r="11" spans="1:18" ht="15.75" customHeight="1">
      <c r="A11" s="620"/>
      <c r="B11" s="621"/>
      <c r="C11" s="199">
        <v>4</v>
      </c>
      <c r="D11" s="622" t="s">
        <v>529</v>
      </c>
      <c r="E11" s="623"/>
      <c r="F11" s="623"/>
      <c r="G11" s="199">
        <v>3</v>
      </c>
      <c r="H11" s="201">
        <v>3210.1812150023106</v>
      </c>
      <c r="I11" s="202">
        <v>1070.0604050007701</v>
      </c>
      <c r="J11" s="220"/>
      <c r="K11" s="622" t="s">
        <v>405</v>
      </c>
      <c r="L11" s="623"/>
      <c r="N11" s="177"/>
      <c r="O11" s="177"/>
      <c r="P11" s="380"/>
      <c r="Q11" s="380"/>
      <c r="R11" s="177"/>
    </row>
    <row r="12" spans="1:18" ht="15.75" customHeight="1">
      <c r="A12" s="620"/>
      <c r="B12" s="621"/>
      <c r="C12" s="199">
        <v>5</v>
      </c>
      <c r="D12" s="622" t="s">
        <v>366</v>
      </c>
      <c r="E12" s="623"/>
      <c r="F12" s="623"/>
      <c r="G12" s="199">
        <v>3</v>
      </c>
      <c r="H12" s="201">
        <v>3207.9623703926045</v>
      </c>
      <c r="I12" s="202">
        <v>1069.3207901308681</v>
      </c>
      <c r="J12" s="220">
        <v>1.3667487231646192</v>
      </c>
      <c r="K12" s="622" t="s">
        <v>405</v>
      </c>
      <c r="L12" s="623"/>
      <c r="O12" s="177"/>
      <c r="P12" s="380"/>
      <c r="Q12" s="380"/>
      <c r="R12" s="177"/>
    </row>
    <row r="13" spans="1:18" ht="15.75" customHeight="1">
      <c r="A13" s="620"/>
      <c r="B13" s="621"/>
      <c r="C13" s="203" t="s">
        <v>187</v>
      </c>
      <c r="D13" s="623" t="s">
        <v>414</v>
      </c>
      <c r="E13" s="623"/>
      <c r="F13" s="623"/>
      <c r="G13" s="200">
        <v>12</v>
      </c>
      <c r="H13" s="204">
        <v>3121.9778330090908</v>
      </c>
      <c r="I13" s="205">
        <v>260.16481941742421</v>
      </c>
      <c r="J13" s="220">
        <v>0.11154629848863351</v>
      </c>
      <c r="K13" s="622" t="s">
        <v>405</v>
      </c>
      <c r="L13" s="623"/>
      <c r="N13" s="177"/>
      <c r="O13" s="177"/>
      <c r="P13" s="380"/>
      <c r="Q13" s="380"/>
      <c r="R13" s="177"/>
    </row>
    <row r="14" spans="1:18" ht="15.75" customHeight="1">
      <c r="A14" s="620"/>
      <c r="B14" s="621"/>
      <c r="C14" s="203" t="s">
        <v>192</v>
      </c>
      <c r="D14" s="623" t="s">
        <v>416</v>
      </c>
      <c r="E14" s="623"/>
      <c r="F14" s="623"/>
      <c r="G14" s="200">
        <v>12</v>
      </c>
      <c r="H14" s="204">
        <v>3122.112601323061</v>
      </c>
      <c r="I14" s="205">
        <v>260.17605011025506</v>
      </c>
      <c r="J14" s="220">
        <v>0.15463976273116486</v>
      </c>
      <c r="K14" s="622" t="s">
        <v>405</v>
      </c>
      <c r="L14" s="623"/>
      <c r="N14" s="177"/>
      <c r="O14" s="177"/>
      <c r="P14" s="380"/>
      <c r="Q14" s="380"/>
      <c r="R14" s="177"/>
    </row>
    <row r="15" spans="1:18" ht="15.75" customHeight="1">
      <c r="A15" s="620"/>
      <c r="B15" s="621"/>
      <c r="C15" s="203" t="s">
        <v>188</v>
      </c>
      <c r="D15" s="623" t="s">
        <v>470</v>
      </c>
      <c r="E15" s="623"/>
      <c r="F15" s="623"/>
      <c r="G15" s="200">
        <v>5</v>
      </c>
      <c r="H15" s="204">
        <v>2733.913026083198</v>
      </c>
      <c r="I15" s="205">
        <v>546.78260521663969</v>
      </c>
      <c r="J15" s="220">
        <v>1.6652217182895583</v>
      </c>
      <c r="K15" s="622" t="s">
        <v>405</v>
      </c>
      <c r="L15" s="623"/>
      <c r="N15" s="177"/>
      <c r="O15" s="177"/>
      <c r="P15" s="380"/>
      <c r="Q15" s="380"/>
      <c r="R15" s="177"/>
    </row>
    <row r="16" spans="1:18" ht="15.75" customHeight="1">
      <c r="A16" s="620"/>
      <c r="B16" s="621"/>
      <c r="C16" s="203" t="s">
        <v>193</v>
      </c>
      <c r="D16" s="623" t="s">
        <v>323</v>
      </c>
      <c r="E16" s="623"/>
      <c r="F16" s="623"/>
      <c r="G16" s="200">
        <v>5</v>
      </c>
      <c r="H16" s="204">
        <v>3005.9186417170326</v>
      </c>
      <c r="I16" s="205">
        <v>601.18372834340641</v>
      </c>
      <c r="J16" s="220">
        <v>2.3468712005497991</v>
      </c>
      <c r="K16" s="622" t="s">
        <v>405</v>
      </c>
      <c r="L16" s="623"/>
      <c r="M16" s="188"/>
      <c r="N16" s="177"/>
      <c r="O16" s="177"/>
      <c r="P16" s="380"/>
      <c r="Q16" s="380"/>
      <c r="R16" s="177"/>
    </row>
    <row r="17" spans="1:18" ht="15.75" customHeight="1">
      <c r="A17" s="620"/>
      <c r="B17" s="621"/>
      <c r="C17" s="203" t="s">
        <v>194</v>
      </c>
      <c r="D17" s="623" t="s">
        <v>212</v>
      </c>
      <c r="E17" s="623"/>
      <c r="F17" s="623"/>
      <c r="G17" s="200">
        <v>5</v>
      </c>
      <c r="H17" s="204">
        <v>3007.0541810350014</v>
      </c>
      <c r="I17" s="205">
        <v>601.41083620700022</v>
      </c>
      <c r="J17" s="220">
        <v>3.1265016449700624</v>
      </c>
      <c r="K17" s="622" t="s">
        <v>405</v>
      </c>
      <c r="L17" s="623"/>
      <c r="M17" s="188"/>
      <c r="N17" s="177"/>
      <c r="O17" s="177"/>
      <c r="P17" s="380"/>
      <c r="Q17" s="380"/>
      <c r="R17" s="177"/>
    </row>
    <row r="18" spans="1:18" s="198" customFormat="1" ht="15.75" customHeight="1">
      <c r="A18" s="626" t="s">
        <v>171</v>
      </c>
      <c r="B18" s="626"/>
      <c r="C18" s="206" t="s">
        <v>47</v>
      </c>
      <c r="D18" s="626" t="s">
        <v>12</v>
      </c>
      <c r="E18" s="627"/>
      <c r="F18" s="627"/>
      <c r="G18" s="206" t="s">
        <v>46</v>
      </c>
      <c r="H18" s="206" t="s">
        <v>352</v>
      </c>
      <c r="I18" s="206" t="s">
        <v>353</v>
      </c>
      <c r="J18" s="159" t="s">
        <v>311</v>
      </c>
      <c r="K18" s="626" t="s">
        <v>50</v>
      </c>
      <c r="L18" s="627"/>
      <c r="M18" s="207"/>
      <c r="N18" s="177"/>
      <c r="O18" s="177"/>
      <c r="P18" s="380"/>
      <c r="Q18" s="380"/>
      <c r="R18" s="177"/>
    </row>
    <row r="19" spans="1:18" ht="15.75" customHeight="1">
      <c r="A19" s="620">
        <v>2</v>
      </c>
      <c r="B19" s="621" t="s">
        <v>155</v>
      </c>
      <c r="C19" s="199">
        <v>1</v>
      </c>
      <c r="D19" s="622" t="s">
        <v>325</v>
      </c>
      <c r="E19" s="623"/>
      <c r="F19" s="623"/>
      <c r="G19" s="199">
        <v>10</v>
      </c>
      <c r="H19" s="201">
        <v>3217.1466940103287</v>
      </c>
      <c r="I19" s="202">
        <v>321.71466940103295</v>
      </c>
      <c r="J19" s="220">
        <v>-7.714285714291691E-2</v>
      </c>
      <c r="K19" s="622" t="s">
        <v>405</v>
      </c>
      <c r="L19" s="623"/>
      <c r="M19" s="188"/>
      <c r="N19" s="177"/>
      <c r="O19" s="177"/>
      <c r="P19" s="380"/>
      <c r="Q19" s="380"/>
      <c r="R19" s="177"/>
    </row>
    <row r="20" spans="1:18" ht="15.75" customHeight="1">
      <c r="A20" s="620"/>
      <c r="B20" s="621"/>
      <c r="C20" s="199">
        <v>2</v>
      </c>
      <c r="D20" s="622" t="s">
        <v>613</v>
      </c>
      <c r="E20" s="623"/>
      <c r="F20" s="623"/>
      <c r="G20" s="199">
        <v>11</v>
      </c>
      <c r="H20" s="201">
        <v>3158.1683952836493</v>
      </c>
      <c r="I20" s="202">
        <v>287.10621775305901</v>
      </c>
      <c r="J20" s="220">
        <v>29.50878374864601</v>
      </c>
      <c r="K20" s="622" t="s">
        <v>637</v>
      </c>
      <c r="L20" s="623"/>
      <c r="M20" s="188"/>
      <c r="N20" s="177"/>
      <c r="O20" s="177"/>
      <c r="P20" s="380"/>
      <c r="Q20" s="380"/>
      <c r="R20" s="177"/>
    </row>
    <row r="21" spans="1:18" ht="15.75" customHeight="1">
      <c r="A21" s="620"/>
      <c r="B21" s="621"/>
      <c r="C21" s="199">
        <v>3</v>
      </c>
      <c r="D21" s="622" t="s">
        <v>484</v>
      </c>
      <c r="E21" s="623"/>
      <c r="F21" s="623"/>
      <c r="G21" s="199">
        <v>11</v>
      </c>
      <c r="H21" s="201">
        <v>3157.7971817291823</v>
      </c>
      <c r="I21" s="202">
        <v>287.07247106628927</v>
      </c>
      <c r="J21" s="220">
        <v>-4.5261446547385731E-2</v>
      </c>
      <c r="K21" s="622" t="s">
        <v>405</v>
      </c>
      <c r="L21" s="623"/>
      <c r="M21" s="188"/>
      <c r="N21" s="177"/>
      <c r="O21" s="177"/>
      <c r="P21" s="380"/>
      <c r="Q21" s="380"/>
      <c r="R21" s="177"/>
    </row>
    <row r="22" spans="1:18" ht="15.75" customHeight="1">
      <c r="A22" s="620"/>
      <c r="B22" s="621"/>
      <c r="C22" s="199">
        <v>4</v>
      </c>
      <c r="D22" s="622" t="s">
        <v>483</v>
      </c>
      <c r="E22" s="623"/>
      <c r="F22" s="623"/>
      <c r="G22" s="199">
        <v>11</v>
      </c>
      <c r="H22" s="201">
        <v>3156.928454195679</v>
      </c>
      <c r="I22" s="202">
        <v>286.99349583597075</v>
      </c>
      <c r="J22" s="220">
        <v>-0.16625316065335483</v>
      </c>
      <c r="K22" s="622" t="s">
        <v>405</v>
      </c>
      <c r="L22" s="623"/>
      <c r="M22" s="188"/>
      <c r="N22" s="177"/>
      <c r="O22" s="177"/>
      <c r="P22" s="380"/>
      <c r="Q22" s="380"/>
      <c r="R22" s="177"/>
    </row>
    <row r="23" spans="1:18" ht="15.75" customHeight="1">
      <c r="A23" s="620"/>
      <c r="B23" s="621"/>
      <c r="C23" s="199">
        <v>5</v>
      </c>
      <c r="D23" s="622"/>
      <c r="E23" s="623"/>
      <c r="F23" s="623"/>
      <c r="G23" s="199"/>
      <c r="H23" s="201"/>
      <c r="I23" s="202"/>
      <c r="J23" s="220"/>
      <c r="K23" s="622"/>
      <c r="L23" s="623"/>
      <c r="M23" s="188"/>
      <c r="N23" s="177"/>
      <c r="O23" s="177"/>
      <c r="P23" s="380"/>
      <c r="Q23" s="380"/>
      <c r="R23" s="177"/>
    </row>
    <row r="24" spans="1:18" ht="15.75" customHeight="1">
      <c r="A24" s="620"/>
      <c r="B24" s="621"/>
      <c r="C24" s="203" t="s">
        <v>187</v>
      </c>
      <c r="D24" s="622"/>
      <c r="E24" s="623"/>
      <c r="F24" s="623"/>
      <c r="G24" s="199"/>
      <c r="H24" s="201"/>
      <c r="I24" s="202"/>
      <c r="J24" s="199"/>
      <c r="K24" s="622"/>
      <c r="L24" s="623"/>
      <c r="M24" s="188"/>
      <c r="N24" s="177"/>
      <c r="O24" s="177"/>
      <c r="P24" s="380"/>
      <c r="Q24" s="380"/>
      <c r="R24" s="177"/>
    </row>
    <row r="25" spans="1:18" ht="15.75" customHeight="1">
      <c r="A25" s="620"/>
      <c r="B25" s="621"/>
      <c r="C25" s="203" t="s">
        <v>192</v>
      </c>
      <c r="D25" s="622"/>
      <c r="E25" s="623"/>
      <c r="F25" s="623"/>
      <c r="G25" s="199"/>
      <c r="H25" s="201"/>
      <c r="I25" s="202"/>
      <c r="J25" s="199"/>
      <c r="K25" s="622"/>
      <c r="L25" s="623"/>
      <c r="M25" s="188"/>
      <c r="N25" s="177"/>
      <c r="O25" s="177"/>
      <c r="P25" s="380"/>
      <c r="Q25" s="380"/>
      <c r="R25" s="177"/>
    </row>
    <row r="26" spans="1:18" ht="15.75" customHeight="1">
      <c r="A26" s="620"/>
      <c r="B26" s="621"/>
      <c r="C26" s="203" t="s">
        <v>188</v>
      </c>
      <c r="D26" s="622"/>
      <c r="E26" s="623"/>
      <c r="F26" s="623"/>
      <c r="G26" s="199"/>
      <c r="H26" s="201"/>
      <c r="I26" s="202"/>
      <c r="J26" s="199"/>
      <c r="K26" s="622"/>
      <c r="L26" s="623"/>
      <c r="M26" s="188"/>
      <c r="N26" s="177"/>
      <c r="O26" s="177"/>
      <c r="P26" s="380"/>
      <c r="Q26" s="380"/>
      <c r="R26" s="177"/>
    </row>
    <row r="27" spans="1:18" ht="15.75" customHeight="1">
      <c r="A27" s="620"/>
      <c r="B27" s="621"/>
      <c r="C27" s="203" t="s">
        <v>193</v>
      </c>
      <c r="D27" s="622"/>
      <c r="E27" s="623"/>
      <c r="F27" s="623"/>
      <c r="G27" s="199"/>
      <c r="H27" s="201"/>
      <c r="I27" s="202"/>
      <c r="J27" s="199"/>
      <c r="K27" s="622"/>
      <c r="L27" s="623"/>
      <c r="M27" s="188"/>
      <c r="N27" s="177"/>
      <c r="O27" s="177"/>
      <c r="P27" s="380"/>
      <c r="Q27" s="380"/>
      <c r="R27" s="177"/>
    </row>
    <row r="28" spans="1:18" ht="15.75" customHeight="1">
      <c r="A28" s="620"/>
      <c r="B28" s="621"/>
      <c r="C28" s="203" t="s">
        <v>194</v>
      </c>
      <c r="D28" s="622"/>
      <c r="E28" s="623"/>
      <c r="F28" s="623"/>
      <c r="G28" s="199"/>
      <c r="H28" s="201"/>
      <c r="I28" s="202"/>
      <c r="J28" s="199"/>
      <c r="K28" s="622"/>
      <c r="L28" s="623"/>
      <c r="M28" s="188"/>
      <c r="N28" s="177"/>
      <c r="O28" s="177"/>
      <c r="P28" s="380"/>
      <c r="Q28" s="380"/>
      <c r="R28" s="177"/>
    </row>
    <row r="29" spans="1:18" ht="15.75" customHeight="1">
      <c r="A29" s="624" t="s">
        <v>631</v>
      </c>
      <c r="B29" s="624"/>
      <c r="C29" s="624"/>
      <c r="D29" s="624"/>
      <c r="E29" s="624"/>
      <c r="F29" s="624"/>
      <c r="G29" s="624"/>
      <c r="H29" s="624"/>
      <c r="I29" s="624"/>
      <c r="J29" s="624"/>
      <c r="K29" s="624"/>
      <c r="L29" s="624"/>
      <c r="M29" s="188"/>
    </row>
    <row r="30" spans="1:18" s="189" customFormat="1" ht="15.75" customHeight="1">
      <c r="A30" s="624"/>
      <c r="B30" s="624"/>
      <c r="C30" s="624"/>
      <c r="D30" s="624"/>
      <c r="E30" s="624"/>
      <c r="F30" s="624"/>
      <c r="G30" s="624"/>
      <c r="H30" s="624"/>
      <c r="I30" s="624"/>
      <c r="J30" s="624"/>
      <c r="K30" s="624"/>
      <c r="L30" s="624"/>
    </row>
    <row r="31" spans="1:18" s="177" customFormat="1" ht="15.75" customHeight="1">
      <c r="A31" s="620" t="s">
        <v>162</v>
      </c>
      <c r="B31" s="190">
        <v>1</v>
      </c>
      <c r="C31" s="190">
        <v>2</v>
      </c>
      <c r="D31" s="169">
        <v>3</v>
      </c>
      <c r="E31" s="169">
        <v>4</v>
      </c>
      <c r="F31" s="169">
        <v>5</v>
      </c>
      <c r="G31" s="169">
        <v>6</v>
      </c>
      <c r="H31" s="169">
        <v>7</v>
      </c>
      <c r="I31" s="169">
        <v>8</v>
      </c>
      <c r="J31" s="169">
        <v>9</v>
      </c>
      <c r="K31" s="191"/>
      <c r="L31" s="191"/>
      <c r="M31" s="192"/>
    </row>
    <row r="32" spans="1:18" ht="16.350000000000001" customHeight="1">
      <c r="A32" s="620"/>
      <c r="B32" s="193" t="s">
        <v>189</v>
      </c>
      <c r="C32" s="193" t="s">
        <v>155</v>
      </c>
      <c r="D32" s="194" t="s">
        <v>190</v>
      </c>
      <c r="E32" s="194" t="s">
        <v>156</v>
      </c>
      <c r="F32" s="194" t="s">
        <v>327</v>
      </c>
      <c r="G32" s="195" t="s">
        <v>136</v>
      </c>
      <c r="H32" s="196" t="s">
        <v>191</v>
      </c>
      <c r="I32" s="195" t="s">
        <v>351</v>
      </c>
      <c r="J32" s="195" t="s">
        <v>142</v>
      </c>
      <c r="K32" s="197"/>
      <c r="L32" s="197"/>
      <c r="N32" s="198"/>
      <c r="O32" s="198"/>
      <c r="P32" s="198"/>
      <c r="Q32" s="198"/>
      <c r="R32" s="198"/>
    </row>
    <row r="33" spans="1:18" s="177" customFormat="1" ht="15.75" customHeight="1">
      <c r="A33" s="621" t="s">
        <v>171</v>
      </c>
      <c r="B33" s="621"/>
      <c r="C33" s="159" t="s">
        <v>47</v>
      </c>
      <c r="D33" s="621" t="s">
        <v>12</v>
      </c>
      <c r="E33" s="625"/>
      <c r="F33" s="625"/>
      <c r="G33" s="159" t="s">
        <v>46</v>
      </c>
      <c r="H33" s="159" t="s">
        <v>352</v>
      </c>
      <c r="I33" s="159" t="s">
        <v>353</v>
      </c>
      <c r="J33" s="159" t="s">
        <v>311</v>
      </c>
      <c r="K33" s="621" t="s">
        <v>51</v>
      </c>
      <c r="L33" s="625"/>
      <c r="M33" s="192"/>
      <c r="N33" s="188"/>
      <c r="P33" s="380"/>
      <c r="Q33" s="380"/>
    </row>
    <row r="34" spans="1:18" ht="15.75" customHeight="1">
      <c r="A34" s="620">
        <v>1</v>
      </c>
      <c r="B34" s="621" t="s">
        <v>354</v>
      </c>
      <c r="C34" s="199">
        <v>1</v>
      </c>
      <c r="D34" s="622" t="s">
        <v>412</v>
      </c>
      <c r="E34" s="623"/>
      <c r="F34" s="623"/>
      <c r="G34" s="199">
        <v>3</v>
      </c>
      <c r="H34" s="201">
        <v>3219.7010282849733</v>
      </c>
      <c r="I34" s="202">
        <v>1073.2336760949911</v>
      </c>
      <c r="J34" s="220">
        <f>I34-I8</f>
        <v>2.3113920362579847</v>
      </c>
      <c r="K34" s="622" t="s">
        <v>405</v>
      </c>
      <c r="L34" s="623"/>
      <c r="N34" s="177"/>
      <c r="O34" s="177"/>
      <c r="P34" s="380"/>
      <c r="Q34" s="380"/>
      <c r="R34" s="177"/>
    </row>
    <row r="35" spans="1:18" ht="15.75" customHeight="1">
      <c r="A35" s="620"/>
      <c r="B35" s="621"/>
      <c r="C35" s="199">
        <v>2</v>
      </c>
      <c r="D35" s="622" t="s">
        <v>377</v>
      </c>
      <c r="E35" s="623"/>
      <c r="F35" s="623"/>
      <c r="G35" s="199">
        <v>3</v>
      </c>
      <c r="H35" s="201">
        <v>3218.3562006841071</v>
      </c>
      <c r="I35" s="202">
        <v>1072.7854002280358</v>
      </c>
      <c r="J35" s="220">
        <f>I35-I10</f>
        <v>2.6940569683285958</v>
      </c>
      <c r="K35" s="622" t="s">
        <v>405</v>
      </c>
      <c r="L35" s="623"/>
      <c r="N35" s="177"/>
      <c r="O35" s="177"/>
      <c r="P35" s="380"/>
      <c r="Q35" s="380"/>
      <c r="R35" s="177"/>
    </row>
    <row r="36" spans="1:18" ht="15.75" customHeight="1">
      <c r="A36" s="620"/>
      <c r="B36" s="621"/>
      <c r="C36" s="199">
        <v>3</v>
      </c>
      <c r="D36" s="622" t="s">
        <v>529</v>
      </c>
      <c r="E36" s="623"/>
      <c r="F36" s="623"/>
      <c r="G36" s="199">
        <v>3</v>
      </c>
      <c r="H36" s="201">
        <v>3217.9469292880249</v>
      </c>
      <c r="I36" s="202">
        <v>1072.6489764293417</v>
      </c>
      <c r="J36" s="220">
        <f>I36-I11</f>
        <v>2.5885714285716404</v>
      </c>
      <c r="K36" s="622" t="s">
        <v>405</v>
      </c>
      <c r="L36" s="623"/>
      <c r="N36" s="177"/>
      <c r="O36" s="177"/>
      <c r="P36" s="380"/>
      <c r="Q36" s="380"/>
      <c r="R36" s="177"/>
    </row>
    <row r="37" spans="1:18" ht="15.75" customHeight="1">
      <c r="A37" s="620"/>
      <c r="B37" s="621"/>
      <c r="C37" s="199">
        <v>4</v>
      </c>
      <c r="D37" s="622" t="s">
        <v>376</v>
      </c>
      <c r="E37" s="623"/>
      <c r="F37" s="623"/>
      <c r="G37" s="199">
        <v>3</v>
      </c>
      <c r="H37" s="201">
        <v>3217.6441385785415</v>
      </c>
      <c r="I37" s="202">
        <v>1072.5480461928471</v>
      </c>
      <c r="J37" s="220"/>
      <c r="K37" s="622" t="s">
        <v>405</v>
      </c>
      <c r="L37" s="623"/>
      <c r="N37" s="177"/>
      <c r="O37" s="177"/>
      <c r="P37" s="380"/>
      <c r="Q37" s="380"/>
      <c r="R37" s="177"/>
    </row>
    <row r="38" spans="1:18" ht="15.75" customHeight="1">
      <c r="A38" s="620"/>
      <c r="B38" s="621"/>
      <c r="C38" s="199">
        <v>5</v>
      </c>
      <c r="D38" s="622" t="s">
        <v>368</v>
      </c>
      <c r="E38" s="623"/>
      <c r="F38" s="623"/>
      <c r="G38" s="199">
        <v>3</v>
      </c>
      <c r="H38" s="201">
        <v>3217.081807380117</v>
      </c>
      <c r="I38" s="202">
        <v>1072.360602460039</v>
      </c>
      <c r="J38" s="220"/>
      <c r="K38" s="622" t="s">
        <v>405</v>
      </c>
      <c r="L38" s="623"/>
      <c r="O38" s="177"/>
      <c r="P38" s="380"/>
      <c r="Q38" s="380"/>
      <c r="R38" s="177"/>
    </row>
    <row r="39" spans="1:18" ht="15.75" customHeight="1">
      <c r="A39" s="620"/>
      <c r="B39" s="621"/>
      <c r="C39" s="203" t="s">
        <v>187</v>
      </c>
      <c r="D39" s="623" t="s">
        <v>414</v>
      </c>
      <c r="E39" s="623"/>
      <c r="F39" s="623"/>
      <c r="G39" s="200">
        <v>12</v>
      </c>
      <c r="H39" s="204">
        <v>3120.8083842199399</v>
      </c>
      <c r="I39" s="205">
        <v>260.06736535166164</v>
      </c>
      <c r="J39" s="220">
        <f>I39-I13</f>
        <v>-9.7454065762576647E-2</v>
      </c>
      <c r="K39" s="622" t="s">
        <v>405</v>
      </c>
      <c r="L39" s="623"/>
      <c r="N39" s="177"/>
      <c r="O39" s="177"/>
      <c r="P39" s="380"/>
      <c r="Q39" s="380"/>
      <c r="R39" s="177"/>
    </row>
    <row r="40" spans="1:18" ht="15.75" customHeight="1">
      <c r="A40" s="620"/>
      <c r="B40" s="621"/>
      <c r="C40" s="203" t="s">
        <v>192</v>
      </c>
      <c r="D40" s="623" t="s">
        <v>416</v>
      </c>
      <c r="E40" s="623"/>
      <c r="F40" s="623"/>
      <c r="G40" s="200">
        <v>12</v>
      </c>
      <c r="H40" s="204">
        <v>3121.2659796529219</v>
      </c>
      <c r="I40" s="205">
        <v>260.1054983044101</v>
      </c>
      <c r="J40" s="220">
        <f>I40-I14</f>
        <v>-7.0551805844957016E-2</v>
      </c>
      <c r="K40" s="622" t="s">
        <v>405</v>
      </c>
      <c r="L40" s="623"/>
      <c r="N40" s="177"/>
      <c r="O40" s="177"/>
      <c r="P40" s="380"/>
      <c r="Q40" s="380"/>
      <c r="R40" s="177"/>
    </row>
    <row r="41" spans="1:18" ht="15.75" customHeight="1">
      <c r="A41" s="620"/>
      <c r="B41" s="621"/>
      <c r="C41" s="203" t="s">
        <v>188</v>
      </c>
      <c r="D41" s="623" t="s">
        <v>470</v>
      </c>
      <c r="E41" s="623"/>
      <c r="F41" s="623"/>
      <c r="G41" s="200">
        <v>5</v>
      </c>
      <c r="H41" s="204">
        <v>2739.9342839582418</v>
      </c>
      <c r="I41" s="205">
        <v>547.98685679164839</v>
      </c>
      <c r="J41" s="220">
        <f>I41-I15</f>
        <v>1.2042515750086977</v>
      </c>
      <c r="K41" s="622" t="s">
        <v>405</v>
      </c>
      <c r="L41" s="623"/>
      <c r="N41" s="177"/>
      <c r="O41" s="177"/>
      <c r="P41" s="380"/>
      <c r="Q41" s="380"/>
      <c r="R41" s="177"/>
    </row>
    <row r="42" spans="1:18" ht="15.75" customHeight="1">
      <c r="A42" s="620"/>
      <c r="B42" s="621"/>
      <c r="C42" s="203" t="s">
        <v>193</v>
      </c>
      <c r="D42" s="623" t="s">
        <v>323</v>
      </c>
      <c r="E42" s="623"/>
      <c r="F42" s="623"/>
      <c r="G42" s="200">
        <v>5</v>
      </c>
      <c r="H42" s="204">
        <v>3011.5716315333198</v>
      </c>
      <c r="I42" s="205">
        <v>602.31432630666393</v>
      </c>
      <c r="J42" s="220">
        <f>I42-I16</f>
        <v>1.1305979632575145</v>
      </c>
      <c r="K42" s="622" t="s">
        <v>405</v>
      </c>
      <c r="L42" s="623"/>
      <c r="M42" s="188"/>
      <c r="N42" s="177"/>
      <c r="O42" s="177"/>
      <c r="P42" s="380"/>
      <c r="Q42" s="380"/>
      <c r="R42" s="177"/>
    </row>
    <row r="43" spans="1:18" ht="15.75" customHeight="1">
      <c r="A43" s="620"/>
      <c r="B43" s="621"/>
      <c r="C43" s="203" t="s">
        <v>194</v>
      </c>
      <c r="D43" s="623" t="s">
        <v>212</v>
      </c>
      <c r="E43" s="623"/>
      <c r="F43" s="623"/>
      <c r="G43" s="200">
        <v>5</v>
      </c>
      <c r="H43" s="204">
        <v>3015.7569499421597</v>
      </c>
      <c r="I43" s="205">
        <v>603.15138998843202</v>
      </c>
      <c r="J43" s="220">
        <f>I43-I17</f>
        <v>1.7405537814317995</v>
      </c>
      <c r="K43" s="622" t="s">
        <v>405</v>
      </c>
      <c r="L43" s="623"/>
      <c r="M43" s="188"/>
      <c r="N43" s="177"/>
      <c r="O43" s="177"/>
      <c r="P43" s="380"/>
      <c r="Q43" s="380"/>
      <c r="R43" s="177"/>
    </row>
    <row r="44" spans="1:18" s="198" customFormat="1" ht="15.75" customHeight="1">
      <c r="A44" s="626" t="s">
        <v>171</v>
      </c>
      <c r="B44" s="626"/>
      <c r="C44" s="206" t="s">
        <v>47</v>
      </c>
      <c r="D44" s="626" t="s">
        <v>12</v>
      </c>
      <c r="E44" s="627"/>
      <c r="F44" s="627"/>
      <c r="G44" s="206" t="s">
        <v>46</v>
      </c>
      <c r="H44" s="206" t="s">
        <v>352</v>
      </c>
      <c r="I44" s="206" t="s">
        <v>353</v>
      </c>
      <c r="J44" s="159" t="s">
        <v>311</v>
      </c>
      <c r="K44" s="626" t="s">
        <v>50</v>
      </c>
      <c r="L44" s="627"/>
      <c r="M44" s="207"/>
      <c r="N44" s="177"/>
      <c r="O44" s="177"/>
      <c r="P44" s="380"/>
      <c r="Q44" s="380"/>
      <c r="R44" s="177"/>
    </row>
    <row r="45" spans="1:18" ht="15.75" customHeight="1">
      <c r="A45" s="620">
        <v>2</v>
      </c>
      <c r="B45" s="621" t="s">
        <v>155</v>
      </c>
      <c r="C45" s="199">
        <v>1</v>
      </c>
      <c r="D45" s="622" t="s">
        <v>325</v>
      </c>
      <c r="E45" s="623"/>
      <c r="F45" s="623"/>
      <c r="G45" s="199">
        <v>10</v>
      </c>
      <c r="H45" s="201">
        <v>3217.6609797246133</v>
      </c>
      <c r="I45" s="202">
        <v>321.76609797246135</v>
      </c>
      <c r="J45" s="220">
        <f>I45-I19</f>
        <v>5.1428571428402847E-2</v>
      </c>
      <c r="K45" s="622" t="s">
        <v>405</v>
      </c>
      <c r="L45" s="623"/>
      <c r="M45" s="188"/>
      <c r="N45" s="177"/>
      <c r="O45" s="177"/>
      <c r="P45" s="380"/>
      <c r="Q45" s="380"/>
      <c r="R45" s="177"/>
    </row>
    <row r="46" spans="1:18" ht="15.75" customHeight="1">
      <c r="A46" s="620"/>
      <c r="B46" s="621"/>
      <c r="C46" s="199">
        <v>2</v>
      </c>
      <c r="D46" s="622" t="s">
        <v>483</v>
      </c>
      <c r="E46" s="623"/>
      <c r="F46" s="623"/>
      <c r="G46" s="199">
        <v>11</v>
      </c>
      <c r="H46" s="201">
        <v>3157.7861122766117</v>
      </c>
      <c r="I46" s="202">
        <v>287.07146475241927</v>
      </c>
      <c r="J46" s="220">
        <f>I46-I22</f>
        <v>7.7968916448526215E-2</v>
      </c>
      <c r="K46" s="622" t="s">
        <v>405</v>
      </c>
      <c r="L46" s="623"/>
      <c r="M46" s="188"/>
      <c r="N46" s="177"/>
      <c r="O46" s="177"/>
      <c r="P46" s="380"/>
      <c r="Q46" s="380"/>
      <c r="R46" s="177"/>
    </row>
    <row r="47" spans="1:18" ht="15.75" customHeight="1">
      <c r="A47" s="620"/>
      <c r="B47" s="621"/>
      <c r="C47" s="199">
        <v>3</v>
      </c>
      <c r="D47" s="622" t="s">
        <v>613</v>
      </c>
      <c r="E47" s="623"/>
      <c r="F47" s="623"/>
      <c r="G47" s="199">
        <v>11</v>
      </c>
      <c r="H47" s="201">
        <v>3157.2894664595306</v>
      </c>
      <c r="I47" s="202">
        <v>287.0263151326846</v>
      </c>
      <c r="J47" s="220">
        <f>I47-I20</f>
        <v>-7.9902620374411981E-2</v>
      </c>
      <c r="K47" s="622" t="s">
        <v>405</v>
      </c>
      <c r="L47" s="623"/>
      <c r="M47" s="188"/>
      <c r="N47" s="177"/>
      <c r="O47" s="177"/>
      <c r="P47" s="380"/>
      <c r="Q47" s="380"/>
      <c r="R47" s="177"/>
    </row>
    <row r="48" spans="1:18" ht="15.75" customHeight="1">
      <c r="A48" s="620"/>
      <c r="B48" s="621"/>
      <c r="C48" s="199">
        <v>4</v>
      </c>
      <c r="D48" s="622" t="s">
        <v>484</v>
      </c>
      <c r="E48" s="623"/>
      <c r="F48" s="623"/>
      <c r="G48" s="199">
        <v>11</v>
      </c>
      <c r="H48" s="201">
        <v>3157.2404765805791</v>
      </c>
      <c r="I48" s="202">
        <v>287.0218615073253</v>
      </c>
      <c r="J48" s="220">
        <f>I48-I21</f>
        <v>-5.0609558963969903E-2</v>
      </c>
      <c r="K48" s="622" t="s">
        <v>405</v>
      </c>
      <c r="L48" s="623"/>
      <c r="M48" s="188"/>
      <c r="N48" s="177"/>
      <c r="O48" s="177"/>
      <c r="P48" s="380"/>
      <c r="Q48" s="380"/>
      <c r="R48" s="177"/>
    </row>
    <row r="49" spans="1:18" ht="15.75" customHeight="1">
      <c r="A49" s="620"/>
      <c r="B49" s="621"/>
      <c r="C49" s="199">
        <v>5</v>
      </c>
      <c r="D49" s="622"/>
      <c r="E49" s="623"/>
      <c r="F49" s="623"/>
      <c r="G49" s="199"/>
      <c r="H49" s="201"/>
      <c r="I49" s="202"/>
      <c r="J49" s="220"/>
      <c r="K49" s="622"/>
      <c r="L49" s="623"/>
      <c r="M49" s="188"/>
      <c r="N49" s="177"/>
      <c r="O49" s="177"/>
      <c r="P49" s="380"/>
      <c r="Q49" s="380"/>
      <c r="R49" s="177"/>
    </row>
    <row r="50" spans="1:18" ht="15.75" customHeight="1">
      <c r="A50" s="620"/>
      <c r="B50" s="621"/>
      <c r="C50" s="203" t="s">
        <v>187</v>
      </c>
      <c r="D50" s="622"/>
      <c r="E50" s="623"/>
      <c r="F50" s="623"/>
      <c r="G50" s="199"/>
      <c r="H50" s="201"/>
      <c r="I50" s="202"/>
      <c r="J50" s="199"/>
      <c r="K50" s="622"/>
      <c r="L50" s="623"/>
      <c r="M50" s="188"/>
      <c r="N50" s="177"/>
      <c r="O50" s="177"/>
      <c r="P50" s="380"/>
      <c r="Q50" s="380"/>
      <c r="R50" s="177"/>
    </row>
    <row r="51" spans="1:18" ht="15.75" customHeight="1">
      <c r="A51" s="620"/>
      <c r="B51" s="621"/>
      <c r="C51" s="203" t="s">
        <v>192</v>
      </c>
      <c r="D51" s="622"/>
      <c r="E51" s="623"/>
      <c r="F51" s="623"/>
      <c r="G51" s="199"/>
      <c r="H51" s="201"/>
      <c r="I51" s="202"/>
      <c r="J51" s="199"/>
      <c r="K51" s="622"/>
      <c r="L51" s="623"/>
      <c r="M51" s="188"/>
      <c r="N51" s="177"/>
      <c r="O51" s="177"/>
      <c r="P51" s="380"/>
      <c r="Q51" s="380"/>
      <c r="R51" s="177"/>
    </row>
    <row r="52" spans="1:18" ht="15.75" customHeight="1">
      <c r="A52" s="620"/>
      <c r="B52" s="621"/>
      <c r="C52" s="203" t="s">
        <v>188</v>
      </c>
      <c r="D52" s="622"/>
      <c r="E52" s="623"/>
      <c r="F52" s="623"/>
      <c r="G52" s="199"/>
      <c r="H52" s="201"/>
      <c r="I52" s="202"/>
      <c r="J52" s="199"/>
      <c r="K52" s="622"/>
      <c r="L52" s="623"/>
      <c r="M52" s="188"/>
      <c r="N52" s="177"/>
      <c r="O52" s="177"/>
      <c r="P52" s="380"/>
      <c r="Q52" s="380"/>
      <c r="R52" s="177"/>
    </row>
    <row r="53" spans="1:18" ht="15.75" customHeight="1">
      <c r="A53" s="620"/>
      <c r="B53" s="621"/>
      <c r="C53" s="203" t="s">
        <v>193</v>
      </c>
      <c r="D53" s="622"/>
      <c r="E53" s="623"/>
      <c r="F53" s="623"/>
      <c r="G53" s="199"/>
      <c r="H53" s="201"/>
      <c r="I53" s="202"/>
      <c r="J53" s="199"/>
      <c r="K53" s="622"/>
      <c r="L53" s="623"/>
      <c r="M53" s="188"/>
      <c r="N53" s="177"/>
      <c r="O53" s="177"/>
      <c r="P53" s="380"/>
      <c r="Q53" s="380"/>
      <c r="R53" s="177"/>
    </row>
    <row r="54" spans="1:18" ht="15.75" customHeight="1">
      <c r="A54" s="620"/>
      <c r="B54" s="621"/>
      <c r="C54" s="203" t="s">
        <v>194</v>
      </c>
      <c r="D54" s="622"/>
      <c r="E54" s="623"/>
      <c r="F54" s="623"/>
      <c r="G54" s="199"/>
      <c r="H54" s="201"/>
      <c r="I54" s="202"/>
      <c r="J54" s="199"/>
      <c r="K54" s="622"/>
      <c r="L54" s="623"/>
      <c r="M54" s="188"/>
      <c r="N54" s="177"/>
      <c r="O54" s="177"/>
      <c r="P54" s="380"/>
      <c r="Q54" s="380"/>
      <c r="R54" s="177"/>
    </row>
    <row r="55" spans="1:18" ht="15.75" customHeight="1">
      <c r="A55" s="624" t="s">
        <v>674</v>
      </c>
      <c r="B55" s="624"/>
      <c r="C55" s="624"/>
      <c r="D55" s="624"/>
      <c r="E55" s="624"/>
      <c r="F55" s="624"/>
      <c r="G55" s="624"/>
      <c r="H55" s="624"/>
      <c r="I55" s="624"/>
      <c r="J55" s="624"/>
      <c r="K55" s="624"/>
      <c r="L55" s="624"/>
      <c r="M55" s="188"/>
    </row>
    <row r="56" spans="1:18" s="189" customFormat="1" ht="15.75" customHeight="1">
      <c r="A56" s="624"/>
      <c r="B56" s="624"/>
      <c r="C56" s="624"/>
      <c r="D56" s="624"/>
      <c r="E56" s="624"/>
      <c r="F56" s="624"/>
      <c r="G56" s="624"/>
      <c r="H56" s="624"/>
      <c r="I56" s="624"/>
      <c r="J56" s="624"/>
      <c r="K56" s="624"/>
      <c r="L56" s="624"/>
    </row>
    <row r="57" spans="1:18" s="177" customFormat="1" ht="15.75" customHeight="1">
      <c r="A57" s="620" t="s">
        <v>162</v>
      </c>
      <c r="B57" s="190">
        <v>1</v>
      </c>
      <c r="C57" s="190">
        <v>2</v>
      </c>
      <c r="D57" s="169">
        <v>3</v>
      </c>
      <c r="E57" s="169">
        <v>4</v>
      </c>
      <c r="F57" s="169">
        <v>5</v>
      </c>
      <c r="G57" s="169">
        <v>6</v>
      </c>
      <c r="H57" s="169">
        <v>7</v>
      </c>
      <c r="I57" s="169">
        <v>8</v>
      </c>
      <c r="J57" s="169">
        <v>9</v>
      </c>
      <c r="K57" s="191"/>
      <c r="L57" s="191"/>
      <c r="M57" s="192"/>
    </row>
    <row r="58" spans="1:18" ht="16.350000000000001" customHeight="1">
      <c r="A58" s="620"/>
      <c r="B58" s="193" t="s">
        <v>189</v>
      </c>
      <c r="C58" s="193" t="s">
        <v>155</v>
      </c>
      <c r="D58" s="194" t="s">
        <v>190</v>
      </c>
      <c r="E58" s="194" t="s">
        <v>156</v>
      </c>
      <c r="F58" s="194" t="s">
        <v>327</v>
      </c>
      <c r="G58" s="195" t="s">
        <v>136</v>
      </c>
      <c r="H58" s="196" t="s">
        <v>191</v>
      </c>
      <c r="I58" s="195" t="s">
        <v>351</v>
      </c>
      <c r="J58" s="195" t="s">
        <v>142</v>
      </c>
      <c r="K58" s="197"/>
      <c r="L58" s="197"/>
      <c r="N58" s="198"/>
      <c r="O58" s="198"/>
      <c r="P58" s="198"/>
      <c r="Q58" s="198"/>
      <c r="R58" s="198"/>
    </row>
    <row r="59" spans="1:18" s="177" customFormat="1" ht="15.75" customHeight="1">
      <c r="A59" s="621" t="s">
        <v>171</v>
      </c>
      <c r="B59" s="621"/>
      <c r="C59" s="159" t="s">
        <v>47</v>
      </c>
      <c r="D59" s="621" t="s">
        <v>12</v>
      </c>
      <c r="E59" s="625"/>
      <c r="F59" s="625"/>
      <c r="G59" s="159" t="s">
        <v>46</v>
      </c>
      <c r="H59" s="159" t="s">
        <v>352</v>
      </c>
      <c r="I59" s="159" t="s">
        <v>353</v>
      </c>
      <c r="J59" s="159" t="s">
        <v>311</v>
      </c>
      <c r="K59" s="621" t="s">
        <v>51</v>
      </c>
      <c r="L59" s="625"/>
      <c r="M59" s="192"/>
      <c r="N59" s="188"/>
      <c r="P59" s="380"/>
      <c r="Q59" s="380"/>
    </row>
    <row r="60" spans="1:18" ht="15.75" customHeight="1">
      <c r="A60" s="620">
        <v>1</v>
      </c>
      <c r="B60" s="621" t="s">
        <v>354</v>
      </c>
      <c r="C60" s="199">
        <v>1</v>
      </c>
      <c r="D60" s="622" t="s">
        <v>369</v>
      </c>
      <c r="E60" s="623"/>
      <c r="F60" s="623"/>
      <c r="G60" s="199">
        <v>3</v>
      </c>
      <c r="H60" s="201">
        <v>3227.4080940334056</v>
      </c>
      <c r="I60" s="202">
        <v>1075.8026980111354</v>
      </c>
      <c r="J60" s="220"/>
      <c r="K60" s="622"/>
      <c r="L60" s="623"/>
      <c r="N60" s="177"/>
      <c r="O60" s="177"/>
      <c r="P60" s="380"/>
      <c r="Q60" s="380"/>
      <c r="R60" s="177"/>
    </row>
    <row r="61" spans="1:18" ht="15.75" customHeight="1">
      <c r="A61" s="620"/>
      <c r="B61" s="621"/>
      <c r="C61" s="199">
        <v>2</v>
      </c>
      <c r="D61" s="622" t="s">
        <v>377</v>
      </c>
      <c r="E61" s="623"/>
      <c r="F61" s="623"/>
      <c r="G61" s="199">
        <v>3</v>
      </c>
      <c r="H61" s="201">
        <v>3227.1203308296863</v>
      </c>
      <c r="I61" s="202">
        <v>1075.706776943229</v>
      </c>
      <c r="J61" s="220">
        <f>I61-I35</f>
        <v>2.9213767151932188</v>
      </c>
      <c r="K61" s="622"/>
      <c r="L61" s="623"/>
      <c r="N61" s="177"/>
      <c r="O61" s="177"/>
      <c r="P61" s="380"/>
      <c r="Q61" s="380"/>
      <c r="R61" s="177"/>
    </row>
    <row r="62" spans="1:18" ht="15.75" customHeight="1">
      <c r="A62" s="620"/>
      <c r="B62" s="621"/>
      <c r="C62" s="199">
        <v>3</v>
      </c>
      <c r="D62" s="622" t="s">
        <v>376</v>
      </c>
      <c r="E62" s="623"/>
      <c r="F62" s="623"/>
      <c r="G62" s="199">
        <v>3</v>
      </c>
      <c r="H62" s="201">
        <v>3226.0903312802052</v>
      </c>
      <c r="I62" s="202">
        <v>1075.3634437600685</v>
      </c>
      <c r="J62" s="220">
        <f>I62-I37</f>
        <v>2.8153975672214528</v>
      </c>
      <c r="K62" s="622"/>
      <c r="L62" s="623"/>
      <c r="N62" s="177"/>
      <c r="O62" s="177"/>
      <c r="P62" s="380"/>
      <c r="Q62" s="380"/>
      <c r="R62" s="177"/>
    </row>
    <row r="63" spans="1:18" ht="15.75" customHeight="1">
      <c r="A63" s="620"/>
      <c r="B63" s="621"/>
      <c r="C63" s="199">
        <v>4</v>
      </c>
      <c r="D63" s="622" t="s">
        <v>412</v>
      </c>
      <c r="E63" s="623"/>
      <c r="F63" s="623"/>
      <c r="G63" s="199">
        <v>3</v>
      </c>
      <c r="H63" s="201">
        <v>3225.9238854278292</v>
      </c>
      <c r="I63" s="202">
        <v>1075.3079618092763</v>
      </c>
      <c r="J63" s="220">
        <f>I63-I34</f>
        <v>2.0742857142852245</v>
      </c>
      <c r="K63" s="622"/>
      <c r="L63" s="623"/>
      <c r="N63" s="177"/>
      <c r="O63" s="177"/>
      <c r="P63" s="380"/>
      <c r="Q63" s="380"/>
      <c r="R63" s="177"/>
    </row>
    <row r="64" spans="1:18" ht="15.75" customHeight="1">
      <c r="A64" s="620"/>
      <c r="B64" s="621"/>
      <c r="C64" s="199">
        <v>5</v>
      </c>
      <c r="D64" s="622" t="s">
        <v>529</v>
      </c>
      <c r="E64" s="623"/>
      <c r="F64" s="623"/>
      <c r="G64" s="199">
        <v>3</v>
      </c>
      <c r="H64" s="201">
        <v>3224.8897864308819</v>
      </c>
      <c r="I64" s="202">
        <v>1074.9632621436272</v>
      </c>
      <c r="J64" s="220">
        <f>I64-I36</f>
        <v>2.3142857142854609</v>
      </c>
      <c r="K64" s="622"/>
      <c r="L64" s="623"/>
      <c r="O64" s="177"/>
      <c r="P64" s="380"/>
      <c r="Q64" s="380"/>
      <c r="R64" s="177"/>
    </row>
    <row r="65" spans="1:18" ht="15.75" customHeight="1">
      <c r="A65" s="620"/>
      <c r="B65" s="621"/>
      <c r="C65" s="203" t="s">
        <v>187</v>
      </c>
      <c r="D65" s="623" t="s">
        <v>414</v>
      </c>
      <c r="E65" s="623"/>
      <c r="F65" s="623"/>
      <c r="G65" s="200">
        <v>12</v>
      </c>
      <c r="H65" s="204">
        <v>3121.0684522695251</v>
      </c>
      <c r="I65" s="205">
        <v>260.08903768912705</v>
      </c>
      <c r="J65" s="220">
        <f>I65-I39</f>
        <v>2.1672337465417968E-2</v>
      </c>
      <c r="K65" s="622"/>
      <c r="L65" s="623"/>
      <c r="N65" s="177"/>
      <c r="O65" s="177"/>
      <c r="P65" s="380"/>
      <c r="Q65" s="380"/>
      <c r="R65" s="177"/>
    </row>
    <row r="66" spans="1:18" ht="15.75" customHeight="1">
      <c r="A66" s="620"/>
      <c r="B66" s="621"/>
      <c r="C66" s="203" t="s">
        <v>192</v>
      </c>
      <c r="D66" s="623" t="s">
        <v>416</v>
      </c>
      <c r="E66" s="623"/>
      <c r="F66" s="623"/>
      <c r="G66" s="200">
        <v>12</v>
      </c>
      <c r="H66" s="204">
        <v>3121.239428269439</v>
      </c>
      <c r="I66" s="205">
        <v>260.1032856891199</v>
      </c>
      <c r="J66" s="220">
        <f>I66-I40</f>
        <v>-2.212615290204667E-3</v>
      </c>
      <c r="K66" s="622"/>
      <c r="L66" s="623"/>
      <c r="N66" s="177"/>
      <c r="O66" s="177"/>
      <c r="P66" s="380"/>
      <c r="Q66" s="380"/>
      <c r="R66" s="177"/>
    </row>
    <row r="67" spans="1:18" ht="15.75" customHeight="1">
      <c r="A67" s="620"/>
      <c r="B67" s="621"/>
      <c r="C67" s="203" t="s">
        <v>188</v>
      </c>
      <c r="D67" s="623" t="s">
        <v>470</v>
      </c>
      <c r="E67" s="623"/>
      <c r="F67" s="623"/>
      <c r="G67" s="200">
        <v>5</v>
      </c>
      <c r="H67" s="204">
        <v>2747.383394444515</v>
      </c>
      <c r="I67" s="205">
        <v>549.47667888890305</v>
      </c>
      <c r="J67" s="220">
        <f>I67-I41</f>
        <v>1.4898220972546596</v>
      </c>
      <c r="K67" s="622"/>
      <c r="L67" s="623"/>
      <c r="N67" s="177"/>
      <c r="O67" s="177"/>
      <c r="P67" s="380"/>
      <c r="Q67" s="380"/>
      <c r="R67" s="177"/>
    </row>
    <row r="68" spans="1:18" ht="15.75" customHeight="1">
      <c r="A68" s="620"/>
      <c r="B68" s="621"/>
      <c r="C68" s="203" t="s">
        <v>193</v>
      </c>
      <c r="D68" s="623" t="s">
        <v>323</v>
      </c>
      <c r="E68" s="623"/>
      <c r="F68" s="623"/>
      <c r="G68" s="200">
        <v>5</v>
      </c>
      <c r="H68" s="204">
        <v>3020.5157603009652</v>
      </c>
      <c r="I68" s="205">
        <v>604.103152060193</v>
      </c>
      <c r="J68" s="220">
        <f>I68-I42</f>
        <v>1.7888257535290677</v>
      </c>
      <c r="K68" s="622"/>
      <c r="L68" s="623"/>
      <c r="M68" s="188"/>
      <c r="N68" s="177"/>
      <c r="O68" s="177"/>
      <c r="P68" s="380"/>
      <c r="Q68" s="380"/>
      <c r="R68" s="177"/>
    </row>
    <row r="69" spans="1:18" ht="15.75" customHeight="1">
      <c r="A69" s="620"/>
      <c r="B69" s="621"/>
      <c r="C69" s="203" t="s">
        <v>194</v>
      </c>
      <c r="D69" s="623" t="s">
        <v>212</v>
      </c>
      <c r="E69" s="623"/>
      <c r="F69" s="623"/>
      <c r="G69" s="200">
        <v>5</v>
      </c>
      <c r="H69" s="204">
        <v>3022.9698070850159</v>
      </c>
      <c r="I69" s="205">
        <v>604.59396141700313</v>
      </c>
      <c r="J69" s="220">
        <f>I69-I43</f>
        <v>1.4425714285711138</v>
      </c>
      <c r="K69" s="622"/>
      <c r="L69" s="623"/>
      <c r="M69" s="188"/>
      <c r="N69" s="177"/>
      <c r="O69" s="177"/>
      <c r="P69" s="380"/>
      <c r="Q69" s="380"/>
      <c r="R69" s="177"/>
    </row>
    <row r="70" spans="1:18" s="198" customFormat="1" ht="15.75" customHeight="1">
      <c r="A70" s="626" t="s">
        <v>171</v>
      </c>
      <c r="B70" s="626"/>
      <c r="C70" s="206" t="s">
        <v>47</v>
      </c>
      <c r="D70" s="626" t="s">
        <v>12</v>
      </c>
      <c r="E70" s="627"/>
      <c r="F70" s="627"/>
      <c r="G70" s="206" t="s">
        <v>46</v>
      </c>
      <c r="H70" s="206" t="s">
        <v>352</v>
      </c>
      <c r="I70" s="206" t="s">
        <v>353</v>
      </c>
      <c r="J70" s="159" t="s">
        <v>311</v>
      </c>
      <c r="K70" s="626" t="s">
        <v>50</v>
      </c>
      <c r="L70" s="627"/>
      <c r="M70" s="207"/>
      <c r="N70" s="177"/>
      <c r="O70" s="177"/>
      <c r="P70" s="380"/>
      <c r="Q70" s="380"/>
      <c r="R70" s="177"/>
    </row>
    <row r="71" spans="1:18" ht="15.75" customHeight="1">
      <c r="A71" s="620">
        <v>2</v>
      </c>
      <c r="B71" s="621" t="s">
        <v>155</v>
      </c>
      <c r="C71" s="199">
        <v>1</v>
      </c>
      <c r="D71" s="622" t="s">
        <v>325</v>
      </c>
      <c r="E71" s="623"/>
      <c r="F71" s="623"/>
      <c r="G71" s="199">
        <v>10</v>
      </c>
      <c r="H71" s="201">
        <v>3216.6838368674703</v>
      </c>
      <c r="I71" s="202">
        <v>321.66838368674701</v>
      </c>
      <c r="J71" s="220">
        <f>I71-I45</f>
        <v>-9.7714285714346261E-2</v>
      </c>
      <c r="K71" s="622"/>
      <c r="L71" s="623"/>
      <c r="M71" s="188"/>
      <c r="N71" s="177"/>
      <c r="O71" s="177"/>
      <c r="P71" s="380"/>
      <c r="Q71" s="380"/>
      <c r="R71" s="177"/>
    </row>
    <row r="72" spans="1:18" ht="15.75" customHeight="1">
      <c r="A72" s="620"/>
      <c r="B72" s="621"/>
      <c r="C72" s="199">
        <v>2</v>
      </c>
      <c r="D72" s="622" t="s">
        <v>483</v>
      </c>
      <c r="E72" s="623"/>
      <c r="F72" s="623"/>
      <c r="G72" s="199">
        <v>11</v>
      </c>
      <c r="H72" s="201">
        <v>3157.8486392007062</v>
      </c>
      <c r="I72" s="202">
        <v>287.07714901824608</v>
      </c>
      <c r="J72" s="220">
        <f>I72-I46</f>
        <v>5.6842658268010382E-3</v>
      </c>
      <c r="K72" s="622"/>
      <c r="L72" s="623"/>
      <c r="M72" s="188"/>
      <c r="N72" s="177"/>
      <c r="O72" s="177"/>
      <c r="P72" s="380"/>
      <c r="Q72" s="380"/>
      <c r="R72" s="177"/>
    </row>
    <row r="73" spans="1:18" ht="15.75" customHeight="1">
      <c r="A73" s="620"/>
      <c r="B73" s="621"/>
      <c r="C73" s="199">
        <v>3</v>
      </c>
      <c r="D73" s="622" t="s">
        <v>613</v>
      </c>
      <c r="E73" s="623"/>
      <c r="F73" s="623"/>
      <c r="G73" s="199">
        <v>11</v>
      </c>
      <c r="H73" s="201">
        <v>3157.5895907245117</v>
      </c>
      <c r="I73" s="202">
        <v>287.05359915677383</v>
      </c>
      <c r="J73" s="220">
        <f>I73-I47</f>
        <v>2.7284024089226477E-2</v>
      </c>
      <c r="K73" s="622"/>
      <c r="L73" s="623"/>
      <c r="M73" s="188"/>
      <c r="N73" s="177"/>
      <c r="O73" s="177"/>
      <c r="P73" s="380"/>
      <c r="Q73" s="380"/>
      <c r="R73" s="177"/>
    </row>
    <row r="74" spans="1:18" ht="15.75" customHeight="1">
      <c r="A74" s="620"/>
      <c r="B74" s="621"/>
      <c r="C74" s="199">
        <v>4</v>
      </c>
      <c r="D74" s="622" t="s">
        <v>484</v>
      </c>
      <c r="E74" s="623"/>
      <c r="F74" s="623"/>
      <c r="G74" s="199">
        <v>11</v>
      </c>
      <c r="H74" s="201">
        <v>3156.3249338387805</v>
      </c>
      <c r="I74" s="202">
        <v>286.93863034897998</v>
      </c>
      <c r="J74" s="220">
        <f>I74-I48</f>
        <v>-8.3231158345313361E-2</v>
      </c>
      <c r="K74" s="622"/>
      <c r="L74" s="623"/>
      <c r="M74" s="188"/>
      <c r="N74" s="177"/>
      <c r="O74" s="177"/>
      <c r="P74" s="380"/>
      <c r="Q74" s="380"/>
      <c r="R74" s="177"/>
    </row>
    <row r="75" spans="1:18" ht="15.75" customHeight="1">
      <c r="A75" s="620"/>
      <c r="B75" s="621"/>
      <c r="C75" s="199">
        <v>5</v>
      </c>
      <c r="D75" s="622"/>
      <c r="E75" s="623"/>
      <c r="F75" s="623"/>
      <c r="G75" s="199"/>
      <c r="H75" s="201"/>
      <c r="I75" s="202"/>
      <c r="J75" s="220"/>
      <c r="K75" s="622"/>
      <c r="L75" s="623"/>
      <c r="M75" s="188"/>
      <c r="N75" s="177"/>
      <c r="O75" s="177"/>
      <c r="P75" s="380"/>
      <c r="Q75" s="380"/>
      <c r="R75" s="177"/>
    </row>
    <row r="76" spans="1:18" ht="15.75" customHeight="1">
      <c r="A76" s="620"/>
      <c r="B76" s="621"/>
      <c r="C76" s="203" t="s">
        <v>187</v>
      </c>
      <c r="D76" s="622"/>
      <c r="E76" s="623"/>
      <c r="F76" s="623"/>
      <c r="G76" s="199"/>
      <c r="H76" s="201"/>
      <c r="I76" s="202"/>
      <c r="J76" s="199"/>
      <c r="K76" s="622"/>
      <c r="L76" s="623"/>
      <c r="M76" s="188"/>
      <c r="N76" s="177"/>
      <c r="O76" s="177"/>
      <c r="P76" s="380"/>
      <c r="Q76" s="380"/>
      <c r="R76" s="177"/>
    </row>
    <row r="77" spans="1:18" ht="15.75" customHeight="1">
      <c r="A77" s="620"/>
      <c r="B77" s="621"/>
      <c r="C77" s="203" t="s">
        <v>192</v>
      </c>
      <c r="D77" s="622"/>
      <c r="E77" s="623"/>
      <c r="F77" s="623"/>
      <c r="G77" s="199"/>
      <c r="H77" s="201"/>
      <c r="I77" s="202"/>
      <c r="J77" s="199"/>
      <c r="K77" s="622"/>
      <c r="L77" s="623"/>
      <c r="M77" s="188"/>
      <c r="N77" s="177"/>
      <c r="O77" s="177"/>
      <c r="P77" s="380"/>
      <c r="Q77" s="380"/>
      <c r="R77" s="177"/>
    </row>
    <row r="78" spans="1:18" ht="15.75" customHeight="1">
      <c r="A78" s="620"/>
      <c r="B78" s="621"/>
      <c r="C78" s="203" t="s">
        <v>188</v>
      </c>
      <c r="D78" s="622"/>
      <c r="E78" s="623"/>
      <c r="F78" s="623"/>
      <c r="G78" s="199"/>
      <c r="H78" s="201"/>
      <c r="I78" s="202"/>
      <c r="J78" s="199"/>
      <c r="K78" s="622"/>
      <c r="L78" s="623"/>
      <c r="M78" s="188"/>
      <c r="N78" s="177"/>
      <c r="O78" s="177"/>
      <c r="P78" s="380"/>
      <c r="Q78" s="380"/>
      <c r="R78" s="177"/>
    </row>
    <row r="79" spans="1:18" ht="15.75" customHeight="1">
      <c r="A79" s="620"/>
      <c r="B79" s="621"/>
      <c r="C79" s="203" t="s">
        <v>193</v>
      </c>
      <c r="D79" s="622"/>
      <c r="E79" s="623"/>
      <c r="F79" s="623"/>
      <c r="G79" s="199"/>
      <c r="H79" s="201"/>
      <c r="I79" s="202"/>
      <c r="J79" s="199"/>
      <c r="K79" s="622"/>
      <c r="L79" s="623"/>
      <c r="M79" s="188"/>
      <c r="N79" s="177"/>
      <c r="O79" s="177"/>
      <c r="P79" s="380"/>
      <c r="Q79" s="380"/>
      <c r="R79" s="177"/>
    </row>
    <row r="80" spans="1:18" ht="15.75" customHeight="1">
      <c r="A80" s="620"/>
      <c r="B80" s="621"/>
      <c r="C80" s="203" t="s">
        <v>194</v>
      </c>
      <c r="D80" s="622"/>
      <c r="E80" s="623"/>
      <c r="F80" s="623"/>
      <c r="G80" s="199"/>
      <c r="H80" s="201"/>
      <c r="I80" s="202"/>
      <c r="J80" s="199"/>
      <c r="K80" s="622"/>
      <c r="L80" s="623"/>
      <c r="M80" s="188"/>
      <c r="N80" s="177"/>
      <c r="O80" s="177"/>
      <c r="P80" s="380"/>
      <c r="Q80" s="380"/>
      <c r="R80" s="177"/>
    </row>
    <row r="81" spans="1:18" ht="15.75" customHeight="1">
      <c r="A81" s="624" t="s">
        <v>713</v>
      </c>
      <c r="B81" s="624"/>
      <c r="C81" s="624"/>
      <c r="D81" s="624"/>
      <c r="E81" s="624"/>
      <c r="F81" s="624"/>
      <c r="G81" s="624"/>
      <c r="H81" s="624"/>
      <c r="I81" s="624"/>
      <c r="J81" s="624"/>
      <c r="K81" s="624"/>
      <c r="L81" s="624"/>
      <c r="M81" s="188"/>
    </row>
    <row r="82" spans="1:18" s="189" customFormat="1" ht="15.75" customHeight="1">
      <c r="A82" s="624"/>
      <c r="B82" s="624"/>
      <c r="C82" s="624"/>
      <c r="D82" s="624"/>
      <c r="E82" s="624"/>
      <c r="F82" s="624"/>
      <c r="G82" s="624"/>
      <c r="H82" s="624"/>
      <c r="I82" s="624"/>
      <c r="J82" s="624"/>
      <c r="K82" s="624"/>
      <c r="L82" s="624"/>
    </row>
    <row r="83" spans="1:18" s="177" customFormat="1" ht="15.75" customHeight="1">
      <c r="A83" s="620" t="s">
        <v>162</v>
      </c>
      <c r="B83" s="190">
        <v>1</v>
      </c>
      <c r="C83" s="190">
        <v>2</v>
      </c>
      <c r="D83" s="169">
        <v>3</v>
      </c>
      <c r="E83" s="169">
        <v>4</v>
      </c>
      <c r="F83" s="169">
        <v>5</v>
      </c>
      <c r="G83" s="169">
        <v>6</v>
      </c>
      <c r="H83" s="169">
        <v>7</v>
      </c>
      <c r="I83" s="169">
        <v>8</v>
      </c>
      <c r="J83" s="169">
        <v>9</v>
      </c>
      <c r="K83" s="191"/>
      <c r="L83" s="191"/>
      <c r="M83" s="192"/>
    </row>
    <row r="84" spans="1:18" ht="16.350000000000001" customHeight="1">
      <c r="A84" s="620"/>
      <c r="B84" s="193" t="s">
        <v>189</v>
      </c>
      <c r="C84" s="193" t="s">
        <v>155</v>
      </c>
      <c r="D84" s="194" t="s">
        <v>190</v>
      </c>
      <c r="E84" s="194" t="s">
        <v>156</v>
      </c>
      <c r="F84" s="194" t="s">
        <v>327</v>
      </c>
      <c r="G84" s="195" t="s">
        <v>136</v>
      </c>
      <c r="H84" s="196" t="s">
        <v>191</v>
      </c>
      <c r="I84" s="195" t="s">
        <v>351</v>
      </c>
      <c r="J84" s="195" t="s">
        <v>142</v>
      </c>
      <c r="K84" s="197"/>
      <c r="L84" s="197"/>
      <c r="N84" s="198"/>
      <c r="O84" s="198"/>
      <c r="P84" s="198"/>
      <c r="Q84" s="198"/>
      <c r="R84" s="198"/>
    </row>
    <row r="85" spans="1:18" s="177" customFormat="1" ht="15.75" customHeight="1">
      <c r="A85" s="621" t="s">
        <v>171</v>
      </c>
      <c r="B85" s="621"/>
      <c r="C85" s="159" t="s">
        <v>47</v>
      </c>
      <c r="D85" s="621" t="s">
        <v>12</v>
      </c>
      <c r="E85" s="625"/>
      <c r="F85" s="625"/>
      <c r="G85" s="159" t="s">
        <v>46</v>
      </c>
      <c r="H85" s="159" t="s">
        <v>352</v>
      </c>
      <c r="I85" s="159" t="s">
        <v>353</v>
      </c>
      <c r="J85" s="159" t="s">
        <v>311</v>
      </c>
      <c r="K85" s="621" t="s">
        <v>51</v>
      </c>
      <c r="L85" s="625"/>
      <c r="M85" s="192"/>
      <c r="N85" s="188"/>
      <c r="P85" s="380"/>
      <c r="Q85" s="380"/>
    </row>
    <row r="86" spans="1:18" ht="15.75" customHeight="1">
      <c r="A86" s="620">
        <v>1</v>
      </c>
      <c r="B86" s="621" t="s">
        <v>354</v>
      </c>
      <c r="C86" s="199">
        <v>1</v>
      </c>
      <c r="D86" s="622"/>
      <c r="E86" s="623"/>
      <c r="F86" s="623"/>
      <c r="G86" s="199"/>
      <c r="H86" s="201"/>
      <c r="I86" s="202"/>
      <c r="J86" s="220">
        <f>I86-I60</f>
        <v>-1075.8026980111354</v>
      </c>
      <c r="K86" s="622"/>
      <c r="L86" s="623"/>
      <c r="N86" s="177"/>
      <c r="O86" s="177"/>
      <c r="P86" s="380"/>
      <c r="Q86" s="380"/>
      <c r="R86" s="177"/>
    </row>
    <row r="87" spans="1:18" ht="15.75" customHeight="1">
      <c r="A87" s="620"/>
      <c r="B87" s="621"/>
      <c r="C87" s="199">
        <v>2</v>
      </c>
      <c r="D87" s="622"/>
      <c r="E87" s="623"/>
      <c r="F87" s="623"/>
      <c r="G87" s="199"/>
      <c r="H87" s="201"/>
      <c r="I87" s="202"/>
      <c r="J87" s="220">
        <f>I87-I61</f>
        <v>-1075.706776943229</v>
      </c>
      <c r="K87" s="622"/>
      <c r="L87" s="623"/>
      <c r="N87" s="177"/>
      <c r="O87" s="177"/>
      <c r="P87" s="380"/>
      <c r="Q87" s="380"/>
      <c r="R87" s="177"/>
    </row>
    <row r="88" spans="1:18" ht="15.75" customHeight="1">
      <c r="A88" s="620"/>
      <c r="B88" s="621"/>
      <c r="C88" s="199">
        <v>3</v>
      </c>
      <c r="D88" s="622"/>
      <c r="E88" s="623"/>
      <c r="F88" s="623"/>
      <c r="G88" s="199"/>
      <c r="H88" s="201"/>
      <c r="I88" s="202"/>
      <c r="J88" s="220">
        <f>I88-I62</f>
        <v>-1075.3634437600685</v>
      </c>
      <c r="K88" s="622"/>
      <c r="L88" s="623"/>
      <c r="N88" s="177"/>
      <c r="O88" s="177"/>
      <c r="P88" s="380"/>
      <c r="Q88" s="380"/>
      <c r="R88" s="177"/>
    </row>
    <row r="89" spans="1:18" ht="15.75" customHeight="1">
      <c r="A89" s="620"/>
      <c r="B89" s="621"/>
      <c r="C89" s="199">
        <v>4</v>
      </c>
      <c r="D89" s="622"/>
      <c r="E89" s="623"/>
      <c r="F89" s="623"/>
      <c r="G89" s="199"/>
      <c r="H89" s="201"/>
      <c r="I89" s="202"/>
      <c r="J89" s="220">
        <f>I89-I63</f>
        <v>-1075.3079618092763</v>
      </c>
      <c r="K89" s="622"/>
      <c r="L89" s="623"/>
      <c r="N89" s="177"/>
      <c r="O89" s="177"/>
      <c r="P89" s="380"/>
      <c r="Q89" s="380"/>
      <c r="R89" s="177"/>
    </row>
    <row r="90" spans="1:18" ht="15.75" customHeight="1">
      <c r="A90" s="620"/>
      <c r="B90" s="621"/>
      <c r="C90" s="199">
        <v>5</v>
      </c>
      <c r="D90" s="622"/>
      <c r="E90" s="623"/>
      <c r="F90" s="623"/>
      <c r="G90" s="199"/>
      <c r="H90" s="201"/>
      <c r="I90" s="202"/>
      <c r="J90" s="220"/>
      <c r="K90" s="622"/>
      <c r="L90" s="623"/>
      <c r="O90" s="177"/>
      <c r="P90" s="380"/>
      <c r="Q90" s="380"/>
      <c r="R90" s="177"/>
    </row>
    <row r="91" spans="1:18" ht="15.75" customHeight="1">
      <c r="A91" s="620"/>
      <c r="B91" s="621"/>
      <c r="C91" s="203" t="s">
        <v>187</v>
      </c>
      <c r="D91" s="623"/>
      <c r="E91" s="623"/>
      <c r="F91" s="623"/>
      <c r="G91" s="200"/>
      <c r="H91" s="204"/>
      <c r="I91" s="205"/>
      <c r="J91" s="220">
        <f>I91-I65</f>
        <v>-260.08903768912705</v>
      </c>
      <c r="K91" s="622"/>
      <c r="L91" s="623"/>
      <c r="N91" s="177"/>
      <c r="O91" s="177"/>
      <c r="P91" s="380"/>
      <c r="Q91" s="380"/>
      <c r="R91" s="177"/>
    </row>
    <row r="92" spans="1:18" ht="15.75" customHeight="1">
      <c r="A92" s="620"/>
      <c r="B92" s="621"/>
      <c r="C92" s="203" t="s">
        <v>192</v>
      </c>
      <c r="D92" s="623"/>
      <c r="E92" s="623"/>
      <c r="F92" s="623"/>
      <c r="G92" s="200"/>
      <c r="H92" s="204"/>
      <c r="I92" s="205"/>
      <c r="J92" s="220">
        <f>I92-I67</f>
        <v>-549.47667888890305</v>
      </c>
      <c r="K92" s="622"/>
      <c r="L92" s="623"/>
      <c r="N92" s="177"/>
      <c r="O92" s="177"/>
      <c r="P92" s="380"/>
      <c r="Q92" s="380"/>
      <c r="R92" s="177"/>
    </row>
    <row r="93" spans="1:18" ht="15.75" customHeight="1">
      <c r="A93" s="620"/>
      <c r="B93" s="621"/>
      <c r="C93" s="203" t="s">
        <v>188</v>
      </c>
      <c r="D93" s="623"/>
      <c r="E93" s="623"/>
      <c r="F93" s="623"/>
      <c r="G93" s="200"/>
      <c r="H93" s="204"/>
      <c r="I93" s="205"/>
      <c r="J93" s="220">
        <f>I93-I66</f>
        <v>-260.1032856891199</v>
      </c>
      <c r="K93" s="622"/>
      <c r="L93" s="623"/>
      <c r="N93" s="177"/>
      <c r="O93" s="177"/>
      <c r="P93" s="380"/>
      <c r="Q93" s="380"/>
      <c r="R93" s="177"/>
    </row>
    <row r="94" spans="1:18" ht="15.75" customHeight="1">
      <c r="A94" s="620"/>
      <c r="B94" s="621"/>
      <c r="C94" s="203" t="s">
        <v>193</v>
      </c>
      <c r="D94" s="623"/>
      <c r="E94" s="623"/>
      <c r="F94" s="623"/>
      <c r="G94" s="200"/>
      <c r="H94" s="204"/>
      <c r="I94" s="205"/>
      <c r="J94" s="220">
        <f>I94-I68</f>
        <v>-604.103152060193</v>
      </c>
      <c r="K94" s="622"/>
      <c r="L94" s="623"/>
      <c r="M94" s="188"/>
      <c r="N94" s="177"/>
      <c r="O94" s="177"/>
      <c r="P94" s="380"/>
      <c r="Q94" s="380"/>
      <c r="R94" s="177"/>
    </row>
    <row r="95" spans="1:18" ht="15.75" customHeight="1">
      <c r="A95" s="620"/>
      <c r="B95" s="621"/>
      <c r="C95" s="203" t="s">
        <v>194</v>
      </c>
      <c r="D95" s="623"/>
      <c r="E95" s="623"/>
      <c r="F95" s="623"/>
      <c r="G95" s="200"/>
      <c r="H95" s="204"/>
      <c r="I95" s="205"/>
      <c r="J95" s="220"/>
      <c r="K95" s="622"/>
      <c r="L95" s="623"/>
      <c r="M95" s="188"/>
      <c r="N95" s="177"/>
      <c r="O95" s="177"/>
      <c r="P95" s="380"/>
      <c r="Q95" s="380"/>
      <c r="R95" s="177"/>
    </row>
    <row r="96" spans="1:18" s="198" customFormat="1" ht="15.75" customHeight="1">
      <c r="A96" s="626" t="s">
        <v>171</v>
      </c>
      <c r="B96" s="626"/>
      <c r="C96" s="206" t="s">
        <v>47</v>
      </c>
      <c r="D96" s="626" t="s">
        <v>12</v>
      </c>
      <c r="E96" s="627"/>
      <c r="F96" s="627"/>
      <c r="G96" s="206" t="s">
        <v>46</v>
      </c>
      <c r="H96" s="206" t="s">
        <v>352</v>
      </c>
      <c r="I96" s="206" t="s">
        <v>353</v>
      </c>
      <c r="J96" s="159" t="s">
        <v>311</v>
      </c>
      <c r="K96" s="626" t="s">
        <v>50</v>
      </c>
      <c r="L96" s="627"/>
      <c r="M96" s="207"/>
      <c r="N96" s="177"/>
      <c r="O96" s="177"/>
      <c r="P96" s="380"/>
      <c r="Q96" s="380"/>
      <c r="R96" s="177"/>
    </row>
    <row r="97" spans="1:18" ht="15.75" customHeight="1">
      <c r="A97" s="620">
        <v>2</v>
      </c>
      <c r="B97" s="621" t="s">
        <v>155</v>
      </c>
      <c r="C97" s="199">
        <v>1</v>
      </c>
      <c r="D97" s="622"/>
      <c r="E97" s="623"/>
      <c r="F97" s="623"/>
      <c r="G97" s="199"/>
      <c r="H97" s="201"/>
      <c r="I97" s="202"/>
      <c r="J97" s="220">
        <f>I97-I71</f>
        <v>-321.66838368674701</v>
      </c>
      <c r="K97" s="622"/>
      <c r="L97" s="623"/>
      <c r="M97" s="188"/>
      <c r="N97" s="177"/>
      <c r="O97" s="177"/>
      <c r="P97" s="380"/>
      <c r="Q97" s="380"/>
      <c r="R97" s="177"/>
    </row>
    <row r="98" spans="1:18" ht="15.75" customHeight="1">
      <c r="A98" s="620"/>
      <c r="B98" s="621"/>
      <c r="C98" s="199">
        <v>2</v>
      </c>
      <c r="D98" s="622"/>
      <c r="E98" s="623"/>
      <c r="F98" s="623"/>
      <c r="G98" s="199"/>
      <c r="H98" s="201"/>
      <c r="I98" s="202"/>
      <c r="J98" s="220">
        <f>I98-I72</f>
        <v>-287.07714901824608</v>
      </c>
      <c r="K98" s="622"/>
      <c r="L98" s="623"/>
      <c r="M98" s="188"/>
      <c r="N98" s="177"/>
      <c r="O98" s="177"/>
      <c r="P98" s="380"/>
      <c r="Q98" s="380"/>
      <c r="R98" s="177"/>
    </row>
    <row r="99" spans="1:18" ht="15.75" customHeight="1">
      <c r="A99" s="620"/>
      <c r="B99" s="621"/>
      <c r="C99" s="199">
        <v>3</v>
      </c>
      <c r="D99" s="622"/>
      <c r="E99" s="623"/>
      <c r="F99" s="623"/>
      <c r="G99" s="199"/>
      <c r="H99" s="201"/>
      <c r="I99" s="202"/>
      <c r="J99" s="220">
        <f>I99-I73</f>
        <v>-287.05359915677383</v>
      </c>
      <c r="K99" s="622"/>
      <c r="L99" s="623"/>
      <c r="M99" s="188"/>
      <c r="N99" s="177"/>
      <c r="O99" s="177"/>
      <c r="P99" s="380"/>
      <c r="Q99" s="380"/>
      <c r="R99" s="177"/>
    </row>
    <row r="100" spans="1:18" ht="15.75" customHeight="1">
      <c r="A100" s="620"/>
      <c r="B100" s="621"/>
      <c r="C100" s="199">
        <v>4</v>
      </c>
      <c r="D100" s="622"/>
      <c r="E100" s="623"/>
      <c r="F100" s="623"/>
      <c r="G100" s="199"/>
      <c r="H100" s="201"/>
      <c r="I100" s="202"/>
      <c r="J100" s="220"/>
      <c r="K100" s="622"/>
      <c r="L100" s="623"/>
      <c r="M100" s="188"/>
      <c r="N100" s="177"/>
      <c r="O100" s="177"/>
      <c r="P100" s="380"/>
      <c r="Q100" s="380"/>
      <c r="R100" s="177"/>
    </row>
    <row r="101" spans="1:18" ht="15.75" customHeight="1">
      <c r="A101" s="620"/>
      <c r="B101" s="621"/>
      <c r="C101" s="199">
        <v>5</v>
      </c>
      <c r="D101" s="622"/>
      <c r="E101" s="623"/>
      <c r="F101" s="623"/>
      <c r="G101" s="199"/>
      <c r="H101" s="201"/>
      <c r="I101" s="202"/>
      <c r="J101" s="220"/>
      <c r="K101" s="622"/>
      <c r="L101" s="623"/>
      <c r="M101" s="188"/>
      <c r="N101" s="177"/>
      <c r="O101" s="177"/>
      <c r="P101" s="380"/>
      <c r="Q101" s="380"/>
      <c r="R101" s="177"/>
    </row>
    <row r="102" spans="1:18" ht="15.75" customHeight="1">
      <c r="A102" s="620"/>
      <c r="B102" s="621"/>
      <c r="C102" s="203" t="s">
        <v>187</v>
      </c>
      <c r="D102" s="622"/>
      <c r="E102" s="623"/>
      <c r="F102" s="623"/>
      <c r="G102" s="199"/>
      <c r="H102" s="201"/>
      <c r="I102" s="202"/>
      <c r="J102" s="199"/>
      <c r="K102" s="622"/>
      <c r="L102" s="623"/>
      <c r="M102" s="188"/>
      <c r="N102" s="177"/>
      <c r="O102" s="177"/>
      <c r="P102" s="380"/>
      <c r="Q102" s="380"/>
      <c r="R102" s="177"/>
    </row>
    <row r="103" spans="1:18" ht="15.75" customHeight="1">
      <c r="A103" s="620"/>
      <c r="B103" s="621"/>
      <c r="C103" s="203" t="s">
        <v>192</v>
      </c>
      <c r="D103" s="622"/>
      <c r="E103" s="623"/>
      <c r="F103" s="623"/>
      <c r="G103" s="199"/>
      <c r="H103" s="201"/>
      <c r="I103" s="202"/>
      <c r="J103" s="199"/>
      <c r="K103" s="622"/>
      <c r="L103" s="623"/>
      <c r="M103" s="188"/>
      <c r="N103" s="177"/>
      <c r="O103" s="177"/>
      <c r="P103" s="380"/>
      <c r="Q103" s="380"/>
      <c r="R103" s="177"/>
    </row>
    <row r="104" spans="1:18" ht="15.75" customHeight="1">
      <c r="A104" s="620"/>
      <c r="B104" s="621"/>
      <c r="C104" s="203" t="s">
        <v>188</v>
      </c>
      <c r="D104" s="622"/>
      <c r="E104" s="623"/>
      <c r="F104" s="623"/>
      <c r="G104" s="199"/>
      <c r="H104" s="201"/>
      <c r="I104" s="202"/>
      <c r="J104" s="199"/>
      <c r="K104" s="622"/>
      <c r="L104" s="623"/>
      <c r="M104" s="188"/>
      <c r="N104" s="177"/>
      <c r="O104" s="177"/>
      <c r="P104" s="380"/>
      <c r="Q104" s="380"/>
      <c r="R104" s="177"/>
    </row>
    <row r="105" spans="1:18" ht="15.75" customHeight="1">
      <c r="A105" s="620"/>
      <c r="B105" s="621"/>
      <c r="C105" s="203" t="s">
        <v>193</v>
      </c>
      <c r="D105" s="622"/>
      <c r="E105" s="623"/>
      <c r="F105" s="623"/>
      <c r="G105" s="199"/>
      <c r="H105" s="201"/>
      <c r="I105" s="202"/>
      <c r="J105" s="199"/>
      <c r="K105" s="622"/>
      <c r="L105" s="623"/>
      <c r="M105" s="188"/>
      <c r="N105" s="177"/>
      <c r="O105" s="177"/>
      <c r="P105" s="380"/>
      <c r="Q105" s="380"/>
      <c r="R105" s="177"/>
    </row>
    <row r="106" spans="1:18" ht="15.75" customHeight="1">
      <c r="A106" s="620"/>
      <c r="B106" s="621"/>
      <c r="C106" s="203" t="s">
        <v>194</v>
      </c>
      <c r="D106" s="622"/>
      <c r="E106" s="623"/>
      <c r="F106" s="623"/>
      <c r="G106" s="199"/>
      <c r="H106" s="201"/>
      <c r="I106" s="202"/>
      <c r="J106" s="199"/>
      <c r="K106" s="622"/>
      <c r="L106" s="623"/>
      <c r="M106" s="188"/>
      <c r="N106" s="177"/>
      <c r="O106" s="177"/>
      <c r="P106" s="380"/>
      <c r="Q106" s="380"/>
      <c r="R106" s="177"/>
    </row>
  </sheetData>
  <mergeCells count="209">
    <mergeCell ref="D105:F105"/>
    <mergeCell ref="K105:L105"/>
    <mergeCell ref="D106:F106"/>
    <mergeCell ref="K106:L106"/>
    <mergeCell ref="K94:L94"/>
    <mergeCell ref="D95:F95"/>
    <mergeCell ref="K95:L95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  <mergeCell ref="D103:F103"/>
    <mergeCell ref="K103:L103"/>
    <mergeCell ref="D104:F104"/>
    <mergeCell ref="K104:L104"/>
    <mergeCell ref="A81:L82"/>
    <mergeCell ref="A83:A84"/>
    <mergeCell ref="A85:B85"/>
    <mergeCell ref="D85:F85"/>
    <mergeCell ref="K85:L85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K92:L92"/>
    <mergeCell ref="D93:F93"/>
    <mergeCell ref="K93:L93"/>
    <mergeCell ref="D94:F94"/>
    <mergeCell ref="D53:F53"/>
    <mergeCell ref="K53:L53"/>
    <mergeCell ref="D54:F54"/>
    <mergeCell ref="K54:L54"/>
    <mergeCell ref="K42:L42"/>
    <mergeCell ref="D43:F43"/>
    <mergeCell ref="K43:L43"/>
    <mergeCell ref="D67:F67"/>
    <mergeCell ref="K67:L67"/>
    <mergeCell ref="D68:F68"/>
    <mergeCell ref="K68:L68"/>
    <mergeCell ref="D69:F69"/>
    <mergeCell ref="K69:L69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K52:L52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0:L40"/>
    <mergeCell ref="D41:F41"/>
    <mergeCell ref="K41:L41"/>
    <mergeCell ref="D42:F42"/>
    <mergeCell ref="D27:F27"/>
    <mergeCell ref="K27:L27"/>
    <mergeCell ref="D28:F28"/>
    <mergeCell ref="K28:L28"/>
    <mergeCell ref="K16:L16"/>
    <mergeCell ref="D17:F17"/>
    <mergeCell ref="K17:L17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D25:F25"/>
    <mergeCell ref="K25:L25"/>
    <mergeCell ref="D26:F26"/>
    <mergeCell ref="K26:L26"/>
    <mergeCell ref="D13:F13"/>
    <mergeCell ref="K13:L13"/>
    <mergeCell ref="D14:F14"/>
    <mergeCell ref="K14:L14"/>
    <mergeCell ref="D15:F15"/>
    <mergeCell ref="K15:L15"/>
    <mergeCell ref="D16:F16"/>
    <mergeCell ref="A18:B18"/>
    <mergeCell ref="D18:F18"/>
    <mergeCell ref="K18:L18"/>
    <mergeCell ref="A70:B70"/>
    <mergeCell ref="D70:F70"/>
    <mergeCell ref="K70:L70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K66:L66"/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D77:F77"/>
    <mergeCell ref="K77:L77"/>
    <mergeCell ref="D78:F78"/>
    <mergeCell ref="K78:L78"/>
    <mergeCell ref="D79:F79"/>
    <mergeCell ref="K79:L79"/>
    <mergeCell ref="D80:F80"/>
    <mergeCell ref="K80:L80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75" fitToWidth="0" fitToHeight="0" pageOrder="overThenDown" orientation="landscape" cellComments="atEnd" r:id="rId1"/>
  <rowBreaks count="2" manualBreakCount="2">
    <brk id="28" max="11" man="1"/>
    <brk id="54" max="11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8">
    <tabColor rgb="FF92D050"/>
    <outlinePr summaryBelow="0" summaryRight="0"/>
  </sheetPr>
  <dimension ref="A1:R106"/>
  <sheetViews>
    <sheetView view="pageBreakPreview" topLeftCell="A52" zoomScaleNormal="60" zoomScaleSheetLayoutView="100" workbookViewId="0">
      <selection activeCell="A81" sqref="A81:L82"/>
    </sheetView>
  </sheetViews>
  <sheetFormatPr defaultColWidth="12.5703125" defaultRowHeight="15.75" customHeight="1"/>
  <cols>
    <col min="1" max="1" width="6.42578125" style="98" customWidth="1"/>
    <col min="2" max="10" width="11.5703125" style="98" customWidth="1"/>
    <col min="11" max="12" width="12.85546875" style="98" customWidth="1"/>
    <col min="13" max="13" width="12.5703125" style="99"/>
    <col min="14" max="18" width="12.5703125" style="188"/>
    <col min="19" max="16384" width="12.5703125" style="98"/>
  </cols>
  <sheetData>
    <row r="1" spans="1:18" ht="15.75" customHeight="1">
      <c r="A1" s="526" t="s">
        <v>350</v>
      </c>
      <c r="B1" s="526"/>
      <c r="C1" s="526"/>
      <c r="D1" s="526"/>
      <c r="E1" s="526"/>
      <c r="F1" s="526"/>
      <c r="G1" s="526"/>
      <c r="H1" s="526"/>
      <c r="I1" s="526"/>
      <c r="J1" s="526"/>
      <c r="K1" s="526"/>
      <c r="L1" s="526"/>
      <c r="M1" s="98"/>
    </row>
    <row r="2" spans="1:18" s="99" customFormat="1" ht="15.75" customHeight="1">
      <c r="A2" s="526"/>
      <c r="B2" s="526"/>
      <c r="C2" s="526"/>
      <c r="D2" s="526"/>
      <c r="E2" s="526"/>
      <c r="F2" s="526"/>
      <c r="G2" s="526"/>
      <c r="H2" s="526"/>
      <c r="I2" s="526"/>
      <c r="J2" s="526"/>
      <c r="K2" s="526"/>
      <c r="L2" s="526"/>
      <c r="N2" s="189"/>
      <c r="O2" s="189"/>
      <c r="P2" s="189"/>
      <c r="Q2" s="189"/>
      <c r="R2" s="189"/>
    </row>
    <row r="3" spans="1:18" s="188" customFormat="1" ht="15.75" customHeight="1">
      <c r="A3" s="624" t="s">
        <v>615</v>
      </c>
      <c r="B3" s="624"/>
      <c r="C3" s="624"/>
      <c r="D3" s="624"/>
      <c r="E3" s="624"/>
      <c r="F3" s="624"/>
      <c r="G3" s="624"/>
      <c r="H3" s="624"/>
      <c r="I3" s="624"/>
      <c r="J3" s="624"/>
      <c r="K3" s="624"/>
      <c r="L3" s="624"/>
    </row>
    <row r="4" spans="1:18" s="189" customFormat="1" ht="15.75" customHeight="1">
      <c r="A4" s="624"/>
      <c r="B4" s="624"/>
      <c r="C4" s="624"/>
      <c r="D4" s="624"/>
      <c r="E4" s="624"/>
      <c r="F4" s="624"/>
      <c r="G4" s="624"/>
      <c r="H4" s="624"/>
      <c r="I4" s="624"/>
      <c r="J4" s="624"/>
      <c r="K4" s="624"/>
      <c r="L4" s="624"/>
    </row>
    <row r="5" spans="1:18" s="177" customFormat="1" ht="16.350000000000001" customHeight="1">
      <c r="A5" s="620" t="s">
        <v>162</v>
      </c>
      <c r="B5" s="169">
        <v>1</v>
      </c>
      <c r="C5" s="169">
        <v>2</v>
      </c>
      <c r="D5" s="190">
        <v>3</v>
      </c>
      <c r="E5" s="190">
        <v>4</v>
      </c>
      <c r="F5" s="169">
        <v>5</v>
      </c>
      <c r="G5" s="169">
        <v>6</v>
      </c>
      <c r="H5" s="169">
        <v>7</v>
      </c>
      <c r="I5" s="169">
        <v>8</v>
      </c>
      <c r="J5" s="169">
        <v>9</v>
      </c>
      <c r="K5" s="191"/>
      <c r="L5" s="191"/>
      <c r="M5" s="192"/>
    </row>
    <row r="6" spans="1:18" s="188" customFormat="1" ht="16.350000000000001" customHeight="1">
      <c r="A6" s="620"/>
      <c r="B6" s="194" t="s">
        <v>189</v>
      </c>
      <c r="C6" s="194" t="s">
        <v>155</v>
      </c>
      <c r="D6" s="193" t="s">
        <v>190</v>
      </c>
      <c r="E6" s="193" t="s">
        <v>156</v>
      </c>
      <c r="F6" s="194" t="s">
        <v>327</v>
      </c>
      <c r="G6" s="195" t="s">
        <v>136</v>
      </c>
      <c r="H6" s="196" t="s">
        <v>191</v>
      </c>
      <c r="I6" s="195" t="s">
        <v>351</v>
      </c>
      <c r="J6" s="195" t="s">
        <v>142</v>
      </c>
      <c r="K6" s="197"/>
      <c r="L6" s="197"/>
      <c r="M6" s="189"/>
      <c r="N6" s="198"/>
      <c r="O6" s="198"/>
      <c r="P6" s="198"/>
      <c r="Q6" s="198"/>
      <c r="R6" s="198"/>
    </row>
    <row r="7" spans="1:18" s="177" customFormat="1" ht="15.75" customHeight="1">
      <c r="A7" s="621" t="s">
        <v>171</v>
      </c>
      <c r="B7" s="621"/>
      <c r="C7" s="159" t="s">
        <v>47</v>
      </c>
      <c r="D7" s="621" t="s">
        <v>12</v>
      </c>
      <c r="E7" s="625"/>
      <c r="F7" s="625"/>
      <c r="G7" s="159" t="s">
        <v>46</v>
      </c>
      <c r="H7" s="159" t="s">
        <v>352</v>
      </c>
      <c r="I7" s="159" t="s">
        <v>353</v>
      </c>
      <c r="J7" s="159" t="s">
        <v>311</v>
      </c>
      <c r="K7" s="621" t="s">
        <v>51</v>
      </c>
      <c r="L7" s="625"/>
      <c r="M7" s="192"/>
      <c r="N7" s="188"/>
      <c r="O7" s="198"/>
      <c r="P7" s="381"/>
      <c r="Q7" s="381"/>
      <c r="R7" s="198"/>
    </row>
    <row r="8" spans="1:18" s="188" customFormat="1" ht="15.75" customHeight="1">
      <c r="A8" s="620">
        <v>3</v>
      </c>
      <c r="B8" s="621" t="s">
        <v>355</v>
      </c>
      <c r="C8" s="199">
        <v>1</v>
      </c>
      <c r="D8" s="622" t="s">
        <v>326</v>
      </c>
      <c r="E8" s="623"/>
      <c r="F8" s="623"/>
      <c r="G8" s="199">
        <v>22</v>
      </c>
      <c r="H8" s="201">
        <v>2626.6346153846148</v>
      </c>
      <c r="I8" s="202">
        <v>119.39248251748248</v>
      </c>
      <c r="J8" s="220">
        <v>0.17329353875935283</v>
      </c>
      <c r="K8" s="622" t="s">
        <v>405</v>
      </c>
      <c r="L8" s="623"/>
      <c r="M8" s="189"/>
      <c r="O8" s="198"/>
      <c r="P8" s="381"/>
      <c r="Q8" s="381"/>
      <c r="R8" s="198"/>
    </row>
    <row r="9" spans="1:18" s="188" customFormat="1" ht="15.75" customHeight="1">
      <c r="A9" s="620"/>
      <c r="B9" s="621"/>
      <c r="C9" s="199">
        <v>2</v>
      </c>
      <c r="D9" s="622"/>
      <c r="E9" s="623"/>
      <c r="F9" s="623"/>
      <c r="G9" s="199"/>
      <c r="H9" s="201"/>
      <c r="I9" s="202"/>
      <c r="J9" s="220"/>
      <c r="K9" s="622"/>
      <c r="L9" s="623"/>
      <c r="M9" s="189"/>
      <c r="O9" s="198"/>
      <c r="P9" s="381"/>
      <c r="Q9" s="381"/>
      <c r="R9" s="198"/>
    </row>
    <row r="10" spans="1:18" s="188" customFormat="1" ht="15.75" customHeight="1">
      <c r="A10" s="620"/>
      <c r="B10" s="621"/>
      <c r="C10" s="199">
        <v>3</v>
      </c>
      <c r="D10" s="622"/>
      <c r="E10" s="623"/>
      <c r="F10" s="623"/>
      <c r="G10" s="199"/>
      <c r="H10" s="201"/>
      <c r="I10" s="202"/>
      <c r="J10" s="199"/>
      <c r="K10" s="622"/>
      <c r="L10" s="623"/>
      <c r="M10" s="189"/>
      <c r="O10" s="198"/>
      <c r="P10" s="381"/>
      <c r="Q10" s="381"/>
      <c r="R10" s="198"/>
    </row>
    <row r="11" spans="1:18" s="188" customFormat="1" ht="15.75" customHeight="1">
      <c r="A11" s="620"/>
      <c r="B11" s="621"/>
      <c r="C11" s="199">
        <v>4</v>
      </c>
      <c r="D11" s="622"/>
      <c r="E11" s="623"/>
      <c r="F11" s="623"/>
      <c r="G11" s="199"/>
      <c r="H11" s="201"/>
      <c r="I11" s="202"/>
      <c r="J11" s="199"/>
      <c r="K11" s="622"/>
      <c r="L11" s="623"/>
      <c r="M11" s="189"/>
      <c r="O11" s="198"/>
      <c r="P11" s="381"/>
      <c r="Q11" s="381"/>
      <c r="R11" s="198"/>
    </row>
    <row r="12" spans="1:18" s="188" customFormat="1" ht="15.75" customHeight="1">
      <c r="A12" s="620"/>
      <c r="B12" s="621"/>
      <c r="C12" s="199">
        <v>5</v>
      </c>
      <c r="D12" s="622"/>
      <c r="E12" s="623"/>
      <c r="F12" s="623"/>
      <c r="G12" s="199"/>
      <c r="H12" s="201"/>
      <c r="I12" s="202"/>
      <c r="J12" s="199"/>
      <c r="K12" s="622"/>
      <c r="L12" s="623"/>
      <c r="M12" s="189"/>
      <c r="O12" s="198"/>
      <c r="P12" s="381"/>
      <c r="Q12" s="381"/>
      <c r="R12" s="198"/>
    </row>
    <row r="13" spans="1:18" s="188" customFormat="1" ht="15.75" customHeight="1">
      <c r="A13" s="620"/>
      <c r="B13" s="621"/>
      <c r="C13" s="203" t="s">
        <v>187</v>
      </c>
      <c r="D13" s="622"/>
      <c r="E13" s="623"/>
      <c r="F13" s="623"/>
      <c r="G13" s="199"/>
      <c r="H13" s="201"/>
      <c r="I13" s="202"/>
      <c r="J13" s="199"/>
      <c r="K13" s="622"/>
      <c r="L13" s="623"/>
      <c r="M13" s="189"/>
      <c r="O13" s="198"/>
      <c r="P13" s="381"/>
      <c r="Q13" s="381"/>
      <c r="R13" s="198"/>
    </row>
    <row r="14" spans="1:18" s="188" customFormat="1" ht="15.75" customHeight="1">
      <c r="A14" s="620"/>
      <c r="B14" s="621"/>
      <c r="C14" s="203" t="s">
        <v>192</v>
      </c>
      <c r="D14" s="622"/>
      <c r="E14" s="623"/>
      <c r="F14" s="623"/>
      <c r="G14" s="199"/>
      <c r="H14" s="201"/>
      <c r="I14" s="202"/>
      <c r="J14" s="199"/>
      <c r="K14" s="622"/>
      <c r="L14" s="623"/>
      <c r="M14" s="189"/>
      <c r="N14" s="177"/>
      <c r="O14" s="177"/>
      <c r="P14" s="380"/>
      <c r="Q14" s="380"/>
      <c r="R14" s="177"/>
    </row>
    <row r="15" spans="1:18" s="188" customFormat="1" ht="15.75" customHeight="1">
      <c r="A15" s="620"/>
      <c r="B15" s="621"/>
      <c r="C15" s="203" t="s">
        <v>188</v>
      </c>
      <c r="D15" s="622"/>
      <c r="E15" s="623"/>
      <c r="F15" s="623"/>
      <c r="G15" s="201"/>
      <c r="H15" s="201"/>
      <c r="I15" s="202"/>
      <c r="J15" s="199"/>
      <c r="K15" s="622"/>
      <c r="L15" s="623"/>
      <c r="M15" s="189"/>
      <c r="O15" s="198"/>
      <c r="P15" s="381"/>
      <c r="Q15" s="381"/>
      <c r="R15" s="198"/>
    </row>
    <row r="16" spans="1:18" s="188" customFormat="1" ht="15.75" customHeight="1">
      <c r="A16" s="620"/>
      <c r="B16" s="621"/>
      <c r="C16" s="203" t="s">
        <v>193</v>
      </c>
      <c r="D16" s="622"/>
      <c r="E16" s="623"/>
      <c r="F16" s="623"/>
      <c r="G16" s="199"/>
      <c r="H16" s="201"/>
      <c r="I16" s="202"/>
      <c r="J16" s="199"/>
      <c r="K16" s="622"/>
      <c r="L16" s="623"/>
      <c r="O16" s="198"/>
      <c r="P16" s="381"/>
      <c r="Q16" s="381"/>
      <c r="R16" s="198"/>
    </row>
    <row r="17" spans="1:18" s="188" customFormat="1" ht="15.75" customHeight="1">
      <c r="A17" s="620"/>
      <c r="B17" s="621"/>
      <c r="C17" s="203" t="s">
        <v>194</v>
      </c>
      <c r="D17" s="622"/>
      <c r="E17" s="623"/>
      <c r="F17" s="623"/>
      <c r="G17" s="199"/>
      <c r="H17" s="201"/>
      <c r="I17" s="202"/>
      <c r="J17" s="199"/>
      <c r="K17" s="622"/>
      <c r="L17" s="623"/>
      <c r="O17" s="198"/>
      <c r="P17" s="381"/>
      <c r="Q17" s="381"/>
      <c r="R17" s="198"/>
    </row>
    <row r="18" spans="1:18" s="198" customFormat="1" ht="15.75" customHeight="1">
      <c r="A18" s="626" t="s">
        <v>171</v>
      </c>
      <c r="B18" s="626"/>
      <c r="C18" s="206" t="s">
        <v>47</v>
      </c>
      <c r="D18" s="626" t="s">
        <v>12</v>
      </c>
      <c r="E18" s="627"/>
      <c r="F18" s="627"/>
      <c r="G18" s="206" t="s">
        <v>46</v>
      </c>
      <c r="H18" s="206" t="s">
        <v>352</v>
      </c>
      <c r="I18" s="206" t="s">
        <v>353</v>
      </c>
      <c r="J18" s="159" t="s">
        <v>311</v>
      </c>
      <c r="K18" s="626" t="s">
        <v>50</v>
      </c>
      <c r="L18" s="627"/>
      <c r="M18" s="207"/>
      <c r="N18" s="188"/>
      <c r="P18" s="381"/>
      <c r="Q18" s="381"/>
    </row>
    <row r="19" spans="1:18" s="188" customFormat="1" ht="15.75" customHeight="1">
      <c r="A19" s="620">
        <v>4</v>
      </c>
      <c r="B19" s="621" t="s">
        <v>156</v>
      </c>
      <c r="C19" s="199">
        <v>1</v>
      </c>
      <c r="D19" s="622" t="s">
        <v>543</v>
      </c>
      <c r="E19" s="623"/>
      <c r="F19" s="623"/>
      <c r="G19" s="199">
        <v>5</v>
      </c>
      <c r="H19" s="201">
        <v>2965.9396671548334</v>
      </c>
      <c r="I19" s="202">
        <v>593.18793343096661</v>
      </c>
      <c r="J19" s="220">
        <v>1.8702857143011897E-2</v>
      </c>
      <c r="K19" s="622" t="s">
        <v>405</v>
      </c>
      <c r="L19" s="623"/>
      <c r="N19" s="198"/>
      <c r="O19" s="198"/>
      <c r="P19" s="381"/>
      <c r="Q19" s="381"/>
      <c r="R19" s="198"/>
    </row>
    <row r="20" spans="1:18" s="188" customFormat="1" ht="15.75" customHeight="1">
      <c r="A20" s="620"/>
      <c r="B20" s="621"/>
      <c r="C20" s="199">
        <v>2</v>
      </c>
      <c r="D20" s="622" t="s">
        <v>524</v>
      </c>
      <c r="E20" s="623"/>
      <c r="F20" s="623"/>
      <c r="G20" s="199">
        <v>6</v>
      </c>
      <c r="H20" s="201">
        <v>3249.9253117770054</v>
      </c>
      <c r="I20" s="202">
        <v>541.65421862950086</v>
      </c>
      <c r="J20" s="220">
        <v>0.51920570376137221</v>
      </c>
      <c r="K20" s="622" t="s">
        <v>405</v>
      </c>
      <c r="L20" s="623"/>
      <c r="O20" s="198"/>
      <c r="P20" s="381"/>
      <c r="Q20" s="381"/>
      <c r="R20" s="198"/>
    </row>
    <row r="21" spans="1:18" s="188" customFormat="1" ht="15.75" customHeight="1">
      <c r="A21" s="620"/>
      <c r="B21" s="621"/>
      <c r="C21" s="199">
        <v>3</v>
      </c>
      <c r="D21" s="622" t="s">
        <v>523</v>
      </c>
      <c r="E21" s="623"/>
      <c r="F21" s="623"/>
      <c r="G21" s="199">
        <v>6</v>
      </c>
      <c r="H21" s="201">
        <v>3249.7200000000016</v>
      </c>
      <c r="I21" s="202">
        <v>541.62000000000035</v>
      </c>
      <c r="J21" s="220">
        <v>0.36000000000012733</v>
      </c>
      <c r="K21" s="622" t="s">
        <v>405</v>
      </c>
      <c r="L21" s="623"/>
      <c r="O21" s="198"/>
      <c r="P21" s="381"/>
      <c r="Q21" s="381"/>
      <c r="R21" s="198"/>
    </row>
    <row r="22" spans="1:18" s="188" customFormat="1" ht="15.75" customHeight="1">
      <c r="A22" s="620"/>
      <c r="B22" s="621"/>
      <c r="C22" s="199">
        <v>4</v>
      </c>
      <c r="D22" s="622" t="s">
        <v>530</v>
      </c>
      <c r="E22" s="623"/>
      <c r="F22" s="623"/>
      <c r="G22" s="199">
        <v>6</v>
      </c>
      <c r="H22" s="201">
        <v>2961.3145775921867</v>
      </c>
      <c r="I22" s="202">
        <v>493.55242959869776</v>
      </c>
      <c r="J22" s="220">
        <v>-7.0135714285754602E-2</v>
      </c>
      <c r="K22" s="622" t="s">
        <v>405</v>
      </c>
      <c r="L22" s="623"/>
      <c r="O22" s="198"/>
      <c r="P22" s="381"/>
      <c r="Q22" s="381"/>
      <c r="R22" s="198"/>
    </row>
    <row r="23" spans="1:18" s="188" customFormat="1" ht="15.75" customHeight="1">
      <c r="A23" s="620"/>
      <c r="B23" s="621"/>
      <c r="C23" s="199">
        <v>5</v>
      </c>
      <c r="D23" s="622" t="s">
        <v>629</v>
      </c>
      <c r="E23" s="623"/>
      <c r="F23" s="623"/>
      <c r="G23" s="199">
        <v>6</v>
      </c>
      <c r="H23" s="201">
        <v>2188.7124277178118</v>
      </c>
      <c r="I23" s="202">
        <v>364.7854046196353</v>
      </c>
      <c r="J23" s="220"/>
      <c r="K23" s="628" t="s">
        <v>638</v>
      </c>
      <c r="L23" s="623"/>
      <c r="O23" s="198"/>
      <c r="P23" s="381"/>
      <c r="Q23" s="381"/>
      <c r="R23" s="198"/>
    </row>
    <row r="24" spans="1:18" s="188" customFormat="1" ht="15.75" customHeight="1">
      <c r="A24" s="620"/>
      <c r="B24" s="621"/>
      <c r="C24" s="203" t="s">
        <v>187</v>
      </c>
      <c r="D24" s="622" t="s">
        <v>535</v>
      </c>
      <c r="E24" s="623"/>
      <c r="F24" s="623"/>
      <c r="G24" s="199">
        <v>20</v>
      </c>
      <c r="H24" s="201">
        <v>1893.0983422374968</v>
      </c>
      <c r="I24" s="202">
        <v>94.654917111874838</v>
      </c>
      <c r="J24" s="220">
        <v>-2.1000000000000796E-2</v>
      </c>
      <c r="K24" s="622" t="s">
        <v>405</v>
      </c>
      <c r="L24" s="623"/>
      <c r="O24" s="198"/>
      <c r="P24" s="381"/>
      <c r="Q24" s="381"/>
      <c r="R24" s="198"/>
    </row>
    <row r="25" spans="1:18" s="188" customFormat="1" ht="15.75" customHeight="1">
      <c r="A25" s="620"/>
      <c r="B25" s="621"/>
      <c r="C25" s="203" t="s">
        <v>192</v>
      </c>
      <c r="D25" s="622"/>
      <c r="E25" s="623"/>
      <c r="F25" s="623"/>
      <c r="G25" s="199"/>
      <c r="H25" s="201"/>
      <c r="I25" s="202"/>
      <c r="J25" s="199"/>
      <c r="K25" s="622"/>
      <c r="L25" s="623"/>
      <c r="O25" s="198"/>
      <c r="P25" s="381"/>
      <c r="Q25" s="381"/>
      <c r="R25" s="198"/>
    </row>
    <row r="26" spans="1:18" s="188" customFormat="1" ht="15.75" customHeight="1">
      <c r="A26" s="620"/>
      <c r="B26" s="621"/>
      <c r="C26" s="203" t="s">
        <v>188</v>
      </c>
      <c r="D26" s="622"/>
      <c r="E26" s="623"/>
      <c r="F26" s="623"/>
      <c r="G26" s="199"/>
      <c r="H26" s="201"/>
      <c r="I26" s="202"/>
      <c r="J26" s="199"/>
      <c r="K26" s="622"/>
      <c r="L26" s="623"/>
      <c r="O26" s="198"/>
      <c r="P26" s="381"/>
      <c r="Q26" s="381"/>
      <c r="R26" s="198"/>
    </row>
    <row r="27" spans="1:18" s="188" customFormat="1" ht="15.75" customHeight="1">
      <c r="A27" s="620"/>
      <c r="B27" s="621"/>
      <c r="C27" s="203" t="s">
        <v>193</v>
      </c>
      <c r="D27" s="622"/>
      <c r="E27" s="623"/>
      <c r="F27" s="623"/>
      <c r="G27" s="199"/>
      <c r="H27" s="201"/>
      <c r="I27" s="202"/>
      <c r="J27" s="199"/>
      <c r="K27" s="622"/>
      <c r="L27" s="623"/>
      <c r="O27" s="198"/>
      <c r="P27" s="381"/>
      <c r="Q27" s="381"/>
      <c r="R27" s="198"/>
    </row>
    <row r="28" spans="1:18" s="188" customFormat="1" ht="15.75" customHeight="1">
      <c r="A28" s="620"/>
      <c r="B28" s="621"/>
      <c r="C28" s="203" t="s">
        <v>194</v>
      </c>
      <c r="D28" s="622"/>
      <c r="E28" s="623"/>
      <c r="F28" s="623"/>
      <c r="G28" s="199"/>
      <c r="H28" s="201"/>
      <c r="I28" s="202"/>
      <c r="J28" s="199"/>
      <c r="K28" s="622"/>
      <c r="L28" s="623"/>
      <c r="O28" s="198"/>
      <c r="P28" s="381"/>
      <c r="Q28" s="381"/>
      <c r="R28" s="198"/>
    </row>
    <row r="29" spans="1:18" s="188" customFormat="1" ht="15.75" customHeight="1">
      <c r="A29" s="624" t="s">
        <v>631</v>
      </c>
      <c r="B29" s="624"/>
      <c r="C29" s="624"/>
      <c r="D29" s="624"/>
      <c r="E29" s="624"/>
      <c r="F29" s="624"/>
      <c r="G29" s="624"/>
      <c r="H29" s="624"/>
      <c r="I29" s="624"/>
      <c r="J29" s="624"/>
      <c r="K29" s="624"/>
      <c r="L29" s="624"/>
    </row>
    <row r="30" spans="1:18" s="189" customFormat="1" ht="15.75" customHeight="1">
      <c r="A30" s="624"/>
      <c r="B30" s="624"/>
      <c r="C30" s="624"/>
      <c r="D30" s="624"/>
      <c r="E30" s="624"/>
      <c r="F30" s="624"/>
      <c r="G30" s="624"/>
      <c r="H30" s="624"/>
      <c r="I30" s="624"/>
      <c r="J30" s="624"/>
      <c r="K30" s="624"/>
      <c r="L30" s="624"/>
    </row>
    <row r="31" spans="1:18" s="177" customFormat="1" ht="16.350000000000001" customHeight="1">
      <c r="A31" s="620" t="s">
        <v>162</v>
      </c>
      <c r="B31" s="169">
        <v>1</v>
      </c>
      <c r="C31" s="169">
        <v>2</v>
      </c>
      <c r="D31" s="190">
        <v>3</v>
      </c>
      <c r="E31" s="190">
        <v>4</v>
      </c>
      <c r="F31" s="169">
        <v>5</v>
      </c>
      <c r="G31" s="169">
        <v>6</v>
      </c>
      <c r="H31" s="169">
        <v>7</v>
      </c>
      <c r="I31" s="169">
        <v>8</v>
      </c>
      <c r="J31" s="169">
        <v>9</v>
      </c>
      <c r="K31" s="191"/>
      <c r="L31" s="191"/>
      <c r="M31" s="192"/>
    </row>
    <row r="32" spans="1:18" s="188" customFormat="1" ht="16.350000000000001" customHeight="1">
      <c r="A32" s="620"/>
      <c r="B32" s="194" t="s">
        <v>189</v>
      </c>
      <c r="C32" s="194" t="s">
        <v>155</v>
      </c>
      <c r="D32" s="193" t="s">
        <v>190</v>
      </c>
      <c r="E32" s="193" t="s">
        <v>156</v>
      </c>
      <c r="F32" s="194" t="s">
        <v>327</v>
      </c>
      <c r="G32" s="195" t="s">
        <v>136</v>
      </c>
      <c r="H32" s="196" t="s">
        <v>191</v>
      </c>
      <c r="I32" s="195" t="s">
        <v>351</v>
      </c>
      <c r="J32" s="195" t="s">
        <v>142</v>
      </c>
      <c r="K32" s="197"/>
      <c r="L32" s="197"/>
      <c r="M32" s="189"/>
      <c r="N32" s="198"/>
      <c r="O32" s="198"/>
      <c r="P32" s="198"/>
      <c r="Q32" s="198"/>
      <c r="R32" s="198"/>
    </row>
    <row r="33" spans="1:18" s="177" customFormat="1" ht="15.75" customHeight="1">
      <c r="A33" s="621" t="s">
        <v>171</v>
      </c>
      <c r="B33" s="621"/>
      <c r="C33" s="159" t="s">
        <v>47</v>
      </c>
      <c r="D33" s="621" t="s">
        <v>12</v>
      </c>
      <c r="E33" s="625"/>
      <c r="F33" s="625"/>
      <c r="G33" s="159" t="s">
        <v>46</v>
      </c>
      <c r="H33" s="159" t="s">
        <v>352</v>
      </c>
      <c r="I33" s="159" t="s">
        <v>353</v>
      </c>
      <c r="J33" s="159" t="s">
        <v>311</v>
      </c>
      <c r="K33" s="621" t="s">
        <v>51</v>
      </c>
      <c r="L33" s="625"/>
      <c r="M33" s="192"/>
      <c r="N33" s="188"/>
      <c r="O33" s="198"/>
      <c r="P33" s="381"/>
      <c r="Q33" s="381"/>
      <c r="R33" s="198"/>
    </row>
    <row r="34" spans="1:18" s="188" customFormat="1" ht="15.75" customHeight="1">
      <c r="A34" s="620">
        <v>3</v>
      </c>
      <c r="B34" s="621" t="s">
        <v>355</v>
      </c>
      <c r="C34" s="199">
        <v>1</v>
      </c>
      <c r="D34" s="622" t="s">
        <v>326</v>
      </c>
      <c r="E34" s="623"/>
      <c r="F34" s="623"/>
      <c r="G34" s="199">
        <v>22</v>
      </c>
      <c r="H34" s="201">
        <v>2626.6346153846148</v>
      </c>
      <c r="I34" s="202">
        <v>119.39248251748248</v>
      </c>
      <c r="J34" s="220">
        <f>I34-I8</f>
        <v>0</v>
      </c>
      <c r="K34" s="622" t="s">
        <v>405</v>
      </c>
      <c r="L34" s="623"/>
      <c r="M34" s="189"/>
      <c r="O34" s="198"/>
      <c r="P34" s="381"/>
      <c r="Q34" s="381"/>
      <c r="R34" s="198"/>
    </row>
    <row r="35" spans="1:18" s="188" customFormat="1" ht="15.75" customHeight="1">
      <c r="A35" s="620"/>
      <c r="B35" s="621"/>
      <c r="C35" s="199">
        <v>2</v>
      </c>
      <c r="D35" s="622"/>
      <c r="E35" s="623"/>
      <c r="F35" s="623"/>
      <c r="G35" s="199"/>
      <c r="H35" s="201"/>
      <c r="I35" s="202"/>
      <c r="J35" s="220"/>
      <c r="K35" s="622"/>
      <c r="L35" s="623"/>
      <c r="M35" s="189"/>
      <c r="O35" s="198"/>
      <c r="P35" s="381"/>
      <c r="Q35" s="381"/>
      <c r="R35" s="198"/>
    </row>
    <row r="36" spans="1:18" s="188" customFormat="1" ht="15.75" customHeight="1">
      <c r="A36" s="620"/>
      <c r="B36" s="621"/>
      <c r="C36" s="199">
        <v>3</v>
      </c>
      <c r="D36" s="622"/>
      <c r="E36" s="623"/>
      <c r="F36" s="623"/>
      <c r="G36" s="199"/>
      <c r="H36" s="201"/>
      <c r="I36" s="202"/>
      <c r="J36" s="199"/>
      <c r="K36" s="622"/>
      <c r="L36" s="623"/>
      <c r="M36" s="189"/>
      <c r="O36" s="198"/>
      <c r="P36" s="381"/>
      <c r="Q36" s="381"/>
      <c r="R36" s="198"/>
    </row>
    <row r="37" spans="1:18" s="188" customFormat="1" ht="15.75" customHeight="1">
      <c r="A37" s="620"/>
      <c r="B37" s="621"/>
      <c r="C37" s="199">
        <v>4</v>
      </c>
      <c r="D37" s="622"/>
      <c r="E37" s="623"/>
      <c r="F37" s="623"/>
      <c r="G37" s="199"/>
      <c r="H37" s="201"/>
      <c r="I37" s="202"/>
      <c r="J37" s="199"/>
      <c r="K37" s="622"/>
      <c r="L37" s="623"/>
      <c r="M37" s="189"/>
      <c r="O37" s="198"/>
      <c r="P37" s="381"/>
      <c r="Q37" s="381"/>
      <c r="R37" s="198"/>
    </row>
    <row r="38" spans="1:18" s="188" customFormat="1" ht="15.75" customHeight="1">
      <c r="A38" s="620"/>
      <c r="B38" s="621"/>
      <c r="C38" s="199">
        <v>5</v>
      </c>
      <c r="D38" s="622"/>
      <c r="E38" s="623"/>
      <c r="F38" s="623"/>
      <c r="G38" s="199"/>
      <c r="H38" s="201"/>
      <c r="I38" s="202"/>
      <c r="J38" s="199"/>
      <c r="K38" s="622"/>
      <c r="L38" s="623"/>
      <c r="M38" s="189"/>
      <c r="O38" s="198"/>
      <c r="P38" s="381"/>
      <c r="Q38" s="381"/>
      <c r="R38" s="198"/>
    </row>
    <row r="39" spans="1:18" s="188" customFormat="1" ht="15.75" customHeight="1">
      <c r="A39" s="620"/>
      <c r="B39" s="621"/>
      <c r="C39" s="203" t="s">
        <v>187</v>
      </c>
      <c r="D39" s="622"/>
      <c r="E39" s="623"/>
      <c r="F39" s="623"/>
      <c r="G39" s="199"/>
      <c r="H39" s="201"/>
      <c r="I39" s="202"/>
      <c r="J39" s="199"/>
      <c r="K39" s="622"/>
      <c r="L39" s="623"/>
      <c r="M39" s="189"/>
      <c r="O39" s="198"/>
      <c r="P39" s="381"/>
      <c r="Q39" s="381"/>
      <c r="R39" s="198"/>
    </row>
    <row r="40" spans="1:18" s="188" customFormat="1" ht="15.75" customHeight="1">
      <c r="A40" s="620"/>
      <c r="B40" s="621"/>
      <c r="C40" s="203" t="s">
        <v>192</v>
      </c>
      <c r="D40" s="622"/>
      <c r="E40" s="623"/>
      <c r="F40" s="623"/>
      <c r="G40" s="199"/>
      <c r="H40" s="201"/>
      <c r="I40" s="202"/>
      <c r="J40" s="199"/>
      <c r="K40" s="622"/>
      <c r="L40" s="623"/>
      <c r="M40" s="189"/>
      <c r="N40" s="177"/>
      <c r="O40" s="177"/>
      <c r="P40" s="380"/>
      <c r="Q40" s="380"/>
      <c r="R40" s="177"/>
    </row>
    <row r="41" spans="1:18" s="188" customFormat="1" ht="15.75" customHeight="1">
      <c r="A41" s="620"/>
      <c r="B41" s="621"/>
      <c r="C41" s="203" t="s">
        <v>188</v>
      </c>
      <c r="D41" s="622"/>
      <c r="E41" s="623"/>
      <c r="F41" s="623"/>
      <c r="G41" s="201"/>
      <c r="H41" s="201"/>
      <c r="I41" s="202"/>
      <c r="J41" s="199"/>
      <c r="K41" s="622"/>
      <c r="L41" s="623"/>
      <c r="M41" s="189"/>
      <c r="O41" s="198"/>
      <c r="P41" s="381"/>
      <c r="Q41" s="381"/>
      <c r="R41" s="198"/>
    </row>
    <row r="42" spans="1:18" s="188" customFormat="1" ht="15.75" customHeight="1">
      <c r="A42" s="620"/>
      <c r="B42" s="621"/>
      <c r="C42" s="203" t="s">
        <v>193</v>
      </c>
      <c r="D42" s="622"/>
      <c r="E42" s="623"/>
      <c r="F42" s="623"/>
      <c r="G42" s="199"/>
      <c r="H42" s="201"/>
      <c r="I42" s="202"/>
      <c r="J42" s="199"/>
      <c r="K42" s="622"/>
      <c r="L42" s="623"/>
      <c r="O42" s="198"/>
      <c r="P42" s="381"/>
      <c r="Q42" s="381"/>
      <c r="R42" s="198"/>
    </row>
    <row r="43" spans="1:18" s="188" customFormat="1" ht="15.75" customHeight="1">
      <c r="A43" s="620"/>
      <c r="B43" s="621"/>
      <c r="C43" s="203" t="s">
        <v>194</v>
      </c>
      <c r="D43" s="622"/>
      <c r="E43" s="623"/>
      <c r="F43" s="623"/>
      <c r="G43" s="199"/>
      <c r="H43" s="201"/>
      <c r="I43" s="202"/>
      <c r="J43" s="199"/>
      <c r="K43" s="622"/>
      <c r="L43" s="623"/>
      <c r="O43" s="198"/>
      <c r="P43" s="381"/>
      <c r="Q43" s="381"/>
      <c r="R43" s="198"/>
    </row>
    <row r="44" spans="1:18" s="198" customFormat="1" ht="15.75" customHeight="1">
      <c r="A44" s="626" t="s">
        <v>171</v>
      </c>
      <c r="B44" s="626"/>
      <c r="C44" s="206" t="s">
        <v>47</v>
      </c>
      <c r="D44" s="626" t="s">
        <v>12</v>
      </c>
      <c r="E44" s="627"/>
      <c r="F44" s="627"/>
      <c r="G44" s="206" t="s">
        <v>46</v>
      </c>
      <c r="H44" s="206" t="s">
        <v>352</v>
      </c>
      <c r="I44" s="206" t="s">
        <v>353</v>
      </c>
      <c r="J44" s="159" t="s">
        <v>311</v>
      </c>
      <c r="K44" s="626" t="s">
        <v>50</v>
      </c>
      <c r="L44" s="627"/>
      <c r="M44" s="207"/>
      <c r="N44" s="188"/>
      <c r="P44" s="381"/>
      <c r="Q44" s="381"/>
    </row>
    <row r="45" spans="1:18" s="188" customFormat="1" ht="15.75" customHeight="1">
      <c r="A45" s="620">
        <v>4</v>
      </c>
      <c r="B45" s="621" t="s">
        <v>156</v>
      </c>
      <c r="C45" s="199">
        <v>1</v>
      </c>
      <c r="D45" s="622" t="s">
        <v>543</v>
      </c>
      <c r="E45" s="623"/>
      <c r="F45" s="623"/>
      <c r="G45" s="199">
        <v>5</v>
      </c>
      <c r="H45" s="201">
        <v>2961.8581371830091</v>
      </c>
      <c r="I45" s="202">
        <v>592.37162743660178</v>
      </c>
      <c r="J45" s="220">
        <f t="shared" ref="J45:J50" si="0">I45-I19</f>
        <v>-0.81630599436482498</v>
      </c>
      <c r="K45" s="622" t="s">
        <v>405</v>
      </c>
      <c r="L45" s="623"/>
      <c r="N45" s="198"/>
      <c r="O45" s="198"/>
      <c r="P45" s="381"/>
      <c r="Q45" s="381"/>
      <c r="R45" s="198"/>
    </row>
    <row r="46" spans="1:18" s="188" customFormat="1" ht="15.75" customHeight="1">
      <c r="A46" s="620"/>
      <c r="B46" s="621"/>
      <c r="C46" s="199">
        <v>2</v>
      </c>
      <c r="D46" s="622" t="s">
        <v>524</v>
      </c>
      <c r="E46" s="623"/>
      <c r="F46" s="623"/>
      <c r="G46" s="199">
        <v>6</v>
      </c>
      <c r="H46" s="201">
        <v>3250.1502046015921</v>
      </c>
      <c r="I46" s="202">
        <v>541.69170076693206</v>
      </c>
      <c r="J46" s="220">
        <f t="shared" si="0"/>
        <v>3.7482137431197771E-2</v>
      </c>
      <c r="K46" s="622" t="s">
        <v>405</v>
      </c>
      <c r="L46" s="623"/>
      <c r="O46" s="198"/>
      <c r="P46" s="381"/>
      <c r="Q46" s="381"/>
      <c r="R46" s="198"/>
    </row>
    <row r="47" spans="1:18" s="188" customFormat="1" ht="15.75" customHeight="1">
      <c r="A47" s="620"/>
      <c r="B47" s="621"/>
      <c r="C47" s="199">
        <v>3</v>
      </c>
      <c r="D47" s="622" t="s">
        <v>523</v>
      </c>
      <c r="E47" s="623"/>
      <c r="F47" s="623"/>
      <c r="G47" s="199">
        <v>6</v>
      </c>
      <c r="H47" s="201">
        <v>3249.9227603417289</v>
      </c>
      <c r="I47" s="202">
        <v>541.65379339028834</v>
      </c>
      <c r="J47" s="220">
        <f t="shared" si="0"/>
        <v>3.3793390287996772E-2</v>
      </c>
      <c r="K47" s="622" t="s">
        <v>405</v>
      </c>
      <c r="L47" s="623"/>
      <c r="O47" s="198"/>
      <c r="P47" s="381"/>
      <c r="Q47" s="381"/>
      <c r="R47" s="198"/>
    </row>
    <row r="48" spans="1:18" s="188" customFormat="1" ht="15.75" customHeight="1">
      <c r="A48" s="620"/>
      <c r="B48" s="621"/>
      <c r="C48" s="199">
        <v>4</v>
      </c>
      <c r="D48" s="622" t="s">
        <v>530</v>
      </c>
      <c r="E48" s="623"/>
      <c r="F48" s="623"/>
      <c r="G48" s="199">
        <v>6</v>
      </c>
      <c r="H48" s="201">
        <v>2962.2497204493293</v>
      </c>
      <c r="I48" s="202">
        <v>493.7082867415549</v>
      </c>
      <c r="J48" s="220">
        <f t="shared" si="0"/>
        <v>0.15585714285714403</v>
      </c>
      <c r="K48" s="622" t="s">
        <v>405</v>
      </c>
      <c r="L48" s="623"/>
      <c r="O48" s="198"/>
      <c r="P48" s="381"/>
      <c r="Q48" s="381"/>
      <c r="R48" s="198"/>
    </row>
    <row r="49" spans="1:18" s="188" customFormat="1" ht="15.75" customHeight="1">
      <c r="A49" s="620"/>
      <c r="B49" s="621"/>
      <c r="C49" s="199">
        <v>5</v>
      </c>
      <c r="D49" s="622" t="s">
        <v>629</v>
      </c>
      <c r="E49" s="623"/>
      <c r="F49" s="623"/>
      <c r="G49" s="199">
        <v>6</v>
      </c>
      <c r="H49" s="201">
        <v>2257.1864755362599</v>
      </c>
      <c r="I49" s="202">
        <v>376.19774592271</v>
      </c>
      <c r="J49" s="220">
        <f t="shared" si="0"/>
        <v>11.412341303074697</v>
      </c>
      <c r="K49" s="629" t="s">
        <v>699</v>
      </c>
      <c r="L49" s="623"/>
      <c r="O49" s="198"/>
      <c r="P49" s="381"/>
      <c r="Q49" s="381"/>
      <c r="R49" s="198"/>
    </row>
    <row r="50" spans="1:18" s="188" customFormat="1" ht="15.75" customHeight="1">
      <c r="A50" s="620"/>
      <c r="B50" s="621"/>
      <c r="C50" s="203" t="s">
        <v>187</v>
      </c>
      <c r="D50" s="622" t="s">
        <v>535</v>
      </c>
      <c r="E50" s="623"/>
      <c r="F50" s="623"/>
      <c r="G50" s="199">
        <v>20</v>
      </c>
      <c r="H50" s="201">
        <v>1892.7083422374965</v>
      </c>
      <c r="I50" s="202">
        <v>94.635417111874844</v>
      </c>
      <c r="J50" s="220">
        <f t="shared" si="0"/>
        <v>-1.9499999999993634E-2</v>
      </c>
      <c r="K50" s="622" t="s">
        <v>405</v>
      </c>
      <c r="L50" s="623"/>
      <c r="O50" s="198"/>
      <c r="P50" s="381"/>
      <c r="Q50" s="381"/>
      <c r="R50" s="198"/>
    </row>
    <row r="51" spans="1:18" s="188" customFormat="1" ht="15.75" customHeight="1">
      <c r="A51" s="620"/>
      <c r="B51" s="621"/>
      <c r="C51" s="203" t="s">
        <v>192</v>
      </c>
      <c r="D51" s="622"/>
      <c r="E51" s="623"/>
      <c r="F51" s="623"/>
      <c r="G51" s="199"/>
      <c r="H51" s="201"/>
      <c r="I51" s="202"/>
      <c r="J51" s="199"/>
      <c r="K51" s="622"/>
      <c r="L51" s="623"/>
      <c r="O51" s="198"/>
      <c r="P51" s="381"/>
      <c r="Q51" s="381"/>
      <c r="R51" s="198"/>
    </row>
    <row r="52" spans="1:18" s="188" customFormat="1" ht="15.75" customHeight="1">
      <c r="A52" s="620"/>
      <c r="B52" s="621"/>
      <c r="C52" s="203" t="s">
        <v>188</v>
      </c>
      <c r="D52" s="622"/>
      <c r="E52" s="623"/>
      <c r="F52" s="623"/>
      <c r="G52" s="199"/>
      <c r="H52" s="201"/>
      <c r="I52" s="202"/>
      <c r="J52" s="199"/>
      <c r="K52" s="622"/>
      <c r="L52" s="623"/>
      <c r="O52" s="198"/>
      <c r="P52" s="381"/>
      <c r="Q52" s="381"/>
      <c r="R52" s="198"/>
    </row>
    <row r="53" spans="1:18" s="188" customFormat="1" ht="15.75" customHeight="1">
      <c r="A53" s="620"/>
      <c r="B53" s="621"/>
      <c r="C53" s="203" t="s">
        <v>193</v>
      </c>
      <c r="D53" s="622"/>
      <c r="E53" s="623"/>
      <c r="F53" s="623"/>
      <c r="G53" s="199"/>
      <c r="H53" s="201"/>
      <c r="I53" s="202"/>
      <c r="J53" s="199"/>
      <c r="K53" s="622"/>
      <c r="L53" s="623"/>
      <c r="O53" s="198"/>
      <c r="P53" s="381"/>
      <c r="Q53" s="381"/>
      <c r="R53" s="198"/>
    </row>
    <row r="54" spans="1:18" s="188" customFormat="1" ht="15.75" customHeight="1">
      <c r="A54" s="620"/>
      <c r="B54" s="621"/>
      <c r="C54" s="203" t="s">
        <v>194</v>
      </c>
      <c r="D54" s="622"/>
      <c r="E54" s="623"/>
      <c r="F54" s="623"/>
      <c r="G54" s="199"/>
      <c r="H54" s="201"/>
      <c r="I54" s="202"/>
      <c r="J54" s="199"/>
      <c r="K54" s="622"/>
      <c r="L54" s="623"/>
      <c r="O54" s="198"/>
      <c r="P54" s="381"/>
      <c r="Q54" s="381"/>
      <c r="R54" s="198"/>
    </row>
    <row r="55" spans="1:18" s="188" customFormat="1" ht="15.75" customHeight="1">
      <c r="A55" s="624" t="s">
        <v>674</v>
      </c>
      <c r="B55" s="624"/>
      <c r="C55" s="624"/>
      <c r="D55" s="624"/>
      <c r="E55" s="624"/>
      <c r="F55" s="624"/>
      <c r="G55" s="624"/>
      <c r="H55" s="624"/>
      <c r="I55" s="624"/>
      <c r="J55" s="624"/>
      <c r="K55" s="624"/>
      <c r="L55" s="624"/>
    </row>
    <row r="56" spans="1:18" s="189" customFormat="1" ht="15.75" customHeight="1">
      <c r="A56" s="624"/>
      <c r="B56" s="624"/>
      <c r="C56" s="624"/>
      <c r="D56" s="624"/>
      <c r="E56" s="624"/>
      <c r="F56" s="624"/>
      <c r="G56" s="624"/>
      <c r="H56" s="624"/>
      <c r="I56" s="624"/>
      <c r="J56" s="624"/>
      <c r="K56" s="624"/>
      <c r="L56" s="624"/>
    </row>
    <row r="57" spans="1:18" s="177" customFormat="1" ht="16.350000000000001" customHeight="1">
      <c r="A57" s="620" t="s">
        <v>162</v>
      </c>
      <c r="B57" s="169">
        <v>1</v>
      </c>
      <c r="C57" s="169">
        <v>2</v>
      </c>
      <c r="D57" s="190">
        <v>3</v>
      </c>
      <c r="E57" s="190">
        <v>4</v>
      </c>
      <c r="F57" s="169">
        <v>5</v>
      </c>
      <c r="G57" s="169">
        <v>6</v>
      </c>
      <c r="H57" s="169">
        <v>7</v>
      </c>
      <c r="I57" s="169">
        <v>8</v>
      </c>
      <c r="J57" s="169">
        <v>9</v>
      </c>
      <c r="K57" s="191"/>
      <c r="L57" s="191"/>
      <c r="M57" s="192"/>
    </row>
    <row r="58" spans="1:18" s="188" customFormat="1" ht="16.350000000000001" customHeight="1">
      <c r="A58" s="620"/>
      <c r="B58" s="194" t="s">
        <v>189</v>
      </c>
      <c r="C58" s="194" t="s">
        <v>155</v>
      </c>
      <c r="D58" s="193" t="s">
        <v>190</v>
      </c>
      <c r="E58" s="193" t="s">
        <v>156</v>
      </c>
      <c r="F58" s="194" t="s">
        <v>327</v>
      </c>
      <c r="G58" s="195" t="s">
        <v>136</v>
      </c>
      <c r="H58" s="196" t="s">
        <v>191</v>
      </c>
      <c r="I58" s="195" t="s">
        <v>351</v>
      </c>
      <c r="J58" s="195" t="s">
        <v>142</v>
      </c>
      <c r="K58" s="197"/>
      <c r="L58" s="197"/>
      <c r="M58" s="189"/>
      <c r="N58" s="198"/>
      <c r="O58" s="198"/>
      <c r="P58" s="198"/>
      <c r="Q58" s="198"/>
      <c r="R58" s="198"/>
    </row>
    <row r="59" spans="1:18" s="177" customFormat="1" ht="15.75" customHeight="1">
      <c r="A59" s="621" t="s">
        <v>171</v>
      </c>
      <c r="B59" s="621"/>
      <c r="C59" s="159" t="s">
        <v>47</v>
      </c>
      <c r="D59" s="621" t="s">
        <v>12</v>
      </c>
      <c r="E59" s="625"/>
      <c r="F59" s="625"/>
      <c r="G59" s="159" t="s">
        <v>46</v>
      </c>
      <c r="H59" s="159" t="s">
        <v>352</v>
      </c>
      <c r="I59" s="159" t="s">
        <v>353</v>
      </c>
      <c r="J59" s="159" t="s">
        <v>311</v>
      </c>
      <c r="K59" s="621" t="s">
        <v>51</v>
      </c>
      <c r="L59" s="625"/>
      <c r="M59" s="192"/>
      <c r="N59" s="188"/>
      <c r="O59" s="198"/>
      <c r="P59" s="381"/>
      <c r="Q59" s="381"/>
      <c r="R59" s="198"/>
    </row>
    <row r="60" spans="1:18" s="188" customFormat="1" ht="13.5">
      <c r="A60" s="620">
        <v>3</v>
      </c>
      <c r="B60" s="621" t="s">
        <v>355</v>
      </c>
      <c r="C60" s="199">
        <v>1</v>
      </c>
      <c r="D60" s="622" t="s">
        <v>326</v>
      </c>
      <c r="E60" s="623"/>
      <c r="F60" s="623"/>
      <c r="G60" s="199">
        <v>22</v>
      </c>
      <c r="H60" s="201">
        <v>2626.6346153846148</v>
      </c>
      <c r="I60" s="202">
        <v>119.39248251748248</v>
      </c>
      <c r="J60" s="220">
        <f>I60-I34</f>
        <v>0</v>
      </c>
      <c r="K60" s="622"/>
      <c r="L60" s="623"/>
      <c r="M60" s="189"/>
      <c r="O60" s="198"/>
      <c r="P60" s="381"/>
      <c r="Q60" s="381"/>
      <c r="R60" s="198"/>
    </row>
    <row r="61" spans="1:18" s="188" customFormat="1" ht="13.5">
      <c r="A61" s="620"/>
      <c r="B61" s="621"/>
      <c r="C61" s="199">
        <v>2</v>
      </c>
      <c r="D61" s="622"/>
      <c r="E61" s="623"/>
      <c r="F61" s="623"/>
      <c r="G61" s="199"/>
      <c r="H61" s="201"/>
      <c r="I61" s="202"/>
      <c r="J61" s="220"/>
      <c r="K61" s="622"/>
      <c r="L61" s="623"/>
      <c r="M61" s="189"/>
      <c r="O61" s="198"/>
      <c r="P61" s="381"/>
      <c r="Q61" s="381"/>
      <c r="R61" s="198"/>
    </row>
    <row r="62" spans="1:18" s="188" customFormat="1" ht="13.5">
      <c r="A62" s="620"/>
      <c r="B62" s="621"/>
      <c r="C62" s="199">
        <v>3</v>
      </c>
      <c r="D62" s="622"/>
      <c r="E62" s="623"/>
      <c r="F62" s="623"/>
      <c r="G62" s="199"/>
      <c r="H62" s="201"/>
      <c r="I62" s="202"/>
      <c r="J62" s="199"/>
      <c r="K62" s="622"/>
      <c r="L62" s="623"/>
      <c r="M62" s="189"/>
      <c r="O62" s="198"/>
      <c r="P62" s="381"/>
      <c r="Q62" s="381"/>
      <c r="R62" s="198"/>
    </row>
    <row r="63" spans="1:18" s="188" customFormat="1" ht="13.5">
      <c r="A63" s="620"/>
      <c r="B63" s="621"/>
      <c r="C63" s="199">
        <v>4</v>
      </c>
      <c r="D63" s="622"/>
      <c r="E63" s="623"/>
      <c r="F63" s="623"/>
      <c r="G63" s="199"/>
      <c r="H63" s="201"/>
      <c r="I63" s="202"/>
      <c r="J63" s="199"/>
      <c r="K63" s="622"/>
      <c r="L63" s="623"/>
      <c r="M63" s="189"/>
      <c r="O63" s="198"/>
      <c r="P63" s="381"/>
      <c r="Q63" s="381"/>
      <c r="R63" s="198"/>
    </row>
    <row r="64" spans="1:18" s="188" customFormat="1" ht="13.5">
      <c r="A64" s="620"/>
      <c r="B64" s="621"/>
      <c r="C64" s="199">
        <v>5</v>
      </c>
      <c r="D64" s="622"/>
      <c r="E64" s="623"/>
      <c r="F64" s="623"/>
      <c r="G64" s="199"/>
      <c r="H64" s="201"/>
      <c r="I64" s="202"/>
      <c r="J64" s="199"/>
      <c r="K64" s="622"/>
      <c r="L64" s="623"/>
      <c r="M64" s="189"/>
      <c r="O64" s="198"/>
      <c r="P64" s="381"/>
      <c r="Q64" s="381"/>
      <c r="R64" s="198"/>
    </row>
    <row r="65" spans="1:18" s="188" customFormat="1" ht="13.5">
      <c r="A65" s="620"/>
      <c r="B65" s="621"/>
      <c r="C65" s="203" t="s">
        <v>187</v>
      </c>
      <c r="D65" s="622"/>
      <c r="E65" s="623"/>
      <c r="F65" s="623"/>
      <c r="G65" s="199"/>
      <c r="H65" s="201"/>
      <c r="I65" s="202"/>
      <c r="J65" s="199"/>
      <c r="K65" s="622"/>
      <c r="L65" s="623"/>
      <c r="M65" s="189"/>
      <c r="O65" s="198"/>
      <c r="P65" s="381"/>
      <c r="Q65" s="381"/>
      <c r="R65" s="198"/>
    </row>
    <row r="66" spans="1:18" s="188" customFormat="1" ht="13.5">
      <c r="A66" s="620"/>
      <c r="B66" s="621"/>
      <c r="C66" s="203" t="s">
        <v>192</v>
      </c>
      <c r="D66" s="622"/>
      <c r="E66" s="623"/>
      <c r="F66" s="623"/>
      <c r="G66" s="199"/>
      <c r="H66" s="201"/>
      <c r="I66" s="202"/>
      <c r="J66" s="199"/>
      <c r="K66" s="622"/>
      <c r="L66" s="623"/>
      <c r="M66" s="189"/>
      <c r="N66" s="177"/>
      <c r="O66" s="177"/>
      <c r="P66" s="380"/>
      <c r="Q66" s="380"/>
      <c r="R66" s="177"/>
    </row>
    <row r="67" spans="1:18" s="188" customFormat="1" ht="13.5">
      <c r="A67" s="620"/>
      <c r="B67" s="621"/>
      <c r="C67" s="203" t="s">
        <v>188</v>
      </c>
      <c r="D67" s="622"/>
      <c r="E67" s="623"/>
      <c r="F67" s="623"/>
      <c r="G67" s="201"/>
      <c r="H67" s="201"/>
      <c r="I67" s="202"/>
      <c r="J67" s="199"/>
      <c r="K67" s="622"/>
      <c r="L67" s="623"/>
      <c r="M67" s="189"/>
      <c r="O67" s="198"/>
      <c r="P67" s="381"/>
      <c r="Q67" s="381"/>
      <c r="R67" s="198"/>
    </row>
    <row r="68" spans="1:18" s="188" customFormat="1" ht="13.5">
      <c r="A68" s="620"/>
      <c r="B68" s="621"/>
      <c r="C68" s="203" t="s">
        <v>193</v>
      </c>
      <c r="D68" s="622"/>
      <c r="E68" s="623"/>
      <c r="F68" s="623"/>
      <c r="G68" s="199"/>
      <c r="H68" s="201"/>
      <c r="I68" s="202"/>
      <c r="J68" s="199"/>
      <c r="K68" s="622"/>
      <c r="L68" s="623"/>
      <c r="O68" s="198"/>
      <c r="P68" s="381"/>
      <c r="Q68" s="381"/>
      <c r="R68" s="198"/>
    </row>
    <row r="69" spans="1:18" s="188" customFormat="1" ht="13.5">
      <c r="A69" s="620"/>
      <c r="B69" s="621"/>
      <c r="C69" s="203" t="s">
        <v>194</v>
      </c>
      <c r="D69" s="622"/>
      <c r="E69" s="623"/>
      <c r="F69" s="623"/>
      <c r="G69" s="199"/>
      <c r="H69" s="201"/>
      <c r="I69" s="202"/>
      <c r="J69" s="199"/>
      <c r="K69" s="622"/>
      <c r="L69" s="623"/>
      <c r="O69" s="198"/>
      <c r="P69" s="381"/>
      <c r="Q69" s="381"/>
      <c r="R69" s="198"/>
    </row>
    <row r="70" spans="1:18" s="198" customFormat="1" ht="14.25">
      <c r="A70" s="626" t="s">
        <v>171</v>
      </c>
      <c r="B70" s="626"/>
      <c r="C70" s="206" t="s">
        <v>47</v>
      </c>
      <c r="D70" s="626" t="s">
        <v>12</v>
      </c>
      <c r="E70" s="627"/>
      <c r="F70" s="627"/>
      <c r="G70" s="206" t="s">
        <v>46</v>
      </c>
      <c r="H70" s="206" t="s">
        <v>352</v>
      </c>
      <c r="I70" s="206" t="s">
        <v>353</v>
      </c>
      <c r="J70" s="159" t="s">
        <v>311</v>
      </c>
      <c r="K70" s="626" t="s">
        <v>50</v>
      </c>
      <c r="L70" s="627"/>
      <c r="M70" s="207"/>
      <c r="N70" s="188"/>
      <c r="P70" s="381"/>
      <c r="Q70" s="381"/>
    </row>
    <row r="71" spans="1:18" s="188" customFormat="1" ht="13.5">
      <c r="A71" s="620">
        <v>4</v>
      </c>
      <c r="B71" s="621" t="s">
        <v>156</v>
      </c>
      <c r="C71" s="199">
        <v>1</v>
      </c>
      <c r="D71" s="622" t="s">
        <v>543</v>
      </c>
      <c r="E71" s="623"/>
      <c r="F71" s="623"/>
      <c r="G71" s="199">
        <v>5</v>
      </c>
      <c r="H71" s="201">
        <v>2968.836514494918</v>
      </c>
      <c r="I71" s="202">
        <v>593.76730289898376</v>
      </c>
      <c r="J71" s="220">
        <f>I71-I45</f>
        <v>1.3956754623819734</v>
      </c>
      <c r="K71" s="622"/>
      <c r="L71" s="623"/>
      <c r="N71" s="198"/>
      <c r="O71" s="198"/>
      <c r="P71" s="381"/>
      <c r="Q71" s="381"/>
      <c r="R71" s="198"/>
    </row>
    <row r="72" spans="1:18" s="188" customFormat="1" ht="13.5">
      <c r="A72" s="620"/>
      <c r="B72" s="621"/>
      <c r="C72" s="199">
        <v>2</v>
      </c>
      <c r="D72" s="622" t="s">
        <v>523</v>
      </c>
      <c r="E72" s="623"/>
      <c r="F72" s="623"/>
      <c r="G72" s="199">
        <v>6</v>
      </c>
      <c r="H72" s="201">
        <v>3251.0420893646401</v>
      </c>
      <c r="I72" s="202">
        <v>541.84034822744002</v>
      </c>
      <c r="J72" s="220">
        <f>I72-I47</f>
        <v>0.1865548371516752</v>
      </c>
      <c r="K72" s="622"/>
      <c r="L72" s="623"/>
      <c r="O72" s="198"/>
      <c r="P72" s="381"/>
      <c r="Q72" s="381"/>
      <c r="R72" s="198"/>
    </row>
    <row r="73" spans="1:18" s="188" customFormat="1" ht="13.5">
      <c r="A73" s="620"/>
      <c r="B73" s="621"/>
      <c r="C73" s="199">
        <v>3</v>
      </c>
      <c r="D73" s="622" t="s">
        <v>524</v>
      </c>
      <c r="E73" s="623"/>
      <c r="F73" s="623"/>
      <c r="G73" s="199">
        <v>6</v>
      </c>
      <c r="H73" s="201">
        <v>3250.0513472018379</v>
      </c>
      <c r="I73" s="202">
        <v>541.67522453363949</v>
      </c>
      <c r="J73" s="220">
        <f>I73-I46</f>
        <v>-1.6476233292564757E-2</v>
      </c>
      <c r="K73" s="622"/>
      <c r="L73" s="623"/>
      <c r="O73" s="198"/>
      <c r="P73" s="381"/>
      <c r="Q73" s="381"/>
      <c r="R73" s="198"/>
    </row>
    <row r="74" spans="1:18" s="188" customFormat="1" ht="13.5">
      <c r="A74" s="620"/>
      <c r="B74" s="621"/>
      <c r="C74" s="199">
        <v>4</v>
      </c>
      <c r="D74" s="622" t="s">
        <v>530</v>
      </c>
      <c r="E74" s="623"/>
      <c r="F74" s="623"/>
      <c r="G74" s="199">
        <v>6</v>
      </c>
      <c r="H74" s="201">
        <v>2962.296477592186</v>
      </c>
      <c r="I74" s="202">
        <v>493.71607959869772</v>
      </c>
      <c r="J74" s="220">
        <f>I74-I48</f>
        <v>7.7928571428174109E-3</v>
      </c>
      <c r="K74" s="622"/>
      <c r="L74" s="623"/>
      <c r="O74" s="198"/>
      <c r="P74" s="381"/>
      <c r="Q74" s="381"/>
      <c r="R74" s="198"/>
    </row>
    <row r="75" spans="1:18" s="188" customFormat="1" ht="13.5">
      <c r="A75" s="620"/>
      <c r="B75" s="621"/>
      <c r="C75" s="199">
        <v>5</v>
      </c>
      <c r="D75" s="622" t="s">
        <v>629</v>
      </c>
      <c r="E75" s="623"/>
      <c r="F75" s="623"/>
      <c r="G75" s="199">
        <v>6</v>
      </c>
      <c r="H75" s="201">
        <v>2257.500538343726</v>
      </c>
      <c r="I75" s="202">
        <v>376.25008972395432</v>
      </c>
      <c r="J75" s="220">
        <f>I75-I49</f>
        <v>5.2343801244319366E-2</v>
      </c>
      <c r="K75" s="622"/>
      <c r="L75" s="623"/>
      <c r="O75" s="198"/>
      <c r="P75" s="381"/>
      <c r="Q75" s="381"/>
      <c r="R75" s="198"/>
    </row>
    <row r="76" spans="1:18" s="188" customFormat="1" ht="13.5">
      <c r="A76" s="620"/>
      <c r="B76" s="621"/>
      <c r="C76" s="203" t="s">
        <v>187</v>
      </c>
      <c r="D76" s="622" t="s">
        <v>535</v>
      </c>
      <c r="E76" s="623"/>
      <c r="F76" s="623"/>
      <c r="G76" s="199">
        <v>20</v>
      </c>
      <c r="H76" s="201">
        <v>1894.3883422374968</v>
      </c>
      <c r="I76" s="202">
        <v>94.719417111874847</v>
      </c>
      <c r="J76" s="220">
        <f>I76-I50</f>
        <v>8.4000000000003183E-2</v>
      </c>
      <c r="K76" s="622"/>
      <c r="L76" s="623"/>
      <c r="O76" s="198"/>
      <c r="P76" s="381"/>
      <c r="Q76" s="381"/>
      <c r="R76" s="198"/>
    </row>
    <row r="77" spans="1:18" s="188" customFormat="1" ht="15.75" customHeight="1">
      <c r="A77" s="620"/>
      <c r="B77" s="621"/>
      <c r="C77" s="203" t="s">
        <v>192</v>
      </c>
      <c r="D77" s="622"/>
      <c r="E77" s="623"/>
      <c r="F77" s="623"/>
      <c r="G77" s="199"/>
      <c r="H77" s="201"/>
      <c r="I77" s="202"/>
      <c r="J77" s="199"/>
      <c r="K77" s="622"/>
      <c r="L77" s="623"/>
      <c r="O77" s="198"/>
      <c r="P77" s="381"/>
      <c r="Q77" s="381"/>
      <c r="R77" s="198"/>
    </row>
    <row r="78" spans="1:18" s="188" customFormat="1" ht="15.75" customHeight="1">
      <c r="A78" s="620"/>
      <c r="B78" s="621"/>
      <c r="C78" s="203" t="s">
        <v>188</v>
      </c>
      <c r="D78" s="622"/>
      <c r="E78" s="623"/>
      <c r="F78" s="623"/>
      <c r="G78" s="199"/>
      <c r="H78" s="201"/>
      <c r="I78" s="202"/>
      <c r="J78" s="199"/>
      <c r="K78" s="622"/>
      <c r="L78" s="623"/>
      <c r="O78" s="198"/>
      <c r="P78" s="381"/>
      <c r="Q78" s="381"/>
      <c r="R78" s="198"/>
    </row>
    <row r="79" spans="1:18" s="188" customFormat="1" ht="15.75" customHeight="1">
      <c r="A79" s="620"/>
      <c r="B79" s="621"/>
      <c r="C79" s="203" t="s">
        <v>193</v>
      </c>
      <c r="D79" s="622"/>
      <c r="E79" s="623"/>
      <c r="F79" s="623"/>
      <c r="G79" s="199"/>
      <c r="H79" s="201"/>
      <c r="I79" s="202"/>
      <c r="J79" s="199"/>
      <c r="K79" s="622"/>
      <c r="L79" s="623"/>
      <c r="O79" s="198"/>
      <c r="P79" s="381"/>
      <c r="Q79" s="381"/>
      <c r="R79" s="198"/>
    </row>
    <row r="80" spans="1:18" s="188" customFormat="1" ht="15.75" customHeight="1">
      <c r="A80" s="620"/>
      <c r="B80" s="621"/>
      <c r="C80" s="203" t="s">
        <v>194</v>
      </c>
      <c r="D80" s="622"/>
      <c r="E80" s="623"/>
      <c r="F80" s="623"/>
      <c r="G80" s="199"/>
      <c r="H80" s="201"/>
      <c r="I80" s="202"/>
      <c r="J80" s="199"/>
      <c r="K80" s="622"/>
      <c r="L80" s="623"/>
      <c r="O80" s="198"/>
      <c r="P80" s="381"/>
      <c r="Q80" s="381"/>
      <c r="R80" s="198"/>
    </row>
    <row r="81" spans="1:18" s="188" customFormat="1" ht="15.75" customHeight="1">
      <c r="A81" s="624" t="s">
        <v>713</v>
      </c>
      <c r="B81" s="624"/>
      <c r="C81" s="624"/>
      <c r="D81" s="624"/>
      <c r="E81" s="624"/>
      <c r="F81" s="624"/>
      <c r="G81" s="624"/>
      <c r="H81" s="624"/>
      <c r="I81" s="624"/>
      <c r="J81" s="624"/>
      <c r="K81" s="624"/>
      <c r="L81" s="624"/>
    </row>
    <row r="82" spans="1:18" s="189" customFormat="1" ht="15.75" customHeight="1">
      <c r="A82" s="624"/>
      <c r="B82" s="624"/>
      <c r="C82" s="624"/>
      <c r="D82" s="624"/>
      <c r="E82" s="624"/>
      <c r="F82" s="624"/>
      <c r="G82" s="624"/>
      <c r="H82" s="624"/>
      <c r="I82" s="624"/>
      <c r="J82" s="624"/>
      <c r="K82" s="624"/>
      <c r="L82" s="624"/>
    </row>
    <row r="83" spans="1:18" s="177" customFormat="1" ht="16.350000000000001" customHeight="1">
      <c r="A83" s="620" t="s">
        <v>162</v>
      </c>
      <c r="B83" s="169">
        <v>1</v>
      </c>
      <c r="C83" s="169">
        <v>2</v>
      </c>
      <c r="D83" s="190">
        <v>3</v>
      </c>
      <c r="E83" s="190">
        <v>4</v>
      </c>
      <c r="F83" s="169">
        <v>5</v>
      </c>
      <c r="G83" s="169">
        <v>6</v>
      </c>
      <c r="H83" s="169">
        <v>7</v>
      </c>
      <c r="I83" s="169">
        <v>8</v>
      </c>
      <c r="J83" s="169">
        <v>9</v>
      </c>
      <c r="K83" s="191"/>
      <c r="L83" s="191"/>
      <c r="M83" s="192"/>
    </row>
    <row r="84" spans="1:18" s="188" customFormat="1" ht="16.350000000000001" customHeight="1">
      <c r="A84" s="620"/>
      <c r="B84" s="194" t="s">
        <v>189</v>
      </c>
      <c r="C84" s="194" t="s">
        <v>155</v>
      </c>
      <c r="D84" s="193" t="s">
        <v>190</v>
      </c>
      <c r="E84" s="193" t="s">
        <v>156</v>
      </c>
      <c r="F84" s="194" t="s">
        <v>327</v>
      </c>
      <c r="G84" s="195" t="s">
        <v>136</v>
      </c>
      <c r="H84" s="196" t="s">
        <v>191</v>
      </c>
      <c r="I84" s="195" t="s">
        <v>351</v>
      </c>
      <c r="J84" s="195" t="s">
        <v>142</v>
      </c>
      <c r="K84" s="197"/>
      <c r="L84" s="197"/>
      <c r="M84" s="189"/>
      <c r="N84" s="198"/>
      <c r="O84" s="198"/>
      <c r="P84" s="198"/>
      <c r="Q84" s="198"/>
      <c r="R84" s="198"/>
    </row>
    <row r="85" spans="1:18" s="177" customFormat="1" ht="15.75" customHeight="1">
      <c r="A85" s="621" t="s">
        <v>171</v>
      </c>
      <c r="B85" s="621"/>
      <c r="C85" s="159" t="s">
        <v>47</v>
      </c>
      <c r="D85" s="621" t="s">
        <v>12</v>
      </c>
      <c r="E85" s="625"/>
      <c r="F85" s="625"/>
      <c r="G85" s="159" t="s">
        <v>46</v>
      </c>
      <c r="H85" s="159" t="s">
        <v>352</v>
      </c>
      <c r="I85" s="159" t="s">
        <v>353</v>
      </c>
      <c r="J85" s="159" t="s">
        <v>311</v>
      </c>
      <c r="K85" s="621" t="s">
        <v>51</v>
      </c>
      <c r="L85" s="625"/>
      <c r="M85" s="192"/>
      <c r="N85" s="188"/>
      <c r="O85" s="198"/>
      <c r="P85" s="381"/>
      <c r="Q85" s="381"/>
      <c r="R85" s="198"/>
    </row>
    <row r="86" spans="1:18" s="188" customFormat="1" ht="13.5">
      <c r="A86" s="620">
        <v>3</v>
      </c>
      <c r="B86" s="621" t="s">
        <v>355</v>
      </c>
      <c r="C86" s="199">
        <v>1</v>
      </c>
      <c r="D86" s="630"/>
      <c r="E86" s="631"/>
      <c r="F86" s="632"/>
      <c r="G86" s="199"/>
      <c r="H86" s="201"/>
      <c r="I86" s="202"/>
      <c r="J86" s="220">
        <f>I86-I60</f>
        <v>-119.39248251748248</v>
      </c>
      <c r="K86" s="622"/>
      <c r="L86" s="623"/>
      <c r="M86" s="189"/>
      <c r="O86" s="198"/>
      <c r="P86" s="381"/>
      <c r="Q86" s="381"/>
      <c r="R86" s="198"/>
    </row>
    <row r="87" spans="1:18" s="188" customFormat="1" ht="13.5">
      <c r="A87" s="620"/>
      <c r="B87" s="621"/>
      <c r="C87" s="199">
        <v>2</v>
      </c>
      <c r="D87" s="630"/>
      <c r="E87" s="631"/>
      <c r="F87" s="632"/>
      <c r="G87" s="199"/>
      <c r="H87" s="201"/>
      <c r="I87" s="202"/>
      <c r="J87" s="220"/>
      <c r="K87" s="622"/>
      <c r="L87" s="623"/>
      <c r="M87" s="189"/>
      <c r="O87" s="198"/>
      <c r="P87" s="381"/>
      <c r="Q87" s="381"/>
      <c r="R87" s="198"/>
    </row>
    <row r="88" spans="1:18" s="188" customFormat="1" ht="13.5">
      <c r="A88" s="620"/>
      <c r="B88" s="621"/>
      <c r="C88" s="199">
        <v>3</v>
      </c>
      <c r="D88" s="630"/>
      <c r="E88" s="631"/>
      <c r="F88" s="632"/>
      <c r="G88" s="199"/>
      <c r="H88" s="201"/>
      <c r="I88" s="202"/>
      <c r="J88" s="199"/>
      <c r="K88" s="622"/>
      <c r="L88" s="623"/>
      <c r="M88" s="189"/>
      <c r="O88" s="198"/>
      <c r="P88" s="381"/>
      <c r="Q88" s="381"/>
      <c r="R88" s="198"/>
    </row>
    <row r="89" spans="1:18" s="188" customFormat="1" ht="13.5">
      <c r="A89" s="620"/>
      <c r="B89" s="621"/>
      <c r="C89" s="199">
        <v>4</v>
      </c>
      <c r="D89" s="630"/>
      <c r="E89" s="631"/>
      <c r="F89" s="632"/>
      <c r="G89" s="199"/>
      <c r="H89" s="201"/>
      <c r="I89" s="202"/>
      <c r="J89" s="199"/>
      <c r="K89" s="622"/>
      <c r="L89" s="623"/>
      <c r="M89" s="189"/>
      <c r="O89" s="198"/>
      <c r="P89" s="381"/>
      <c r="Q89" s="381"/>
      <c r="R89" s="198"/>
    </row>
    <row r="90" spans="1:18" s="188" customFormat="1" ht="13.5">
      <c r="A90" s="620"/>
      <c r="B90" s="621"/>
      <c r="C90" s="199">
        <v>5</v>
      </c>
      <c r="D90" s="630"/>
      <c r="E90" s="631"/>
      <c r="F90" s="632"/>
      <c r="G90" s="199"/>
      <c r="H90" s="201"/>
      <c r="I90" s="202"/>
      <c r="J90" s="199"/>
      <c r="K90" s="622"/>
      <c r="L90" s="623"/>
      <c r="M90" s="189"/>
      <c r="O90" s="198"/>
      <c r="P90" s="381"/>
      <c r="Q90" s="381"/>
      <c r="R90" s="198"/>
    </row>
    <row r="91" spans="1:18" s="188" customFormat="1" ht="13.5">
      <c r="A91" s="620"/>
      <c r="B91" s="621"/>
      <c r="C91" s="203" t="s">
        <v>187</v>
      </c>
      <c r="D91" s="630"/>
      <c r="E91" s="631"/>
      <c r="F91" s="632"/>
      <c r="G91" s="199"/>
      <c r="H91" s="201"/>
      <c r="I91" s="202"/>
      <c r="J91" s="199"/>
      <c r="K91" s="622"/>
      <c r="L91" s="623"/>
      <c r="M91" s="189"/>
      <c r="O91" s="198"/>
      <c r="P91" s="381"/>
      <c r="Q91" s="381"/>
      <c r="R91" s="198"/>
    </row>
    <row r="92" spans="1:18" s="188" customFormat="1" ht="13.5">
      <c r="A92" s="620"/>
      <c r="B92" s="621"/>
      <c r="C92" s="203" t="s">
        <v>192</v>
      </c>
      <c r="D92" s="630"/>
      <c r="E92" s="631"/>
      <c r="F92" s="632"/>
      <c r="G92" s="199"/>
      <c r="H92" s="201"/>
      <c r="I92" s="202"/>
      <c r="J92" s="199"/>
      <c r="K92" s="622"/>
      <c r="L92" s="623"/>
      <c r="M92" s="189"/>
      <c r="N92" s="177"/>
      <c r="O92" s="177"/>
      <c r="P92" s="380"/>
      <c r="Q92" s="380"/>
      <c r="R92" s="177"/>
    </row>
    <row r="93" spans="1:18" s="188" customFormat="1" ht="13.5">
      <c r="A93" s="620"/>
      <c r="B93" s="621"/>
      <c r="C93" s="203" t="s">
        <v>188</v>
      </c>
      <c r="D93" s="630"/>
      <c r="E93" s="631"/>
      <c r="F93" s="632"/>
      <c r="G93" s="201"/>
      <c r="H93" s="201"/>
      <c r="I93" s="202"/>
      <c r="J93" s="199"/>
      <c r="K93" s="622"/>
      <c r="L93" s="623"/>
      <c r="M93" s="189"/>
      <c r="O93" s="198"/>
      <c r="P93" s="381"/>
      <c r="Q93" s="381"/>
      <c r="R93" s="198"/>
    </row>
    <row r="94" spans="1:18" s="188" customFormat="1" ht="13.5">
      <c r="A94" s="620"/>
      <c r="B94" s="621"/>
      <c r="C94" s="203" t="s">
        <v>193</v>
      </c>
      <c r="D94" s="630"/>
      <c r="E94" s="631"/>
      <c r="F94" s="632"/>
      <c r="G94" s="199"/>
      <c r="H94" s="201"/>
      <c r="I94" s="202"/>
      <c r="J94" s="199"/>
      <c r="K94" s="622"/>
      <c r="L94" s="623"/>
      <c r="O94" s="198"/>
      <c r="P94" s="381"/>
      <c r="Q94" s="381"/>
      <c r="R94" s="198"/>
    </row>
    <row r="95" spans="1:18" s="188" customFormat="1" ht="13.5">
      <c r="A95" s="620"/>
      <c r="B95" s="621"/>
      <c r="C95" s="203" t="s">
        <v>194</v>
      </c>
      <c r="D95" s="630"/>
      <c r="E95" s="631"/>
      <c r="F95" s="632"/>
      <c r="G95" s="199"/>
      <c r="H95" s="201"/>
      <c r="I95" s="202"/>
      <c r="J95" s="199"/>
      <c r="K95" s="622"/>
      <c r="L95" s="623"/>
      <c r="O95" s="198"/>
      <c r="P95" s="381"/>
      <c r="Q95" s="381"/>
      <c r="R95" s="198"/>
    </row>
    <row r="96" spans="1:18" s="198" customFormat="1" ht="14.25">
      <c r="A96" s="626" t="s">
        <v>171</v>
      </c>
      <c r="B96" s="626"/>
      <c r="C96" s="206" t="s">
        <v>47</v>
      </c>
      <c r="D96" s="633" t="s">
        <v>12</v>
      </c>
      <c r="E96" s="634"/>
      <c r="F96" s="635"/>
      <c r="G96" s="206" t="s">
        <v>46</v>
      </c>
      <c r="H96" s="206" t="s">
        <v>352</v>
      </c>
      <c r="I96" s="206" t="s">
        <v>353</v>
      </c>
      <c r="J96" s="159" t="s">
        <v>311</v>
      </c>
      <c r="K96" s="626" t="s">
        <v>50</v>
      </c>
      <c r="L96" s="627"/>
      <c r="M96" s="207"/>
      <c r="N96" s="188"/>
      <c r="P96" s="381"/>
      <c r="Q96" s="381"/>
    </row>
    <row r="97" spans="1:18" s="188" customFormat="1" ht="13.5">
      <c r="A97" s="620">
        <v>4</v>
      </c>
      <c r="B97" s="621" t="s">
        <v>156</v>
      </c>
      <c r="C97" s="199">
        <v>1</v>
      </c>
      <c r="D97" s="630"/>
      <c r="E97" s="631"/>
      <c r="F97" s="632"/>
      <c r="G97" s="199"/>
      <c r="H97" s="201"/>
      <c r="I97" s="202"/>
      <c r="J97" s="220">
        <f>I97-I71</f>
        <v>-593.76730289898376</v>
      </c>
      <c r="K97" s="622"/>
      <c r="L97" s="623"/>
      <c r="N97" s="198"/>
      <c r="O97" s="198"/>
      <c r="P97" s="381"/>
      <c r="Q97" s="381"/>
      <c r="R97" s="198"/>
    </row>
    <row r="98" spans="1:18" s="188" customFormat="1" ht="13.5">
      <c r="A98" s="620"/>
      <c r="B98" s="621"/>
      <c r="C98" s="199">
        <v>2</v>
      </c>
      <c r="D98" s="630"/>
      <c r="E98" s="631"/>
      <c r="F98" s="632"/>
      <c r="G98" s="199"/>
      <c r="H98" s="201"/>
      <c r="I98" s="202"/>
      <c r="J98" s="220">
        <f>I98-I72</f>
        <v>-541.84034822744002</v>
      </c>
      <c r="K98" s="622"/>
      <c r="L98" s="623"/>
      <c r="O98" s="198"/>
      <c r="P98" s="381"/>
      <c r="Q98" s="381"/>
      <c r="R98" s="198"/>
    </row>
    <row r="99" spans="1:18" s="188" customFormat="1" ht="13.5">
      <c r="A99" s="620"/>
      <c r="B99" s="621"/>
      <c r="C99" s="199">
        <v>3</v>
      </c>
      <c r="D99" s="630"/>
      <c r="E99" s="631"/>
      <c r="F99" s="632"/>
      <c r="G99" s="199"/>
      <c r="H99" s="201"/>
      <c r="I99" s="202"/>
      <c r="J99" s="220">
        <f>I99-I73</f>
        <v>-541.67522453363949</v>
      </c>
      <c r="K99" s="622"/>
      <c r="L99" s="623"/>
      <c r="O99" s="198"/>
      <c r="P99" s="381"/>
      <c r="Q99" s="381"/>
      <c r="R99" s="198"/>
    </row>
    <row r="100" spans="1:18" s="188" customFormat="1" ht="13.5">
      <c r="A100" s="620"/>
      <c r="B100" s="621"/>
      <c r="C100" s="199">
        <v>4</v>
      </c>
      <c r="D100" s="630"/>
      <c r="E100" s="631"/>
      <c r="F100" s="632"/>
      <c r="G100" s="199"/>
      <c r="H100" s="201"/>
      <c r="I100" s="202"/>
      <c r="J100" s="220">
        <f>I100-I74</f>
        <v>-493.71607959869772</v>
      </c>
      <c r="K100" s="622"/>
      <c r="L100" s="623"/>
      <c r="O100" s="198"/>
      <c r="P100" s="381"/>
      <c r="Q100" s="381"/>
      <c r="R100" s="198"/>
    </row>
    <row r="101" spans="1:18" s="188" customFormat="1" ht="13.5">
      <c r="A101" s="620"/>
      <c r="B101" s="621"/>
      <c r="C101" s="199">
        <v>5</v>
      </c>
      <c r="D101" s="630"/>
      <c r="E101" s="631"/>
      <c r="F101" s="632"/>
      <c r="G101" s="199"/>
      <c r="H101" s="201"/>
      <c r="I101" s="202"/>
      <c r="J101" s="220">
        <f>I101-I75</f>
        <v>-376.25008972395432</v>
      </c>
      <c r="K101" s="622"/>
      <c r="L101" s="623"/>
      <c r="O101" s="198"/>
      <c r="P101" s="381"/>
      <c r="Q101" s="381"/>
      <c r="R101" s="198"/>
    </row>
    <row r="102" spans="1:18" s="188" customFormat="1" ht="13.5">
      <c r="A102" s="620"/>
      <c r="B102" s="621"/>
      <c r="C102" s="203" t="s">
        <v>187</v>
      </c>
      <c r="D102" s="630"/>
      <c r="E102" s="631"/>
      <c r="F102" s="632"/>
      <c r="G102" s="199"/>
      <c r="H102" s="201"/>
      <c r="I102" s="202"/>
      <c r="J102" s="199"/>
      <c r="K102" s="622"/>
      <c r="L102" s="623"/>
      <c r="O102" s="198"/>
      <c r="P102" s="381"/>
      <c r="Q102" s="381"/>
      <c r="R102" s="198"/>
    </row>
    <row r="103" spans="1:18" s="188" customFormat="1" ht="15.75" customHeight="1">
      <c r="A103" s="620"/>
      <c r="B103" s="621"/>
      <c r="C103" s="203" t="s">
        <v>192</v>
      </c>
      <c r="D103" s="622"/>
      <c r="E103" s="623"/>
      <c r="F103" s="623"/>
      <c r="G103" s="199"/>
      <c r="H103" s="201"/>
      <c r="I103" s="202"/>
      <c r="J103" s="199"/>
      <c r="K103" s="622"/>
      <c r="L103" s="623"/>
      <c r="O103" s="198"/>
      <c r="P103" s="381"/>
      <c r="Q103" s="381"/>
      <c r="R103" s="198"/>
    </row>
    <row r="104" spans="1:18" s="188" customFormat="1" ht="15.75" customHeight="1">
      <c r="A104" s="620"/>
      <c r="B104" s="621"/>
      <c r="C104" s="203" t="s">
        <v>188</v>
      </c>
      <c r="D104" s="622"/>
      <c r="E104" s="623"/>
      <c r="F104" s="623"/>
      <c r="G104" s="199"/>
      <c r="H104" s="201"/>
      <c r="I104" s="202"/>
      <c r="J104" s="199"/>
      <c r="K104" s="622"/>
      <c r="L104" s="623"/>
      <c r="O104" s="198"/>
      <c r="P104" s="381"/>
      <c r="Q104" s="381"/>
      <c r="R104" s="198"/>
    </row>
    <row r="105" spans="1:18" s="188" customFormat="1" ht="15.75" customHeight="1">
      <c r="A105" s="620"/>
      <c r="B105" s="621"/>
      <c r="C105" s="203" t="s">
        <v>193</v>
      </c>
      <c r="D105" s="622"/>
      <c r="E105" s="623"/>
      <c r="F105" s="623"/>
      <c r="G105" s="199"/>
      <c r="H105" s="201"/>
      <c r="I105" s="202"/>
      <c r="J105" s="199"/>
      <c r="K105" s="622"/>
      <c r="L105" s="623"/>
      <c r="O105" s="198"/>
      <c r="P105" s="381"/>
      <c r="Q105" s="381"/>
      <c r="R105" s="198"/>
    </row>
    <row r="106" spans="1:18" s="188" customFormat="1" ht="15.75" customHeight="1">
      <c r="A106" s="620"/>
      <c r="B106" s="621"/>
      <c r="C106" s="203" t="s">
        <v>194</v>
      </c>
      <c r="D106" s="622"/>
      <c r="E106" s="623"/>
      <c r="F106" s="623"/>
      <c r="G106" s="199"/>
      <c r="H106" s="201"/>
      <c r="I106" s="202"/>
      <c r="J106" s="199"/>
      <c r="K106" s="622"/>
      <c r="L106" s="623"/>
      <c r="O106" s="198"/>
      <c r="P106" s="381"/>
      <c r="Q106" s="381"/>
      <c r="R106" s="198"/>
    </row>
  </sheetData>
  <mergeCells count="209">
    <mergeCell ref="D105:F105"/>
    <mergeCell ref="K105:L105"/>
    <mergeCell ref="D106:F106"/>
    <mergeCell ref="K106:L106"/>
    <mergeCell ref="K94:L94"/>
    <mergeCell ref="D95:F95"/>
    <mergeCell ref="K95:L95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  <mergeCell ref="D103:F103"/>
    <mergeCell ref="K103:L103"/>
    <mergeCell ref="D104:F104"/>
    <mergeCell ref="K104:L104"/>
    <mergeCell ref="A81:L82"/>
    <mergeCell ref="A83:A84"/>
    <mergeCell ref="A85:B85"/>
    <mergeCell ref="D85:F85"/>
    <mergeCell ref="K85:L85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K92:L92"/>
    <mergeCell ref="D93:F93"/>
    <mergeCell ref="K93:L93"/>
    <mergeCell ref="D94:F94"/>
    <mergeCell ref="D53:F53"/>
    <mergeCell ref="K53:L53"/>
    <mergeCell ref="D54:F54"/>
    <mergeCell ref="K54:L54"/>
    <mergeCell ref="K42:L42"/>
    <mergeCell ref="D43:F43"/>
    <mergeCell ref="K43:L43"/>
    <mergeCell ref="K75:L75"/>
    <mergeCell ref="D76:F76"/>
    <mergeCell ref="K76:L76"/>
    <mergeCell ref="D77:F77"/>
    <mergeCell ref="K77:L77"/>
    <mergeCell ref="D80:F80"/>
    <mergeCell ref="A55:L56"/>
    <mergeCell ref="A57:A58"/>
    <mergeCell ref="A59:B59"/>
    <mergeCell ref="D59:F59"/>
    <mergeCell ref="K59:L59"/>
    <mergeCell ref="A60:A69"/>
    <mergeCell ref="B60:B69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K16:L16"/>
    <mergeCell ref="D17:F17"/>
    <mergeCell ref="K17:L17"/>
    <mergeCell ref="D51:F51"/>
    <mergeCell ref="K51:L51"/>
    <mergeCell ref="D52:F52"/>
    <mergeCell ref="K52:L52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K40:L40"/>
    <mergeCell ref="D41:F41"/>
    <mergeCell ref="K41:L41"/>
    <mergeCell ref="D42:F42"/>
    <mergeCell ref="D27:F27"/>
    <mergeCell ref="K27:L27"/>
    <mergeCell ref="D28:F28"/>
    <mergeCell ref="K28:L28"/>
    <mergeCell ref="D39:F39"/>
    <mergeCell ref="K39:L39"/>
    <mergeCell ref="D40:F40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D25:F25"/>
    <mergeCell ref="K25:L25"/>
    <mergeCell ref="D26:F26"/>
    <mergeCell ref="K26:L26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D16:F16"/>
    <mergeCell ref="D69:F69"/>
    <mergeCell ref="K69:L69"/>
    <mergeCell ref="D66:F66"/>
    <mergeCell ref="K66:L66"/>
    <mergeCell ref="D67:F67"/>
    <mergeCell ref="K67:L67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A1:L2"/>
    <mergeCell ref="D78:F78"/>
    <mergeCell ref="K78:L78"/>
    <mergeCell ref="D79:F79"/>
    <mergeCell ref="K79:L79"/>
    <mergeCell ref="D68:F68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D65:F65"/>
    <mergeCell ref="K65:L65"/>
    <mergeCell ref="K80:L80"/>
    <mergeCell ref="K68:L68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2" manualBreakCount="2">
    <brk id="28" max="11" man="1"/>
    <brk id="54" max="11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9">
    <tabColor rgb="FF92D050"/>
    <outlinePr summaryBelow="0" summaryRight="0"/>
  </sheetPr>
  <dimension ref="A1:S106"/>
  <sheetViews>
    <sheetView view="pageBreakPreview" topLeftCell="A51" zoomScaleNormal="60" zoomScaleSheetLayoutView="100" workbookViewId="0">
      <selection activeCell="A81" sqref="A81:L82"/>
    </sheetView>
  </sheetViews>
  <sheetFormatPr defaultColWidth="12.5703125" defaultRowHeight="15.75" customHeight="1"/>
  <cols>
    <col min="1" max="1" width="6.42578125" style="98" customWidth="1"/>
    <col min="2" max="10" width="11.5703125" style="98" customWidth="1"/>
    <col min="11" max="12" width="12.85546875" style="98" customWidth="1"/>
    <col min="13" max="13" width="12.5703125" style="99"/>
    <col min="14" max="18" width="12.5703125" style="188"/>
    <col min="19" max="16384" width="12.5703125" style="98"/>
  </cols>
  <sheetData>
    <row r="1" spans="1:19" ht="15.75" customHeight="1">
      <c r="A1" s="526" t="s">
        <v>350</v>
      </c>
      <c r="B1" s="526"/>
      <c r="C1" s="526"/>
      <c r="D1" s="526"/>
      <c r="E1" s="526"/>
      <c r="F1" s="526"/>
      <c r="G1" s="526"/>
      <c r="H1" s="526"/>
      <c r="I1" s="526"/>
      <c r="J1" s="526"/>
      <c r="K1" s="526"/>
      <c r="L1" s="526"/>
      <c r="M1" s="98"/>
    </row>
    <row r="2" spans="1:19" s="99" customFormat="1" ht="15.75" customHeight="1">
      <c r="A2" s="526"/>
      <c r="B2" s="526"/>
      <c r="C2" s="526"/>
      <c r="D2" s="526"/>
      <c r="E2" s="526"/>
      <c r="F2" s="526"/>
      <c r="G2" s="526"/>
      <c r="H2" s="526"/>
      <c r="I2" s="526"/>
      <c r="J2" s="526"/>
      <c r="K2" s="526"/>
      <c r="L2" s="526"/>
      <c r="N2" s="189"/>
      <c r="O2" s="189"/>
      <c r="P2" s="189"/>
      <c r="Q2" s="189"/>
      <c r="R2" s="189"/>
    </row>
    <row r="3" spans="1:19" s="188" customFormat="1" ht="15.75" customHeight="1">
      <c r="A3" s="624" t="s">
        <v>615</v>
      </c>
      <c r="B3" s="624"/>
      <c r="C3" s="624"/>
      <c r="D3" s="624"/>
      <c r="E3" s="624"/>
      <c r="F3" s="624"/>
      <c r="G3" s="624"/>
      <c r="H3" s="624"/>
      <c r="I3" s="624"/>
      <c r="J3" s="624"/>
      <c r="K3" s="624"/>
      <c r="L3" s="624"/>
    </row>
    <row r="4" spans="1:19" s="189" customFormat="1" ht="15.75" customHeight="1">
      <c r="A4" s="624"/>
      <c r="B4" s="624"/>
      <c r="C4" s="624"/>
      <c r="D4" s="624"/>
      <c r="E4" s="624"/>
      <c r="F4" s="624"/>
      <c r="G4" s="624"/>
      <c r="H4" s="624"/>
      <c r="I4" s="624"/>
      <c r="J4" s="624"/>
      <c r="K4" s="624"/>
      <c r="L4" s="624"/>
    </row>
    <row r="5" spans="1:19" s="105" customFormat="1" ht="15.75" customHeight="1">
      <c r="A5" s="636" t="s">
        <v>162</v>
      </c>
      <c r="B5" s="169">
        <v>1</v>
      </c>
      <c r="C5" s="169">
        <v>2</v>
      </c>
      <c r="D5" s="169">
        <v>3</v>
      </c>
      <c r="E5" s="169">
        <v>4</v>
      </c>
      <c r="F5" s="190">
        <v>5</v>
      </c>
      <c r="G5" s="190">
        <v>6</v>
      </c>
      <c r="H5" s="169">
        <v>7</v>
      </c>
      <c r="I5" s="169">
        <v>8</v>
      </c>
      <c r="J5" s="169">
        <v>9</v>
      </c>
      <c r="K5" s="191"/>
      <c r="L5" s="191"/>
      <c r="M5" s="192"/>
      <c r="N5" s="178"/>
      <c r="O5" s="178"/>
      <c r="P5" s="178"/>
      <c r="Q5" s="178"/>
      <c r="R5" s="178"/>
      <c r="S5" s="177"/>
    </row>
    <row r="6" spans="1:19" ht="15.75" customHeight="1">
      <c r="A6" s="637"/>
      <c r="B6" s="194" t="s">
        <v>189</v>
      </c>
      <c r="C6" s="194" t="s">
        <v>155</v>
      </c>
      <c r="D6" s="194" t="s">
        <v>190</v>
      </c>
      <c r="E6" s="194" t="s">
        <v>156</v>
      </c>
      <c r="F6" s="193" t="s">
        <v>327</v>
      </c>
      <c r="G6" s="208" t="s">
        <v>136</v>
      </c>
      <c r="H6" s="196" t="s">
        <v>191</v>
      </c>
      <c r="I6" s="195" t="s">
        <v>351</v>
      </c>
      <c r="J6" s="195" t="s">
        <v>142</v>
      </c>
      <c r="K6" s="197"/>
      <c r="L6" s="197"/>
      <c r="M6" s="189"/>
      <c r="N6" s="178"/>
      <c r="O6" s="178"/>
      <c r="P6" s="178"/>
      <c r="Q6" s="178"/>
      <c r="R6" s="178"/>
      <c r="S6" s="188"/>
    </row>
    <row r="7" spans="1:19" s="105" customFormat="1" ht="14.25">
      <c r="A7" s="638" t="s">
        <v>171</v>
      </c>
      <c r="B7" s="639"/>
      <c r="C7" s="159" t="s">
        <v>47</v>
      </c>
      <c r="D7" s="638" t="s">
        <v>12</v>
      </c>
      <c r="E7" s="640"/>
      <c r="F7" s="639"/>
      <c r="G7" s="159" t="s">
        <v>46</v>
      </c>
      <c r="H7" s="159" t="s">
        <v>352</v>
      </c>
      <c r="I7" s="159" t="s">
        <v>353</v>
      </c>
      <c r="J7" s="159" t="s">
        <v>311</v>
      </c>
      <c r="K7" s="638" t="s">
        <v>51</v>
      </c>
      <c r="L7" s="639"/>
      <c r="M7" s="192"/>
      <c r="N7" s="178"/>
      <c r="O7" s="495"/>
      <c r="P7" s="495"/>
      <c r="Q7" s="495"/>
      <c r="R7" s="178"/>
      <c r="S7" s="177"/>
    </row>
    <row r="8" spans="1:19" ht="13.5">
      <c r="A8" s="636">
        <v>5</v>
      </c>
      <c r="B8" s="642" t="s">
        <v>327</v>
      </c>
      <c r="C8" s="199">
        <v>1</v>
      </c>
      <c r="D8" s="622" t="s">
        <v>518</v>
      </c>
      <c r="E8" s="623"/>
      <c r="F8" s="623"/>
      <c r="G8" s="201">
        <v>17</v>
      </c>
      <c r="H8" s="201">
        <v>1795.6351185148455</v>
      </c>
      <c r="I8" s="202">
        <v>105.62559520675561</v>
      </c>
      <c r="J8" s="351">
        <v>0.33147755969679338</v>
      </c>
      <c r="K8" s="622" t="s">
        <v>405</v>
      </c>
      <c r="L8" s="623"/>
      <c r="N8" s="178"/>
      <c r="O8" s="178"/>
      <c r="P8" s="496"/>
      <c r="Q8" s="496"/>
      <c r="R8" s="178"/>
      <c r="S8" s="188"/>
    </row>
    <row r="9" spans="1:19" ht="13.5">
      <c r="A9" s="641"/>
      <c r="B9" s="643"/>
      <c r="C9" s="199">
        <v>2</v>
      </c>
      <c r="D9" s="622" t="s">
        <v>443</v>
      </c>
      <c r="E9" s="623"/>
      <c r="F9" s="623"/>
      <c r="G9" s="201">
        <v>19</v>
      </c>
      <c r="H9" s="201">
        <v>1795.4511960520019</v>
      </c>
      <c r="I9" s="202">
        <v>94.497431371158001</v>
      </c>
      <c r="J9" s="351">
        <v>0.28389753657152994</v>
      </c>
      <c r="K9" s="622" t="s">
        <v>405</v>
      </c>
      <c r="L9" s="623"/>
      <c r="N9" s="178"/>
      <c r="O9" s="178"/>
      <c r="P9" s="496"/>
      <c r="Q9" s="496"/>
      <c r="R9" s="178"/>
      <c r="S9" s="188"/>
    </row>
    <row r="10" spans="1:19" ht="13.5">
      <c r="A10" s="641"/>
      <c r="B10" s="643"/>
      <c r="C10" s="199">
        <v>3</v>
      </c>
      <c r="D10" s="622" t="s">
        <v>554</v>
      </c>
      <c r="E10" s="623"/>
      <c r="F10" s="623"/>
      <c r="G10" s="201">
        <v>20</v>
      </c>
      <c r="H10" s="201">
        <v>1795.3545183099479</v>
      </c>
      <c r="I10" s="202">
        <v>89.767725915497394</v>
      </c>
      <c r="J10" s="351">
        <v>0.26486877264025566</v>
      </c>
      <c r="K10" s="622" t="s">
        <v>405</v>
      </c>
      <c r="L10" s="623"/>
      <c r="N10" s="178"/>
      <c r="O10" s="178"/>
      <c r="P10" s="496"/>
      <c r="Q10" s="496"/>
      <c r="R10" s="178"/>
      <c r="S10" s="188"/>
    </row>
    <row r="11" spans="1:19" ht="13.5">
      <c r="A11" s="641"/>
      <c r="B11" s="643"/>
      <c r="C11" s="199">
        <v>4</v>
      </c>
      <c r="D11" s="622" t="s">
        <v>322</v>
      </c>
      <c r="E11" s="623"/>
      <c r="F11" s="623"/>
      <c r="G11" s="201">
        <v>23</v>
      </c>
      <c r="H11" s="201">
        <v>1799.5063717140899</v>
      </c>
      <c r="I11" s="202">
        <v>78.239407465830013</v>
      </c>
      <c r="J11" s="351">
        <v>0.13199883289991021</v>
      </c>
      <c r="K11" s="622" t="s">
        <v>405</v>
      </c>
      <c r="L11" s="623"/>
      <c r="N11" s="178"/>
      <c r="O11" s="178"/>
      <c r="P11" s="496"/>
      <c r="Q11" s="496"/>
      <c r="R11" s="178"/>
      <c r="S11" s="188"/>
    </row>
    <row r="12" spans="1:19" ht="13.5">
      <c r="A12" s="641"/>
      <c r="B12" s="643"/>
      <c r="C12" s="199">
        <v>5</v>
      </c>
      <c r="D12" s="622" t="s">
        <v>320</v>
      </c>
      <c r="E12" s="623"/>
      <c r="F12" s="623"/>
      <c r="G12" s="201">
        <v>23</v>
      </c>
      <c r="H12" s="201">
        <v>1799.4841797594167</v>
      </c>
      <c r="I12" s="202">
        <v>78.238442598235537</v>
      </c>
      <c r="J12" s="351">
        <v>0.23711296312518471</v>
      </c>
      <c r="K12" s="622" t="s">
        <v>405</v>
      </c>
      <c r="L12" s="623"/>
      <c r="N12" s="178"/>
      <c r="O12" s="178"/>
      <c r="P12" s="496"/>
      <c r="Q12" s="496"/>
      <c r="R12" s="178"/>
      <c r="S12" s="188"/>
    </row>
    <row r="13" spans="1:19" ht="13.5">
      <c r="A13" s="641"/>
      <c r="B13" s="643"/>
      <c r="C13" s="203" t="s">
        <v>187</v>
      </c>
      <c r="D13" s="622" t="s">
        <v>321</v>
      </c>
      <c r="E13" s="623"/>
      <c r="F13" s="623"/>
      <c r="G13" s="201">
        <v>24</v>
      </c>
      <c r="H13" s="201">
        <v>1798.893059770608</v>
      </c>
      <c r="I13" s="202">
        <v>74.953877490442011</v>
      </c>
      <c r="J13" s="351">
        <v>0.36351842791037825</v>
      </c>
      <c r="K13" s="622" t="s">
        <v>405</v>
      </c>
      <c r="L13" s="623"/>
      <c r="N13" s="178"/>
      <c r="O13" s="178"/>
      <c r="P13" s="496"/>
      <c r="Q13" s="496"/>
      <c r="R13" s="178"/>
      <c r="S13" s="188"/>
    </row>
    <row r="14" spans="1:19" ht="13.5">
      <c r="A14" s="641"/>
      <c r="B14" s="643"/>
      <c r="C14" s="203" t="s">
        <v>192</v>
      </c>
      <c r="D14" s="622" t="s">
        <v>580</v>
      </c>
      <c r="E14" s="623"/>
      <c r="F14" s="623"/>
      <c r="G14" s="201">
        <v>21</v>
      </c>
      <c r="H14" s="201">
        <v>1622.6332543740639</v>
      </c>
      <c r="I14" s="202">
        <v>77.268250208288762</v>
      </c>
      <c r="J14" s="351">
        <v>3.3035734623183544E-3</v>
      </c>
      <c r="K14" s="622" t="s">
        <v>405</v>
      </c>
      <c r="L14" s="623"/>
      <c r="N14" s="178"/>
      <c r="O14" s="178"/>
      <c r="P14" s="496"/>
      <c r="Q14" s="496"/>
      <c r="R14" s="178"/>
      <c r="S14" s="188"/>
    </row>
    <row r="15" spans="1:19" ht="13.5">
      <c r="A15" s="641"/>
      <c r="B15" s="643"/>
      <c r="C15" s="203" t="s">
        <v>188</v>
      </c>
      <c r="D15" s="622" t="s">
        <v>328</v>
      </c>
      <c r="E15" s="623"/>
      <c r="F15" s="623"/>
      <c r="G15" s="201">
        <v>23</v>
      </c>
      <c r="H15" s="201">
        <v>1798.2785907695647</v>
      </c>
      <c r="I15" s="202">
        <v>78.18602568563324</v>
      </c>
      <c r="J15" s="351">
        <v>0.18301353955526167</v>
      </c>
      <c r="K15" s="622" t="s">
        <v>405</v>
      </c>
      <c r="L15" s="623"/>
      <c r="N15" s="178"/>
      <c r="O15" s="178"/>
      <c r="P15" s="496"/>
      <c r="Q15" s="496"/>
      <c r="R15" s="178"/>
      <c r="S15" s="188"/>
    </row>
    <row r="16" spans="1:19" ht="13.5">
      <c r="A16" s="641"/>
      <c r="B16" s="643"/>
      <c r="C16" s="203" t="s">
        <v>193</v>
      </c>
      <c r="D16" s="622"/>
      <c r="E16" s="623"/>
      <c r="F16" s="623"/>
      <c r="G16" s="201"/>
      <c r="H16" s="201"/>
      <c r="I16" s="202"/>
      <c r="J16" s="351"/>
      <c r="K16" s="630"/>
      <c r="L16" s="632"/>
      <c r="M16" s="98"/>
      <c r="N16" s="178"/>
      <c r="O16" s="178"/>
      <c r="P16" s="496"/>
      <c r="Q16" s="496"/>
      <c r="R16" s="178"/>
      <c r="S16" s="188"/>
    </row>
    <row r="17" spans="1:19" ht="13.5">
      <c r="A17" s="637"/>
      <c r="B17" s="644"/>
      <c r="C17" s="203" t="s">
        <v>194</v>
      </c>
      <c r="D17" s="622"/>
      <c r="E17" s="623"/>
      <c r="F17" s="623"/>
      <c r="G17" s="201"/>
      <c r="H17" s="201"/>
      <c r="I17" s="202"/>
      <c r="J17" s="199"/>
      <c r="K17" s="630"/>
      <c r="L17" s="632"/>
      <c r="M17" s="98"/>
      <c r="N17" s="178"/>
      <c r="O17" s="178"/>
      <c r="P17" s="496"/>
      <c r="Q17" s="496"/>
      <c r="R17" s="178"/>
      <c r="S17" s="188"/>
    </row>
    <row r="18" spans="1:19" s="103" customFormat="1" ht="14.25">
      <c r="A18" s="633" t="s">
        <v>171</v>
      </c>
      <c r="B18" s="635"/>
      <c r="C18" s="206" t="s">
        <v>47</v>
      </c>
      <c r="D18" s="626" t="s">
        <v>12</v>
      </c>
      <c r="E18" s="627"/>
      <c r="F18" s="627"/>
      <c r="G18" s="206" t="s">
        <v>46</v>
      </c>
      <c r="H18" s="206" t="s">
        <v>352</v>
      </c>
      <c r="I18" s="206" t="s">
        <v>353</v>
      </c>
      <c r="J18" s="159" t="s">
        <v>311</v>
      </c>
      <c r="K18" s="633" t="s">
        <v>51</v>
      </c>
      <c r="L18" s="635"/>
      <c r="M18" s="127"/>
      <c r="N18" s="178"/>
      <c r="O18" s="178"/>
      <c r="P18" s="496"/>
      <c r="Q18" s="496"/>
      <c r="R18" s="178"/>
      <c r="S18" s="198"/>
    </row>
    <row r="19" spans="1:19" ht="13.5">
      <c r="A19" s="636">
        <v>6</v>
      </c>
      <c r="B19" s="642" t="s">
        <v>136</v>
      </c>
      <c r="C19" s="199">
        <v>1</v>
      </c>
      <c r="D19" s="622" t="s">
        <v>525</v>
      </c>
      <c r="E19" s="623"/>
      <c r="F19" s="623"/>
      <c r="G19" s="199">
        <v>20</v>
      </c>
      <c r="H19" s="201">
        <v>1799.6744781929467</v>
      </c>
      <c r="I19" s="202">
        <v>89.983723909647338</v>
      </c>
      <c r="J19" s="351">
        <v>6.7868603443002939E-2</v>
      </c>
      <c r="K19" s="622" t="s">
        <v>405</v>
      </c>
      <c r="L19" s="623"/>
      <c r="M19" s="98"/>
      <c r="N19" s="178"/>
      <c r="O19" s="178"/>
      <c r="P19" s="496"/>
      <c r="Q19" s="496"/>
      <c r="R19" s="178"/>
      <c r="S19" s="188"/>
    </row>
    <row r="20" spans="1:19" ht="13.5">
      <c r="A20" s="641"/>
      <c r="B20" s="643"/>
      <c r="C20" s="199">
        <v>2</v>
      </c>
      <c r="D20" s="622" t="s">
        <v>415</v>
      </c>
      <c r="E20" s="623"/>
      <c r="F20" s="623"/>
      <c r="G20" s="201">
        <v>20</v>
      </c>
      <c r="H20" s="201">
        <v>1797.09388324867</v>
      </c>
      <c r="I20" s="202">
        <v>89.854694162433503</v>
      </c>
      <c r="J20" s="351">
        <v>0.21382347034823113</v>
      </c>
      <c r="K20" s="622" t="s">
        <v>405</v>
      </c>
      <c r="L20" s="623"/>
      <c r="M20" s="98"/>
      <c r="N20" s="178"/>
      <c r="O20" s="178"/>
      <c r="P20" s="496"/>
      <c r="Q20" s="496"/>
      <c r="R20" s="178"/>
      <c r="S20" s="188"/>
    </row>
    <row r="21" spans="1:19" ht="13.5">
      <c r="A21" s="641"/>
      <c r="B21" s="643"/>
      <c r="C21" s="199">
        <v>3</v>
      </c>
      <c r="D21" s="622" t="s">
        <v>413</v>
      </c>
      <c r="E21" s="623"/>
      <c r="F21" s="623"/>
      <c r="G21" s="201">
        <v>22</v>
      </c>
      <c r="H21" s="201">
        <v>1798.0689357827664</v>
      </c>
      <c r="I21" s="202">
        <v>81.73040617194394</v>
      </c>
      <c r="J21" s="351">
        <v>0.22117266014602421</v>
      </c>
      <c r="K21" s="622" t="s">
        <v>405</v>
      </c>
      <c r="L21" s="623"/>
      <c r="M21" s="98"/>
      <c r="N21" s="178"/>
      <c r="O21" s="178"/>
      <c r="P21" s="496"/>
      <c r="Q21" s="496"/>
      <c r="R21" s="178"/>
      <c r="S21" s="188"/>
    </row>
    <row r="22" spans="1:19" ht="13.5">
      <c r="A22" s="641"/>
      <c r="B22" s="643"/>
      <c r="C22" s="199">
        <v>4</v>
      </c>
      <c r="D22" s="622" t="s">
        <v>329</v>
      </c>
      <c r="E22" s="623"/>
      <c r="F22" s="623"/>
      <c r="G22" s="199">
        <v>23</v>
      </c>
      <c r="H22" s="201">
        <v>1798.4173487769492</v>
      </c>
      <c r="I22" s="202">
        <v>78.192058642476042</v>
      </c>
      <c r="J22" s="351">
        <v>0.206411576668458</v>
      </c>
      <c r="K22" s="622" t="s">
        <v>405</v>
      </c>
      <c r="L22" s="623"/>
      <c r="M22" s="98"/>
      <c r="N22" s="178"/>
      <c r="O22" s="178"/>
      <c r="P22" s="496"/>
      <c r="Q22" s="496"/>
      <c r="R22" s="178"/>
      <c r="S22" s="188"/>
    </row>
    <row r="23" spans="1:19" ht="13.5">
      <c r="A23" s="641"/>
      <c r="B23" s="643"/>
      <c r="C23" s="199">
        <v>5</v>
      </c>
      <c r="D23" s="622" t="s">
        <v>331</v>
      </c>
      <c r="E23" s="623"/>
      <c r="F23" s="623"/>
      <c r="G23" s="201">
        <v>23</v>
      </c>
      <c r="H23" s="201">
        <v>1798.047943840837</v>
      </c>
      <c r="I23" s="202">
        <v>78.175997558297254</v>
      </c>
      <c r="J23" s="351">
        <v>0.20256378794044849</v>
      </c>
      <c r="K23" s="622" t="s">
        <v>405</v>
      </c>
      <c r="L23" s="623"/>
      <c r="M23" s="98"/>
      <c r="N23" s="178"/>
      <c r="O23" s="178"/>
      <c r="P23" s="496"/>
      <c r="Q23" s="496"/>
      <c r="R23" s="178"/>
      <c r="S23" s="188"/>
    </row>
    <row r="24" spans="1:19" ht="13.5">
      <c r="A24" s="641"/>
      <c r="B24" s="643"/>
      <c r="C24" s="203" t="s">
        <v>187</v>
      </c>
      <c r="D24" s="622" t="s">
        <v>471</v>
      </c>
      <c r="E24" s="623"/>
      <c r="F24" s="623"/>
      <c r="G24" s="199">
        <v>25</v>
      </c>
      <c r="H24" s="201">
        <v>1798.3579812124076</v>
      </c>
      <c r="I24" s="202">
        <v>71.934319248496294</v>
      </c>
      <c r="J24" s="351">
        <v>0.21956153017634961</v>
      </c>
      <c r="K24" s="622" t="s">
        <v>405</v>
      </c>
      <c r="L24" s="623"/>
      <c r="M24" s="98"/>
      <c r="N24" s="178"/>
      <c r="O24" s="178"/>
      <c r="P24" s="496"/>
      <c r="Q24" s="496"/>
      <c r="R24" s="178"/>
      <c r="S24" s="188"/>
    </row>
    <row r="25" spans="1:19" ht="13.5">
      <c r="A25" s="641"/>
      <c r="B25" s="643"/>
      <c r="C25" s="203" t="s">
        <v>192</v>
      </c>
      <c r="D25" s="622" t="s">
        <v>564</v>
      </c>
      <c r="E25" s="623"/>
      <c r="F25" s="623"/>
      <c r="G25" s="199">
        <v>24</v>
      </c>
      <c r="H25" s="201">
        <v>1799.0720951222054</v>
      </c>
      <c r="I25" s="202">
        <v>74.961337296758558</v>
      </c>
      <c r="J25" s="351">
        <v>0.31847987595254779</v>
      </c>
      <c r="K25" s="622" t="s">
        <v>405</v>
      </c>
      <c r="L25" s="623"/>
      <c r="M25" s="98"/>
      <c r="N25" s="178"/>
      <c r="O25" s="178"/>
      <c r="P25" s="496"/>
      <c r="Q25" s="496"/>
      <c r="R25" s="178"/>
      <c r="S25" s="188"/>
    </row>
    <row r="26" spans="1:19" ht="13.5">
      <c r="A26" s="641"/>
      <c r="B26" s="643"/>
      <c r="C26" s="203" t="s">
        <v>188</v>
      </c>
      <c r="D26" s="622" t="s">
        <v>330</v>
      </c>
      <c r="E26" s="623"/>
      <c r="F26" s="623"/>
      <c r="G26" s="199">
        <v>24</v>
      </c>
      <c r="H26" s="201">
        <v>1799.7255861173473</v>
      </c>
      <c r="I26" s="202">
        <v>74.988566088222811</v>
      </c>
      <c r="J26" s="351">
        <v>0.55870156059442877</v>
      </c>
      <c r="K26" s="622" t="s">
        <v>405</v>
      </c>
      <c r="L26" s="623"/>
      <c r="M26" s="98"/>
      <c r="N26" s="178"/>
      <c r="O26" s="178"/>
      <c r="P26" s="496"/>
      <c r="Q26" s="496"/>
      <c r="R26" s="178"/>
      <c r="S26" s="188"/>
    </row>
    <row r="27" spans="1:19" ht="13.5">
      <c r="A27" s="641"/>
      <c r="B27" s="643"/>
      <c r="C27" s="203" t="s">
        <v>193</v>
      </c>
      <c r="D27" s="622" t="s">
        <v>411</v>
      </c>
      <c r="E27" s="623"/>
      <c r="F27" s="623"/>
      <c r="G27" s="199">
        <v>23</v>
      </c>
      <c r="H27" s="201">
        <v>1797.9481808238481</v>
      </c>
      <c r="I27" s="202">
        <v>78.171660035819485</v>
      </c>
      <c r="J27" s="351">
        <v>0.1095282009141556</v>
      </c>
      <c r="K27" s="622" t="s">
        <v>405</v>
      </c>
      <c r="L27" s="623"/>
      <c r="M27" s="98"/>
      <c r="N27" s="178"/>
      <c r="O27" s="178"/>
      <c r="P27" s="496"/>
      <c r="Q27" s="496"/>
      <c r="R27" s="178"/>
      <c r="S27" s="188"/>
    </row>
    <row r="28" spans="1:19" ht="13.5">
      <c r="A28" s="637"/>
      <c r="B28" s="644"/>
      <c r="C28" s="203" t="s">
        <v>194</v>
      </c>
      <c r="D28" s="630"/>
      <c r="E28" s="631"/>
      <c r="F28" s="632"/>
      <c r="G28" s="199"/>
      <c r="H28" s="201"/>
      <c r="I28" s="202"/>
      <c r="J28" s="351"/>
      <c r="K28" s="630"/>
      <c r="L28" s="632"/>
      <c r="M28" s="98"/>
      <c r="N28" s="178"/>
      <c r="O28" s="178"/>
      <c r="P28" s="496"/>
      <c r="Q28" s="496"/>
      <c r="R28" s="178"/>
      <c r="S28" s="188"/>
    </row>
    <row r="29" spans="1:19" s="188" customFormat="1" ht="15.75" customHeight="1">
      <c r="A29" s="624" t="s">
        <v>631</v>
      </c>
      <c r="B29" s="624"/>
      <c r="C29" s="624"/>
      <c r="D29" s="624"/>
      <c r="E29" s="624"/>
      <c r="F29" s="624"/>
      <c r="G29" s="624"/>
      <c r="H29" s="624"/>
      <c r="I29" s="624"/>
      <c r="J29" s="624"/>
      <c r="K29" s="624"/>
      <c r="L29" s="624"/>
    </row>
    <row r="30" spans="1:19" s="189" customFormat="1" ht="15.75" customHeight="1">
      <c r="A30" s="624"/>
      <c r="B30" s="624"/>
      <c r="C30" s="624"/>
      <c r="D30" s="624"/>
      <c r="E30" s="624"/>
      <c r="F30" s="624"/>
      <c r="G30" s="624"/>
      <c r="H30" s="624"/>
      <c r="I30" s="624"/>
      <c r="J30" s="624"/>
      <c r="K30" s="624"/>
      <c r="L30" s="624"/>
    </row>
    <row r="31" spans="1:19" s="105" customFormat="1" ht="15.75" customHeight="1">
      <c r="A31" s="636" t="s">
        <v>162</v>
      </c>
      <c r="B31" s="169">
        <v>1</v>
      </c>
      <c r="C31" s="169">
        <v>2</v>
      </c>
      <c r="D31" s="169">
        <v>3</v>
      </c>
      <c r="E31" s="169">
        <v>4</v>
      </c>
      <c r="F31" s="190">
        <v>5</v>
      </c>
      <c r="G31" s="190">
        <v>6</v>
      </c>
      <c r="H31" s="169">
        <v>7</v>
      </c>
      <c r="I31" s="169">
        <v>8</v>
      </c>
      <c r="J31" s="169">
        <v>9</v>
      </c>
      <c r="K31" s="191"/>
      <c r="L31" s="191"/>
      <c r="M31" s="192"/>
      <c r="N31" s="178"/>
      <c r="O31" s="178"/>
      <c r="P31" s="178"/>
      <c r="Q31" s="178"/>
      <c r="R31" s="178"/>
      <c r="S31" s="177"/>
    </row>
    <row r="32" spans="1:19" ht="15.75" customHeight="1">
      <c r="A32" s="637"/>
      <c r="B32" s="194" t="s">
        <v>189</v>
      </c>
      <c r="C32" s="194" t="s">
        <v>155</v>
      </c>
      <c r="D32" s="194" t="s">
        <v>190</v>
      </c>
      <c r="E32" s="194" t="s">
        <v>156</v>
      </c>
      <c r="F32" s="193" t="s">
        <v>327</v>
      </c>
      <c r="G32" s="208" t="s">
        <v>136</v>
      </c>
      <c r="H32" s="196" t="s">
        <v>191</v>
      </c>
      <c r="I32" s="195" t="s">
        <v>351</v>
      </c>
      <c r="J32" s="195" t="s">
        <v>142</v>
      </c>
      <c r="K32" s="197"/>
      <c r="L32" s="197"/>
      <c r="M32" s="189"/>
      <c r="N32" s="178"/>
      <c r="O32" s="178"/>
      <c r="P32" s="178"/>
      <c r="Q32" s="178"/>
      <c r="R32" s="178"/>
      <c r="S32" s="188"/>
    </row>
    <row r="33" spans="1:19" s="105" customFormat="1" ht="14.25">
      <c r="A33" s="638" t="s">
        <v>171</v>
      </c>
      <c r="B33" s="639"/>
      <c r="C33" s="159" t="s">
        <v>47</v>
      </c>
      <c r="D33" s="638" t="s">
        <v>12</v>
      </c>
      <c r="E33" s="640"/>
      <c r="F33" s="639"/>
      <c r="G33" s="159" t="s">
        <v>46</v>
      </c>
      <c r="H33" s="159" t="s">
        <v>352</v>
      </c>
      <c r="I33" s="159" t="s">
        <v>353</v>
      </c>
      <c r="J33" s="159" t="s">
        <v>311</v>
      </c>
      <c r="K33" s="638" t="s">
        <v>51</v>
      </c>
      <c r="L33" s="639"/>
      <c r="M33" s="192"/>
      <c r="N33" s="178"/>
      <c r="O33" s="495"/>
      <c r="P33" s="495"/>
      <c r="Q33" s="495"/>
      <c r="R33" s="178"/>
      <c r="S33" s="177"/>
    </row>
    <row r="34" spans="1:19" ht="13.5">
      <c r="A34" s="636">
        <v>5</v>
      </c>
      <c r="B34" s="642" t="s">
        <v>327</v>
      </c>
      <c r="C34" s="199">
        <v>1</v>
      </c>
      <c r="D34" s="622" t="s">
        <v>518</v>
      </c>
      <c r="E34" s="623"/>
      <c r="F34" s="623"/>
      <c r="G34" s="201">
        <v>17</v>
      </c>
      <c r="H34" s="201">
        <v>1802.3920435033706</v>
      </c>
      <c r="I34" s="202">
        <v>106.02306138255121</v>
      </c>
      <c r="J34" s="351">
        <f>I34-I8</f>
        <v>0.39746617579559995</v>
      </c>
      <c r="K34" s="622" t="s">
        <v>405</v>
      </c>
      <c r="L34" s="623"/>
      <c r="N34" s="178"/>
      <c r="O34" s="178"/>
      <c r="P34" s="496"/>
      <c r="Q34" s="496"/>
      <c r="R34" s="178"/>
      <c r="S34" s="188"/>
    </row>
    <row r="35" spans="1:19" ht="13.5">
      <c r="A35" s="641"/>
      <c r="B35" s="643"/>
      <c r="C35" s="199">
        <v>2</v>
      </c>
      <c r="D35" s="622" t="s">
        <v>443</v>
      </c>
      <c r="E35" s="623"/>
      <c r="F35" s="623"/>
      <c r="G35" s="201">
        <v>19</v>
      </c>
      <c r="H35" s="201">
        <v>1802.0000000000002</v>
      </c>
      <c r="I35" s="202">
        <v>94.84210526315789</v>
      </c>
      <c r="J35" s="351">
        <f>I35-I9</f>
        <v>0.34467389199988929</v>
      </c>
      <c r="K35" s="622" t="s">
        <v>405</v>
      </c>
      <c r="L35" s="623"/>
      <c r="N35" s="178"/>
      <c r="O35" s="178"/>
      <c r="P35" s="496"/>
      <c r="Q35" s="496"/>
      <c r="R35" s="178"/>
      <c r="S35" s="188"/>
    </row>
    <row r="36" spans="1:19" ht="13.5">
      <c r="A36" s="641"/>
      <c r="B36" s="643"/>
      <c r="C36" s="199">
        <v>3</v>
      </c>
      <c r="D36" s="622" t="s">
        <v>554</v>
      </c>
      <c r="E36" s="623"/>
      <c r="F36" s="623"/>
      <c r="G36" s="201">
        <v>20</v>
      </c>
      <c r="H36" s="201">
        <v>1802.0857142857144</v>
      </c>
      <c r="I36" s="202">
        <v>90.104285714285723</v>
      </c>
      <c r="J36" s="351">
        <f>I36-I10</f>
        <v>0.33655979878832909</v>
      </c>
      <c r="K36" s="622" t="s">
        <v>405</v>
      </c>
      <c r="L36" s="623"/>
      <c r="N36" s="178"/>
      <c r="O36" s="178"/>
      <c r="P36" s="496"/>
      <c r="Q36" s="496"/>
      <c r="R36" s="178"/>
      <c r="S36" s="188"/>
    </row>
    <row r="37" spans="1:19" ht="13.5">
      <c r="A37" s="641"/>
      <c r="B37" s="643"/>
      <c r="C37" s="199">
        <v>4</v>
      </c>
      <c r="D37" s="622" t="s">
        <v>322</v>
      </c>
      <c r="E37" s="623"/>
      <c r="F37" s="623"/>
      <c r="G37" s="201">
        <v>23</v>
      </c>
      <c r="H37" s="201">
        <v>1804.2050013523046</v>
      </c>
      <c r="I37" s="202">
        <v>78.443695710969749</v>
      </c>
      <c r="J37" s="351">
        <f>I37-I11</f>
        <v>0.20428824513973609</v>
      </c>
      <c r="K37" s="622" t="s">
        <v>405</v>
      </c>
      <c r="L37" s="623"/>
      <c r="N37" s="178"/>
      <c r="O37" s="178"/>
      <c r="P37" s="496"/>
      <c r="Q37" s="496"/>
      <c r="R37" s="178"/>
      <c r="S37" s="188"/>
    </row>
    <row r="38" spans="1:19" ht="13.5">
      <c r="A38" s="641"/>
      <c r="B38" s="643"/>
      <c r="C38" s="199">
        <v>5</v>
      </c>
      <c r="D38" s="622" t="s">
        <v>328</v>
      </c>
      <c r="E38" s="623"/>
      <c r="F38" s="623"/>
      <c r="G38" s="201">
        <v>23</v>
      </c>
      <c r="H38" s="201">
        <v>1802.5498218137109</v>
      </c>
      <c r="I38" s="202">
        <v>78.371731383204832</v>
      </c>
      <c r="J38" s="351">
        <f>I38-I15</f>
        <v>0.18570569757159205</v>
      </c>
      <c r="K38" s="622" t="s">
        <v>405</v>
      </c>
      <c r="L38" s="623"/>
      <c r="N38" s="178"/>
      <c r="O38" s="178"/>
      <c r="P38" s="496"/>
      <c r="Q38" s="496"/>
      <c r="R38" s="178"/>
      <c r="S38" s="188"/>
    </row>
    <row r="39" spans="1:19" ht="13.5">
      <c r="A39" s="641"/>
      <c r="B39" s="643"/>
      <c r="C39" s="203" t="s">
        <v>187</v>
      </c>
      <c r="D39" s="622" t="s">
        <v>321</v>
      </c>
      <c r="E39" s="623"/>
      <c r="F39" s="623"/>
      <c r="G39" s="201">
        <v>24</v>
      </c>
      <c r="H39" s="201">
        <v>1803.7159486916662</v>
      </c>
      <c r="I39" s="202">
        <v>75.154831195486096</v>
      </c>
      <c r="J39" s="351">
        <f>I39-I13</f>
        <v>0.2009537050440855</v>
      </c>
      <c r="K39" s="622" t="s">
        <v>405</v>
      </c>
      <c r="L39" s="623"/>
      <c r="N39" s="178"/>
      <c r="O39" s="178"/>
      <c r="P39" s="496"/>
      <c r="Q39" s="496"/>
      <c r="R39" s="178"/>
      <c r="S39" s="188"/>
    </row>
    <row r="40" spans="1:19" ht="13.5">
      <c r="A40" s="641"/>
      <c r="B40" s="643"/>
      <c r="C40" s="203" t="s">
        <v>192</v>
      </c>
      <c r="D40" s="622" t="s">
        <v>580</v>
      </c>
      <c r="E40" s="623"/>
      <c r="F40" s="623"/>
      <c r="G40" s="201">
        <v>21</v>
      </c>
      <c r="H40" s="201">
        <v>1622.7852637302269</v>
      </c>
      <c r="I40" s="202">
        <v>77.275488749058397</v>
      </c>
      <c r="J40" s="351">
        <f>I40-I14</f>
        <v>7.2385407696344828E-3</v>
      </c>
      <c r="K40" s="622" t="s">
        <v>405</v>
      </c>
      <c r="L40" s="623"/>
      <c r="N40" s="178"/>
      <c r="O40" s="178"/>
      <c r="P40" s="496"/>
      <c r="Q40" s="496"/>
      <c r="R40" s="178"/>
      <c r="S40" s="188"/>
    </row>
    <row r="41" spans="1:19" ht="13.5">
      <c r="A41" s="641"/>
      <c r="B41" s="643"/>
      <c r="C41" s="203" t="s">
        <v>188</v>
      </c>
      <c r="D41" s="622" t="s">
        <v>320</v>
      </c>
      <c r="E41" s="623"/>
      <c r="F41" s="623"/>
      <c r="G41" s="201">
        <v>23</v>
      </c>
      <c r="H41" s="201">
        <v>1802.1446439935044</v>
      </c>
      <c r="I41" s="202">
        <v>78.354114956239314</v>
      </c>
      <c r="J41" s="351">
        <f>I41-I12</f>
        <v>0.11567235800377773</v>
      </c>
      <c r="K41" s="622" t="s">
        <v>405</v>
      </c>
      <c r="L41" s="623"/>
      <c r="N41" s="178"/>
      <c r="O41" s="178"/>
      <c r="P41" s="496"/>
      <c r="Q41" s="496"/>
      <c r="R41" s="178"/>
      <c r="S41" s="188"/>
    </row>
    <row r="42" spans="1:19" ht="13.5">
      <c r="A42" s="641"/>
      <c r="B42" s="643"/>
      <c r="C42" s="203" t="s">
        <v>193</v>
      </c>
      <c r="D42" s="622"/>
      <c r="E42" s="623"/>
      <c r="F42" s="623"/>
      <c r="G42" s="201"/>
      <c r="H42" s="201"/>
      <c r="I42" s="202"/>
      <c r="J42" s="351"/>
      <c r="K42" s="630"/>
      <c r="L42" s="632"/>
      <c r="M42" s="98"/>
      <c r="N42" s="178"/>
      <c r="O42" s="178"/>
      <c r="P42" s="496"/>
      <c r="Q42" s="496"/>
      <c r="R42" s="178"/>
      <c r="S42" s="188"/>
    </row>
    <row r="43" spans="1:19" ht="13.5">
      <c r="A43" s="637"/>
      <c r="B43" s="644"/>
      <c r="C43" s="203" t="s">
        <v>194</v>
      </c>
      <c r="D43" s="622"/>
      <c r="E43" s="623"/>
      <c r="F43" s="623"/>
      <c r="G43" s="201"/>
      <c r="H43" s="201"/>
      <c r="I43" s="202"/>
      <c r="J43" s="199"/>
      <c r="K43" s="630"/>
      <c r="L43" s="632"/>
      <c r="M43" s="98"/>
      <c r="N43" s="178"/>
      <c r="O43" s="178"/>
      <c r="P43" s="496"/>
      <c r="Q43" s="496"/>
      <c r="R43" s="178"/>
      <c r="S43" s="188"/>
    </row>
    <row r="44" spans="1:19" s="103" customFormat="1" ht="14.25">
      <c r="A44" s="633" t="s">
        <v>171</v>
      </c>
      <c r="B44" s="635"/>
      <c r="C44" s="206" t="s">
        <v>47</v>
      </c>
      <c r="D44" s="626" t="s">
        <v>12</v>
      </c>
      <c r="E44" s="627"/>
      <c r="F44" s="627"/>
      <c r="G44" s="206" t="s">
        <v>46</v>
      </c>
      <c r="H44" s="206" t="s">
        <v>352</v>
      </c>
      <c r="I44" s="206" t="s">
        <v>353</v>
      </c>
      <c r="J44" s="159" t="s">
        <v>311</v>
      </c>
      <c r="K44" s="633" t="s">
        <v>51</v>
      </c>
      <c r="L44" s="635"/>
      <c r="M44" s="127"/>
      <c r="N44" s="178"/>
      <c r="O44" s="178"/>
      <c r="P44" s="496"/>
      <c r="Q44" s="496"/>
      <c r="R44" s="178"/>
      <c r="S44" s="198"/>
    </row>
    <row r="45" spans="1:19" ht="13.5">
      <c r="A45" s="636">
        <v>6</v>
      </c>
      <c r="B45" s="642" t="s">
        <v>136</v>
      </c>
      <c r="C45" s="199">
        <v>1</v>
      </c>
      <c r="D45" s="622" t="s">
        <v>525</v>
      </c>
      <c r="E45" s="623"/>
      <c r="F45" s="623"/>
      <c r="G45" s="199">
        <v>20</v>
      </c>
      <c r="H45" s="201">
        <v>1801.7891523454018</v>
      </c>
      <c r="I45" s="202">
        <v>90.089457617270099</v>
      </c>
      <c r="J45" s="351">
        <f>I45-I19</f>
        <v>0.10573370762276113</v>
      </c>
      <c r="K45" s="622" t="s">
        <v>405</v>
      </c>
      <c r="L45" s="623"/>
      <c r="M45" s="98"/>
      <c r="N45" s="178"/>
      <c r="O45" s="178"/>
      <c r="P45" s="496"/>
      <c r="Q45" s="496"/>
      <c r="R45" s="178"/>
      <c r="S45" s="188"/>
    </row>
    <row r="46" spans="1:19" ht="13.5">
      <c r="A46" s="641"/>
      <c r="B46" s="643"/>
      <c r="C46" s="199">
        <v>2</v>
      </c>
      <c r="D46" s="622" t="s">
        <v>415</v>
      </c>
      <c r="E46" s="623"/>
      <c r="F46" s="623"/>
      <c r="G46" s="201">
        <v>20</v>
      </c>
      <c r="H46" s="201">
        <v>1801.4971662737767</v>
      </c>
      <c r="I46" s="202">
        <v>90.074858313688807</v>
      </c>
      <c r="J46" s="351">
        <f>I46-I20</f>
        <v>0.22016415125530386</v>
      </c>
      <c r="K46" s="622" t="s">
        <v>405</v>
      </c>
      <c r="L46" s="623"/>
      <c r="M46" s="98"/>
      <c r="N46" s="178"/>
      <c r="O46" s="178"/>
      <c r="P46" s="496"/>
      <c r="Q46" s="496"/>
      <c r="R46" s="178"/>
      <c r="S46" s="188"/>
    </row>
    <row r="47" spans="1:19" ht="13.5">
      <c r="A47" s="641"/>
      <c r="B47" s="643"/>
      <c r="C47" s="199">
        <v>3</v>
      </c>
      <c r="D47" s="622" t="s">
        <v>413</v>
      </c>
      <c r="E47" s="623"/>
      <c r="F47" s="623"/>
      <c r="G47" s="201">
        <v>22</v>
      </c>
      <c r="H47" s="201">
        <v>1801.8309791959143</v>
      </c>
      <c r="I47" s="202">
        <v>81.901408145268832</v>
      </c>
      <c r="J47" s="351">
        <f>I47-I21</f>
        <v>0.17100197332489131</v>
      </c>
      <c r="K47" s="622" t="s">
        <v>405</v>
      </c>
      <c r="L47" s="623"/>
      <c r="M47" s="98"/>
      <c r="N47" s="178"/>
      <c r="O47" s="178"/>
      <c r="P47" s="496"/>
      <c r="Q47" s="496"/>
      <c r="R47" s="178"/>
      <c r="S47" s="188"/>
    </row>
    <row r="48" spans="1:19" ht="13.5">
      <c r="A48" s="641"/>
      <c r="B48" s="643"/>
      <c r="C48" s="199">
        <v>4</v>
      </c>
      <c r="D48" s="622" t="s">
        <v>411</v>
      </c>
      <c r="E48" s="623"/>
      <c r="F48" s="623"/>
      <c r="G48" s="199">
        <v>23</v>
      </c>
      <c r="H48" s="201">
        <v>1801.7218122051327</v>
      </c>
      <c r="I48" s="202">
        <v>78.335730965440561</v>
      </c>
      <c r="J48" s="351">
        <f>I48-I27</f>
        <v>0.16407092962107583</v>
      </c>
      <c r="K48" s="622" t="s">
        <v>405</v>
      </c>
      <c r="L48" s="623"/>
      <c r="M48" s="98"/>
      <c r="N48" s="178"/>
      <c r="O48" s="178"/>
      <c r="P48" s="496"/>
      <c r="Q48" s="496"/>
      <c r="R48" s="178"/>
      <c r="S48" s="188"/>
    </row>
    <row r="49" spans="1:19" ht="13.5">
      <c r="A49" s="641"/>
      <c r="B49" s="643"/>
      <c r="C49" s="199">
        <v>5</v>
      </c>
      <c r="D49" s="622" t="s">
        <v>331</v>
      </c>
      <c r="E49" s="623"/>
      <c r="F49" s="623"/>
      <c r="G49" s="201">
        <v>23</v>
      </c>
      <c r="H49" s="201">
        <v>1801.6901518364623</v>
      </c>
      <c r="I49" s="202">
        <v>78.334354427672267</v>
      </c>
      <c r="J49" s="351">
        <f>I49-I23</f>
        <v>0.15835686937501237</v>
      </c>
      <c r="K49" s="622" t="s">
        <v>405</v>
      </c>
      <c r="L49" s="623"/>
      <c r="M49" s="98"/>
      <c r="N49" s="178"/>
      <c r="O49" s="178"/>
      <c r="P49" s="496"/>
      <c r="Q49" s="496"/>
      <c r="R49" s="178"/>
      <c r="S49" s="188"/>
    </row>
    <row r="50" spans="1:19" ht="13.5">
      <c r="A50" s="641"/>
      <c r="B50" s="643"/>
      <c r="C50" s="203" t="s">
        <v>187</v>
      </c>
      <c r="D50" s="622" t="s">
        <v>471</v>
      </c>
      <c r="E50" s="623"/>
      <c r="F50" s="623"/>
      <c r="G50" s="199">
        <v>25</v>
      </c>
      <c r="H50" s="201">
        <v>1802.4787468964926</v>
      </c>
      <c r="I50" s="202">
        <v>72.099149875859695</v>
      </c>
      <c r="J50" s="351">
        <f>I50-I24</f>
        <v>0.16483062736340059</v>
      </c>
      <c r="K50" s="622" t="s">
        <v>405</v>
      </c>
      <c r="L50" s="623"/>
      <c r="M50" s="98"/>
      <c r="N50" s="178"/>
      <c r="O50" s="178"/>
      <c r="P50" s="496"/>
      <c r="Q50" s="496"/>
      <c r="R50" s="178"/>
      <c r="S50" s="188"/>
    </row>
    <row r="51" spans="1:19" ht="13.5">
      <c r="A51" s="641"/>
      <c r="B51" s="643"/>
      <c r="C51" s="203" t="s">
        <v>192</v>
      </c>
      <c r="D51" s="622" t="s">
        <v>330</v>
      </c>
      <c r="E51" s="623"/>
      <c r="F51" s="623"/>
      <c r="G51" s="199">
        <v>24</v>
      </c>
      <c r="H51" s="201">
        <v>1803.0817987172129</v>
      </c>
      <c r="I51" s="202">
        <v>75.128408279883871</v>
      </c>
      <c r="J51" s="351">
        <f>I51-I26</f>
        <v>0.13984219166106016</v>
      </c>
      <c r="K51" s="622" t="s">
        <v>405</v>
      </c>
      <c r="L51" s="623"/>
      <c r="M51" s="98"/>
      <c r="N51" s="178"/>
      <c r="O51" s="178"/>
      <c r="P51" s="496"/>
      <c r="Q51" s="496"/>
      <c r="R51" s="178"/>
      <c r="S51" s="188"/>
    </row>
    <row r="52" spans="1:19" ht="13.5">
      <c r="A52" s="641"/>
      <c r="B52" s="643"/>
      <c r="C52" s="203" t="s">
        <v>188</v>
      </c>
      <c r="D52" s="622" t="s">
        <v>564</v>
      </c>
      <c r="E52" s="623"/>
      <c r="F52" s="623"/>
      <c r="G52" s="199">
        <v>24</v>
      </c>
      <c r="H52" s="201">
        <v>1803.5262314693098</v>
      </c>
      <c r="I52" s="202">
        <v>75.146926311221236</v>
      </c>
      <c r="J52" s="351">
        <f>I52-I25</f>
        <v>0.18558901446267839</v>
      </c>
      <c r="K52" s="622" t="s">
        <v>405</v>
      </c>
      <c r="L52" s="623"/>
      <c r="M52" s="98"/>
      <c r="N52" s="178"/>
      <c r="O52" s="178"/>
      <c r="P52" s="496"/>
      <c r="Q52" s="496"/>
      <c r="R52" s="178"/>
      <c r="S52" s="188"/>
    </row>
    <row r="53" spans="1:19" ht="13.5">
      <c r="A53" s="641"/>
      <c r="B53" s="643"/>
      <c r="C53" s="203" t="s">
        <v>193</v>
      </c>
      <c r="D53" s="622" t="s">
        <v>329</v>
      </c>
      <c r="E53" s="623"/>
      <c r="F53" s="623"/>
      <c r="G53" s="199">
        <v>23</v>
      </c>
      <c r="H53" s="201">
        <v>1800.7934707697732</v>
      </c>
      <c r="I53" s="202">
        <v>78.295368294337962</v>
      </c>
      <c r="J53" s="351">
        <f>I53-I22</f>
        <v>0.10330965186192032</v>
      </c>
      <c r="K53" s="622" t="s">
        <v>405</v>
      </c>
      <c r="L53" s="623"/>
      <c r="M53" s="98"/>
      <c r="N53" s="178"/>
      <c r="O53" s="178"/>
      <c r="P53" s="496"/>
      <c r="Q53" s="496"/>
      <c r="R53" s="178"/>
      <c r="S53" s="188"/>
    </row>
    <row r="54" spans="1:19" ht="13.5">
      <c r="A54" s="637"/>
      <c r="B54" s="644"/>
      <c r="C54" s="203" t="s">
        <v>194</v>
      </c>
      <c r="D54" s="630"/>
      <c r="E54" s="631"/>
      <c r="F54" s="632"/>
      <c r="G54" s="199"/>
      <c r="H54" s="201"/>
      <c r="I54" s="202"/>
      <c r="J54" s="351"/>
      <c r="K54" s="630"/>
      <c r="L54" s="632"/>
      <c r="M54" s="98"/>
      <c r="N54" s="178"/>
      <c r="O54" s="178"/>
      <c r="P54" s="496"/>
      <c r="Q54" s="496"/>
      <c r="R54" s="178"/>
      <c r="S54" s="188"/>
    </row>
    <row r="55" spans="1:19" s="188" customFormat="1" ht="15.75" customHeight="1">
      <c r="A55" s="624" t="s">
        <v>674</v>
      </c>
      <c r="B55" s="624"/>
      <c r="C55" s="624"/>
      <c r="D55" s="624"/>
      <c r="E55" s="624"/>
      <c r="F55" s="624"/>
      <c r="G55" s="624"/>
      <c r="H55" s="624"/>
      <c r="I55" s="624"/>
      <c r="J55" s="624"/>
      <c r="K55" s="624"/>
      <c r="L55" s="624"/>
    </row>
    <row r="56" spans="1:19" s="189" customFormat="1" ht="15.75" customHeight="1">
      <c r="A56" s="624"/>
      <c r="B56" s="624"/>
      <c r="C56" s="624"/>
      <c r="D56" s="624"/>
      <c r="E56" s="624"/>
      <c r="F56" s="624"/>
      <c r="G56" s="624"/>
      <c r="H56" s="624"/>
      <c r="I56" s="624"/>
      <c r="J56" s="624"/>
      <c r="K56" s="624"/>
      <c r="L56" s="624"/>
    </row>
    <row r="57" spans="1:19" s="105" customFormat="1" ht="15.75" customHeight="1">
      <c r="A57" s="636" t="s">
        <v>162</v>
      </c>
      <c r="B57" s="169">
        <v>1</v>
      </c>
      <c r="C57" s="169">
        <v>2</v>
      </c>
      <c r="D57" s="169">
        <v>3</v>
      </c>
      <c r="E57" s="169">
        <v>4</v>
      </c>
      <c r="F57" s="190">
        <v>5</v>
      </c>
      <c r="G57" s="190">
        <v>6</v>
      </c>
      <c r="H57" s="169">
        <v>7</v>
      </c>
      <c r="I57" s="169">
        <v>8</v>
      </c>
      <c r="J57" s="169">
        <v>9</v>
      </c>
      <c r="K57" s="191"/>
      <c r="L57" s="191"/>
      <c r="M57" s="192"/>
      <c r="N57" s="178"/>
      <c r="O57" s="178"/>
      <c r="P57" s="178"/>
      <c r="Q57" s="178"/>
      <c r="R57" s="178"/>
      <c r="S57" s="177"/>
    </row>
    <row r="58" spans="1:19" ht="15.75" customHeight="1">
      <c r="A58" s="637"/>
      <c r="B58" s="194" t="s">
        <v>189</v>
      </c>
      <c r="C58" s="194" t="s">
        <v>155</v>
      </c>
      <c r="D58" s="194" t="s">
        <v>190</v>
      </c>
      <c r="E58" s="194" t="s">
        <v>156</v>
      </c>
      <c r="F58" s="193" t="s">
        <v>327</v>
      </c>
      <c r="G58" s="208" t="s">
        <v>136</v>
      </c>
      <c r="H58" s="196" t="s">
        <v>191</v>
      </c>
      <c r="I58" s="195" t="s">
        <v>351</v>
      </c>
      <c r="J58" s="195" t="s">
        <v>142</v>
      </c>
      <c r="K58" s="197"/>
      <c r="L58" s="197"/>
      <c r="M58" s="189"/>
      <c r="N58" s="178"/>
      <c r="O58" s="178"/>
      <c r="P58" s="178"/>
      <c r="Q58" s="178"/>
      <c r="R58" s="178"/>
      <c r="S58" s="188"/>
    </row>
    <row r="59" spans="1:19" s="105" customFormat="1" ht="14.25">
      <c r="A59" s="638" t="s">
        <v>171</v>
      </c>
      <c r="B59" s="639"/>
      <c r="C59" s="159" t="s">
        <v>47</v>
      </c>
      <c r="D59" s="638" t="s">
        <v>12</v>
      </c>
      <c r="E59" s="640"/>
      <c r="F59" s="639"/>
      <c r="G59" s="159" t="s">
        <v>46</v>
      </c>
      <c r="H59" s="159" t="s">
        <v>352</v>
      </c>
      <c r="I59" s="159" t="s">
        <v>353</v>
      </c>
      <c r="J59" s="159" t="s">
        <v>311</v>
      </c>
      <c r="K59" s="638" t="s">
        <v>51</v>
      </c>
      <c r="L59" s="639"/>
      <c r="M59" s="192"/>
      <c r="N59" s="178"/>
      <c r="O59" s="495"/>
      <c r="P59" s="495"/>
      <c r="Q59" s="495"/>
      <c r="R59" s="178"/>
      <c r="S59" s="177"/>
    </row>
    <row r="60" spans="1:19" ht="13.5">
      <c r="A60" s="636">
        <v>5</v>
      </c>
      <c r="B60" s="642" t="s">
        <v>327</v>
      </c>
      <c r="C60" s="199">
        <v>1</v>
      </c>
      <c r="D60" s="622" t="s">
        <v>518</v>
      </c>
      <c r="E60" s="623"/>
      <c r="F60" s="623"/>
      <c r="G60" s="201">
        <v>17</v>
      </c>
      <c r="H60" s="201">
        <v>1802.3142857142852</v>
      </c>
      <c r="I60" s="202">
        <v>106.01848739495797</v>
      </c>
      <c r="J60" s="351">
        <f t="shared" ref="J60:J67" si="0">I60-I34</f>
        <v>-4.5739875932326868E-3</v>
      </c>
      <c r="K60" s="630"/>
      <c r="L60" s="632"/>
      <c r="N60" s="178"/>
      <c r="O60" s="178"/>
      <c r="P60" s="496"/>
      <c r="Q60" s="496"/>
      <c r="R60" s="178"/>
      <c r="S60" s="188"/>
    </row>
    <row r="61" spans="1:19" ht="13.5">
      <c r="A61" s="641"/>
      <c r="B61" s="643"/>
      <c r="C61" s="199">
        <v>2</v>
      </c>
      <c r="D61" s="622" t="s">
        <v>443</v>
      </c>
      <c r="E61" s="623"/>
      <c r="F61" s="623"/>
      <c r="G61" s="201">
        <v>19</v>
      </c>
      <c r="H61" s="201">
        <v>1801.9142857142858</v>
      </c>
      <c r="I61" s="202">
        <v>94.83759398496241</v>
      </c>
      <c r="J61" s="351">
        <f t="shared" si="0"/>
        <v>-4.5112781954799175E-3</v>
      </c>
      <c r="K61" s="630"/>
      <c r="L61" s="632"/>
      <c r="N61" s="178"/>
      <c r="O61" s="178"/>
      <c r="P61" s="496"/>
      <c r="Q61" s="496"/>
      <c r="R61" s="178"/>
      <c r="S61" s="188"/>
    </row>
    <row r="62" spans="1:19" ht="13.5">
      <c r="A62" s="641"/>
      <c r="B62" s="643"/>
      <c r="C62" s="199">
        <v>3</v>
      </c>
      <c r="D62" s="622" t="s">
        <v>554</v>
      </c>
      <c r="E62" s="623"/>
      <c r="F62" s="623"/>
      <c r="G62" s="201">
        <v>20</v>
      </c>
      <c r="H62" s="201">
        <v>1802.2857142857142</v>
      </c>
      <c r="I62" s="202">
        <v>90.114285714285728</v>
      </c>
      <c r="J62" s="351">
        <f t="shared" si="0"/>
        <v>1.0000000000005116E-2</v>
      </c>
      <c r="K62" s="630"/>
      <c r="L62" s="632"/>
      <c r="N62" s="178"/>
      <c r="O62" s="178"/>
      <c r="P62" s="496"/>
      <c r="Q62" s="496"/>
      <c r="R62" s="178"/>
      <c r="S62" s="188"/>
    </row>
    <row r="63" spans="1:19" ht="13.5">
      <c r="A63" s="641"/>
      <c r="B63" s="643"/>
      <c r="C63" s="199">
        <v>4</v>
      </c>
      <c r="D63" s="622" t="s">
        <v>322</v>
      </c>
      <c r="E63" s="623"/>
      <c r="F63" s="623"/>
      <c r="G63" s="201">
        <v>23</v>
      </c>
      <c r="H63" s="201">
        <v>1806.4586096474184</v>
      </c>
      <c r="I63" s="202">
        <v>78.541678680322534</v>
      </c>
      <c r="J63" s="351">
        <f t="shared" si="0"/>
        <v>9.7982969352784721E-2</v>
      </c>
      <c r="K63" s="630"/>
      <c r="L63" s="632"/>
      <c r="N63" s="178"/>
      <c r="O63" s="178"/>
      <c r="P63" s="496"/>
      <c r="Q63" s="496"/>
      <c r="R63" s="178"/>
      <c r="S63" s="188"/>
    </row>
    <row r="64" spans="1:19" ht="13.5">
      <c r="A64" s="641"/>
      <c r="B64" s="643"/>
      <c r="C64" s="199">
        <v>5</v>
      </c>
      <c r="D64" s="622" t="s">
        <v>328</v>
      </c>
      <c r="E64" s="623"/>
      <c r="F64" s="623"/>
      <c r="G64" s="201">
        <v>23</v>
      </c>
      <c r="H64" s="201">
        <v>1805.1648237339011</v>
      </c>
      <c r="I64" s="202">
        <v>78.485427118865246</v>
      </c>
      <c r="J64" s="351">
        <f t="shared" si="0"/>
        <v>0.11369573566041424</v>
      </c>
      <c r="K64" s="630"/>
      <c r="L64" s="632"/>
      <c r="N64" s="178"/>
      <c r="O64" s="178"/>
      <c r="P64" s="496"/>
      <c r="Q64" s="496"/>
      <c r="R64" s="178"/>
      <c r="S64" s="188"/>
    </row>
    <row r="65" spans="1:19" ht="13.5">
      <c r="A65" s="641"/>
      <c r="B65" s="643"/>
      <c r="C65" s="203" t="s">
        <v>187</v>
      </c>
      <c r="D65" s="622" t="s">
        <v>321</v>
      </c>
      <c r="E65" s="623"/>
      <c r="F65" s="623"/>
      <c r="G65" s="201">
        <v>24</v>
      </c>
      <c r="H65" s="201">
        <v>1805.354821944836</v>
      </c>
      <c r="I65" s="202">
        <v>75.223117581034828</v>
      </c>
      <c r="J65" s="351">
        <f t="shared" si="0"/>
        <v>6.8286385548731232E-2</v>
      </c>
      <c r="K65" s="630"/>
      <c r="L65" s="632"/>
      <c r="N65" s="178"/>
      <c r="O65" s="178"/>
      <c r="P65" s="496"/>
      <c r="Q65" s="496"/>
      <c r="R65" s="178"/>
      <c r="S65" s="188"/>
    </row>
    <row r="66" spans="1:19" ht="13.5">
      <c r="A66" s="641"/>
      <c r="B66" s="643"/>
      <c r="C66" s="203" t="s">
        <v>192</v>
      </c>
      <c r="D66" s="622" t="s">
        <v>580</v>
      </c>
      <c r="E66" s="623"/>
      <c r="F66" s="623"/>
      <c r="G66" s="201">
        <v>21</v>
      </c>
      <c r="H66" s="201">
        <v>1623.8077817584067</v>
      </c>
      <c r="I66" s="202">
        <v>77.324180083733637</v>
      </c>
      <c r="J66" s="351">
        <f t="shared" si="0"/>
        <v>4.8691334675240228E-2</v>
      </c>
      <c r="K66" s="630"/>
      <c r="L66" s="632"/>
      <c r="N66" s="178"/>
      <c r="O66" s="178"/>
      <c r="P66" s="496"/>
      <c r="Q66" s="496"/>
      <c r="R66" s="178"/>
      <c r="S66" s="188"/>
    </row>
    <row r="67" spans="1:19" ht="13.5">
      <c r="A67" s="641"/>
      <c r="B67" s="643"/>
      <c r="C67" s="203" t="s">
        <v>188</v>
      </c>
      <c r="D67" s="622" t="s">
        <v>320</v>
      </c>
      <c r="E67" s="623"/>
      <c r="F67" s="623"/>
      <c r="G67" s="201">
        <v>23</v>
      </c>
      <c r="H67" s="201">
        <v>1802.544643993504</v>
      </c>
      <c r="I67" s="202">
        <v>78.371506260587125</v>
      </c>
      <c r="J67" s="351">
        <f t="shared" si="0"/>
        <v>1.7391304347810888E-2</v>
      </c>
      <c r="K67" s="630"/>
      <c r="L67" s="632"/>
      <c r="N67" s="178"/>
      <c r="O67" s="178"/>
      <c r="P67" s="496"/>
      <c r="Q67" s="496"/>
      <c r="R67" s="178"/>
      <c r="S67" s="188"/>
    </row>
    <row r="68" spans="1:19" ht="13.5">
      <c r="A68" s="641"/>
      <c r="B68" s="643"/>
      <c r="C68" s="203" t="s">
        <v>193</v>
      </c>
      <c r="D68" s="622"/>
      <c r="E68" s="623"/>
      <c r="F68" s="623"/>
      <c r="G68" s="201"/>
      <c r="H68" s="201"/>
      <c r="I68" s="202"/>
      <c r="J68" s="351"/>
      <c r="K68" s="630"/>
      <c r="L68" s="632"/>
      <c r="M68" s="98"/>
      <c r="N68" s="178"/>
      <c r="O68" s="178"/>
      <c r="P68" s="496"/>
      <c r="Q68" s="496"/>
      <c r="R68" s="178"/>
      <c r="S68" s="188"/>
    </row>
    <row r="69" spans="1:19" ht="13.5">
      <c r="A69" s="637"/>
      <c r="B69" s="644"/>
      <c r="C69" s="203" t="s">
        <v>194</v>
      </c>
      <c r="D69" s="622"/>
      <c r="E69" s="623"/>
      <c r="F69" s="623"/>
      <c r="G69" s="201"/>
      <c r="H69" s="201"/>
      <c r="I69" s="202"/>
      <c r="J69" s="199"/>
      <c r="K69" s="630"/>
      <c r="L69" s="632"/>
      <c r="M69" s="98"/>
      <c r="N69" s="178"/>
      <c r="O69" s="178"/>
      <c r="P69" s="496"/>
      <c r="Q69" s="496"/>
      <c r="R69" s="178"/>
      <c r="S69" s="188"/>
    </row>
    <row r="70" spans="1:19" s="103" customFormat="1" ht="14.25">
      <c r="A70" s="633" t="s">
        <v>171</v>
      </c>
      <c r="B70" s="635"/>
      <c r="C70" s="206" t="s">
        <v>47</v>
      </c>
      <c r="D70" s="626" t="s">
        <v>12</v>
      </c>
      <c r="E70" s="627"/>
      <c r="F70" s="627"/>
      <c r="G70" s="206" t="s">
        <v>46</v>
      </c>
      <c r="H70" s="206" t="s">
        <v>352</v>
      </c>
      <c r="I70" s="206" t="s">
        <v>353</v>
      </c>
      <c r="J70" s="159" t="s">
        <v>311</v>
      </c>
      <c r="K70" s="633" t="s">
        <v>51</v>
      </c>
      <c r="L70" s="635"/>
      <c r="M70" s="127"/>
      <c r="N70" s="178"/>
      <c r="O70" s="178"/>
      <c r="P70" s="496"/>
      <c r="Q70" s="496"/>
      <c r="R70" s="178"/>
      <c r="S70" s="198"/>
    </row>
    <row r="71" spans="1:19" ht="13.5">
      <c r="A71" s="636">
        <v>6</v>
      </c>
      <c r="B71" s="642" t="s">
        <v>136</v>
      </c>
      <c r="C71" s="199">
        <v>1</v>
      </c>
      <c r="D71" s="622" t="s">
        <v>415</v>
      </c>
      <c r="E71" s="623"/>
      <c r="F71" s="623"/>
      <c r="G71" s="199">
        <v>20</v>
      </c>
      <c r="H71" s="201">
        <v>1802.1482139012248</v>
      </c>
      <c r="I71" s="202">
        <v>90.107410695061262</v>
      </c>
      <c r="J71" s="351">
        <f>I71-I46</f>
        <v>3.255238137245442E-2</v>
      </c>
      <c r="K71" s="630"/>
      <c r="L71" s="632"/>
      <c r="M71" s="98"/>
      <c r="N71" s="178"/>
      <c r="O71" s="178"/>
      <c r="P71" s="496"/>
      <c r="Q71" s="496"/>
      <c r="R71" s="178"/>
      <c r="S71" s="188"/>
    </row>
    <row r="72" spans="1:19" ht="13.5">
      <c r="A72" s="641"/>
      <c r="B72" s="643"/>
      <c r="C72" s="199">
        <v>2</v>
      </c>
      <c r="D72" s="622" t="s">
        <v>525</v>
      </c>
      <c r="E72" s="623"/>
      <c r="F72" s="623"/>
      <c r="G72" s="201">
        <v>20</v>
      </c>
      <c r="H72" s="201">
        <v>1801.9225504184299</v>
      </c>
      <c r="I72" s="202">
        <v>90.096127520921513</v>
      </c>
      <c r="J72" s="351">
        <f>I72-I45</f>
        <v>6.6699036514137333E-3</v>
      </c>
      <c r="K72" s="630"/>
      <c r="L72" s="632"/>
      <c r="M72" s="98"/>
      <c r="N72" s="178"/>
      <c r="O72" s="178"/>
      <c r="P72" s="496"/>
      <c r="Q72" s="496"/>
      <c r="R72" s="178"/>
      <c r="S72" s="188"/>
    </row>
    <row r="73" spans="1:19" ht="13.5">
      <c r="A73" s="641"/>
      <c r="B73" s="643"/>
      <c r="C73" s="199">
        <v>3</v>
      </c>
      <c r="D73" s="622" t="s">
        <v>413</v>
      </c>
      <c r="E73" s="623"/>
      <c r="F73" s="623"/>
      <c r="G73" s="201">
        <v>22</v>
      </c>
      <c r="H73" s="201">
        <v>1801.356663867203</v>
      </c>
      <c r="I73" s="202">
        <v>81.879848357600139</v>
      </c>
      <c r="J73" s="351">
        <f>I73-I47</f>
        <v>-2.155978766869282E-2</v>
      </c>
      <c r="K73" s="630"/>
      <c r="L73" s="632"/>
      <c r="M73" s="98"/>
      <c r="N73" s="178"/>
      <c r="O73" s="178"/>
      <c r="P73" s="496"/>
      <c r="Q73" s="496"/>
      <c r="R73" s="178"/>
      <c r="S73" s="188"/>
    </row>
    <row r="74" spans="1:19" ht="13.5">
      <c r="A74" s="641"/>
      <c r="B74" s="643"/>
      <c r="C74" s="199">
        <v>4</v>
      </c>
      <c r="D74" s="622" t="s">
        <v>411</v>
      </c>
      <c r="E74" s="623"/>
      <c r="F74" s="623"/>
      <c r="G74" s="199">
        <v>23</v>
      </c>
      <c r="H74" s="201">
        <v>1802.2653912242042</v>
      </c>
      <c r="I74" s="202">
        <v>78.359364835834981</v>
      </c>
      <c r="J74" s="351">
        <f>I74-I48</f>
        <v>2.3633870394419887E-2</v>
      </c>
      <c r="K74" s="630"/>
      <c r="L74" s="632"/>
      <c r="M74" s="98"/>
      <c r="N74" s="178"/>
      <c r="O74" s="178"/>
      <c r="P74" s="496"/>
      <c r="Q74" s="496"/>
      <c r="R74" s="178"/>
      <c r="S74" s="188"/>
    </row>
    <row r="75" spans="1:19" ht="13.5">
      <c r="A75" s="641"/>
      <c r="B75" s="643"/>
      <c r="C75" s="199">
        <v>5</v>
      </c>
      <c r="D75" s="622" t="s">
        <v>331</v>
      </c>
      <c r="E75" s="623"/>
      <c r="F75" s="623"/>
      <c r="G75" s="201">
        <v>23</v>
      </c>
      <c r="H75" s="201">
        <v>1801.8330089793192</v>
      </c>
      <c r="I75" s="202">
        <v>78.340565607796492</v>
      </c>
      <c r="J75" s="351">
        <f>I75-I49</f>
        <v>6.2111801242252795E-3</v>
      </c>
      <c r="K75" s="630"/>
      <c r="L75" s="632"/>
      <c r="M75" s="98"/>
      <c r="N75" s="178"/>
      <c r="O75" s="178"/>
      <c r="P75" s="496"/>
      <c r="Q75" s="496"/>
      <c r="R75" s="178"/>
      <c r="S75" s="188"/>
    </row>
    <row r="76" spans="1:19" ht="13.5">
      <c r="A76" s="641"/>
      <c r="B76" s="643"/>
      <c r="C76" s="203" t="s">
        <v>187</v>
      </c>
      <c r="D76" s="622" t="s">
        <v>471</v>
      </c>
      <c r="E76" s="623"/>
      <c r="F76" s="623"/>
      <c r="G76" s="199">
        <v>25</v>
      </c>
      <c r="H76" s="201">
        <v>1803.5930326107775</v>
      </c>
      <c r="I76" s="202">
        <v>72.143721304431082</v>
      </c>
      <c r="J76" s="351">
        <f>I76-I50</f>
        <v>4.4571428571387628E-2</v>
      </c>
      <c r="K76" s="630"/>
      <c r="L76" s="632"/>
      <c r="M76" s="98"/>
      <c r="N76" s="178"/>
      <c r="O76" s="178"/>
      <c r="P76" s="496"/>
      <c r="Q76" s="496"/>
      <c r="R76" s="178"/>
      <c r="S76" s="188"/>
    </row>
    <row r="77" spans="1:19" ht="13.5">
      <c r="A77" s="641"/>
      <c r="B77" s="643"/>
      <c r="C77" s="203" t="s">
        <v>192</v>
      </c>
      <c r="D77" s="622" t="s">
        <v>564</v>
      </c>
      <c r="E77" s="623"/>
      <c r="F77" s="623"/>
      <c r="G77" s="199">
        <v>24</v>
      </c>
      <c r="H77" s="201">
        <v>1804.1380027594175</v>
      </c>
      <c r="I77" s="202">
        <v>75.172416781642383</v>
      </c>
      <c r="J77" s="351">
        <f>I77-I52</f>
        <v>2.5490470421146938E-2</v>
      </c>
      <c r="K77" s="630"/>
      <c r="L77" s="632"/>
      <c r="M77" s="98"/>
      <c r="N77" s="178"/>
      <c r="O77" s="178"/>
      <c r="P77" s="496"/>
      <c r="Q77" s="496"/>
      <c r="R77" s="178"/>
      <c r="S77" s="188"/>
    </row>
    <row r="78" spans="1:19" ht="13.5">
      <c r="A78" s="641"/>
      <c r="B78" s="643"/>
      <c r="C78" s="203" t="s">
        <v>188</v>
      </c>
      <c r="D78" s="622" t="s">
        <v>330</v>
      </c>
      <c r="E78" s="623"/>
      <c r="F78" s="623"/>
      <c r="G78" s="199">
        <v>24</v>
      </c>
      <c r="H78" s="201">
        <v>1804.3103701457853</v>
      </c>
      <c r="I78" s="202">
        <v>75.179598756074384</v>
      </c>
      <c r="J78" s="351">
        <f>I78-I51</f>
        <v>5.1190476190512868E-2</v>
      </c>
      <c r="K78" s="630"/>
      <c r="L78" s="632"/>
      <c r="M78" s="98"/>
      <c r="N78" s="178"/>
      <c r="O78" s="178"/>
      <c r="P78" s="496"/>
      <c r="Q78" s="496"/>
      <c r="R78" s="178"/>
      <c r="S78" s="188"/>
    </row>
    <row r="79" spans="1:19" ht="13.5">
      <c r="A79" s="641"/>
      <c r="B79" s="643"/>
      <c r="C79" s="203" t="s">
        <v>193</v>
      </c>
      <c r="D79" s="630"/>
      <c r="E79" s="631"/>
      <c r="F79" s="632"/>
      <c r="G79" s="199"/>
      <c r="H79" s="201"/>
      <c r="I79" s="202"/>
      <c r="J79" s="351"/>
      <c r="K79" s="630"/>
      <c r="L79" s="632"/>
      <c r="M79" s="98"/>
      <c r="N79" s="178"/>
      <c r="O79" s="178"/>
      <c r="P79" s="496"/>
      <c r="Q79" s="496"/>
      <c r="R79" s="178"/>
      <c r="S79" s="188"/>
    </row>
    <row r="80" spans="1:19" ht="13.5">
      <c r="A80" s="637"/>
      <c r="B80" s="644"/>
      <c r="C80" s="203" t="s">
        <v>194</v>
      </c>
      <c r="D80" s="630"/>
      <c r="E80" s="631"/>
      <c r="F80" s="632"/>
      <c r="G80" s="199"/>
      <c r="H80" s="201"/>
      <c r="I80" s="202"/>
      <c r="J80" s="351"/>
      <c r="K80" s="630"/>
      <c r="L80" s="632"/>
      <c r="M80" s="98"/>
      <c r="N80" s="178"/>
      <c r="O80" s="178"/>
      <c r="P80" s="496"/>
      <c r="Q80" s="496"/>
      <c r="R80" s="178"/>
      <c r="S80" s="188"/>
    </row>
    <row r="81" spans="1:19" s="188" customFormat="1" ht="15.75" customHeight="1">
      <c r="A81" s="624" t="s">
        <v>713</v>
      </c>
      <c r="B81" s="624"/>
      <c r="C81" s="624"/>
      <c r="D81" s="624"/>
      <c r="E81" s="624"/>
      <c r="F81" s="624"/>
      <c r="G81" s="624"/>
      <c r="H81" s="624"/>
      <c r="I81" s="624"/>
      <c r="J81" s="624"/>
      <c r="K81" s="624"/>
      <c r="L81" s="624"/>
    </row>
    <row r="82" spans="1:19" s="189" customFormat="1" ht="15.75" customHeight="1">
      <c r="A82" s="624"/>
      <c r="B82" s="624"/>
      <c r="C82" s="624"/>
      <c r="D82" s="624"/>
      <c r="E82" s="624"/>
      <c r="F82" s="624"/>
      <c r="G82" s="624"/>
      <c r="H82" s="624"/>
      <c r="I82" s="624"/>
      <c r="J82" s="624"/>
      <c r="K82" s="624"/>
      <c r="L82" s="624"/>
    </row>
    <row r="83" spans="1:19" s="105" customFormat="1" ht="15.75" customHeight="1">
      <c r="A83" s="636" t="s">
        <v>162</v>
      </c>
      <c r="B83" s="169">
        <v>1</v>
      </c>
      <c r="C83" s="169">
        <v>2</v>
      </c>
      <c r="D83" s="169">
        <v>3</v>
      </c>
      <c r="E83" s="169">
        <v>4</v>
      </c>
      <c r="F83" s="190">
        <v>5</v>
      </c>
      <c r="G83" s="190">
        <v>6</v>
      </c>
      <c r="H83" s="169">
        <v>7</v>
      </c>
      <c r="I83" s="169">
        <v>8</v>
      </c>
      <c r="J83" s="169">
        <v>9</v>
      </c>
      <c r="K83" s="191"/>
      <c r="L83" s="191"/>
      <c r="M83" s="192"/>
      <c r="N83" s="178"/>
      <c r="O83" s="178"/>
      <c r="P83" s="178"/>
      <c r="Q83" s="178"/>
      <c r="R83" s="178"/>
      <c r="S83" s="177"/>
    </row>
    <row r="84" spans="1:19" ht="15.75" customHeight="1">
      <c r="A84" s="637"/>
      <c r="B84" s="194" t="s">
        <v>189</v>
      </c>
      <c r="C84" s="194" t="s">
        <v>155</v>
      </c>
      <c r="D84" s="194" t="s">
        <v>190</v>
      </c>
      <c r="E84" s="194" t="s">
        <v>156</v>
      </c>
      <c r="F84" s="193" t="s">
        <v>327</v>
      </c>
      <c r="G84" s="208" t="s">
        <v>136</v>
      </c>
      <c r="H84" s="196" t="s">
        <v>191</v>
      </c>
      <c r="I84" s="195" t="s">
        <v>351</v>
      </c>
      <c r="J84" s="195" t="s">
        <v>142</v>
      </c>
      <c r="K84" s="197"/>
      <c r="L84" s="197"/>
      <c r="M84" s="189"/>
      <c r="N84" s="178"/>
      <c r="O84" s="178"/>
      <c r="P84" s="178"/>
      <c r="Q84" s="178"/>
      <c r="R84" s="178"/>
      <c r="S84" s="188"/>
    </row>
    <row r="85" spans="1:19" s="105" customFormat="1" ht="14.25">
      <c r="A85" s="638" t="s">
        <v>171</v>
      </c>
      <c r="B85" s="639"/>
      <c r="C85" s="159" t="s">
        <v>47</v>
      </c>
      <c r="D85" s="638" t="s">
        <v>12</v>
      </c>
      <c r="E85" s="640"/>
      <c r="F85" s="639"/>
      <c r="G85" s="159" t="s">
        <v>46</v>
      </c>
      <c r="H85" s="159" t="s">
        <v>352</v>
      </c>
      <c r="I85" s="159" t="s">
        <v>353</v>
      </c>
      <c r="J85" s="159" t="s">
        <v>311</v>
      </c>
      <c r="K85" s="638" t="s">
        <v>51</v>
      </c>
      <c r="L85" s="639"/>
      <c r="M85" s="192"/>
      <c r="N85" s="178"/>
      <c r="O85" s="495"/>
      <c r="P85" s="495"/>
      <c r="Q85" s="495"/>
      <c r="R85" s="178"/>
      <c r="S85" s="177"/>
    </row>
    <row r="86" spans="1:19" ht="13.5">
      <c r="A86" s="636">
        <v>5</v>
      </c>
      <c r="B86" s="642" t="s">
        <v>327</v>
      </c>
      <c r="C86" s="199">
        <v>1</v>
      </c>
      <c r="D86" s="630"/>
      <c r="E86" s="631"/>
      <c r="F86" s="632"/>
      <c r="G86" s="201"/>
      <c r="H86" s="201"/>
      <c r="I86" s="202"/>
      <c r="J86" s="351">
        <f>I86-I61</f>
        <v>-94.83759398496241</v>
      </c>
      <c r="K86" s="630"/>
      <c r="L86" s="632"/>
      <c r="N86" s="178"/>
      <c r="O86" s="178"/>
      <c r="P86" s="496"/>
      <c r="Q86" s="496"/>
      <c r="R86" s="178"/>
      <c r="S86" s="188"/>
    </row>
    <row r="87" spans="1:19" ht="13.5">
      <c r="A87" s="641"/>
      <c r="B87" s="643"/>
      <c r="C87" s="199">
        <v>2</v>
      </c>
      <c r="D87" s="630"/>
      <c r="E87" s="631"/>
      <c r="F87" s="632"/>
      <c r="G87" s="201"/>
      <c r="H87" s="201"/>
      <c r="I87" s="202"/>
      <c r="J87" s="351"/>
      <c r="K87" s="630"/>
      <c r="L87" s="632"/>
      <c r="N87" s="178"/>
      <c r="O87" s="178"/>
      <c r="P87" s="496"/>
      <c r="Q87" s="496"/>
      <c r="R87" s="178"/>
      <c r="S87" s="188"/>
    </row>
    <row r="88" spans="1:19" ht="13.5">
      <c r="A88" s="641"/>
      <c r="B88" s="643"/>
      <c r="C88" s="199">
        <v>3</v>
      </c>
      <c r="D88" s="630"/>
      <c r="E88" s="631"/>
      <c r="F88" s="632"/>
      <c r="G88" s="201"/>
      <c r="H88" s="201"/>
      <c r="I88" s="202"/>
      <c r="J88" s="351">
        <f t="shared" ref="J88:J94" si="1">I88-I62</f>
        <v>-90.114285714285728</v>
      </c>
      <c r="K88" s="630"/>
      <c r="L88" s="632"/>
      <c r="N88" s="178"/>
      <c r="O88" s="178"/>
      <c r="P88" s="496"/>
      <c r="Q88" s="496"/>
      <c r="R88" s="178"/>
      <c r="S88" s="188"/>
    </row>
    <row r="89" spans="1:19" ht="13.5">
      <c r="A89" s="641"/>
      <c r="B89" s="643"/>
      <c r="C89" s="199">
        <v>4</v>
      </c>
      <c r="D89" s="630"/>
      <c r="E89" s="631"/>
      <c r="F89" s="632"/>
      <c r="G89" s="201"/>
      <c r="H89" s="201"/>
      <c r="I89" s="202"/>
      <c r="J89" s="351">
        <f t="shared" si="1"/>
        <v>-78.541678680322534</v>
      </c>
      <c r="K89" s="630"/>
      <c r="L89" s="632"/>
      <c r="N89" s="178"/>
      <c r="O89" s="178"/>
      <c r="P89" s="496"/>
      <c r="Q89" s="496"/>
      <c r="R89" s="178"/>
      <c r="S89" s="188"/>
    </row>
    <row r="90" spans="1:19" ht="13.5">
      <c r="A90" s="641"/>
      <c r="B90" s="643"/>
      <c r="C90" s="199">
        <v>5</v>
      </c>
      <c r="D90" s="630"/>
      <c r="E90" s="631"/>
      <c r="F90" s="632"/>
      <c r="G90" s="201"/>
      <c r="H90" s="201"/>
      <c r="I90" s="202"/>
      <c r="J90" s="351">
        <f t="shared" si="1"/>
        <v>-78.485427118865246</v>
      </c>
      <c r="K90" s="630"/>
      <c r="L90" s="632"/>
      <c r="N90" s="178"/>
      <c r="O90" s="178"/>
      <c r="P90" s="496"/>
      <c r="Q90" s="496"/>
      <c r="R90" s="178"/>
      <c r="S90" s="188"/>
    </row>
    <row r="91" spans="1:19" ht="13.5">
      <c r="A91" s="641"/>
      <c r="B91" s="643"/>
      <c r="C91" s="203" t="s">
        <v>187</v>
      </c>
      <c r="D91" s="630"/>
      <c r="E91" s="631"/>
      <c r="F91" s="632"/>
      <c r="G91" s="201"/>
      <c r="H91" s="201"/>
      <c r="I91" s="202"/>
      <c r="J91" s="351">
        <f t="shared" si="1"/>
        <v>-75.223117581034828</v>
      </c>
      <c r="K91" s="630"/>
      <c r="L91" s="632"/>
      <c r="N91" s="178"/>
      <c r="O91" s="178"/>
      <c r="P91" s="496"/>
      <c r="Q91" s="496"/>
      <c r="R91" s="178"/>
      <c r="S91" s="188"/>
    </row>
    <row r="92" spans="1:19" ht="13.5">
      <c r="A92" s="641"/>
      <c r="B92" s="643"/>
      <c r="C92" s="203" t="s">
        <v>192</v>
      </c>
      <c r="D92" s="630"/>
      <c r="E92" s="631"/>
      <c r="F92" s="632"/>
      <c r="G92" s="201"/>
      <c r="H92" s="201"/>
      <c r="I92" s="202"/>
      <c r="J92" s="351">
        <f t="shared" si="1"/>
        <v>-77.324180083733637</v>
      </c>
      <c r="K92" s="630"/>
      <c r="L92" s="632"/>
      <c r="N92" s="178"/>
      <c r="O92" s="178"/>
      <c r="P92" s="496"/>
      <c r="Q92" s="496"/>
      <c r="R92" s="178"/>
      <c r="S92" s="188"/>
    </row>
    <row r="93" spans="1:19" ht="13.5">
      <c r="A93" s="641"/>
      <c r="B93" s="643"/>
      <c r="C93" s="203" t="s">
        <v>188</v>
      </c>
      <c r="D93" s="630"/>
      <c r="E93" s="631"/>
      <c r="F93" s="632"/>
      <c r="G93" s="201"/>
      <c r="H93" s="201"/>
      <c r="I93" s="202"/>
      <c r="J93" s="351">
        <f t="shared" si="1"/>
        <v>-78.371506260587125</v>
      </c>
      <c r="K93" s="630"/>
      <c r="L93" s="632"/>
      <c r="N93" s="178"/>
      <c r="O93" s="178"/>
      <c r="P93" s="496"/>
      <c r="Q93" s="496"/>
      <c r="R93" s="178"/>
      <c r="S93" s="188"/>
    </row>
    <row r="94" spans="1:19" ht="13.5">
      <c r="A94" s="641"/>
      <c r="B94" s="643"/>
      <c r="C94" s="203" t="s">
        <v>193</v>
      </c>
      <c r="D94" s="630"/>
      <c r="E94" s="631"/>
      <c r="F94" s="632"/>
      <c r="G94" s="201"/>
      <c r="H94" s="201"/>
      <c r="I94" s="202"/>
      <c r="J94" s="351">
        <f t="shared" si="1"/>
        <v>0</v>
      </c>
      <c r="K94" s="630"/>
      <c r="L94" s="632"/>
      <c r="M94" s="98"/>
      <c r="N94" s="178"/>
      <c r="O94" s="178"/>
      <c r="P94" s="496"/>
      <c r="Q94" s="496"/>
      <c r="R94" s="178"/>
      <c r="S94" s="188"/>
    </row>
    <row r="95" spans="1:19" ht="13.5">
      <c r="A95" s="637"/>
      <c r="B95" s="644"/>
      <c r="C95" s="203" t="s">
        <v>194</v>
      </c>
      <c r="D95" s="630"/>
      <c r="E95" s="631"/>
      <c r="F95" s="632"/>
      <c r="G95" s="201"/>
      <c r="H95" s="201"/>
      <c r="I95" s="202"/>
      <c r="J95" s="199"/>
      <c r="K95" s="630"/>
      <c r="L95" s="632"/>
      <c r="M95" s="98"/>
      <c r="N95" s="178"/>
      <c r="O95" s="178"/>
      <c r="P95" s="496"/>
      <c r="Q95" s="496"/>
      <c r="R95" s="178"/>
      <c r="S95" s="188"/>
    </row>
    <row r="96" spans="1:19" s="103" customFormat="1" ht="14.25">
      <c r="A96" s="633" t="s">
        <v>171</v>
      </c>
      <c r="B96" s="635"/>
      <c r="C96" s="206" t="s">
        <v>47</v>
      </c>
      <c r="D96" s="633" t="s">
        <v>12</v>
      </c>
      <c r="E96" s="634"/>
      <c r="F96" s="635"/>
      <c r="G96" s="206" t="s">
        <v>46</v>
      </c>
      <c r="H96" s="206" t="s">
        <v>352</v>
      </c>
      <c r="I96" s="206" t="s">
        <v>353</v>
      </c>
      <c r="J96" s="159" t="s">
        <v>311</v>
      </c>
      <c r="K96" s="633" t="s">
        <v>51</v>
      </c>
      <c r="L96" s="635"/>
      <c r="M96" s="127"/>
      <c r="N96" s="178"/>
      <c r="O96" s="178"/>
      <c r="P96" s="496"/>
      <c r="Q96" s="496"/>
      <c r="R96" s="178"/>
      <c r="S96" s="198"/>
    </row>
    <row r="97" spans="1:19" ht="13.5">
      <c r="A97" s="636">
        <v>6</v>
      </c>
      <c r="B97" s="642" t="s">
        <v>136</v>
      </c>
      <c r="C97" s="199">
        <v>1</v>
      </c>
      <c r="D97" s="630"/>
      <c r="E97" s="631"/>
      <c r="F97" s="632"/>
      <c r="G97" s="199"/>
      <c r="H97" s="201"/>
      <c r="I97" s="202"/>
      <c r="J97" s="351">
        <f t="shared" ref="J97:J102" si="2">I97-I71</f>
        <v>-90.107410695061262</v>
      </c>
      <c r="K97" s="630"/>
      <c r="L97" s="632"/>
      <c r="M97" s="98"/>
      <c r="N97" s="178"/>
      <c r="O97" s="178"/>
      <c r="P97" s="496"/>
      <c r="Q97" s="496"/>
      <c r="R97" s="178"/>
      <c r="S97" s="188"/>
    </row>
    <row r="98" spans="1:19" ht="13.5">
      <c r="A98" s="641"/>
      <c r="B98" s="643"/>
      <c r="C98" s="199">
        <v>2</v>
      </c>
      <c r="D98" s="630"/>
      <c r="E98" s="631"/>
      <c r="F98" s="632"/>
      <c r="G98" s="201"/>
      <c r="H98" s="201"/>
      <c r="I98" s="202"/>
      <c r="J98" s="351">
        <f t="shared" si="2"/>
        <v>-90.096127520921513</v>
      </c>
      <c r="K98" s="630"/>
      <c r="L98" s="632"/>
      <c r="M98" s="98"/>
      <c r="N98" s="178"/>
      <c r="O98" s="178"/>
      <c r="P98" s="496"/>
      <c r="Q98" s="496"/>
      <c r="R98" s="178"/>
      <c r="S98" s="188"/>
    </row>
    <row r="99" spans="1:19" ht="13.5">
      <c r="A99" s="641"/>
      <c r="B99" s="643"/>
      <c r="C99" s="199">
        <v>3</v>
      </c>
      <c r="D99" s="630"/>
      <c r="E99" s="631"/>
      <c r="F99" s="632"/>
      <c r="G99" s="201"/>
      <c r="H99" s="201"/>
      <c r="I99" s="202"/>
      <c r="J99" s="351">
        <f t="shared" si="2"/>
        <v>-81.879848357600139</v>
      </c>
      <c r="K99" s="630"/>
      <c r="L99" s="632"/>
      <c r="M99" s="98"/>
      <c r="N99" s="178"/>
      <c r="O99" s="178"/>
      <c r="P99" s="496"/>
      <c r="Q99" s="496"/>
      <c r="R99" s="178"/>
      <c r="S99" s="188"/>
    </row>
    <row r="100" spans="1:19" ht="13.5">
      <c r="A100" s="641"/>
      <c r="B100" s="643"/>
      <c r="C100" s="199">
        <v>4</v>
      </c>
      <c r="D100" s="630"/>
      <c r="E100" s="631"/>
      <c r="F100" s="632"/>
      <c r="G100" s="199"/>
      <c r="H100" s="201"/>
      <c r="I100" s="202"/>
      <c r="J100" s="351">
        <f t="shared" si="2"/>
        <v>-78.359364835834981</v>
      </c>
      <c r="K100" s="630"/>
      <c r="L100" s="632"/>
      <c r="M100" s="98"/>
      <c r="N100" s="178"/>
      <c r="O100" s="178"/>
      <c r="P100" s="496"/>
      <c r="Q100" s="496"/>
      <c r="R100" s="178"/>
      <c r="S100" s="188"/>
    </row>
    <row r="101" spans="1:19" ht="13.5">
      <c r="A101" s="641"/>
      <c r="B101" s="643"/>
      <c r="C101" s="199">
        <v>5</v>
      </c>
      <c r="D101" s="630"/>
      <c r="E101" s="631"/>
      <c r="F101" s="632"/>
      <c r="G101" s="201"/>
      <c r="H101" s="201"/>
      <c r="I101" s="202"/>
      <c r="J101" s="351">
        <f t="shared" si="2"/>
        <v>-78.340565607796492</v>
      </c>
      <c r="K101" s="630"/>
      <c r="L101" s="632"/>
      <c r="M101" s="98"/>
      <c r="N101" s="178"/>
      <c r="O101" s="178"/>
      <c r="P101" s="496"/>
      <c r="Q101" s="496"/>
      <c r="R101" s="178"/>
      <c r="S101" s="188"/>
    </row>
    <row r="102" spans="1:19" ht="13.5">
      <c r="A102" s="641"/>
      <c r="B102" s="643"/>
      <c r="C102" s="203" t="s">
        <v>187</v>
      </c>
      <c r="D102" s="630"/>
      <c r="E102" s="631"/>
      <c r="F102" s="632"/>
      <c r="G102" s="199"/>
      <c r="H102" s="201"/>
      <c r="I102" s="202"/>
      <c r="J102" s="351">
        <f t="shared" si="2"/>
        <v>-72.143721304431082</v>
      </c>
      <c r="K102" s="630"/>
      <c r="L102" s="632"/>
      <c r="M102" s="98"/>
      <c r="N102" s="178"/>
      <c r="O102" s="178"/>
      <c r="P102" s="496"/>
      <c r="Q102" s="496"/>
      <c r="R102" s="178"/>
      <c r="S102" s="188"/>
    </row>
    <row r="103" spans="1:19" ht="13.5">
      <c r="A103" s="641"/>
      <c r="B103" s="643"/>
      <c r="C103" s="203" t="s">
        <v>192</v>
      </c>
      <c r="D103" s="630"/>
      <c r="E103" s="631"/>
      <c r="F103" s="632"/>
      <c r="G103" s="199"/>
      <c r="H103" s="201"/>
      <c r="I103" s="202"/>
      <c r="J103" s="351"/>
      <c r="K103" s="630"/>
      <c r="L103" s="632"/>
      <c r="M103" s="98"/>
      <c r="N103" s="178"/>
      <c r="O103" s="178"/>
      <c r="P103" s="496"/>
      <c r="Q103" s="496"/>
      <c r="R103" s="178"/>
      <c r="S103" s="188"/>
    </row>
    <row r="104" spans="1:19" ht="13.5">
      <c r="A104" s="641"/>
      <c r="B104" s="643"/>
      <c r="C104" s="203" t="s">
        <v>188</v>
      </c>
      <c r="D104" s="630"/>
      <c r="E104" s="631"/>
      <c r="F104" s="632"/>
      <c r="G104" s="199"/>
      <c r="H104" s="201"/>
      <c r="I104" s="202"/>
      <c r="J104" s="351">
        <f>I104-I77</f>
        <v>-75.172416781642383</v>
      </c>
      <c r="K104" s="630"/>
      <c r="L104" s="632"/>
      <c r="M104" s="98"/>
      <c r="N104" s="178"/>
      <c r="O104" s="178"/>
      <c r="P104" s="496"/>
      <c r="Q104" s="496"/>
      <c r="R104" s="178"/>
      <c r="S104" s="188"/>
    </row>
    <row r="105" spans="1:19" ht="13.5">
      <c r="A105" s="641"/>
      <c r="B105" s="643"/>
      <c r="C105" s="203" t="s">
        <v>193</v>
      </c>
      <c r="D105" s="630"/>
      <c r="E105" s="631"/>
      <c r="F105" s="632"/>
      <c r="G105" s="199"/>
      <c r="H105" s="201"/>
      <c r="I105" s="202"/>
      <c r="J105" s="351">
        <f>I105-I78</f>
        <v>-75.179598756074384</v>
      </c>
      <c r="K105" s="630"/>
      <c r="L105" s="632"/>
      <c r="M105" s="98"/>
      <c r="N105" s="178"/>
      <c r="O105" s="178"/>
      <c r="P105" s="496"/>
      <c r="Q105" s="496"/>
      <c r="R105" s="178"/>
      <c r="S105" s="188"/>
    </row>
    <row r="106" spans="1:19" ht="13.5">
      <c r="A106" s="637"/>
      <c r="B106" s="644"/>
      <c r="C106" s="203" t="s">
        <v>194</v>
      </c>
      <c r="D106" s="630"/>
      <c r="E106" s="631"/>
      <c r="F106" s="632"/>
      <c r="G106" s="199"/>
      <c r="H106" s="201"/>
      <c r="I106" s="202"/>
      <c r="J106" s="351">
        <f>I106-I79</f>
        <v>0</v>
      </c>
      <c r="K106" s="630"/>
      <c r="L106" s="632"/>
      <c r="M106" s="98"/>
      <c r="N106" s="178"/>
      <c r="O106" s="178"/>
      <c r="P106" s="496"/>
      <c r="Q106" s="496"/>
      <c r="R106" s="178"/>
      <c r="S106" s="188"/>
    </row>
  </sheetData>
  <mergeCells count="209">
    <mergeCell ref="D105:F105"/>
    <mergeCell ref="K105:L105"/>
    <mergeCell ref="D106:F106"/>
    <mergeCell ref="K106:L106"/>
    <mergeCell ref="K94:L94"/>
    <mergeCell ref="D95:F95"/>
    <mergeCell ref="K95:L95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  <mergeCell ref="D103:F103"/>
    <mergeCell ref="K103:L103"/>
    <mergeCell ref="D104:F104"/>
    <mergeCell ref="K104:L104"/>
    <mergeCell ref="A81:L82"/>
    <mergeCell ref="A83:A84"/>
    <mergeCell ref="A85:B85"/>
    <mergeCell ref="D85:F85"/>
    <mergeCell ref="K85:L85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K92:L92"/>
    <mergeCell ref="D93:F93"/>
    <mergeCell ref="K93:L93"/>
    <mergeCell ref="D94:F94"/>
    <mergeCell ref="D53:F53"/>
    <mergeCell ref="K53:L53"/>
    <mergeCell ref="D54:F54"/>
    <mergeCell ref="K54:L54"/>
    <mergeCell ref="K42:L42"/>
    <mergeCell ref="D43:F43"/>
    <mergeCell ref="K43:L43"/>
    <mergeCell ref="D80:F80"/>
    <mergeCell ref="K80:L80"/>
    <mergeCell ref="K68:L68"/>
    <mergeCell ref="D69:F69"/>
    <mergeCell ref="K69:L69"/>
    <mergeCell ref="D78:F78"/>
    <mergeCell ref="K78:L78"/>
    <mergeCell ref="D79:F79"/>
    <mergeCell ref="K79:L79"/>
    <mergeCell ref="K75:L75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K52:L52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0:L40"/>
    <mergeCell ref="D41:F41"/>
    <mergeCell ref="K41:L41"/>
    <mergeCell ref="D42:F42"/>
    <mergeCell ref="D27:F27"/>
    <mergeCell ref="K27:L27"/>
    <mergeCell ref="D28:F28"/>
    <mergeCell ref="K28:L28"/>
    <mergeCell ref="K16:L16"/>
    <mergeCell ref="D17:F17"/>
    <mergeCell ref="K17:L17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D25:F25"/>
    <mergeCell ref="K25:L25"/>
    <mergeCell ref="D26:F26"/>
    <mergeCell ref="K26:L26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D16:F16"/>
    <mergeCell ref="A3:L4"/>
    <mergeCell ref="A5:A6"/>
    <mergeCell ref="A7:B7"/>
    <mergeCell ref="D7:F7"/>
    <mergeCell ref="K7:L7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67:L67"/>
    <mergeCell ref="D76:F76"/>
    <mergeCell ref="K76:L76"/>
    <mergeCell ref="D77:F77"/>
    <mergeCell ref="K77:L77"/>
    <mergeCell ref="A1:L2"/>
    <mergeCell ref="K66:L66"/>
    <mergeCell ref="D67:F67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D68:F68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75" fitToWidth="0" fitToHeight="0" pageOrder="overThenDown" orientation="landscape" cellComments="atEnd" r:id="rId1"/>
  <rowBreaks count="2" manualBreakCount="2">
    <brk id="28" max="11" man="1"/>
    <brk id="54" max="11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0">
    <tabColor rgb="FF92D050"/>
    <outlinePr summaryBelow="0" summaryRight="0"/>
  </sheetPr>
  <dimension ref="A1:R106"/>
  <sheetViews>
    <sheetView view="pageBreakPreview" topLeftCell="A61" zoomScale="110" zoomScaleNormal="60" zoomScaleSheetLayoutView="110" workbookViewId="0">
      <selection activeCell="A81" sqref="A81:L82"/>
    </sheetView>
  </sheetViews>
  <sheetFormatPr defaultColWidth="12.5703125" defaultRowHeight="15.75" customHeight="1"/>
  <cols>
    <col min="1" max="1" width="6.42578125" style="98" customWidth="1"/>
    <col min="2" max="10" width="11.5703125" style="98" customWidth="1"/>
    <col min="11" max="12" width="12.85546875" style="98" customWidth="1"/>
    <col min="13" max="13" width="12.5703125" style="99"/>
    <col min="14" max="18" width="12.5703125" style="188"/>
    <col min="19" max="16384" width="12.5703125" style="98"/>
  </cols>
  <sheetData>
    <row r="1" spans="1:18" ht="15.75" customHeight="1">
      <c r="A1" s="526" t="s">
        <v>350</v>
      </c>
      <c r="B1" s="526"/>
      <c r="C1" s="526"/>
      <c r="D1" s="526"/>
      <c r="E1" s="526"/>
      <c r="F1" s="526"/>
      <c r="G1" s="526"/>
      <c r="H1" s="526"/>
      <c r="I1" s="526"/>
      <c r="J1" s="526"/>
      <c r="K1" s="526"/>
      <c r="L1" s="526"/>
      <c r="M1" s="98"/>
    </row>
    <row r="2" spans="1:18" s="99" customFormat="1" ht="15.75" customHeight="1">
      <c r="A2" s="526"/>
      <c r="B2" s="526"/>
      <c r="C2" s="526"/>
      <c r="D2" s="526"/>
      <c r="E2" s="526"/>
      <c r="F2" s="526"/>
      <c r="G2" s="526"/>
      <c r="H2" s="526"/>
      <c r="I2" s="526"/>
      <c r="J2" s="526"/>
      <c r="K2" s="526"/>
      <c r="L2" s="526"/>
      <c r="N2" s="189"/>
      <c r="O2" s="189"/>
      <c r="P2" s="189"/>
      <c r="Q2" s="189"/>
      <c r="R2" s="189"/>
    </row>
    <row r="3" spans="1:18" s="188" customFormat="1" ht="15.75" customHeight="1">
      <c r="A3" s="624" t="s">
        <v>615</v>
      </c>
      <c r="B3" s="624"/>
      <c r="C3" s="624"/>
      <c r="D3" s="624"/>
      <c r="E3" s="624"/>
      <c r="F3" s="624"/>
      <c r="G3" s="624"/>
      <c r="H3" s="624"/>
      <c r="I3" s="624"/>
      <c r="J3" s="624"/>
      <c r="K3" s="624"/>
      <c r="L3" s="624"/>
    </row>
    <row r="4" spans="1:18" s="189" customFormat="1" ht="15.75" customHeight="1">
      <c r="A4" s="624"/>
      <c r="B4" s="624"/>
      <c r="C4" s="624"/>
      <c r="D4" s="624"/>
      <c r="E4" s="624"/>
      <c r="F4" s="624"/>
      <c r="G4" s="624"/>
      <c r="H4" s="624"/>
      <c r="I4" s="624"/>
      <c r="J4" s="624"/>
      <c r="K4" s="624"/>
      <c r="L4" s="624"/>
    </row>
    <row r="5" spans="1:18" s="105" customFormat="1" ht="16.350000000000001" customHeight="1">
      <c r="A5" s="636" t="s">
        <v>162</v>
      </c>
      <c r="B5" s="169">
        <v>1</v>
      </c>
      <c r="C5" s="169">
        <v>2</v>
      </c>
      <c r="D5" s="169">
        <v>3</v>
      </c>
      <c r="E5" s="169">
        <v>4</v>
      </c>
      <c r="F5" s="169">
        <v>5</v>
      </c>
      <c r="G5" s="169">
        <v>6</v>
      </c>
      <c r="H5" s="190">
        <v>7</v>
      </c>
      <c r="I5" s="190">
        <v>8</v>
      </c>
      <c r="J5" s="169">
        <v>9</v>
      </c>
      <c r="K5" s="191"/>
      <c r="L5" s="191"/>
      <c r="M5" s="126"/>
      <c r="N5" s="177"/>
      <c r="O5" s="177"/>
      <c r="P5" s="177"/>
      <c r="Q5" s="177"/>
      <c r="R5" s="177"/>
    </row>
    <row r="6" spans="1:18" ht="16.350000000000001" customHeight="1">
      <c r="A6" s="637"/>
      <c r="B6" s="194" t="s">
        <v>189</v>
      </c>
      <c r="C6" s="194" t="s">
        <v>155</v>
      </c>
      <c r="D6" s="194" t="s">
        <v>190</v>
      </c>
      <c r="E6" s="194" t="s">
        <v>156</v>
      </c>
      <c r="F6" s="194" t="s">
        <v>138</v>
      </c>
      <c r="G6" s="195" t="s">
        <v>136</v>
      </c>
      <c r="H6" s="193" t="s">
        <v>191</v>
      </c>
      <c r="I6" s="208" t="s">
        <v>351</v>
      </c>
      <c r="J6" s="195" t="s">
        <v>142</v>
      </c>
      <c r="K6" s="197"/>
      <c r="L6" s="197"/>
      <c r="N6" s="198"/>
      <c r="O6" s="198"/>
      <c r="P6" s="198"/>
      <c r="Q6" s="198"/>
      <c r="R6" s="198"/>
    </row>
    <row r="7" spans="1:18" s="105" customFormat="1" ht="15.75" customHeight="1">
      <c r="A7" s="638" t="s">
        <v>171</v>
      </c>
      <c r="B7" s="639"/>
      <c r="C7" s="159" t="s">
        <v>47</v>
      </c>
      <c r="D7" s="638" t="s">
        <v>12</v>
      </c>
      <c r="E7" s="640"/>
      <c r="F7" s="639"/>
      <c r="G7" s="159" t="s">
        <v>46</v>
      </c>
      <c r="H7" s="159" t="s">
        <v>352</v>
      </c>
      <c r="I7" s="159" t="s">
        <v>353</v>
      </c>
      <c r="J7" s="159" t="s">
        <v>311</v>
      </c>
      <c r="K7" s="638" t="s">
        <v>51</v>
      </c>
      <c r="L7" s="639"/>
      <c r="M7" s="126"/>
      <c r="N7" s="188"/>
      <c r="O7" s="198"/>
      <c r="P7" s="381"/>
      <c r="Q7" s="381"/>
      <c r="R7" s="198"/>
    </row>
    <row r="8" spans="1:18" ht="15">
      <c r="A8" s="636">
        <v>7</v>
      </c>
      <c r="B8" s="642" t="s">
        <v>356</v>
      </c>
      <c r="C8" s="199">
        <v>1</v>
      </c>
      <c r="D8" s="645"/>
      <c r="E8" s="623"/>
      <c r="F8" s="623"/>
      <c r="G8" s="199"/>
      <c r="H8" s="201"/>
      <c r="I8" s="202"/>
      <c r="J8" s="199"/>
      <c r="K8" s="630"/>
      <c r="L8" s="632"/>
      <c r="N8" s="382"/>
      <c r="O8" s="198"/>
      <c r="P8" s="381"/>
      <c r="Q8" s="381"/>
      <c r="R8" s="198"/>
    </row>
    <row r="9" spans="1:18" ht="15">
      <c r="A9" s="641"/>
      <c r="B9" s="643"/>
      <c r="C9" s="199">
        <v>2</v>
      </c>
      <c r="D9" s="645"/>
      <c r="E9" s="623"/>
      <c r="F9" s="623"/>
      <c r="G9" s="199"/>
      <c r="H9" s="201"/>
      <c r="I9" s="202"/>
      <c r="J9" s="199"/>
      <c r="K9" s="630"/>
      <c r="L9" s="632"/>
      <c r="O9" s="198"/>
      <c r="P9" s="381"/>
      <c r="Q9" s="381"/>
      <c r="R9" s="198"/>
    </row>
    <row r="10" spans="1:18" ht="13.5">
      <c r="A10" s="641"/>
      <c r="B10" s="643"/>
      <c r="C10" s="199">
        <v>3</v>
      </c>
      <c r="D10" s="630"/>
      <c r="E10" s="631"/>
      <c r="F10" s="632"/>
      <c r="G10" s="199"/>
      <c r="H10" s="201"/>
      <c r="I10" s="202"/>
      <c r="J10" s="199"/>
      <c r="K10" s="630"/>
      <c r="L10" s="632"/>
      <c r="O10" s="198"/>
      <c r="P10" s="381"/>
      <c r="Q10" s="381"/>
      <c r="R10" s="198"/>
    </row>
    <row r="11" spans="1:18" ht="13.5">
      <c r="A11" s="641"/>
      <c r="B11" s="643"/>
      <c r="C11" s="199">
        <v>4</v>
      </c>
      <c r="D11" s="630"/>
      <c r="E11" s="631"/>
      <c r="F11" s="632"/>
      <c r="G11" s="199"/>
      <c r="H11" s="201"/>
      <c r="I11" s="202"/>
      <c r="J11" s="199"/>
      <c r="K11" s="630"/>
      <c r="L11" s="632"/>
      <c r="O11" s="198"/>
      <c r="P11" s="381"/>
      <c r="Q11" s="381"/>
      <c r="R11" s="198"/>
    </row>
    <row r="12" spans="1:18" ht="13.5">
      <c r="A12" s="641"/>
      <c r="B12" s="643"/>
      <c r="C12" s="199">
        <v>5</v>
      </c>
      <c r="D12" s="630"/>
      <c r="E12" s="631"/>
      <c r="F12" s="632"/>
      <c r="G12" s="199"/>
      <c r="H12" s="201"/>
      <c r="I12" s="202"/>
      <c r="J12" s="199"/>
      <c r="K12" s="630"/>
      <c r="L12" s="632"/>
      <c r="N12" s="177"/>
      <c r="O12" s="198"/>
      <c r="P12" s="381"/>
      <c r="Q12" s="381"/>
      <c r="R12" s="198"/>
    </row>
    <row r="13" spans="1:18" ht="13.5">
      <c r="A13" s="641"/>
      <c r="B13" s="643"/>
      <c r="C13" s="203" t="s">
        <v>187</v>
      </c>
      <c r="D13" s="630"/>
      <c r="E13" s="631"/>
      <c r="F13" s="632"/>
      <c r="G13" s="199"/>
      <c r="H13" s="201"/>
      <c r="I13" s="202"/>
      <c r="J13" s="199"/>
      <c r="K13" s="630"/>
      <c r="L13" s="632"/>
      <c r="N13" s="382"/>
      <c r="O13" s="198"/>
      <c r="P13" s="381"/>
      <c r="Q13" s="381"/>
      <c r="R13" s="198"/>
    </row>
    <row r="14" spans="1:18" ht="13.5">
      <c r="A14" s="641"/>
      <c r="B14" s="643"/>
      <c r="C14" s="203" t="s">
        <v>192</v>
      </c>
      <c r="D14" s="630"/>
      <c r="E14" s="631"/>
      <c r="F14" s="632"/>
      <c r="G14" s="199"/>
      <c r="H14" s="201"/>
      <c r="I14" s="202"/>
      <c r="J14" s="199"/>
      <c r="K14" s="630"/>
      <c r="L14" s="632"/>
      <c r="O14" s="198"/>
      <c r="P14" s="381"/>
      <c r="Q14" s="381"/>
      <c r="R14" s="198"/>
    </row>
    <row r="15" spans="1:18" ht="13.5">
      <c r="A15" s="641"/>
      <c r="B15" s="643"/>
      <c r="C15" s="203" t="s">
        <v>188</v>
      </c>
      <c r="D15" s="630"/>
      <c r="E15" s="631"/>
      <c r="F15" s="632"/>
      <c r="G15" s="199"/>
      <c r="H15" s="201"/>
      <c r="I15" s="202"/>
      <c r="J15" s="199"/>
      <c r="K15" s="630"/>
      <c r="L15" s="632"/>
      <c r="O15" s="198"/>
      <c r="P15" s="381"/>
      <c r="Q15" s="381"/>
      <c r="R15" s="198"/>
    </row>
    <row r="16" spans="1:18" ht="13.5">
      <c r="A16" s="641"/>
      <c r="B16" s="643"/>
      <c r="C16" s="203" t="s">
        <v>193</v>
      </c>
      <c r="D16" s="630"/>
      <c r="E16" s="631"/>
      <c r="F16" s="632"/>
      <c r="G16" s="199"/>
      <c r="H16" s="201"/>
      <c r="I16" s="202"/>
      <c r="J16" s="199"/>
      <c r="K16" s="630"/>
      <c r="L16" s="632"/>
      <c r="M16" s="98"/>
      <c r="O16" s="198"/>
      <c r="P16" s="381"/>
      <c r="Q16" s="381"/>
      <c r="R16" s="198"/>
    </row>
    <row r="17" spans="1:18" ht="13.5">
      <c r="A17" s="637"/>
      <c r="B17" s="644"/>
      <c r="C17" s="203" t="s">
        <v>194</v>
      </c>
      <c r="D17" s="630"/>
      <c r="E17" s="631"/>
      <c r="F17" s="632"/>
      <c r="G17" s="199"/>
      <c r="H17" s="201"/>
      <c r="I17" s="202"/>
      <c r="J17" s="199"/>
      <c r="K17" s="630"/>
      <c r="L17" s="632"/>
      <c r="M17" s="98"/>
      <c r="N17" s="198"/>
      <c r="O17" s="198"/>
      <c r="P17" s="381"/>
      <c r="Q17" s="381"/>
      <c r="R17" s="198"/>
    </row>
    <row r="18" spans="1:18" s="103" customFormat="1" ht="14.25">
      <c r="A18" s="633" t="s">
        <v>171</v>
      </c>
      <c r="B18" s="635"/>
      <c r="C18" s="206" t="s">
        <v>47</v>
      </c>
      <c r="D18" s="633" t="s">
        <v>12</v>
      </c>
      <c r="E18" s="634"/>
      <c r="F18" s="635"/>
      <c r="G18" s="206" t="s">
        <v>46</v>
      </c>
      <c r="H18" s="206" t="s">
        <v>352</v>
      </c>
      <c r="I18" s="206" t="s">
        <v>353</v>
      </c>
      <c r="J18" s="159" t="s">
        <v>311</v>
      </c>
      <c r="K18" s="633" t="s">
        <v>51</v>
      </c>
      <c r="L18" s="635"/>
      <c r="M18" s="127"/>
      <c r="N18" s="188"/>
      <c r="O18" s="198"/>
      <c r="P18" s="381"/>
      <c r="Q18" s="381"/>
      <c r="R18" s="198"/>
    </row>
    <row r="19" spans="1:18" ht="15">
      <c r="A19" s="636">
        <v>8</v>
      </c>
      <c r="B19" s="642" t="s">
        <v>357</v>
      </c>
      <c r="C19" s="199">
        <v>1</v>
      </c>
      <c r="D19" s="645" t="s">
        <v>536</v>
      </c>
      <c r="E19" s="623"/>
      <c r="F19" s="623"/>
      <c r="G19" s="199">
        <v>19</v>
      </c>
      <c r="H19" s="201">
        <v>3192.7189541137695</v>
      </c>
      <c r="I19" s="202">
        <v>168.03783969019838</v>
      </c>
      <c r="J19" s="351">
        <v>1.6378551565139787E-2</v>
      </c>
      <c r="K19" s="622" t="s">
        <v>405</v>
      </c>
      <c r="L19" s="623"/>
      <c r="M19" s="98"/>
      <c r="O19" s="198"/>
      <c r="P19" s="381"/>
      <c r="Q19" s="381"/>
      <c r="R19" s="198"/>
    </row>
    <row r="20" spans="1:18" ht="15">
      <c r="A20" s="641"/>
      <c r="B20" s="643"/>
      <c r="C20" s="199">
        <v>2</v>
      </c>
      <c r="D20" s="645" t="s">
        <v>494</v>
      </c>
      <c r="E20" s="623"/>
      <c r="F20" s="623"/>
      <c r="G20" s="199">
        <v>19</v>
      </c>
      <c r="H20" s="201">
        <v>3191.5807994668603</v>
      </c>
      <c r="I20" s="202">
        <v>167.97793681404528</v>
      </c>
      <c r="J20" s="351">
        <v>-3.7894736842133625E-2</v>
      </c>
      <c r="K20" s="622" t="s">
        <v>405</v>
      </c>
      <c r="L20" s="623"/>
      <c r="M20" s="98"/>
      <c r="O20" s="177"/>
      <c r="P20" s="380"/>
      <c r="Q20" s="380"/>
      <c r="R20" s="177"/>
    </row>
    <row r="21" spans="1:18" ht="15">
      <c r="A21" s="641"/>
      <c r="B21" s="643"/>
      <c r="C21" s="199">
        <v>3</v>
      </c>
      <c r="D21" s="645" t="s">
        <v>492</v>
      </c>
      <c r="E21" s="623"/>
      <c r="F21" s="623"/>
      <c r="G21" s="199">
        <v>20</v>
      </c>
      <c r="H21" s="201">
        <v>3266.9501893310226</v>
      </c>
      <c r="I21" s="202">
        <v>163.34750946655114</v>
      </c>
      <c r="J21" s="351">
        <v>3.5244386212743279</v>
      </c>
      <c r="K21" s="646" t="s">
        <v>639</v>
      </c>
      <c r="L21" s="623"/>
      <c r="M21" s="98"/>
      <c r="O21" s="198"/>
      <c r="P21" s="381"/>
      <c r="Q21" s="381"/>
      <c r="R21" s="198"/>
    </row>
    <row r="22" spans="1:18" ht="15">
      <c r="A22" s="641"/>
      <c r="B22" s="643"/>
      <c r="C22" s="199">
        <v>4</v>
      </c>
      <c r="D22" s="645" t="s">
        <v>581</v>
      </c>
      <c r="E22" s="623"/>
      <c r="F22" s="623"/>
      <c r="G22" s="199">
        <v>20</v>
      </c>
      <c r="H22" s="201">
        <v>3260.9709961494686</v>
      </c>
      <c r="I22" s="202">
        <v>163.04854980747339</v>
      </c>
      <c r="J22" s="351">
        <v>0.10296440169366861</v>
      </c>
      <c r="K22" s="622" t="s">
        <v>405</v>
      </c>
      <c r="L22" s="623"/>
      <c r="M22" s="98"/>
      <c r="O22" s="198"/>
      <c r="P22" s="381"/>
      <c r="Q22" s="381"/>
      <c r="R22" s="198"/>
    </row>
    <row r="23" spans="1:18" ht="15">
      <c r="A23" s="641"/>
      <c r="B23" s="643"/>
      <c r="C23" s="199">
        <v>5</v>
      </c>
      <c r="D23" s="645" t="s">
        <v>493</v>
      </c>
      <c r="E23" s="623"/>
      <c r="F23" s="623"/>
      <c r="G23" s="199">
        <v>21</v>
      </c>
      <c r="H23" s="201">
        <v>3267.3140019737198</v>
      </c>
      <c r="I23" s="202">
        <v>155.58638104636762</v>
      </c>
      <c r="J23" s="351">
        <v>3.3532468630354515</v>
      </c>
      <c r="K23" s="646" t="s">
        <v>639</v>
      </c>
      <c r="L23" s="623"/>
      <c r="M23" s="98"/>
      <c r="O23" s="198"/>
      <c r="P23" s="381"/>
      <c r="Q23" s="381"/>
      <c r="R23" s="198"/>
    </row>
    <row r="24" spans="1:18" ht="13.5">
      <c r="A24" s="641"/>
      <c r="B24" s="643"/>
      <c r="C24" s="203" t="s">
        <v>187</v>
      </c>
      <c r="D24" s="630" t="s">
        <v>544</v>
      </c>
      <c r="E24" s="631"/>
      <c r="F24" s="632"/>
      <c r="G24" s="199">
        <v>24</v>
      </c>
      <c r="H24" s="201">
        <v>3267.1187397653316</v>
      </c>
      <c r="I24" s="202">
        <v>136.12994749022218</v>
      </c>
      <c r="J24" s="351">
        <v>6.9151789093069738E-2</v>
      </c>
      <c r="K24" s="622" t="s">
        <v>405</v>
      </c>
      <c r="L24" s="623"/>
      <c r="M24" s="98"/>
      <c r="O24" s="198"/>
      <c r="P24" s="381"/>
      <c r="Q24" s="381"/>
      <c r="R24" s="198"/>
    </row>
    <row r="25" spans="1:18" ht="13.5">
      <c r="A25" s="641"/>
      <c r="B25" s="643"/>
      <c r="C25" s="203" t="s">
        <v>192</v>
      </c>
      <c r="D25" s="630" t="s">
        <v>531</v>
      </c>
      <c r="E25" s="631"/>
      <c r="F25" s="632"/>
      <c r="G25" s="199">
        <v>24</v>
      </c>
      <c r="H25" s="201">
        <v>3267.2659825817213</v>
      </c>
      <c r="I25" s="202">
        <v>136.13608260757172</v>
      </c>
      <c r="J25" s="351">
        <v>7.5368595813216643E-2</v>
      </c>
      <c r="K25" s="622" t="s">
        <v>405</v>
      </c>
      <c r="L25" s="623"/>
      <c r="M25" s="98"/>
      <c r="O25" s="198"/>
      <c r="P25" s="381"/>
      <c r="Q25" s="381"/>
      <c r="R25" s="198"/>
    </row>
    <row r="26" spans="1:18" ht="13.5">
      <c r="A26" s="641"/>
      <c r="B26" s="643"/>
      <c r="C26" s="203" t="s">
        <v>188</v>
      </c>
      <c r="D26" s="630" t="s">
        <v>614</v>
      </c>
      <c r="E26" s="631"/>
      <c r="F26" s="632"/>
      <c r="G26" s="199">
        <v>22</v>
      </c>
      <c r="H26" s="201">
        <v>3263.7566377250323</v>
      </c>
      <c r="I26" s="202">
        <v>148.35257444204692</v>
      </c>
      <c r="J26" s="351">
        <v>5.963314243613496</v>
      </c>
      <c r="K26" s="622" t="s">
        <v>405</v>
      </c>
      <c r="L26" s="623"/>
      <c r="M26" s="98"/>
      <c r="O26" s="198"/>
      <c r="P26" s="381"/>
      <c r="Q26" s="381"/>
      <c r="R26" s="198"/>
    </row>
    <row r="27" spans="1:18" ht="13.5">
      <c r="A27" s="641"/>
      <c r="B27" s="643"/>
      <c r="C27" s="203" t="s">
        <v>193</v>
      </c>
      <c r="D27" s="630"/>
      <c r="E27" s="631"/>
      <c r="F27" s="632"/>
      <c r="G27" s="199"/>
      <c r="H27" s="201"/>
      <c r="I27" s="202"/>
      <c r="J27" s="199"/>
      <c r="K27" s="630"/>
      <c r="L27" s="632"/>
      <c r="M27" s="98"/>
      <c r="O27" s="198"/>
      <c r="P27" s="381"/>
      <c r="Q27" s="381"/>
      <c r="R27" s="198"/>
    </row>
    <row r="28" spans="1:18" ht="13.5">
      <c r="A28" s="637"/>
      <c r="B28" s="644"/>
      <c r="C28" s="203" t="s">
        <v>194</v>
      </c>
      <c r="D28" s="630"/>
      <c r="E28" s="631"/>
      <c r="F28" s="632"/>
      <c r="G28" s="199"/>
      <c r="H28" s="201"/>
      <c r="I28" s="202"/>
      <c r="J28" s="199"/>
      <c r="K28" s="630"/>
      <c r="L28" s="632"/>
      <c r="M28" s="98"/>
      <c r="O28" s="198"/>
      <c r="P28" s="381"/>
      <c r="Q28" s="381"/>
      <c r="R28" s="198"/>
    </row>
    <row r="29" spans="1:18" s="188" customFormat="1" ht="15.75" customHeight="1">
      <c r="A29" s="624" t="s">
        <v>631</v>
      </c>
      <c r="B29" s="624"/>
      <c r="C29" s="624"/>
      <c r="D29" s="624"/>
      <c r="E29" s="624"/>
      <c r="F29" s="624"/>
      <c r="G29" s="624"/>
      <c r="H29" s="624"/>
      <c r="I29" s="624"/>
      <c r="J29" s="624"/>
      <c r="K29" s="624"/>
      <c r="L29" s="624"/>
    </row>
    <row r="30" spans="1:18" s="189" customFormat="1" ht="15.75" customHeight="1">
      <c r="A30" s="624"/>
      <c r="B30" s="624"/>
      <c r="C30" s="624"/>
      <c r="D30" s="624"/>
      <c r="E30" s="624"/>
      <c r="F30" s="624"/>
      <c r="G30" s="624"/>
      <c r="H30" s="624"/>
      <c r="I30" s="624"/>
      <c r="J30" s="624"/>
      <c r="K30" s="624"/>
      <c r="L30" s="624"/>
    </row>
    <row r="31" spans="1:18" s="105" customFormat="1" ht="16.350000000000001" customHeight="1">
      <c r="A31" s="636" t="s">
        <v>162</v>
      </c>
      <c r="B31" s="169">
        <v>1</v>
      </c>
      <c r="C31" s="169">
        <v>2</v>
      </c>
      <c r="D31" s="169">
        <v>3</v>
      </c>
      <c r="E31" s="169">
        <v>4</v>
      </c>
      <c r="F31" s="169">
        <v>5</v>
      </c>
      <c r="G31" s="169">
        <v>6</v>
      </c>
      <c r="H31" s="190">
        <v>7</v>
      </c>
      <c r="I31" s="190">
        <v>8</v>
      </c>
      <c r="J31" s="169">
        <v>9</v>
      </c>
      <c r="K31" s="191"/>
      <c r="L31" s="191"/>
      <c r="M31" s="126"/>
      <c r="N31" s="177"/>
      <c r="O31" s="177"/>
      <c r="P31" s="177"/>
      <c r="Q31" s="177"/>
      <c r="R31" s="177"/>
    </row>
    <row r="32" spans="1:18" ht="16.350000000000001" customHeight="1">
      <c r="A32" s="637"/>
      <c r="B32" s="194" t="s">
        <v>189</v>
      </c>
      <c r="C32" s="194" t="s">
        <v>155</v>
      </c>
      <c r="D32" s="194" t="s">
        <v>190</v>
      </c>
      <c r="E32" s="194" t="s">
        <v>156</v>
      </c>
      <c r="F32" s="194" t="s">
        <v>138</v>
      </c>
      <c r="G32" s="195" t="s">
        <v>136</v>
      </c>
      <c r="H32" s="193" t="s">
        <v>191</v>
      </c>
      <c r="I32" s="208" t="s">
        <v>351</v>
      </c>
      <c r="J32" s="195" t="s">
        <v>142</v>
      </c>
      <c r="K32" s="197"/>
      <c r="L32" s="197"/>
      <c r="N32" s="198"/>
      <c r="O32" s="198"/>
      <c r="P32" s="198"/>
      <c r="Q32" s="198"/>
      <c r="R32" s="198"/>
    </row>
    <row r="33" spans="1:18" s="105" customFormat="1" ht="15.75" customHeight="1">
      <c r="A33" s="638" t="s">
        <v>171</v>
      </c>
      <c r="B33" s="639"/>
      <c r="C33" s="159" t="s">
        <v>47</v>
      </c>
      <c r="D33" s="638" t="s">
        <v>12</v>
      </c>
      <c r="E33" s="640"/>
      <c r="F33" s="639"/>
      <c r="G33" s="159" t="s">
        <v>46</v>
      </c>
      <c r="H33" s="159" t="s">
        <v>352</v>
      </c>
      <c r="I33" s="159" t="s">
        <v>353</v>
      </c>
      <c r="J33" s="159" t="s">
        <v>311</v>
      </c>
      <c r="K33" s="638" t="s">
        <v>51</v>
      </c>
      <c r="L33" s="639"/>
      <c r="M33" s="126"/>
      <c r="N33" s="188"/>
      <c r="O33" s="198"/>
      <c r="P33" s="381"/>
      <c r="Q33" s="381"/>
      <c r="R33" s="198"/>
    </row>
    <row r="34" spans="1:18" ht="15">
      <c r="A34" s="636">
        <v>7</v>
      </c>
      <c r="B34" s="642" t="s">
        <v>356</v>
      </c>
      <c r="C34" s="199">
        <v>1</v>
      </c>
      <c r="D34" s="645"/>
      <c r="E34" s="623"/>
      <c r="F34" s="623"/>
      <c r="G34" s="199"/>
      <c r="H34" s="201"/>
      <c r="I34" s="202"/>
      <c r="J34" s="199"/>
      <c r="K34" s="630"/>
      <c r="L34" s="632"/>
      <c r="N34" s="382"/>
      <c r="O34" s="198"/>
      <c r="P34" s="381"/>
      <c r="Q34" s="381"/>
      <c r="R34" s="198"/>
    </row>
    <row r="35" spans="1:18" ht="15">
      <c r="A35" s="641"/>
      <c r="B35" s="643"/>
      <c r="C35" s="199">
        <v>2</v>
      </c>
      <c r="D35" s="645"/>
      <c r="E35" s="623"/>
      <c r="F35" s="623"/>
      <c r="G35" s="199"/>
      <c r="H35" s="201"/>
      <c r="I35" s="202"/>
      <c r="J35" s="199"/>
      <c r="K35" s="630"/>
      <c r="L35" s="632"/>
      <c r="O35" s="198"/>
      <c r="P35" s="381"/>
      <c r="Q35" s="381"/>
      <c r="R35" s="198"/>
    </row>
    <row r="36" spans="1:18" ht="13.5">
      <c r="A36" s="641"/>
      <c r="B36" s="643"/>
      <c r="C36" s="199">
        <v>3</v>
      </c>
      <c r="D36" s="630"/>
      <c r="E36" s="631"/>
      <c r="F36" s="632"/>
      <c r="G36" s="199"/>
      <c r="H36" s="201"/>
      <c r="I36" s="202"/>
      <c r="J36" s="199"/>
      <c r="K36" s="630"/>
      <c r="L36" s="632"/>
      <c r="O36" s="198"/>
      <c r="P36" s="381"/>
      <c r="Q36" s="381"/>
      <c r="R36" s="198"/>
    </row>
    <row r="37" spans="1:18" ht="13.5">
      <c r="A37" s="641"/>
      <c r="B37" s="643"/>
      <c r="C37" s="199">
        <v>4</v>
      </c>
      <c r="D37" s="630"/>
      <c r="E37" s="631"/>
      <c r="F37" s="632"/>
      <c r="G37" s="199"/>
      <c r="H37" s="201"/>
      <c r="I37" s="202"/>
      <c r="J37" s="199"/>
      <c r="K37" s="630"/>
      <c r="L37" s="632"/>
      <c r="O37" s="198"/>
      <c r="P37" s="381"/>
      <c r="Q37" s="381"/>
      <c r="R37" s="198"/>
    </row>
    <row r="38" spans="1:18" ht="13.5">
      <c r="A38" s="641"/>
      <c r="B38" s="643"/>
      <c r="C38" s="199">
        <v>5</v>
      </c>
      <c r="D38" s="630"/>
      <c r="E38" s="631"/>
      <c r="F38" s="632"/>
      <c r="G38" s="199"/>
      <c r="H38" s="201"/>
      <c r="I38" s="202"/>
      <c r="J38" s="199"/>
      <c r="K38" s="630"/>
      <c r="L38" s="632"/>
      <c r="N38" s="177"/>
      <c r="O38" s="198"/>
      <c r="P38" s="381"/>
      <c r="Q38" s="381"/>
      <c r="R38" s="198"/>
    </row>
    <row r="39" spans="1:18" ht="13.5">
      <c r="A39" s="641"/>
      <c r="B39" s="643"/>
      <c r="C39" s="203" t="s">
        <v>187</v>
      </c>
      <c r="D39" s="630"/>
      <c r="E39" s="631"/>
      <c r="F39" s="632"/>
      <c r="G39" s="199"/>
      <c r="H39" s="201"/>
      <c r="I39" s="202"/>
      <c r="J39" s="199"/>
      <c r="K39" s="630"/>
      <c r="L39" s="632"/>
      <c r="N39" s="382"/>
      <c r="O39" s="198"/>
      <c r="P39" s="381"/>
      <c r="Q39" s="381"/>
      <c r="R39" s="198"/>
    </row>
    <row r="40" spans="1:18" ht="13.5">
      <c r="A40" s="641"/>
      <c r="B40" s="643"/>
      <c r="C40" s="203" t="s">
        <v>192</v>
      </c>
      <c r="D40" s="630"/>
      <c r="E40" s="631"/>
      <c r="F40" s="632"/>
      <c r="G40" s="199"/>
      <c r="H40" s="201"/>
      <c r="I40" s="202"/>
      <c r="J40" s="199"/>
      <c r="K40" s="630"/>
      <c r="L40" s="632"/>
      <c r="O40" s="198"/>
      <c r="P40" s="381"/>
      <c r="Q40" s="381"/>
      <c r="R40" s="198"/>
    </row>
    <row r="41" spans="1:18" ht="13.5">
      <c r="A41" s="641"/>
      <c r="B41" s="643"/>
      <c r="C41" s="203" t="s">
        <v>188</v>
      </c>
      <c r="D41" s="630"/>
      <c r="E41" s="631"/>
      <c r="F41" s="632"/>
      <c r="G41" s="199"/>
      <c r="H41" s="201"/>
      <c r="I41" s="202"/>
      <c r="J41" s="199"/>
      <c r="K41" s="630"/>
      <c r="L41" s="632"/>
      <c r="O41" s="198"/>
      <c r="P41" s="381"/>
      <c r="Q41" s="381"/>
      <c r="R41" s="198"/>
    </row>
    <row r="42" spans="1:18" ht="13.5">
      <c r="A42" s="641"/>
      <c r="B42" s="643"/>
      <c r="C42" s="203" t="s">
        <v>193</v>
      </c>
      <c r="D42" s="630"/>
      <c r="E42" s="631"/>
      <c r="F42" s="632"/>
      <c r="G42" s="199"/>
      <c r="H42" s="201"/>
      <c r="I42" s="202"/>
      <c r="J42" s="199"/>
      <c r="K42" s="630"/>
      <c r="L42" s="632"/>
      <c r="M42" s="98"/>
      <c r="O42" s="198"/>
      <c r="P42" s="381"/>
      <c r="Q42" s="381"/>
      <c r="R42" s="198"/>
    </row>
    <row r="43" spans="1:18" ht="13.5">
      <c r="A43" s="637"/>
      <c r="B43" s="644"/>
      <c r="C43" s="203" t="s">
        <v>194</v>
      </c>
      <c r="D43" s="630"/>
      <c r="E43" s="631"/>
      <c r="F43" s="632"/>
      <c r="G43" s="199"/>
      <c r="H43" s="201"/>
      <c r="I43" s="202"/>
      <c r="J43" s="199"/>
      <c r="K43" s="630"/>
      <c r="L43" s="632"/>
      <c r="M43" s="98"/>
      <c r="N43" s="198"/>
      <c r="O43" s="198"/>
      <c r="P43" s="381"/>
      <c r="Q43" s="381"/>
      <c r="R43" s="198"/>
    </row>
    <row r="44" spans="1:18" s="103" customFormat="1" ht="14.25">
      <c r="A44" s="633" t="s">
        <v>171</v>
      </c>
      <c r="B44" s="635"/>
      <c r="C44" s="206" t="s">
        <v>47</v>
      </c>
      <c r="D44" s="633" t="s">
        <v>12</v>
      </c>
      <c r="E44" s="634"/>
      <c r="F44" s="635"/>
      <c r="G44" s="206" t="s">
        <v>46</v>
      </c>
      <c r="H44" s="206" t="s">
        <v>352</v>
      </c>
      <c r="I44" s="206" t="s">
        <v>353</v>
      </c>
      <c r="J44" s="159" t="s">
        <v>311</v>
      </c>
      <c r="K44" s="633" t="s">
        <v>51</v>
      </c>
      <c r="L44" s="635"/>
      <c r="M44" s="127"/>
      <c r="N44" s="188"/>
      <c r="O44" s="198"/>
      <c r="P44" s="381"/>
      <c r="Q44" s="381"/>
      <c r="R44" s="198"/>
    </row>
    <row r="45" spans="1:18" ht="13.5">
      <c r="A45" s="636">
        <v>8</v>
      </c>
      <c r="B45" s="642" t="s">
        <v>357</v>
      </c>
      <c r="C45" s="199">
        <v>1</v>
      </c>
      <c r="D45" s="630" t="s">
        <v>494</v>
      </c>
      <c r="E45" s="631"/>
      <c r="F45" s="632"/>
      <c r="G45" s="199">
        <v>19</v>
      </c>
      <c r="H45" s="201">
        <v>3193.9944520161762</v>
      </c>
      <c r="I45" s="202">
        <v>168.10497115874614</v>
      </c>
      <c r="J45" s="351">
        <f>I45-I20</f>
        <v>0.12703434470085995</v>
      </c>
      <c r="K45" s="622" t="s">
        <v>405</v>
      </c>
      <c r="L45" s="623"/>
      <c r="M45" s="98"/>
      <c r="O45" s="198"/>
      <c r="P45" s="381"/>
      <c r="Q45" s="381"/>
      <c r="R45" s="198"/>
    </row>
    <row r="46" spans="1:18" ht="13.5">
      <c r="A46" s="641"/>
      <c r="B46" s="643"/>
      <c r="C46" s="199">
        <v>2</v>
      </c>
      <c r="D46" s="630" t="s">
        <v>536</v>
      </c>
      <c r="E46" s="631"/>
      <c r="F46" s="632"/>
      <c r="G46" s="199">
        <v>19</v>
      </c>
      <c r="H46" s="201">
        <v>3192.2953150191497</v>
      </c>
      <c r="I46" s="202">
        <v>168.01554289574474</v>
      </c>
      <c r="J46" s="351">
        <f>I46-I19</f>
        <v>-2.2296794453637858E-2</v>
      </c>
      <c r="K46" s="622" t="s">
        <v>405</v>
      </c>
      <c r="L46" s="623"/>
      <c r="M46" s="98"/>
      <c r="O46" s="177"/>
      <c r="P46" s="380"/>
      <c r="Q46" s="380"/>
      <c r="R46" s="177"/>
    </row>
    <row r="47" spans="1:18" ht="13.5">
      <c r="A47" s="641"/>
      <c r="B47" s="643"/>
      <c r="C47" s="199">
        <v>3</v>
      </c>
      <c r="D47" s="630" t="s">
        <v>492</v>
      </c>
      <c r="E47" s="631"/>
      <c r="F47" s="632"/>
      <c r="G47" s="199">
        <v>20</v>
      </c>
      <c r="H47" s="201">
        <v>3267.3469793534973</v>
      </c>
      <c r="I47" s="202">
        <v>163.3673489676749</v>
      </c>
      <c r="J47" s="351">
        <f>I47-I21</f>
        <v>1.9839501123755099E-2</v>
      </c>
      <c r="K47" s="622" t="s">
        <v>405</v>
      </c>
      <c r="L47" s="623"/>
      <c r="M47" s="98"/>
      <c r="O47" s="198"/>
      <c r="P47" s="381"/>
      <c r="Q47" s="381"/>
      <c r="R47" s="198"/>
    </row>
    <row r="48" spans="1:18" ht="13.5">
      <c r="A48" s="641"/>
      <c r="B48" s="643"/>
      <c r="C48" s="199">
        <v>4</v>
      </c>
      <c r="D48" s="630" t="s">
        <v>581</v>
      </c>
      <c r="E48" s="631"/>
      <c r="F48" s="632"/>
      <c r="G48" s="199">
        <v>20</v>
      </c>
      <c r="H48" s="201">
        <v>3261.4338532923257</v>
      </c>
      <c r="I48" s="202">
        <v>163.07169266461628</v>
      </c>
      <c r="J48" s="351">
        <f>I48-I22</f>
        <v>2.3142857142886442E-2</v>
      </c>
      <c r="K48" s="622" t="s">
        <v>405</v>
      </c>
      <c r="L48" s="623"/>
      <c r="M48" s="98"/>
      <c r="O48" s="198"/>
      <c r="P48" s="381"/>
      <c r="Q48" s="381"/>
      <c r="R48" s="198"/>
    </row>
    <row r="49" spans="1:18" ht="13.5">
      <c r="A49" s="641"/>
      <c r="B49" s="643"/>
      <c r="C49" s="199">
        <v>5</v>
      </c>
      <c r="D49" s="630" t="s">
        <v>493</v>
      </c>
      <c r="E49" s="631"/>
      <c r="F49" s="632"/>
      <c r="G49" s="199">
        <v>21</v>
      </c>
      <c r="H49" s="201">
        <v>3268.7777543417183</v>
      </c>
      <c r="I49" s="202">
        <v>155.65608354008182</v>
      </c>
      <c r="J49" s="351">
        <f>I49-I23</f>
        <v>6.9702493714203229E-2</v>
      </c>
      <c r="K49" s="622" t="s">
        <v>405</v>
      </c>
      <c r="L49" s="623"/>
      <c r="M49" s="98"/>
      <c r="O49" s="198"/>
      <c r="P49" s="381"/>
      <c r="Q49" s="381"/>
      <c r="R49" s="198"/>
    </row>
    <row r="50" spans="1:18" ht="13.5">
      <c r="A50" s="641"/>
      <c r="B50" s="643"/>
      <c r="C50" s="203" t="s">
        <v>187</v>
      </c>
      <c r="D50" s="630" t="s">
        <v>531</v>
      </c>
      <c r="E50" s="631"/>
      <c r="F50" s="632"/>
      <c r="G50" s="199">
        <v>24</v>
      </c>
      <c r="H50" s="201">
        <v>3267.7442866123492</v>
      </c>
      <c r="I50" s="202">
        <v>136.15601194218124</v>
      </c>
      <c r="J50" s="351">
        <f>I50-I25</f>
        <v>1.9929334609514626E-2</v>
      </c>
      <c r="K50" s="622" t="s">
        <v>405</v>
      </c>
      <c r="L50" s="623"/>
      <c r="M50" s="98"/>
      <c r="O50" s="198"/>
      <c r="P50" s="381"/>
      <c r="Q50" s="381"/>
      <c r="R50" s="198"/>
    </row>
    <row r="51" spans="1:18" ht="13.5">
      <c r="A51" s="641"/>
      <c r="B51" s="643"/>
      <c r="C51" s="203" t="s">
        <v>192</v>
      </c>
      <c r="D51" s="630" t="s">
        <v>544</v>
      </c>
      <c r="E51" s="631"/>
      <c r="F51" s="632"/>
      <c r="G51" s="199">
        <v>24</v>
      </c>
      <c r="H51" s="201">
        <v>3269.0295530584544</v>
      </c>
      <c r="I51" s="202">
        <v>136.20956471076894</v>
      </c>
      <c r="J51" s="351">
        <f>I51-I24</f>
        <v>7.9617220546765566E-2</v>
      </c>
      <c r="K51" s="622" t="s">
        <v>405</v>
      </c>
      <c r="L51" s="623"/>
      <c r="M51" s="98"/>
      <c r="O51" s="198"/>
      <c r="P51" s="381"/>
      <c r="Q51" s="381"/>
      <c r="R51" s="198"/>
    </row>
    <row r="52" spans="1:18">
      <c r="A52" s="641"/>
      <c r="B52" s="643"/>
      <c r="C52" s="203" t="s">
        <v>188</v>
      </c>
      <c r="D52" s="630" t="s">
        <v>690</v>
      </c>
      <c r="E52" s="631"/>
      <c r="F52" s="632"/>
      <c r="G52" s="199">
        <v>21</v>
      </c>
      <c r="H52" s="201">
        <v>3106.8811845978585</v>
      </c>
      <c r="I52" s="202">
        <v>147.94672307608852</v>
      </c>
      <c r="J52" s="351"/>
      <c r="K52" s="629" t="s">
        <v>700</v>
      </c>
      <c r="L52" s="623"/>
      <c r="M52" s="98"/>
      <c r="O52" s="198"/>
      <c r="P52" s="381"/>
      <c r="Q52" s="381"/>
      <c r="R52" s="198"/>
    </row>
    <row r="53" spans="1:18" ht="13.5">
      <c r="A53" s="641"/>
      <c r="B53" s="643"/>
      <c r="C53" s="203" t="s">
        <v>193</v>
      </c>
      <c r="D53" s="630" t="s">
        <v>614</v>
      </c>
      <c r="E53" s="631"/>
      <c r="F53" s="632"/>
      <c r="G53" s="199">
        <v>22</v>
      </c>
      <c r="H53" s="201">
        <v>3263.1652091536039</v>
      </c>
      <c r="I53" s="202">
        <v>148.32569132516383</v>
      </c>
      <c r="J53" s="351">
        <f>I53-I26</f>
        <v>-2.6883116883084313E-2</v>
      </c>
      <c r="K53" s="622" t="s">
        <v>405</v>
      </c>
      <c r="L53" s="623"/>
      <c r="M53" s="98"/>
      <c r="O53" s="198"/>
      <c r="P53" s="381"/>
      <c r="Q53" s="381"/>
      <c r="R53" s="198"/>
    </row>
    <row r="54" spans="1:18" ht="13.5">
      <c r="A54" s="637"/>
      <c r="B54" s="644"/>
      <c r="C54" s="203" t="s">
        <v>194</v>
      </c>
      <c r="D54" s="630"/>
      <c r="E54" s="631"/>
      <c r="F54" s="632"/>
      <c r="G54" s="199"/>
      <c r="H54" s="201"/>
      <c r="I54" s="202"/>
      <c r="J54" s="199"/>
      <c r="K54" s="630"/>
      <c r="L54" s="632"/>
      <c r="M54" s="98"/>
      <c r="O54" s="198"/>
      <c r="P54" s="381"/>
      <c r="Q54" s="381"/>
      <c r="R54" s="198"/>
    </row>
    <row r="55" spans="1:18" s="188" customFormat="1" ht="15.75" customHeight="1">
      <c r="A55" s="624" t="s">
        <v>674</v>
      </c>
      <c r="B55" s="624"/>
      <c r="C55" s="624"/>
      <c r="D55" s="624"/>
      <c r="E55" s="624"/>
      <c r="F55" s="624"/>
      <c r="G55" s="624"/>
      <c r="H55" s="624"/>
      <c r="I55" s="624"/>
      <c r="J55" s="624"/>
      <c r="K55" s="624"/>
      <c r="L55" s="624"/>
    </row>
    <row r="56" spans="1:18" s="189" customFormat="1" ht="15.75" customHeight="1">
      <c r="A56" s="624"/>
      <c r="B56" s="624"/>
      <c r="C56" s="624"/>
      <c r="D56" s="624"/>
      <c r="E56" s="624"/>
      <c r="F56" s="624"/>
      <c r="G56" s="624"/>
      <c r="H56" s="624"/>
      <c r="I56" s="624"/>
      <c r="J56" s="624"/>
      <c r="K56" s="624"/>
      <c r="L56" s="624"/>
    </row>
    <row r="57" spans="1:18" s="105" customFormat="1" ht="16.350000000000001" customHeight="1">
      <c r="A57" s="636" t="s">
        <v>162</v>
      </c>
      <c r="B57" s="169">
        <v>1</v>
      </c>
      <c r="C57" s="169">
        <v>2</v>
      </c>
      <c r="D57" s="169">
        <v>3</v>
      </c>
      <c r="E57" s="169">
        <v>4</v>
      </c>
      <c r="F57" s="169">
        <v>5</v>
      </c>
      <c r="G57" s="169">
        <v>6</v>
      </c>
      <c r="H57" s="190">
        <v>7</v>
      </c>
      <c r="I57" s="190">
        <v>8</v>
      </c>
      <c r="J57" s="169">
        <v>9</v>
      </c>
      <c r="K57" s="191"/>
      <c r="L57" s="191"/>
      <c r="M57" s="126"/>
      <c r="N57" s="177"/>
      <c r="O57" s="177"/>
      <c r="P57" s="177"/>
      <c r="Q57" s="177"/>
      <c r="R57" s="177"/>
    </row>
    <row r="58" spans="1:18" ht="16.350000000000001" customHeight="1">
      <c r="A58" s="637"/>
      <c r="B58" s="194" t="s">
        <v>189</v>
      </c>
      <c r="C58" s="194" t="s">
        <v>155</v>
      </c>
      <c r="D58" s="194" t="s">
        <v>190</v>
      </c>
      <c r="E58" s="194" t="s">
        <v>156</v>
      </c>
      <c r="F58" s="194" t="s">
        <v>138</v>
      </c>
      <c r="G58" s="195" t="s">
        <v>136</v>
      </c>
      <c r="H58" s="193" t="s">
        <v>191</v>
      </c>
      <c r="I58" s="208" t="s">
        <v>351</v>
      </c>
      <c r="J58" s="195" t="s">
        <v>142</v>
      </c>
      <c r="K58" s="197"/>
      <c r="L58" s="197"/>
      <c r="N58" s="198"/>
      <c r="O58" s="198"/>
      <c r="P58" s="198"/>
      <c r="Q58" s="198"/>
      <c r="R58" s="198"/>
    </row>
    <row r="59" spans="1:18" s="105" customFormat="1" ht="15.75" customHeight="1">
      <c r="A59" s="638" t="s">
        <v>171</v>
      </c>
      <c r="B59" s="639"/>
      <c r="C59" s="159" t="s">
        <v>47</v>
      </c>
      <c r="D59" s="638" t="s">
        <v>12</v>
      </c>
      <c r="E59" s="640"/>
      <c r="F59" s="639"/>
      <c r="G59" s="159" t="s">
        <v>46</v>
      </c>
      <c r="H59" s="159" t="s">
        <v>352</v>
      </c>
      <c r="I59" s="159" t="s">
        <v>353</v>
      </c>
      <c r="J59" s="159" t="s">
        <v>311</v>
      </c>
      <c r="K59" s="638" t="s">
        <v>51</v>
      </c>
      <c r="L59" s="639"/>
      <c r="M59" s="126"/>
      <c r="N59" s="188"/>
      <c r="O59" s="198"/>
      <c r="P59" s="381"/>
      <c r="Q59" s="381"/>
      <c r="R59" s="198"/>
    </row>
    <row r="60" spans="1:18" ht="15">
      <c r="A60" s="636">
        <v>7</v>
      </c>
      <c r="B60" s="642" t="s">
        <v>356</v>
      </c>
      <c r="C60" s="199">
        <v>1</v>
      </c>
      <c r="D60" s="645"/>
      <c r="E60" s="623"/>
      <c r="F60" s="623"/>
      <c r="G60" s="199"/>
      <c r="H60" s="201"/>
      <c r="I60" s="202"/>
      <c r="J60" s="199"/>
      <c r="K60" s="630"/>
      <c r="L60" s="632"/>
      <c r="N60" s="382"/>
      <c r="O60" s="198"/>
      <c r="P60" s="381"/>
      <c r="Q60" s="381"/>
      <c r="R60" s="198"/>
    </row>
    <row r="61" spans="1:18" ht="15">
      <c r="A61" s="641"/>
      <c r="B61" s="643"/>
      <c r="C61" s="199">
        <v>2</v>
      </c>
      <c r="D61" s="645"/>
      <c r="E61" s="623"/>
      <c r="F61" s="623"/>
      <c r="G61" s="199"/>
      <c r="H61" s="201"/>
      <c r="I61" s="202"/>
      <c r="J61" s="199"/>
      <c r="K61" s="630"/>
      <c r="L61" s="632"/>
      <c r="O61" s="198"/>
      <c r="P61" s="381"/>
      <c r="Q61" s="381"/>
      <c r="R61" s="198"/>
    </row>
    <row r="62" spans="1:18" ht="15">
      <c r="A62" s="641"/>
      <c r="B62" s="643"/>
      <c r="C62" s="199">
        <v>3</v>
      </c>
      <c r="D62" s="645"/>
      <c r="E62" s="623"/>
      <c r="F62" s="623"/>
      <c r="G62" s="199"/>
      <c r="H62" s="201"/>
      <c r="I62" s="202"/>
      <c r="J62" s="199"/>
      <c r="K62" s="630"/>
      <c r="L62" s="632"/>
      <c r="O62" s="198"/>
      <c r="P62" s="381"/>
      <c r="Q62" s="381"/>
      <c r="R62" s="198"/>
    </row>
    <row r="63" spans="1:18" ht="15">
      <c r="A63" s="641"/>
      <c r="B63" s="643"/>
      <c r="C63" s="199">
        <v>4</v>
      </c>
      <c r="D63" s="645"/>
      <c r="E63" s="623"/>
      <c r="F63" s="623"/>
      <c r="G63" s="199"/>
      <c r="H63" s="201"/>
      <c r="I63" s="202"/>
      <c r="J63" s="199"/>
      <c r="K63" s="630"/>
      <c r="L63" s="632"/>
      <c r="O63" s="198"/>
      <c r="P63" s="381"/>
      <c r="Q63" s="381"/>
      <c r="R63" s="198"/>
    </row>
    <row r="64" spans="1:18" ht="15">
      <c r="A64" s="641"/>
      <c r="B64" s="643"/>
      <c r="C64" s="199">
        <v>5</v>
      </c>
      <c r="D64" s="645"/>
      <c r="E64" s="623"/>
      <c r="F64" s="623"/>
      <c r="G64" s="199"/>
      <c r="H64" s="201"/>
      <c r="I64" s="202"/>
      <c r="J64" s="199"/>
      <c r="K64" s="630"/>
      <c r="L64" s="632"/>
      <c r="N64" s="177"/>
      <c r="O64" s="198"/>
      <c r="P64" s="381"/>
      <c r="Q64" s="381"/>
      <c r="R64" s="198"/>
    </row>
    <row r="65" spans="1:18" ht="13.5">
      <c r="A65" s="641"/>
      <c r="B65" s="643"/>
      <c r="C65" s="203" t="s">
        <v>187</v>
      </c>
      <c r="D65" s="630"/>
      <c r="E65" s="631"/>
      <c r="F65" s="632"/>
      <c r="G65" s="199"/>
      <c r="H65" s="201"/>
      <c r="I65" s="202"/>
      <c r="J65" s="199"/>
      <c r="K65" s="630"/>
      <c r="L65" s="632"/>
      <c r="N65" s="382"/>
      <c r="O65" s="198"/>
      <c r="P65" s="381"/>
      <c r="Q65" s="381"/>
      <c r="R65" s="198"/>
    </row>
    <row r="66" spans="1:18" ht="13.5">
      <c r="A66" s="641"/>
      <c r="B66" s="643"/>
      <c r="C66" s="203" t="s">
        <v>192</v>
      </c>
      <c r="D66" s="630"/>
      <c r="E66" s="631"/>
      <c r="F66" s="632"/>
      <c r="G66" s="199"/>
      <c r="H66" s="201"/>
      <c r="I66" s="202"/>
      <c r="J66" s="199"/>
      <c r="K66" s="630"/>
      <c r="L66" s="632"/>
      <c r="O66" s="198"/>
      <c r="P66" s="381"/>
      <c r="Q66" s="381"/>
      <c r="R66" s="198"/>
    </row>
    <row r="67" spans="1:18" ht="13.5">
      <c r="A67" s="641"/>
      <c r="B67" s="643"/>
      <c r="C67" s="203" t="s">
        <v>188</v>
      </c>
      <c r="D67" s="630"/>
      <c r="E67" s="631"/>
      <c r="F67" s="632"/>
      <c r="G67" s="199"/>
      <c r="H67" s="201"/>
      <c r="I67" s="202"/>
      <c r="J67" s="199"/>
      <c r="K67" s="630"/>
      <c r="L67" s="632"/>
      <c r="O67" s="198"/>
      <c r="P67" s="381"/>
      <c r="Q67" s="381"/>
      <c r="R67" s="198"/>
    </row>
    <row r="68" spans="1:18" ht="13.5">
      <c r="A68" s="641"/>
      <c r="B68" s="643"/>
      <c r="C68" s="203" t="s">
        <v>193</v>
      </c>
      <c r="D68" s="630"/>
      <c r="E68" s="631"/>
      <c r="F68" s="632"/>
      <c r="G68" s="199"/>
      <c r="H68" s="201"/>
      <c r="I68" s="202"/>
      <c r="J68" s="199"/>
      <c r="K68" s="630"/>
      <c r="L68" s="632"/>
      <c r="M68" s="98"/>
      <c r="O68" s="198"/>
      <c r="P68" s="381"/>
      <c r="Q68" s="381"/>
      <c r="R68" s="198"/>
    </row>
    <row r="69" spans="1:18" ht="13.5">
      <c r="A69" s="637"/>
      <c r="B69" s="644"/>
      <c r="C69" s="203" t="s">
        <v>194</v>
      </c>
      <c r="D69" s="630"/>
      <c r="E69" s="631"/>
      <c r="F69" s="632"/>
      <c r="G69" s="199"/>
      <c r="H69" s="201"/>
      <c r="I69" s="202"/>
      <c r="J69" s="199"/>
      <c r="K69" s="630"/>
      <c r="L69" s="632"/>
      <c r="M69" s="98"/>
      <c r="N69" s="198"/>
      <c r="O69" s="198"/>
      <c r="P69" s="381"/>
      <c r="Q69" s="381"/>
      <c r="R69" s="198"/>
    </row>
    <row r="70" spans="1:18" s="103" customFormat="1" ht="14.25">
      <c r="A70" s="633" t="s">
        <v>171</v>
      </c>
      <c r="B70" s="635"/>
      <c r="C70" s="206" t="s">
        <v>47</v>
      </c>
      <c r="D70" s="633" t="s">
        <v>12</v>
      </c>
      <c r="E70" s="634"/>
      <c r="F70" s="635"/>
      <c r="G70" s="206" t="s">
        <v>46</v>
      </c>
      <c r="H70" s="206" t="s">
        <v>352</v>
      </c>
      <c r="I70" s="206" t="s">
        <v>353</v>
      </c>
      <c r="J70" s="159" t="s">
        <v>311</v>
      </c>
      <c r="K70" s="633" t="s">
        <v>51</v>
      </c>
      <c r="L70" s="635"/>
      <c r="M70" s="127"/>
      <c r="N70" s="188"/>
      <c r="O70" s="198"/>
      <c r="P70" s="381"/>
      <c r="Q70" s="381"/>
      <c r="R70" s="198"/>
    </row>
    <row r="71" spans="1:18" ht="15">
      <c r="A71" s="636">
        <v>8</v>
      </c>
      <c r="B71" s="642" t="s">
        <v>357</v>
      </c>
      <c r="C71" s="199">
        <v>1</v>
      </c>
      <c r="D71" s="645" t="s">
        <v>494</v>
      </c>
      <c r="E71" s="623"/>
      <c r="F71" s="623"/>
      <c r="G71" s="199">
        <v>19</v>
      </c>
      <c r="H71" s="201">
        <v>3192.4429535813078</v>
      </c>
      <c r="I71" s="202">
        <v>168.02331334638464</v>
      </c>
      <c r="J71" s="351">
        <f t="shared" ref="J71:J78" si="0">I71-I45</f>
        <v>-8.1657812361498827E-2</v>
      </c>
      <c r="K71" s="622"/>
      <c r="L71" s="623"/>
      <c r="M71" s="98"/>
      <c r="O71" s="198"/>
      <c r="P71" s="381"/>
      <c r="Q71" s="381"/>
      <c r="R71" s="198"/>
    </row>
    <row r="72" spans="1:18" ht="15">
      <c r="A72" s="641"/>
      <c r="B72" s="643"/>
      <c r="C72" s="199">
        <v>2</v>
      </c>
      <c r="D72" s="645" t="s">
        <v>536</v>
      </c>
      <c r="E72" s="623"/>
      <c r="F72" s="623"/>
      <c r="G72" s="199">
        <v>19</v>
      </c>
      <c r="H72" s="201">
        <v>3191.6695649779685</v>
      </c>
      <c r="I72" s="202">
        <v>167.98260868305098</v>
      </c>
      <c r="J72" s="351">
        <f t="shared" si="0"/>
        <v>-3.2934212693760401E-2</v>
      </c>
      <c r="K72" s="622"/>
      <c r="L72" s="623"/>
      <c r="M72" s="98"/>
      <c r="O72" s="177"/>
      <c r="P72" s="380"/>
      <c r="Q72" s="380"/>
      <c r="R72" s="177"/>
    </row>
    <row r="73" spans="1:18" ht="15">
      <c r="A73" s="641"/>
      <c r="B73" s="643"/>
      <c r="C73" s="199">
        <v>3</v>
      </c>
      <c r="D73" s="645" t="s">
        <v>492</v>
      </c>
      <c r="E73" s="623"/>
      <c r="F73" s="623"/>
      <c r="G73" s="199">
        <v>20</v>
      </c>
      <c r="H73" s="201">
        <v>3268.8898364963547</v>
      </c>
      <c r="I73" s="202">
        <v>163.44449182481776</v>
      </c>
      <c r="J73" s="351">
        <f t="shared" si="0"/>
        <v>7.7142857142860066E-2</v>
      </c>
      <c r="K73" s="622"/>
      <c r="L73" s="623"/>
      <c r="M73" s="98"/>
      <c r="O73" s="198"/>
      <c r="P73" s="381"/>
      <c r="Q73" s="381"/>
      <c r="R73" s="198"/>
    </row>
    <row r="74" spans="1:18" ht="15">
      <c r="A74" s="641"/>
      <c r="B74" s="643"/>
      <c r="C74" s="199">
        <v>4</v>
      </c>
      <c r="D74" s="645" t="s">
        <v>581</v>
      </c>
      <c r="E74" s="623"/>
      <c r="F74" s="623"/>
      <c r="G74" s="199">
        <v>20</v>
      </c>
      <c r="H74" s="201">
        <v>3262.4624247208967</v>
      </c>
      <c r="I74" s="202">
        <v>163.12312123604485</v>
      </c>
      <c r="J74" s="351">
        <f t="shared" si="0"/>
        <v>5.1428571428573377E-2</v>
      </c>
      <c r="K74" s="622"/>
      <c r="L74" s="623"/>
      <c r="M74" s="98"/>
      <c r="O74" s="198"/>
      <c r="P74" s="381"/>
      <c r="Q74" s="381"/>
      <c r="R74" s="198"/>
    </row>
    <row r="75" spans="1:18" ht="15">
      <c r="A75" s="641"/>
      <c r="B75" s="643"/>
      <c r="C75" s="199">
        <v>5</v>
      </c>
      <c r="D75" s="645" t="s">
        <v>493</v>
      </c>
      <c r="E75" s="623"/>
      <c r="F75" s="623"/>
      <c r="G75" s="199">
        <v>21</v>
      </c>
      <c r="H75" s="201">
        <v>3268.7777543417178</v>
      </c>
      <c r="I75" s="202">
        <v>155.65608354008182</v>
      </c>
      <c r="J75" s="351">
        <f t="shared" si="0"/>
        <v>0</v>
      </c>
      <c r="K75" s="622"/>
      <c r="L75" s="623"/>
      <c r="M75" s="98"/>
      <c r="O75" s="198"/>
      <c r="P75" s="381"/>
      <c r="Q75" s="381"/>
      <c r="R75" s="198"/>
    </row>
    <row r="76" spans="1:18" ht="13.5">
      <c r="A76" s="641"/>
      <c r="B76" s="643"/>
      <c r="C76" s="203" t="s">
        <v>187</v>
      </c>
      <c r="D76" s="630" t="s">
        <v>531</v>
      </c>
      <c r="E76" s="631"/>
      <c r="F76" s="632"/>
      <c r="G76" s="199">
        <v>24</v>
      </c>
      <c r="H76" s="201">
        <v>3264.7614294694918</v>
      </c>
      <c r="I76" s="202">
        <v>136.03172622789549</v>
      </c>
      <c r="J76" s="351">
        <f t="shared" si="0"/>
        <v>-0.12428571428574742</v>
      </c>
      <c r="K76" s="622"/>
      <c r="L76" s="623"/>
      <c r="M76" s="98"/>
      <c r="O76" s="198"/>
      <c r="P76" s="381"/>
      <c r="Q76" s="381"/>
      <c r="R76" s="198"/>
    </row>
    <row r="77" spans="1:18" ht="13.5">
      <c r="A77" s="641"/>
      <c r="B77" s="643"/>
      <c r="C77" s="203" t="s">
        <v>192</v>
      </c>
      <c r="D77" s="630" t="s">
        <v>544</v>
      </c>
      <c r="E77" s="631"/>
      <c r="F77" s="632"/>
      <c r="G77" s="199">
        <v>24</v>
      </c>
      <c r="H77" s="201">
        <v>3267.5112897654326</v>
      </c>
      <c r="I77" s="202">
        <v>136.14630374022639</v>
      </c>
      <c r="J77" s="351">
        <f t="shared" si="0"/>
        <v>-6.326097054255797E-2</v>
      </c>
      <c r="K77" s="622"/>
      <c r="L77" s="623"/>
      <c r="M77" s="98"/>
      <c r="O77" s="198"/>
      <c r="P77" s="381"/>
      <c r="Q77" s="381"/>
      <c r="R77" s="198"/>
    </row>
    <row r="78" spans="1:18" ht="13.5">
      <c r="A78" s="641"/>
      <c r="B78" s="643"/>
      <c r="C78" s="203" t="s">
        <v>188</v>
      </c>
      <c r="D78" s="630" t="s">
        <v>690</v>
      </c>
      <c r="E78" s="631"/>
      <c r="F78" s="632"/>
      <c r="G78" s="199">
        <v>21</v>
      </c>
      <c r="H78" s="201">
        <v>3192.8299533597356</v>
      </c>
      <c r="I78" s="202">
        <v>152.03952158855887</v>
      </c>
      <c r="J78" s="351">
        <f t="shared" si="0"/>
        <v>4.0927985124703525</v>
      </c>
      <c r="K78" s="622"/>
      <c r="L78" s="623"/>
      <c r="M78" s="98"/>
      <c r="O78" s="198"/>
      <c r="P78" s="381"/>
      <c r="Q78" s="381"/>
      <c r="R78" s="198"/>
    </row>
    <row r="79" spans="1:18" ht="13.5">
      <c r="A79" s="641"/>
      <c r="B79" s="643"/>
      <c r="C79" s="203" t="s">
        <v>193</v>
      </c>
      <c r="D79" s="630"/>
      <c r="E79" s="631"/>
      <c r="F79" s="632"/>
      <c r="G79" s="199"/>
      <c r="H79" s="201"/>
      <c r="I79" s="202"/>
      <c r="J79" s="199"/>
      <c r="K79" s="630"/>
      <c r="L79" s="632"/>
      <c r="M79" s="98"/>
      <c r="O79" s="198"/>
      <c r="P79" s="381"/>
      <c r="Q79" s="381"/>
      <c r="R79" s="198"/>
    </row>
    <row r="80" spans="1:18" ht="13.5">
      <c r="A80" s="637"/>
      <c r="B80" s="644"/>
      <c r="C80" s="203" t="s">
        <v>194</v>
      </c>
      <c r="D80" s="630"/>
      <c r="E80" s="631"/>
      <c r="F80" s="632"/>
      <c r="G80" s="199"/>
      <c r="H80" s="201"/>
      <c r="I80" s="202"/>
      <c r="J80" s="199"/>
      <c r="K80" s="630"/>
      <c r="L80" s="632"/>
      <c r="M80" s="98"/>
      <c r="O80" s="198"/>
      <c r="P80" s="381"/>
      <c r="Q80" s="381"/>
      <c r="R80" s="198"/>
    </row>
    <row r="81" spans="1:18" s="188" customFormat="1" ht="15.75" customHeight="1">
      <c r="A81" s="624" t="s">
        <v>713</v>
      </c>
      <c r="B81" s="624"/>
      <c r="C81" s="624"/>
      <c r="D81" s="624"/>
      <c r="E81" s="624"/>
      <c r="F81" s="624"/>
      <c r="G81" s="624"/>
      <c r="H81" s="624"/>
      <c r="I81" s="624"/>
      <c r="J81" s="624"/>
      <c r="K81" s="624"/>
      <c r="L81" s="624"/>
    </row>
    <row r="82" spans="1:18" s="189" customFormat="1" ht="15.75" customHeight="1">
      <c r="A82" s="624"/>
      <c r="B82" s="624"/>
      <c r="C82" s="624"/>
      <c r="D82" s="624"/>
      <c r="E82" s="624"/>
      <c r="F82" s="624"/>
      <c r="G82" s="624"/>
      <c r="H82" s="624"/>
      <c r="I82" s="624"/>
      <c r="J82" s="624"/>
      <c r="K82" s="624"/>
      <c r="L82" s="624"/>
    </row>
    <row r="83" spans="1:18" s="105" customFormat="1" ht="16.350000000000001" customHeight="1">
      <c r="A83" s="636" t="s">
        <v>162</v>
      </c>
      <c r="B83" s="169">
        <v>1</v>
      </c>
      <c r="C83" s="169">
        <v>2</v>
      </c>
      <c r="D83" s="169">
        <v>3</v>
      </c>
      <c r="E83" s="169">
        <v>4</v>
      </c>
      <c r="F83" s="169">
        <v>5</v>
      </c>
      <c r="G83" s="169">
        <v>6</v>
      </c>
      <c r="H83" s="190">
        <v>7</v>
      </c>
      <c r="I83" s="190">
        <v>8</v>
      </c>
      <c r="J83" s="169">
        <v>9</v>
      </c>
      <c r="K83" s="191"/>
      <c r="L83" s="191"/>
      <c r="M83" s="126"/>
      <c r="N83" s="177"/>
      <c r="O83" s="177"/>
      <c r="P83" s="177"/>
      <c r="Q83" s="177"/>
      <c r="R83" s="177"/>
    </row>
    <row r="84" spans="1:18" ht="16.350000000000001" customHeight="1">
      <c r="A84" s="637"/>
      <c r="B84" s="194" t="s">
        <v>189</v>
      </c>
      <c r="C84" s="194" t="s">
        <v>155</v>
      </c>
      <c r="D84" s="194" t="s">
        <v>190</v>
      </c>
      <c r="E84" s="194" t="s">
        <v>156</v>
      </c>
      <c r="F84" s="194" t="s">
        <v>138</v>
      </c>
      <c r="G84" s="195" t="s">
        <v>136</v>
      </c>
      <c r="H84" s="193" t="s">
        <v>191</v>
      </c>
      <c r="I84" s="208" t="s">
        <v>351</v>
      </c>
      <c r="J84" s="195" t="s">
        <v>142</v>
      </c>
      <c r="K84" s="197"/>
      <c r="L84" s="197"/>
      <c r="N84" s="198"/>
      <c r="O84" s="198"/>
      <c r="P84" s="198"/>
      <c r="Q84" s="198"/>
      <c r="R84" s="198"/>
    </row>
    <row r="85" spans="1:18" s="105" customFormat="1" ht="15.75" customHeight="1">
      <c r="A85" s="638" t="s">
        <v>171</v>
      </c>
      <c r="B85" s="639"/>
      <c r="C85" s="159" t="s">
        <v>47</v>
      </c>
      <c r="D85" s="638" t="s">
        <v>12</v>
      </c>
      <c r="E85" s="640"/>
      <c r="F85" s="639"/>
      <c r="G85" s="159" t="s">
        <v>46</v>
      </c>
      <c r="H85" s="159" t="s">
        <v>352</v>
      </c>
      <c r="I85" s="159" t="s">
        <v>353</v>
      </c>
      <c r="J85" s="159" t="s">
        <v>311</v>
      </c>
      <c r="K85" s="638" t="s">
        <v>51</v>
      </c>
      <c r="L85" s="639"/>
      <c r="M85" s="126"/>
      <c r="N85" s="188"/>
      <c r="O85" s="198"/>
      <c r="P85" s="381"/>
      <c r="Q85" s="381"/>
      <c r="R85" s="198"/>
    </row>
    <row r="86" spans="1:18" ht="15">
      <c r="A86" s="636">
        <v>7</v>
      </c>
      <c r="B86" s="642" t="s">
        <v>356</v>
      </c>
      <c r="C86" s="199">
        <v>1</v>
      </c>
      <c r="D86" s="645"/>
      <c r="E86" s="623"/>
      <c r="F86" s="623"/>
      <c r="G86" s="199"/>
      <c r="H86" s="201"/>
      <c r="I86" s="202"/>
      <c r="J86" s="199"/>
      <c r="K86" s="630"/>
      <c r="L86" s="632"/>
      <c r="N86" s="382"/>
      <c r="O86" s="198"/>
      <c r="P86" s="381"/>
      <c r="Q86" s="381"/>
      <c r="R86" s="198"/>
    </row>
    <row r="87" spans="1:18" ht="15">
      <c r="A87" s="641"/>
      <c r="B87" s="643"/>
      <c r="C87" s="199">
        <v>2</v>
      </c>
      <c r="D87" s="645"/>
      <c r="E87" s="623"/>
      <c r="F87" s="623"/>
      <c r="G87" s="199"/>
      <c r="H87" s="201"/>
      <c r="I87" s="202"/>
      <c r="J87" s="199"/>
      <c r="K87" s="630"/>
      <c r="L87" s="632"/>
      <c r="O87" s="198"/>
      <c r="P87" s="381"/>
      <c r="Q87" s="381"/>
      <c r="R87" s="198"/>
    </row>
    <row r="88" spans="1:18" ht="13.5">
      <c r="A88" s="641"/>
      <c r="B88" s="643"/>
      <c r="C88" s="199">
        <v>3</v>
      </c>
      <c r="D88" s="630"/>
      <c r="E88" s="631"/>
      <c r="F88" s="632"/>
      <c r="G88" s="199"/>
      <c r="H88" s="201"/>
      <c r="I88" s="202"/>
      <c r="J88" s="199"/>
      <c r="K88" s="630"/>
      <c r="L88" s="632"/>
      <c r="O88" s="198"/>
      <c r="P88" s="381"/>
      <c r="Q88" s="381"/>
      <c r="R88" s="198"/>
    </row>
    <row r="89" spans="1:18" ht="13.5">
      <c r="A89" s="641"/>
      <c r="B89" s="643"/>
      <c r="C89" s="199">
        <v>4</v>
      </c>
      <c r="D89" s="630"/>
      <c r="E89" s="631"/>
      <c r="F89" s="632"/>
      <c r="G89" s="199"/>
      <c r="H89" s="201"/>
      <c r="I89" s="202"/>
      <c r="J89" s="199"/>
      <c r="K89" s="630"/>
      <c r="L89" s="632"/>
      <c r="O89" s="198"/>
      <c r="P89" s="381"/>
      <c r="Q89" s="381"/>
      <c r="R89" s="198"/>
    </row>
    <row r="90" spans="1:18" ht="13.5">
      <c r="A90" s="641"/>
      <c r="B90" s="643"/>
      <c r="C90" s="199">
        <v>5</v>
      </c>
      <c r="D90" s="630"/>
      <c r="E90" s="631"/>
      <c r="F90" s="632"/>
      <c r="G90" s="199"/>
      <c r="H90" s="201"/>
      <c r="I90" s="202"/>
      <c r="J90" s="199"/>
      <c r="K90" s="630"/>
      <c r="L90" s="632"/>
      <c r="N90" s="177"/>
      <c r="O90" s="198"/>
      <c r="P90" s="381"/>
      <c r="Q90" s="381"/>
      <c r="R90" s="198"/>
    </row>
    <row r="91" spans="1:18" ht="13.5">
      <c r="A91" s="641"/>
      <c r="B91" s="643"/>
      <c r="C91" s="203" t="s">
        <v>187</v>
      </c>
      <c r="D91" s="630"/>
      <c r="E91" s="631"/>
      <c r="F91" s="632"/>
      <c r="G91" s="199"/>
      <c r="H91" s="201"/>
      <c r="I91" s="202"/>
      <c r="J91" s="199"/>
      <c r="K91" s="630"/>
      <c r="L91" s="632"/>
      <c r="N91" s="382"/>
      <c r="O91" s="198"/>
      <c r="P91" s="381"/>
      <c r="Q91" s="381"/>
      <c r="R91" s="198"/>
    </row>
    <row r="92" spans="1:18" ht="13.5">
      <c r="A92" s="641"/>
      <c r="B92" s="643"/>
      <c r="C92" s="203" t="s">
        <v>192</v>
      </c>
      <c r="D92" s="630"/>
      <c r="E92" s="631"/>
      <c r="F92" s="632"/>
      <c r="G92" s="199"/>
      <c r="H92" s="201"/>
      <c r="I92" s="202"/>
      <c r="J92" s="199"/>
      <c r="K92" s="630"/>
      <c r="L92" s="632"/>
      <c r="O92" s="198"/>
      <c r="P92" s="381"/>
      <c r="Q92" s="381"/>
      <c r="R92" s="198"/>
    </row>
    <row r="93" spans="1:18" ht="13.5">
      <c r="A93" s="641"/>
      <c r="B93" s="643"/>
      <c r="C93" s="203" t="s">
        <v>188</v>
      </c>
      <c r="D93" s="630"/>
      <c r="E93" s="631"/>
      <c r="F93" s="632"/>
      <c r="G93" s="199"/>
      <c r="H93" s="201"/>
      <c r="I93" s="202"/>
      <c r="J93" s="199"/>
      <c r="K93" s="630"/>
      <c r="L93" s="632"/>
      <c r="O93" s="198"/>
      <c r="P93" s="381"/>
      <c r="Q93" s="381"/>
      <c r="R93" s="198"/>
    </row>
    <row r="94" spans="1:18" ht="13.5">
      <c r="A94" s="641"/>
      <c r="B94" s="643"/>
      <c r="C94" s="203" t="s">
        <v>193</v>
      </c>
      <c r="D94" s="630"/>
      <c r="E94" s="631"/>
      <c r="F94" s="632"/>
      <c r="G94" s="199"/>
      <c r="H94" s="201"/>
      <c r="I94" s="202"/>
      <c r="J94" s="199"/>
      <c r="K94" s="630"/>
      <c r="L94" s="632"/>
      <c r="M94" s="98"/>
      <c r="O94" s="198"/>
      <c r="P94" s="381"/>
      <c r="Q94" s="381"/>
      <c r="R94" s="198"/>
    </row>
    <row r="95" spans="1:18" ht="13.5">
      <c r="A95" s="637"/>
      <c r="B95" s="644"/>
      <c r="C95" s="203" t="s">
        <v>194</v>
      </c>
      <c r="D95" s="630"/>
      <c r="E95" s="631"/>
      <c r="F95" s="632"/>
      <c r="G95" s="199"/>
      <c r="H95" s="201"/>
      <c r="I95" s="202"/>
      <c r="J95" s="199"/>
      <c r="K95" s="630"/>
      <c r="L95" s="632"/>
      <c r="M95" s="98"/>
      <c r="N95" s="198"/>
      <c r="O95" s="198"/>
      <c r="P95" s="381"/>
      <c r="Q95" s="381"/>
      <c r="R95" s="198"/>
    </row>
    <row r="96" spans="1:18" s="103" customFormat="1" ht="14.25">
      <c r="A96" s="633" t="s">
        <v>171</v>
      </c>
      <c r="B96" s="635"/>
      <c r="C96" s="206" t="s">
        <v>47</v>
      </c>
      <c r="D96" s="633" t="s">
        <v>12</v>
      </c>
      <c r="E96" s="634"/>
      <c r="F96" s="635"/>
      <c r="G96" s="206" t="s">
        <v>46</v>
      </c>
      <c r="H96" s="206" t="s">
        <v>352</v>
      </c>
      <c r="I96" s="206" t="s">
        <v>353</v>
      </c>
      <c r="J96" s="159" t="s">
        <v>311</v>
      </c>
      <c r="K96" s="633" t="s">
        <v>51</v>
      </c>
      <c r="L96" s="635"/>
      <c r="M96" s="127"/>
      <c r="N96" s="188"/>
      <c r="O96" s="198"/>
      <c r="P96" s="381"/>
      <c r="Q96" s="381"/>
      <c r="R96" s="198"/>
    </row>
    <row r="97" spans="1:18" ht="13.5">
      <c r="A97" s="636">
        <v>8</v>
      </c>
      <c r="B97" s="642" t="s">
        <v>357</v>
      </c>
      <c r="C97" s="199">
        <v>1</v>
      </c>
      <c r="D97" s="630"/>
      <c r="E97" s="631"/>
      <c r="F97" s="632"/>
      <c r="G97" s="199"/>
      <c r="H97" s="201"/>
      <c r="I97" s="202"/>
      <c r="J97" s="351">
        <f>I97-I71</f>
        <v>-168.02331334638464</v>
      </c>
      <c r="K97" s="622"/>
      <c r="L97" s="623"/>
      <c r="M97" s="98"/>
      <c r="O97" s="198"/>
      <c r="P97" s="381"/>
      <c r="Q97" s="381"/>
      <c r="R97" s="198"/>
    </row>
    <row r="98" spans="1:18" ht="13.5">
      <c r="A98" s="641"/>
      <c r="B98" s="643"/>
      <c r="C98" s="199">
        <v>2</v>
      </c>
      <c r="D98" s="630"/>
      <c r="E98" s="631"/>
      <c r="F98" s="632"/>
      <c r="G98" s="199"/>
      <c r="H98" s="201"/>
      <c r="I98" s="202"/>
      <c r="J98" s="351">
        <f>I98-I74</f>
        <v>-163.12312123604485</v>
      </c>
      <c r="K98" s="622"/>
      <c r="L98" s="623"/>
      <c r="M98" s="98"/>
      <c r="O98" s="177"/>
      <c r="P98" s="380"/>
      <c r="Q98" s="380"/>
      <c r="R98" s="177"/>
    </row>
    <row r="99" spans="1:18" ht="13.5">
      <c r="A99" s="641"/>
      <c r="B99" s="643"/>
      <c r="C99" s="199">
        <v>3</v>
      </c>
      <c r="D99" s="630"/>
      <c r="E99" s="631"/>
      <c r="F99" s="632"/>
      <c r="G99" s="199"/>
      <c r="H99" s="201"/>
      <c r="I99" s="202"/>
      <c r="J99" s="351">
        <f>I99-I72</f>
        <v>-167.98260868305098</v>
      </c>
      <c r="K99" s="622"/>
      <c r="L99" s="623"/>
      <c r="M99" s="98"/>
      <c r="O99" s="198"/>
      <c r="P99" s="381"/>
      <c r="Q99" s="381"/>
      <c r="R99" s="198"/>
    </row>
    <row r="100" spans="1:18" ht="13.5">
      <c r="A100" s="641"/>
      <c r="B100" s="643"/>
      <c r="C100" s="199">
        <v>4</v>
      </c>
      <c r="D100" s="630"/>
      <c r="E100" s="631"/>
      <c r="F100" s="632"/>
      <c r="G100" s="199"/>
      <c r="H100" s="201"/>
      <c r="I100" s="202"/>
      <c r="J100" s="351">
        <f>I100-I73</f>
        <v>-163.44449182481776</v>
      </c>
      <c r="K100" s="622"/>
      <c r="L100" s="623"/>
      <c r="M100" s="98"/>
      <c r="O100" s="198"/>
      <c r="P100" s="381"/>
      <c r="Q100" s="381"/>
      <c r="R100" s="198"/>
    </row>
    <row r="101" spans="1:18" ht="13.5">
      <c r="A101" s="641"/>
      <c r="B101" s="643"/>
      <c r="C101" s="199">
        <v>5</v>
      </c>
      <c r="D101" s="630"/>
      <c r="E101" s="631"/>
      <c r="F101" s="632"/>
      <c r="G101" s="199"/>
      <c r="H101" s="201"/>
      <c r="I101" s="202"/>
      <c r="J101" s="351">
        <f>I101-I75</f>
        <v>-155.65608354008182</v>
      </c>
      <c r="K101" s="622"/>
      <c r="L101" s="623"/>
      <c r="M101" s="98"/>
      <c r="O101" s="198"/>
      <c r="P101" s="381"/>
      <c r="Q101" s="381"/>
      <c r="R101" s="198"/>
    </row>
    <row r="102" spans="1:18" ht="13.5">
      <c r="A102" s="641"/>
      <c r="B102" s="643"/>
      <c r="C102" s="203" t="s">
        <v>187</v>
      </c>
      <c r="D102" s="630"/>
      <c r="E102" s="631"/>
      <c r="F102" s="632"/>
      <c r="G102" s="199"/>
      <c r="H102" s="201"/>
      <c r="I102" s="202"/>
      <c r="J102" s="351">
        <f>I102-I77</f>
        <v>-136.14630374022639</v>
      </c>
      <c r="K102" s="622"/>
      <c r="L102" s="623"/>
      <c r="M102" s="98"/>
      <c r="O102" s="198"/>
      <c r="P102" s="381"/>
      <c r="Q102" s="381"/>
      <c r="R102" s="198"/>
    </row>
    <row r="103" spans="1:18" ht="13.5">
      <c r="A103" s="641"/>
      <c r="B103" s="643"/>
      <c r="C103" s="203" t="s">
        <v>192</v>
      </c>
      <c r="D103" s="630"/>
      <c r="E103" s="631"/>
      <c r="F103" s="632"/>
      <c r="G103" s="199"/>
      <c r="H103" s="201"/>
      <c r="I103" s="202"/>
      <c r="J103" s="351">
        <f>I103-I76</f>
        <v>-136.03172622789549</v>
      </c>
      <c r="K103" s="622"/>
      <c r="L103" s="623"/>
      <c r="M103" s="98"/>
      <c r="O103" s="198"/>
      <c r="P103" s="381"/>
      <c r="Q103" s="381"/>
      <c r="R103" s="198"/>
    </row>
    <row r="104" spans="1:18" ht="13.5">
      <c r="A104" s="641"/>
      <c r="B104" s="643"/>
      <c r="C104" s="203" t="s">
        <v>188</v>
      </c>
      <c r="D104" s="630"/>
      <c r="E104" s="631"/>
      <c r="F104" s="632"/>
      <c r="G104" s="199"/>
      <c r="H104" s="201"/>
      <c r="I104" s="202"/>
      <c r="J104" s="351">
        <f>I104-I78</f>
        <v>-152.03952158855887</v>
      </c>
      <c r="K104" s="622"/>
      <c r="L104" s="623"/>
      <c r="M104" s="98"/>
      <c r="O104" s="198"/>
      <c r="P104" s="381"/>
      <c r="Q104" s="381"/>
      <c r="R104" s="198"/>
    </row>
    <row r="105" spans="1:18" ht="13.5">
      <c r="A105" s="641"/>
      <c r="B105" s="643"/>
      <c r="C105" s="203" t="s">
        <v>193</v>
      </c>
      <c r="D105" s="630"/>
      <c r="E105" s="631"/>
      <c r="F105" s="632"/>
      <c r="G105" s="199"/>
      <c r="H105" s="201"/>
      <c r="I105" s="202"/>
      <c r="J105" s="199"/>
      <c r="K105" s="630"/>
      <c r="L105" s="632"/>
      <c r="M105" s="98"/>
      <c r="O105" s="198"/>
      <c r="P105" s="381"/>
      <c r="Q105" s="381"/>
      <c r="R105" s="198"/>
    </row>
    <row r="106" spans="1:18" ht="13.5">
      <c r="A106" s="637"/>
      <c r="B106" s="644"/>
      <c r="C106" s="203" t="s">
        <v>194</v>
      </c>
      <c r="D106" s="630"/>
      <c r="E106" s="631"/>
      <c r="F106" s="632"/>
      <c r="G106" s="199"/>
      <c r="H106" s="201"/>
      <c r="I106" s="202"/>
      <c r="J106" s="199"/>
      <c r="K106" s="630"/>
      <c r="L106" s="632"/>
      <c r="M106" s="98"/>
      <c r="O106" s="198"/>
      <c r="P106" s="381"/>
      <c r="Q106" s="381"/>
      <c r="R106" s="198"/>
    </row>
  </sheetData>
  <mergeCells count="209">
    <mergeCell ref="D105:F105"/>
    <mergeCell ref="K105:L105"/>
    <mergeCell ref="D106:F106"/>
    <mergeCell ref="K106:L106"/>
    <mergeCell ref="K94:L94"/>
    <mergeCell ref="D95:F95"/>
    <mergeCell ref="K95:L95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  <mergeCell ref="D103:F103"/>
    <mergeCell ref="K103:L103"/>
    <mergeCell ref="D104:F104"/>
    <mergeCell ref="K104:L104"/>
    <mergeCell ref="A81:L82"/>
    <mergeCell ref="A83:A84"/>
    <mergeCell ref="A85:B85"/>
    <mergeCell ref="D85:F85"/>
    <mergeCell ref="K85:L85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D94:F94"/>
    <mergeCell ref="A55:L56"/>
    <mergeCell ref="A57:A58"/>
    <mergeCell ref="A59:B59"/>
    <mergeCell ref="D59:F59"/>
    <mergeCell ref="K59:L59"/>
    <mergeCell ref="K65:L65"/>
    <mergeCell ref="D66:F66"/>
    <mergeCell ref="K66:L66"/>
    <mergeCell ref="K54:L54"/>
    <mergeCell ref="D64:F64"/>
    <mergeCell ref="K64:L64"/>
    <mergeCell ref="D65:F65"/>
    <mergeCell ref="K42:L42"/>
    <mergeCell ref="D43:F43"/>
    <mergeCell ref="K43:L43"/>
    <mergeCell ref="K92:L92"/>
    <mergeCell ref="D93:F93"/>
    <mergeCell ref="K93:L93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K52:L52"/>
    <mergeCell ref="D53:F53"/>
    <mergeCell ref="K53:L53"/>
    <mergeCell ref="D54:F54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0:L40"/>
    <mergeCell ref="D41:F41"/>
    <mergeCell ref="K41:L41"/>
    <mergeCell ref="D42:F42"/>
    <mergeCell ref="D27:F27"/>
    <mergeCell ref="K27:L27"/>
    <mergeCell ref="D28:F28"/>
    <mergeCell ref="K28:L28"/>
    <mergeCell ref="K16:L16"/>
    <mergeCell ref="D17:F17"/>
    <mergeCell ref="K17:L17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K25:L25"/>
    <mergeCell ref="D26:F26"/>
    <mergeCell ref="K26:L26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D16:F16"/>
    <mergeCell ref="A5:A6"/>
    <mergeCell ref="A7:B7"/>
    <mergeCell ref="D7:F7"/>
    <mergeCell ref="K7:L7"/>
    <mergeCell ref="A70:B70"/>
    <mergeCell ref="D70:F70"/>
    <mergeCell ref="K70:L70"/>
    <mergeCell ref="A60:A69"/>
    <mergeCell ref="B60:B69"/>
    <mergeCell ref="D60:F60"/>
    <mergeCell ref="D68:F68"/>
    <mergeCell ref="K68:L68"/>
    <mergeCell ref="D69:F69"/>
    <mergeCell ref="K69:L69"/>
    <mergeCell ref="D67:F67"/>
    <mergeCell ref="K67:L67"/>
    <mergeCell ref="K60:L60"/>
    <mergeCell ref="D61:F61"/>
    <mergeCell ref="K61:L61"/>
    <mergeCell ref="D62:F62"/>
    <mergeCell ref="K62:L62"/>
    <mergeCell ref="D63:F63"/>
    <mergeCell ref="K63:L63"/>
    <mergeCell ref="D25:F25"/>
    <mergeCell ref="A1:L2"/>
    <mergeCell ref="K79:L79"/>
    <mergeCell ref="D80:F80"/>
    <mergeCell ref="K80:L80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9:F79"/>
    <mergeCell ref="D76:F76"/>
    <mergeCell ref="K76:L76"/>
    <mergeCell ref="D77:F77"/>
    <mergeCell ref="K77:L77"/>
    <mergeCell ref="D78:F78"/>
    <mergeCell ref="K78:L78"/>
    <mergeCell ref="A71:A80"/>
    <mergeCell ref="B71:B80"/>
    <mergeCell ref="D71:F71"/>
    <mergeCell ref="A3:L4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2" manualBreakCount="2">
    <brk id="28" max="11" man="1"/>
    <brk id="54" max="11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1">
    <tabColor rgb="FF92D050"/>
    <outlinePr summaryBelow="0" summaryRight="0"/>
  </sheetPr>
  <dimension ref="A1:S106"/>
  <sheetViews>
    <sheetView view="pageBreakPreview" topLeftCell="A51" zoomScale="110" zoomScaleNormal="60" zoomScaleSheetLayoutView="110" workbookViewId="0">
      <selection activeCell="D59" sqref="D59"/>
    </sheetView>
  </sheetViews>
  <sheetFormatPr defaultColWidth="12.5703125" defaultRowHeight="15.75" customHeight="1"/>
  <cols>
    <col min="1" max="1" width="6.42578125" style="98" customWidth="1"/>
    <col min="2" max="10" width="11.5703125" style="98" customWidth="1"/>
    <col min="11" max="12" width="12.85546875" style="98" customWidth="1"/>
    <col min="13" max="13" width="12.5703125" style="99"/>
    <col min="14" max="18" width="12.5703125" style="188"/>
    <col min="19" max="16384" width="12.5703125" style="98"/>
  </cols>
  <sheetData>
    <row r="1" spans="1:19" ht="15.75" customHeight="1">
      <c r="A1" s="526" t="s">
        <v>350</v>
      </c>
      <c r="B1" s="526"/>
      <c r="C1" s="526"/>
      <c r="D1" s="526"/>
      <c r="E1" s="526"/>
      <c r="F1" s="526"/>
      <c r="G1" s="526"/>
      <c r="H1" s="526"/>
      <c r="I1" s="526"/>
      <c r="J1" s="526"/>
      <c r="K1" s="526"/>
      <c r="L1" s="526"/>
      <c r="M1" s="98"/>
    </row>
    <row r="2" spans="1:19" s="99" customFormat="1" ht="15.75" customHeight="1">
      <c r="A2" s="526"/>
      <c r="B2" s="526"/>
      <c r="C2" s="526"/>
      <c r="D2" s="526"/>
      <c r="E2" s="526"/>
      <c r="F2" s="526"/>
      <c r="G2" s="526"/>
      <c r="H2" s="526"/>
      <c r="I2" s="526"/>
      <c r="J2" s="526"/>
      <c r="K2" s="526"/>
      <c r="L2" s="526"/>
      <c r="N2" s="189"/>
      <c r="O2" s="189"/>
      <c r="P2" s="189"/>
      <c r="Q2" s="189"/>
      <c r="R2" s="189"/>
    </row>
    <row r="3" spans="1:19" s="188" customFormat="1" ht="15.75" customHeight="1">
      <c r="A3" s="624" t="s">
        <v>615</v>
      </c>
      <c r="B3" s="624"/>
      <c r="C3" s="624"/>
      <c r="D3" s="624"/>
      <c r="E3" s="624"/>
      <c r="F3" s="624"/>
      <c r="G3" s="624"/>
      <c r="H3" s="624"/>
      <c r="I3" s="624"/>
      <c r="J3" s="624"/>
      <c r="K3" s="624"/>
      <c r="L3" s="624"/>
    </row>
    <row r="4" spans="1:19" s="189" customFormat="1" ht="15.75" customHeight="1">
      <c r="A4" s="624"/>
      <c r="B4" s="624"/>
      <c r="C4" s="624"/>
      <c r="D4" s="624"/>
      <c r="E4" s="624"/>
      <c r="F4" s="624"/>
      <c r="G4" s="624"/>
      <c r="H4" s="624"/>
      <c r="I4" s="624"/>
      <c r="J4" s="624"/>
      <c r="K4" s="624"/>
      <c r="L4" s="624"/>
    </row>
    <row r="5" spans="1:19" s="105" customFormat="1" ht="16.350000000000001" customHeight="1">
      <c r="A5" s="503" t="s">
        <v>162</v>
      </c>
      <c r="B5" s="169">
        <v>1</v>
      </c>
      <c r="C5" s="169">
        <v>2</v>
      </c>
      <c r="D5" s="169">
        <v>3</v>
      </c>
      <c r="E5" s="169">
        <v>4</v>
      </c>
      <c r="F5" s="169">
        <v>5</v>
      </c>
      <c r="G5" s="169">
        <v>6</v>
      </c>
      <c r="H5" s="169">
        <v>7</v>
      </c>
      <c r="I5" s="169">
        <v>8</v>
      </c>
      <c r="J5" s="190">
        <v>9</v>
      </c>
      <c r="K5" s="191"/>
      <c r="L5" s="191"/>
      <c r="M5" s="192"/>
      <c r="N5" s="178"/>
      <c r="O5" s="178"/>
      <c r="P5" s="178"/>
      <c r="Q5" s="178"/>
      <c r="R5" s="178"/>
      <c r="S5" s="177"/>
    </row>
    <row r="6" spans="1:19" ht="16.350000000000001" customHeight="1">
      <c r="A6" s="505"/>
      <c r="B6" s="194" t="s">
        <v>189</v>
      </c>
      <c r="C6" s="194" t="s">
        <v>155</v>
      </c>
      <c r="D6" s="194" t="s">
        <v>190</v>
      </c>
      <c r="E6" s="194" t="s">
        <v>156</v>
      </c>
      <c r="F6" s="194" t="s">
        <v>138</v>
      </c>
      <c r="G6" s="195" t="s">
        <v>136</v>
      </c>
      <c r="H6" s="196" t="s">
        <v>191</v>
      </c>
      <c r="I6" s="195" t="s">
        <v>351</v>
      </c>
      <c r="J6" s="208" t="s">
        <v>142</v>
      </c>
      <c r="K6" s="197"/>
      <c r="L6" s="197"/>
      <c r="M6" s="189"/>
      <c r="N6" s="178"/>
      <c r="O6" s="178"/>
      <c r="P6" s="178"/>
      <c r="Q6" s="178"/>
      <c r="R6" s="178"/>
      <c r="S6" s="188"/>
    </row>
    <row r="7" spans="1:19" s="105" customFormat="1" ht="15.75" customHeight="1">
      <c r="A7" s="509" t="s">
        <v>171</v>
      </c>
      <c r="B7" s="510"/>
      <c r="C7" s="159" t="s">
        <v>47</v>
      </c>
      <c r="D7" s="509" t="s">
        <v>12</v>
      </c>
      <c r="E7" s="511"/>
      <c r="F7" s="510"/>
      <c r="G7" s="159" t="s">
        <v>46</v>
      </c>
      <c r="H7" s="159" t="s">
        <v>352</v>
      </c>
      <c r="I7" s="159" t="s">
        <v>353</v>
      </c>
      <c r="J7" s="159" t="s">
        <v>311</v>
      </c>
      <c r="K7" s="509" t="s">
        <v>51</v>
      </c>
      <c r="L7" s="510"/>
      <c r="M7" s="192"/>
      <c r="N7" s="178"/>
      <c r="O7" s="495"/>
      <c r="P7" s="495"/>
      <c r="Q7" s="495"/>
      <c r="R7" s="178"/>
      <c r="S7" s="177"/>
    </row>
    <row r="8" spans="1:19" ht="15.75" customHeight="1">
      <c r="A8" s="503">
        <f>J5</f>
        <v>9</v>
      </c>
      <c r="B8" s="506" t="str">
        <f>J6</f>
        <v>微波小吃</v>
      </c>
      <c r="C8" s="199">
        <v>1</v>
      </c>
      <c r="D8" s="630" t="s">
        <v>539</v>
      </c>
      <c r="E8" s="631"/>
      <c r="F8" s="632"/>
      <c r="G8" s="199">
        <v>11</v>
      </c>
      <c r="H8" s="201">
        <v>1808.6422812068051</v>
      </c>
      <c r="I8" s="202">
        <v>164.42202556425499</v>
      </c>
      <c r="J8" s="351">
        <v>0.10093068578561315</v>
      </c>
      <c r="K8" s="630" t="s">
        <v>405</v>
      </c>
      <c r="L8" s="632"/>
      <c r="N8" s="178"/>
      <c r="O8" s="178"/>
      <c r="P8" s="496"/>
      <c r="Q8" s="496"/>
      <c r="R8" s="178"/>
      <c r="S8" s="188"/>
    </row>
    <row r="9" spans="1:19" ht="15.75" customHeight="1">
      <c r="A9" s="504"/>
      <c r="B9" s="507"/>
      <c r="C9" s="199">
        <v>2</v>
      </c>
      <c r="D9" s="630" t="s">
        <v>537</v>
      </c>
      <c r="E9" s="631"/>
      <c r="F9" s="632"/>
      <c r="G9" s="199">
        <v>11</v>
      </c>
      <c r="H9" s="201">
        <v>1807.6010354301091</v>
      </c>
      <c r="I9" s="202">
        <v>164.32736685728267</v>
      </c>
      <c r="J9" s="351">
        <v>0.10649350649353551</v>
      </c>
      <c r="K9" s="630" t="s">
        <v>405</v>
      </c>
      <c r="L9" s="632"/>
      <c r="N9" s="178"/>
      <c r="O9" s="178"/>
      <c r="P9" s="496"/>
      <c r="Q9" s="496"/>
      <c r="R9" s="178"/>
      <c r="S9" s="188"/>
    </row>
    <row r="10" spans="1:19" ht="15.75" customHeight="1">
      <c r="A10" s="504"/>
      <c r="B10" s="507"/>
      <c r="C10" s="199">
        <v>3</v>
      </c>
      <c r="D10" s="630" t="s">
        <v>551</v>
      </c>
      <c r="E10" s="631"/>
      <c r="F10" s="632"/>
      <c r="G10" s="199">
        <v>19</v>
      </c>
      <c r="H10" s="201">
        <v>1801.9709154418076</v>
      </c>
      <c r="I10" s="202">
        <v>94.840574496937251</v>
      </c>
      <c r="J10" s="351">
        <v>0.19830533900081093</v>
      </c>
      <c r="K10" s="630" t="s">
        <v>405</v>
      </c>
      <c r="L10" s="632"/>
      <c r="N10" s="178"/>
      <c r="O10" s="178"/>
      <c r="P10" s="496"/>
      <c r="Q10" s="496"/>
      <c r="R10" s="178"/>
      <c r="S10" s="188"/>
    </row>
    <row r="11" spans="1:19" ht="15.75" customHeight="1">
      <c r="A11" s="504"/>
      <c r="B11" s="507"/>
      <c r="C11" s="199">
        <v>4</v>
      </c>
      <c r="D11" s="630" t="s">
        <v>332</v>
      </c>
      <c r="E11" s="631"/>
      <c r="F11" s="632"/>
      <c r="G11" s="201">
        <v>13</v>
      </c>
      <c r="H11" s="201">
        <v>1083.2587167482773</v>
      </c>
      <c r="I11" s="202">
        <v>83.32759359602133</v>
      </c>
      <c r="J11" s="351">
        <v>5.172740700622569E-2</v>
      </c>
      <c r="K11" s="630" t="s">
        <v>405</v>
      </c>
      <c r="L11" s="632"/>
      <c r="N11" s="178"/>
      <c r="O11" s="178"/>
      <c r="P11" s="496"/>
      <c r="Q11" s="496"/>
      <c r="R11" s="178"/>
      <c r="S11" s="188"/>
    </row>
    <row r="12" spans="1:19" ht="15.75" customHeight="1">
      <c r="A12" s="504"/>
      <c r="B12" s="507"/>
      <c r="C12" s="199">
        <v>5</v>
      </c>
      <c r="D12" s="630" t="s">
        <v>538</v>
      </c>
      <c r="E12" s="631"/>
      <c r="F12" s="632"/>
      <c r="G12" s="199">
        <v>22</v>
      </c>
      <c r="H12" s="201">
        <v>1800.827514282724</v>
      </c>
      <c r="I12" s="202">
        <v>81.855796103760184</v>
      </c>
      <c r="J12" s="351">
        <v>3.8041841579229185E-2</v>
      </c>
      <c r="K12" s="630" t="s">
        <v>405</v>
      </c>
      <c r="L12" s="632"/>
      <c r="N12" s="178"/>
      <c r="O12" s="178"/>
      <c r="P12" s="496"/>
      <c r="Q12" s="496"/>
      <c r="R12" s="178"/>
      <c r="S12" s="188"/>
    </row>
    <row r="13" spans="1:19" ht="15.75" customHeight="1">
      <c r="A13" s="504"/>
      <c r="B13" s="507"/>
      <c r="C13" s="203" t="s">
        <v>187</v>
      </c>
      <c r="D13" s="630"/>
      <c r="E13" s="631"/>
      <c r="F13" s="632"/>
      <c r="G13" s="199"/>
      <c r="H13" s="201"/>
      <c r="I13" s="202"/>
      <c r="J13" s="199"/>
      <c r="K13" s="497"/>
      <c r="L13" s="499"/>
      <c r="N13" s="178"/>
      <c r="O13" s="178"/>
      <c r="P13" s="496"/>
      <c r="Q13" s="496"/>
      <c r="R13" s="178"/>
      <c r="S13" s="188"/>
    </row>
    <row r="14" spans="1:19" ht="15.75" customHeight="1">
      <c r="A14" s="504"/>
      <c r="B14" s="507"/>
      <c r="C14" s="203" t="s">
        <v>192</v>
      </c>
      <c r="D14" s="497"/>
      <c r="E14" s="498"/>
      <c r="F14" s="499"/>
      <c r="G14" s="199"/>
      <c r="H14" s="201"/>
      <c r="I14" s="202"/>
      <c r="J14" s="199"/>
      <c r="K14" s="497"/>
      <c r="L14" s="499"/>
      <c r="N14" s="178"/>
      <c r="O14" s="178"/>
      <c r="P14" s="496"/>
      <c r="Q14" s="496"/>
      <c r="R14" s="178"/>
      <c r="S14" s="188"/>
    </row>
    <row r="15" spans="1:19" ht="15.75" customHeight="1">
      <c r="A15" s="504"/>
      <c r="B15" s="507"/>
      <c r="C15" s="203" t="s">
        <v>188</v>
      </c>
      <c r="D15" s="497"/>
      <c r="E15" s="498"/>
      <c r="F15" s="499"/>
      <c r="G15" s="199"/>
      <c r="H15" s="201"/>
      <c r="I15" s="202"/>
      <c r="J15" s="199"/>
      <c r="K15" s="497"/>
      <c r="L15" s="499"/>
      <c r="N15" s="178"/>
      <c r="O15" s="178"/>
      <c r="P15" s="496"/>
      <c r="Q15" s="496"/>
      <c r="R15" s="178"/>
      <c r="S15" s="188"/>
    </row>
    <row r="16" spans="1:19" ht="15.75" customHeight="1">
      <c r="A16" s="504"/>
      <c r="B16" s="507"/>
      <c r="C16" s="203" t="s">
        <v>193</v>
      </c>
      <c r="D16" s="497"/>
      <c r="E16" s="498"/>
      <c r="F16" s="499"/>
      <c r="G16" s="199"/>
      <c r="H16" s="201"/>
      <c r="I16" s="202"/>
      <c r="J16" s="199"/>
      <c r="K16" s="497"/>
      <c r="L16" s="499"/>
      <c r="M16" s="98"/>
      <c r="N16" s="178"/>
      <c r="O16" s="178"/>
      <c r="P16" s="496"/>
      <c r="Q16" s="496"/>
      <c r="R16" s="178"/>
      <c r="S16" s="188"/>
    </row>
    <row r="17" spans="1:19" ht="15.75" customHeight="1">
      <c r="A17" s="505"/>
      <c r="B17" s="508"/>
      <c r="C17" s="203" t="s">
        <v>194</v>
      </c>
      <c r="D17" s="497"/>
      <c r="E17" s="498"/>
      <c r="F17" s="499"/>
      <c r="G17" s="199"/>
      <c r="H17" s="201"/>
      <c r="I17" s="202"/>
      <c r="J17" s="199"/>
      <c r="K17" s="497"/>
      <c r="L17" s="499"/>
      <c r="M17" s="98"/>
      <c r="N17" s="178"/>
      <c r="O17" s="178"/>
      <c r="P17" s="496"/>
      <c r="Q17" s="496"/>
      <c r="R17" s="178"/>
      <c r="S17" s="188"/>
    </row>
    <row r="18" spans="1:19" s="103" customFormat="1" ht="15.75" customHeight="1">
      <c r="A18" s="500" t="s">
        <v>171</v>
      </c>
      <c r="B18" s="501"/>
      <c r="C18" s="206" t="s">
        <v>47</v>
      </c>
      <c r="D18" s="500" t="s">
        <v>12</v>
      </c>
      <c r="E18" s="502"/>
      <c r="F18" s="501"/>
      <c r="G18" s="206" t="s">
        <v>46</v>
      </c>
      <c r="H18" s="206" t="s">
        <v>352</v>
      </c>
      <c r="I18" s="206" t="s">
        <v>353</v>
      </c>
      <c r="J18" s="159" t="s">
        <v>311</v>
      </c>
      <c r="K18" s="500" t="s">
        <v>51</v>
      </c>
      <c r="L18" s="501"/>
      <c r="M18" s="127"/>
      <c r="N18" s="178"/>
      <c r="O18" s="178"/>
      <c r="P18" s="496"/>
      <c r="Q18" s="496"/>
      <c r="R18" s="178"/>
      <c r="S18" s="198"/>
    </row>
    <row r="19" spans="1:19" ht="15.75" customHeight="1">
      <c r="A19" s="503"/>
      <c r="B19" s="506"/>
      <c r="C19" s="199">
        <v>1</v>
      </c>
      <c r="D19" s="497"/>
      <c r="E19" s="498"/>
      <c r="F19" s="499"/>
      <c r="G19" s="199"/>
      <c r="H19" s="201"/>
      <c r="I19" s="202"/>
      <c r="J19" s="199"/>
      <c r="K19" s="497"/>
      <c r="L19" s="499"/>
      <c r="M19" s="98"/>
      <c r="N19" s="178"/>
      <c r="O19" s="178"/>
      <c r="P19" s="496"/>
      <c r="Q19" s="496"/>
      <c r="R19" s="178"/>
      <c r="S19" s="188"/>
    </row>
    <row r="20" spans="1:19" ht="15.75" customHeight="1">
      <c r="A20" s="504"/>
      <c r="B20" s="507"/>
      <c r="C20" s="199">
        <v>2</v>
      </c>
      <c r="D20" s="497"/>
      <c r="E20" s="498"/>
      <c r="F20" s="499"/>
      <c r="G20" s="199"/>
      <c r="H20" s="201"/>
      <c r="I20" s="202"/>
      <c r="J20" s="199"/>
      <c r="K20" s="497"/>
      <c r="L20" s="499"/>
      <c r="M20" s="98"/>
      <c r="N20" s="178"/>
      <c r="O20" s="178"/>
      <c r="P20" s="496"/>
      <c r="Q20" s="496"/>
      <c r="R20" s="178"/>
      <c r="S20" s="188"/>
    </row>
    <row r="21" spans="1:19" ht="15.75" customHeight="1">
      <c r="A21" s="504"/>
      <c r="B21" s="507"/>
      <c r="C21" s="199">
        <v>3</v>
      </c>
      <c r="D21" s="497"/>
      <c r="E21" s="498"/>
      <c r="F21" s="499"/>
      <c r="G21" s="199"/>
      <c r="H21" s="201"/>
      <c r="I21" s="202"/>
      <c r="J21" s="199"/>
      <c r="K21" s="497"/>
      <c r="L21" s="499"/>
      <c r="M21" s="98"/>
      <c r="N21" s="178"/>
      <c r="O21" s="178"/>
      <c r="P21" s="496"/>
      <c r="Q21" s="496"/>
      <c r="R21" s="178"/>
      <c r="S21" s="188"/>
    </row>
    <row r="22" spans="1:19" ht="15.75" customHeight="1">
      <c r="A22" s="504"/>
      <c r="B22" s="507"/>
      <c r="C22" s="199">
        <v>4</v>
      </c>
      <c r="D22" s="497"/>
      <c r="E22" s="498"/>
      <c r="F22" s="499"/>
      <c r="G22" s="199"/>
      <c r="H22" s="201"/>
      <c r="I22" s="202"/>
      <c r="J22" s="199"/>
      <c r="K22" s="497"/>
      <c r="L22" s="499"/>
      <c r="M22" s="98"/>
      <c r="N22" s="178"/>
      <c r="O22" s="178"/>
      <c r="P22" s="496"/>
      <c r="Q22" s="496"/>
      <c r="R22" s="178"/>
      <c r="S22" s="188"/>
    </row>
    <row r="23" spans="1:19" ht="15.75" customHeight="1">
      <c r="A23" s="504"/>
      <c r="B23" s="507"/>
      <c r="C23" s="199">
        <v>5</v>
      </c>
      <c r="D23" s="497"/>
      <c r="E23" s="498"/>
      <c r="F23" s="499"/>
      <c r="G23" s="199"/>
      <c r="H23" s="201"/>
      <c r="I23" s="202"/>
      <c r="J23" s="199"/>
      <c r="K23" s="497"/>
      <c r="L23" s="499"/>
      <c r="M23" s="98"/>
      <c r="N23" s="178"/>
      <c r="O23" s="178"/>
      <c r="P23" s="496"/>
      <c r="Q23" s="496"/>
      <c r="R23" s="178"/>
      <c r="S23" s="188"/>
    </row>
    <row r="24" spans="1:19" ht="15.75" customHeight="1">
      <c r="A24" s="504"/>
      <c r="B24" s="507"/>
      <c r="C24" s="203" t="s">
        <v>187</v>
      </c>
      <c r="D24" s="497"/>
      <c r="E24" s="498"/>
      <c r="F24" s="499"/>
      <c r="G24" s="199"/>
      <c r="H24" s="201"/>
      <c r="I24" s="202"/>
      <c r="J24" s="199"/>
      <c r="K24" s="497"/>
      <c r="L24" s="499"/>
      <c r="M24" s="98"/>
      <c r="N24" s="178"/>
      <c r="O24" s="178"/>
      <c r="P24" s="496"/>
      <c r="Q24" s="496"/>
      <c r="R24" s="178"/>
      <c r="S24" s="188"/>
    </row>
    <row r="25" spans="1:19" ht="15.75" customHeight="1">
      <c r="A25" s="504"/>
      <c r="B25" s="507"/>
      <c r="C25" s="203" t="s">
        <v>192</v>
      </c>
      <c r="D25" s="497"/>
      <c r="E25" s="498"/>
      <c r="F25" s="499"/>
      <c r="G25" s="199"/>
      <c r="H25" s="201"/>
      <c r="I25" s="202"/>
      <c r="J25" s="199"/>
      <c r="K25" s="497"/>
      <c r="L25" s="499"/>
      <c r="M25" s="98"/>
      <c r="N25" s="178"/>
      <c r="O25" s="178"/>
      <c r="P25" s="496"/>
      <c r="Q25" s="496"/>
      <c r="R25" s="178"/>
      <c r="S25" s="188"/>
    </row>
    <row r="26" spans="1:19" ht="15.75" customHeight="1">
      <c r="A26" s="504"/>
      <c r="B26" s="507"/>
      <c r="C26" s="203" t="s">
        <v>188</v>
      </c>
      <c r="D26" s="497"/>
      <c r="E26" s="498"/>
      <c r="F26" s="499"/>
      <c r="G26" s="199"/>
      <c r="H26" s="201"/>
      <c r="I26" s="202"/>
      <c r="J26" s="199"/>
      <c r="K26" s="497"/>
      <c r="L26" s="499"/>
      <c r="M26" s="98"/>
      <c r="N26" s="178"/>
      <c r="O26" s="178"/>
      <c r="P26" s="496"/>
      <c r="Q26" s="496"/>
      <c r="R26" s="178"/>
      <c r="S26" s="188"/>
    </row>
    <row r="27" spans="1:19" ht="15.75" customHeight="1">
      <c r="A27" s="504"/>
      <c r="B27" s="507"/>
      <c r="C27" s="203" t="s">
        <v>193</v>
      </c>
      <c r="D27" s="497"/>
      <c r="E27" s="498"/>
      <c r="F27" s="499"/>
      <c r="G27" s="199"/>
      <c r="H27" s="201"/>
      <c r="I27" s="202"/>
      <c r="J27" s="199"/>
      <c r="K27" s="497"/>
      <c r="L27" s="499"/>
      <c r="M27" s="98"/>
      <c r="N27" s="178"/>
      <c r="O27" s="178"/>
      <c r="P27" s="496"/>
      <c r="Q27" s="496"/>
      <c r="R27" s="178"/>
      <c r="S27" s="188"/>
    </row>
    <row r="28" spans="1:19" ht="15.75" customHeight="1">
      <c r="A28" s="505"/>
      <c r="B28" s="508"/>
      <c r="C28" s="203" t="s">
        <v>194</v>
      </c>
      <c r="D28" s="497"/>
      <c r="E28" s="498"/>
      <c r="F28" s="499"/>
      <c r="G28" s="199"/>
      <c r="H28" s="201"/>
      <c r="I28" s="202"/>
      <c r="J28" s="199"/>
      <c r="K28" s="497"/>
      <c r="L28" s="499"/>
      <c r="M28" s="98"/>
      <c r="N28" s="178"/>
      <c r="O28" s="178"/>
      <c r="P28" s="496"/>
      <c r="Q28" s="496"/>
      <c r="R28" s="178"/>
      <c r="S28" s="188"/>
    </row>
    <row r="29" spans="1:19" s="188" customFormat="1" ht="15.75" customHeight="1">
      <c r="A29" s="624" t="s">
        <v>631</v>
      </c>
      <c r="B29" s="624"/>
      <c r="C29" s="624"/>
      <c r="D29" s="624"/>
      <c r="E29" s="624"/>
      <c r="F29" s="624"/>
      <c r="G29" s="624"/>
      <c r="H29" s="624"/>
      <c r="I29" s="624"/>
      <c r="J29" s="624"/>
      <c r="K29" s="624"/>
      <c r="L29" s="624"/>
    </row>
    <row r="30" spans="1:19" s="189" customFormat="1" ht="15.75" customHeight="1">
      <c r="A30" s="624"/>
      <c r="B30" s="624"/>
      <c r="C30" s="624"/>
      <c r="D30" s="624"/>
      <c r="E30" s="624"/>
      <c r="F30" s="624"/>
      <c r="G30" s="624"/>
      <c r="H30" s="624"/>
      <c r="I30" s="624"/>
      <c r="J30" s="624"/>
      <c r="K30" s="624"/>
      <c r="L30" s="624"/>
    </row>
    <row r="31" spans="1:19" s="105" customFormat="1" ht="16.350000000000001" customHeight="1">
      <c r="A31" s="503" t="s">
        <v>162</v>
      </c>
      <c r="B31" s="169">
        <v>1</v>
      </c>
      <c r="C31" s="169">
        <v>2</v>
      </c>
      <c r="D31" s="169">
        <v>3</v>
      </c>
      <c r="E31" s="169">
        <v>4</v>
      </c>
      <c r="F31" s="169">
        <v>5</v>
      </c>
      <c r="G31" s="169">
        <v>6</v>
      </c>
      <c r="H31" s="169">
        <v>7</v>
      </c>
      <c r="I31" s="169">
        <v>8</v>
      </c>
      <c r="J31" s="190">
        <v>9</v>
      </c>
      <c r="K31" s="191"/>
      <c r="L31" s="191"/>
      <c r="M31" s="192"/>
      <c r="N31" s="178"/>
      <c r="O31" s="178"/>
      <c r="P31" s="178"/>
      <c r="Q31" s="178"/>
      <c r="R31" s="178"/>
      <c r="S31" s="177"/>
    </row>
    <row r="32" spans="1:19" ht="16.350000000000001" customHeight="1">
      <c r="A32" s="505"/>
      <c r="B32" s="194" t="s">
        <v>189</v>
      </c>
      <c r="C32" s="194" t="s">
        <v>155</v>
      </c>
      <c r="D32" s="194" t="s">
        <v>190</v>
      </c>
      <c r="E32" s="194" t="s">
        <v>156</v>
      </c>
      <c r="F32" s="194" t="s">
        <v>138</v>
      </c>
      <c r="G32" s="195" t="s">
        <v>136</v>
      </c>
      <c r="H32" s="196" t="s">
        <v>191</v>
      </c>
      <c r="I32" s="195" t="s">
        <v>351</v>
      </c>
      <c r="J32" s="208" t="s">
        <v>142</v>
      </c>
      <c r="K32" s="197"/>
      <c r="L32" s="197"/>
      <c r="M32" s="189"/>
      <c r="N32" s="178"/>
      <c r="O32" s="178"/>
      <c r="P32" s="178"/>
      <c r="Q32" s="178"/>
      <c r="R32" s="178"/>
      <c r="S32" s="188"/>
    </row>
    <row r="33" spans="1:19" s="105" customFormat="1" ht="15.75" customHeight="1">
      <c r="A33" s="509" t="s">
        <v>171</v>
      </c>
      <c r="B33" s="510"/>
      <c r="C33" s="159" t="s">
        <v>47</v>
      </c>
      <c r="D33" s="509" t="s">
        <v>12</v>
      </c>
      <c r="E33" s="511"/>
      <c r="F33" s="510"/>
      <c r="G33" s="159" t="s">
        <v>46</v>
      </c>
      <c r="H33" s="159" t="s">
        <v>352</v>
      </c>
      <c r="I33" s="159" t="s">
        <v>353</v>
      </c>
      <c r="J33" s="159" t="s">
        <v>311</v>
      </c>
      <c r="K33" s="509" t="s">
        <v>51</v>
      </c>
      <c r="L33" s="510"/>
      <c r="M33" s="192"/>
      <c r="N33" s="178"/>
      <c r="O33" s="495"/>
      <c r="P33" s="495"/>
      <c r="Q33" s="495"/>
      <c r="R33" s="178"/>
      <c r="S33" s="177"/>
    </row>
    <row r="34" spans="1:19" ht="15.75" customHeight="1">
      <c r="A34" s="503">
        <f>J31</f>
        <v>9</v>
      </c>
      <c r="B34" s="506" t="str">
        <f>J32</f>
        <v>微波小吃</v>
      </c>
      <c r="C34" s="199">
        <v>1</v>
      </c>
      <c r="D34" s="630" t="s">
        <v>539</v>
      </c>
      <c r="E34" s="631"/>
      <c r="F34" s="632"/>
      <c r="G34" s="199">
        <v>11</v>
      </c>
      <c r="H34" s="201">
        <v>1808.470852635377</v>
      </c>
      <c r="I34" s="202">
        <v>164.40644114867064</v>
      </c>
      <c r="J34" s="351">
        <f>I34-I8</f>
        <v>-1.5584415584356748E-2</v>
      </c>
      <c r="K34" s="630" t="s">
        <v>405</v>
      </c>
      <c r="L34" s="632"/>
      <c r="N34" s="178"/>
      <c r="O34" s="178"/>
      <c r="P34" s="496"/>
      <c r="Q34" s="496"/>
      <c r="R34" s="178"/>
      <c r="S34" s="188"/>
    </row>
    <row r="35" spans="1:19" ht="15.75" customHeight="1">
      <c r="A35" s="504"/>
      <c r="B35" s="507"/>
      <c r="C35" s="199">
        <v>2</v>
      </c>
      <c r="D35" s="630" t="s">
        <v>537</v>
      </c>
      <c r="E35" s="631"/>
      <c r="F35" s="632"/>
      <c r="G35" s="199">
        <v>11</v>
      </c>
      <c r="H35" s="201">
        <v>1807.8339577632796</v>
      </c>
      <c r="I35" s="202">
        <v>164.34854161484358</v>
      </c>
      <c r="J35" s="351">
        <f>I35-I9</f>
        <v>2.1174757560913804E-2</v>
      </c>
      <c r="K35" s="630" t="s">
        <v>405</v>
      </c>
      <c r="L35" s="632"/>
      <c r="N35" s="178"/>
      <c r="O35" s="178"/>
      <c r="P35" s="496"/>
      <c r="Q35" s="496"/>
      <c r="R35" s="178"/>
      <c r="S35" s="188"/>
    </row>
    <row r="36" spans="1:19" ht="15.75" customHeight="1">
      <c r="A36" s="504"/>
      <c r="B36" s="507"/>
      <c r="C36" s="199">
        <v>3</v>
      </c>
      <c r="D36" s="630" t="s">
        <v>551</v>
      </c>
      <c r="E36" s="631"/>
      <c r="F36" s="632"/>
      <c r="G36" s="199">
        <v>19</v>
      </c>
      <c r="H36" s="201">
        <v>1804.3994868703796</v>
      </c>
      <c r="I36" s="202">
        <v>94.968394045809461</v>
      </c>
      <c r="J36" s="351">
        <f>I36-I10</f>
        <v>0.12781954887221048</v>
      </c>
      <c r="K36" s="630" t="s">
        <v>405</v>
      </c>
      <c r="L36" s="632"/>
      <c r="N36" s="178"/>
      <c r="O36" s="178"/>
      <c r="P36" s="496"/>
      <c r="Q36" s="496"/>
      <c r="R36" s="178"/>
      <c r="S36" s="188"/>
    </row>
    <row r="37" spans="1:19" ht="15.75" customHeight="1">
      <c r="A37" s="504"/>
      <c r="B37" s="507"/>
      <c r="C37" s="199">
        <v>4</v>
      </c>
      <c r="D37" s="630" t="s">
        <v>332</v>
      </c>
      <c r="E37" s="631"/>
      <c r="F37" s="632"/>
      <c r="G37" s="201">
        <v>13</v>
      </c>
      <c r="H37" s="201">
        <v>1082.8472881768489</v>
      </c>
      <c r="I37" s="202">
        <v>83.295945244373002</v>
      </c>
      <c r="J37" s="351">
        <f>I37-I11</f>
        <v>-3.1648351648328799E-2</v>
      </c>
      <c r="K37" s="630" t="s">
        <v>405</v>
      </c>
      <c r="L37" s="632"/>
      <c r="N37" s="178"/>
      <c r="O37" s="178"/>
      <c r="P37" s="496"/>
      <c r="Q37" s="496"/>
      <c r="R37" s="178"/>
      <c r="S37" s="188"/>
    </row>
    <row r="38" spans="1:19" ht="15.75" customHeight="1">
      <c r="A38" s="504"/>
      <c r="B38" s="507"/>
      <c r="C38" s="199">
        <v>5</v>
      </c>
      <c r="D38" s="630" t="s">
        <v>538</v>
      </c>
      <c r="E38" s="631"/>
      <c r="F38" s="632"/>
      <c r="G38" s="199">
        <v>22</v>
      </c>
      <c r="H38" s="201">
        <v>1803.9989428541526</v>
      </c>
      <c r="I38" s="202">
        <v>81.999951947916017</v>
      </c>
      <c r="J38" s="351">
        <f>I38-I12</f>
        <v>0.14415584415583282</v>
      </c>
      <c r="K38" s="630" t="s">
        <v>405</v>
      </c>
      <c r="L38" s="632"/>
      <c r="N38" s="178"/>
      <c r="O38" s="178"/>
      <c r="P38" s="496"/>
      <c r="Q38" s="496"/>
      <c r="R38" s="178"/>
      <c r="S38" s="188"/>
    </row>
    <row r="39" spans="1:19" ht="15.75" customHeight="1">
      <c r="A39" s="504"/>
      <c r="B39" s="507"/>
      <c r="C39" s="203" t="s">
        <v>187</v>
      </c>
      <c r="D39" s="630"/>
      <c r="E39" s="631"/>
      <c r="F39" s="632"/>
      <c r="G39" s="199"/>
      <c r="H39" s="201"/>
      <c r="I39" s="202"/>
      <c r="J39" s="199"/>
      <c r="K39" s="497"/>
      <c r="L39" s="499"/>
      <c r="N39" s="178"/>
      <c r="O39" s="178"/>
      <c r="P39" s="496"/>
      <c r="Q39" s="496"/>
      <c r="R39" s="178"/>
      <c r="S39" s="188"/>
    </row>
    <row r="40" spans="1:19" ht="15.75" customHeight="1">
      <c r="A40" s="504"/>
      <c r="B40" s="507"/>
      <c r="C40" s="203" t="s">
        <v>192</v>
      </c>
      <c r="D40" s="497"/>
      <c r="E40" s="498"/>
      <c r="F40" s="499"/>
      <c r="G40" s="199"/>
      <c r="H40" s="201"/>
      <c r="I40" s="202"/>
      <c r="J40" s="199"/>
      <c r="K40" s="497"/>
      <c r="L40" s="499"/>
      <c r="N40" s="178"/>
      <c r="O40" s="178"/>
      <c r="P40" s="496"/>
      <c r="Q40" s="496"/>
      <c r="R40" s="178"/>
      <c r="S40" s="188"/>
    </row>
    <row r="41" spans="1:19" ht="15.75" customHeight="1">
      <c r="A41" s="504"/>
      <c r="B41" s="507"/>
      <c r="C41" s="203" t="s">
        <v>188</v>
      </c>
      <c r="D41" s="497"/>
      <c r="E41" s="498"/>
      <c r="F41" s="499"/>
      <c r="G41" s="199"/>
      <c r="H41" s="201"/>
      <c r="I41" s="202"/>
      <c r="J41" s="199"/>
      <c r="K41" s="497"/>
      <c r="L41" s="499"/>
      <c r="N41" s="178"/>
      <c r="O41" s="178"/>
      <c r="P41" s="496"/>
      <c r="Q41" s="496"/>
      <c r="R41" s="178"/>
      <c r="S41" s="188"/>
    </row>
    <row r="42" spans="1:19" ht="15.75" customHeight="1">
      <c r="A42" s="504"/>
      <c r="B42" s="507"/>
      <c r="C42" s="203" t="s">
        <v>193</v>
      </c>
      <c r="D42" s="497"/>
      <c r="E42" s="498"/>
      <c r="F42" s="499"/>
      <c r="G42" s="199"/>
      <c r="H42" s="201"/>
      <c r="I42" s="202"/>
      <c r="J42" s="199"/>
      <c r="K42" s="497"/>
      <c r="L42" s="499"/>
      <c r="M42" s="98"/>
      <c r="N42" s="178"/>
      <c r="O42" s="178"/>
      <c r="P42" s="496"/>
      <c r="Q42" s="496"/>
      <c r="R42" s="178"/>
      <c r="S42" s="188"/>
    </row>
    <row r="43" spans="1:19" ht="15.75" customHeight="1">
      <c r="A43" s="505"/>
      <c r="B43" s="508"/>
      <c r="C43" s="203" t="s">
        <v>194</v>
      </c>
      <c r="D43" s="497"/>
      <c r="E43" s="498"/>
      <c r="F43" s="499"/>
      <c r="G43" s="199"/>
      <c r="H43" s="201"/>
      <c r="I43" s="202"/>
      <c r="J43" s="199"/>
      <c r="K43" s="497"/>
      <c r="L43" s="499"/>
      <c r="M43" s="98"/>
      <c r="N43" s="178"/>
      <c r="O43" s="178"/>
      <c r="P43" s="496"/>
      <c r="Q43" s="496"/>
      <c r="R43" s="178"/>
      <c r="S43" s="188"/>
    </row>
    <row r="44" spans="1:19" s="103" customFormat="1" ht="15.75" customHeight="1">
      <c r="A44" s="500" t="s">
        <v>171</v>
      </c>
      <c r="B44" s="501"/>
      <c r="C44" s="206" t="s">
        <v>47</v>
      </c>
      <c r="D44" s="500" t="s">
        <v>12</v>
      </c>
      <c r="E44" s="502"/>
      <c r="F44" s="501"/>
      <c r="G44" s="206" t="s">
        <v>46</v>
      </c>
      <c r="H44" s="206" t="s">
        <v>352</v>
      </c>
      <c r="I44" s="206" t="s">
        <v>353</v>
      </c>
      <c r="J44" s="159" t="s">
        <v>311</v>
      </c>
      <c r="K44" s="500" t="s">
        <v>51</v>
      </c>
      <c r="L44" s="501"/>
      <c r="M44" s="127"/>
      <c r="N44" s="178"/>
      <c r="O44" s="178"/>
      <c r="P44" s="496"/>
      <c r="Q44" s="496"/>
      <c r="R44" s="178"/>
      <c r="S44" s="198"/>
    </row>
    <row r="45" spans="1:19" ht="15.75" customHeight="1">
      <c r="A45" s="503"/>
      <c r="B45" s="506"/>
      <c r="C45" s="199">
        <v>1</v>
      </c>
      <c r="D45" s="497"/>
      <c r="E45" s="498"/>
      <c r="F45" s="499"/>
      <c r="G45" s="199"/>
      <c r="H45" s="201"/>
      <c r="I45" s="202"/>
      <c r="J45" s="199"/>
      <c r="K45" s="497"/>
      <c r="L45" s="499"/>
      <c r="M45" s="98"/>
      <c r="N45" s="178"/>
      <c r="O45" s="178"/>
      <c r="P45" s="496"/>
      <c r="Q45" s="496"/>
      <c r="R45" s="178"/>
      <c r="S45" s="188"/>
    </row>
    <row r="46" spans="1:19" ht="15.75" customHeight="1">
      <c r="A46" s="504"/>
      <c r="B46" s="507"/>
      <c r="C46" s="199">
        <v>2</v>
      </c>
      <c r="D46" s="497"/>
      <c r="E46" s="498"/>
      <c r="F46" s="499"/>
      <c r="G46" s="199"/>
      <c r="H46" s="201"/>
      <c r="I46" s="202"/>
      <c r="J46" s="199"/>
      <c r="K46" s="497"/>
      <c r="L46" s="499"/>
      <c r="M46" s="98"/>
      <c r="N46" s="178"/>
      <c r="O46" s="178"/>
      <c r="P46" s="496"/>
      <c r="Q46" s="496"/>
      <c r="R46" s="178"/>
      <c r="S46" s="188"/>
    </row>
    <row r="47" spans="1:19" ht="15.75" customHeight="1">
      <c r="A47" s="504"/>
      <c r="B47" s="507"/>
      <c r="C47" s="199">
        <v>3</v>
      </c>
      <c r="D47" s="497"/>
      <c r="E47" s="498"/>
      <c r="F47" s="499"/>
      <c r="G47" s="199"/>
      <c r="H47" s="201"/>
      <c r="I47" s="202"/>
      <c r="J47" s="199"/>
      <c r="K47" s="497"/>
      <c r="L47" s="499"/>
      <c r="M47" s="98"/>
      <c r="N47" s="178"/>
      <c r="O47" s="178"/>
      <c r="P47" s="496"/>
      <c r="Q47" s="496"/>
      <c r="R47" s="178"/>
      <c r="S47" s="188"/>
    </row>
    <row r="48" spans="1:19" ht="15.75" customHeight="1">
      <c r="A48" s="504"/>
      <c r="B48" s="507"/>
      <c r="C48" s="199">
        <v>4</v>
      </c>
      <c r="D48" s="497"/>
      <c r="E48" s="498"/>
      <c r="F48" s="499"/>
      <c r="G48" s="199"/>
      <c r="H48" s="201"/>
      <c r="I48" s="202"/>
      <c r="J48" s="199"/>
      <c r="K48" s="497"/>
      <c r="L48" s="499"/>
      <c r="M48" s="98"/>
      <c r="N48" s="178"/>
      <c r="O48" s="178"/>
      <c r="P48" s="496"/>
      <c r="Q48" s="496"/>
      <c r="R48" s="178"/>
      <c r="S48" s="188"/>
    </row>
    <row r="49" spans="1:19" ht="15.75" customHeight="1">
      <c r="A49" s="504"/>
      <c r="B49" s="507"/>
      <c r="C49" s="199">
        <v>5</v>
      </c>
      <c r="D49" s="497"/>
      <c r="E49" s="498"/>
      <c r="F49" s="499"/>
      <c r="G49" s="199"/>
      <c r="H49" s="201"/>
      <c r="I49" s="202"/>
      <c r="J49" s="199"/>
      <c r="K49" s="497"/>
      <c r="L49" s="499"/>
      <c r="M49" s="98"/>
      <c r="N49" s="178"/>
      <c r="O49" s="178"/>
      <c r="P49" s="496"/>
      <c r="Q49" s="496"/>
      <c r="R49" s="178"/>
      <c r="S49" s="188"/>
    </row>
    <row r="50" spans="1:19" ht="15.75" customHeight="1">
      <c r="A50" s="504"/>
      <c r="B50" s="507"/>
      <c r="C50" s="203" t="s">
        <v>187</v>
      </c>
      <c r="D50" s="497"/>
      <c r="E50" s="498"/>
      <c r="F50" s="499"/>
      <c r="G50" s="199"/>
      <c r="H50" s="201"/>
      <c r="I50" s="202"/>
      <c r="J50" s="199"/>
      <c r="K50" s="497"/>
      <c r="L50" s="499"/>
      <c r="M50" s="98"/>
      <c r="N50" s="178"/>
      <c r="O50" s="178"/>
      <c r="P50" s="496"/>
      <c r="Q50" s="496"/>
      <c r="R50" s="178"/>
      <c r="S50" s="188"/>
    </row>
    <row r="51" spans="1:19" ht="15.75" customHeight="1">
      <c r="A51" s="504"/>
      <c r="B51" s="507"/>
      <c r="C51" s="203" t="s">
        <v>192</v>
      </c>
      <c r="D51" s="497"/>
      <c r="E51" s="498"/>
      <c r="F51" s="499"/>
      <c r="G51" s="199"/>
      <c r="H51" s="201"/>
      <c r="I51" s="202"/>
      <c r="J51" s="199"/>
      <c r="K51" s="497"/>
      <c r="L51" s="499"/>
      <c r="M51" s="98"/>
      <c r="N51" s="178"/>
      <c r="O51" s="178"/>
      <c r="P51" s="496"/>
      <c r="Q51" s="496"/>
      <c r="R51" s="178"/>
      <c r="S51" s="188"/>
    </row>
    <row r="52" spans="1:19" ht="15.75" customHeight="1">
      <c r="A52" s="504"/>
      <c r="B52" s="507"/>
      <c r="C52" s="203" t="s">
        <v>188</v>
      </c>
      <c r="D52" s="497"/>
      <c r="E52" s="498"/>
      <c r="F52" s="499"/>
      <c r="G52" s="199"/>
      <c r="H52" s="201"/>
      <c r="I52" s="202"/>
      <c r="J52" s="199"/>
      <c r="K52" s="497"/>
      <c r="L52" s="499"/>
      <c r="M52" s="98"/>
      <c r="N52" s="178"/>
      <c r="O52" s="178"/>
      <c r="P52" s="496"/>
      <c r="Q52" s="496"/>
      <c r="R52" s="178"/>
      <c r="S52" s="188"/>
    </row>
    <row r="53" spans="1:19" ht="15.75" customHeight="1">
      <c r="A53" s="504"/>
      <c r="B53" s="507"/>
      <c r="C53" s="203" t="s">
        <v>193</v>
      </c>
      <c r="D53" s="497"/>
      <c r="E53" s="498"/>
      <c r="F53" s="499"/>
      <c r="G53" s="199"/>
      <c r="H53" s="201"/>
      <c r="I53" s="202"/>
      <c r="J53" s="199"/>
      <c r="K53" s="497"/>
      <c r="L53" s="499"/>
      <c r="M53" s="98"/>
      <c r="N53" s="178"/>
      <c r="O53" s="178"/>
      <c r="P53" s="496"/>
      <c r="Q53" s="496"/>
      <c r="R53" s="178"/>
      <c r="S53" s="188"/>
    </row>
    <row r="54" spans="1:19" ht="15.75" customHeight="1">
      <c r="A54" s="505"/>
      <c r="B54" s="508"/>
      <c r="C54" s="203" t="s">
        <v>194</v>
      </c>
      <c r="D54" s="497"/>
      <c r="E54" s="498"/>
      <c r="F54" s="499"/>
      <c r="G54" s="199"/>
      <c r="H54" s="201"/>
      <c r="I54" s="202"/>
      <c r="J54" s="199"/>
      <c r="K54" s="497"/>
      <c r="L54" s="499"/>
      <c r="M54" s="98"/>
      <c r="N54" s="178"/>
      <c r="O54" s="178"/>
      <c r="P54" s="496"/>
      <c r="Q54" s="496"/>
      <c r="R54" s="178"/>
      <c r="S54" s="188"/>
    </row>
    <row r="55" spans="1:19" s="188" customFormat="1" ht="15.75" customHeight="1">
      <c r="A55" s="624" t="s">
        <v>674</v>
      </c>
      <c r="B55" s="624"/>
      <c r="C55" s="624"/>
      <c r="D55" s="624"/>
      <c r="E55" s="624"/>
      <c r="F55" s="624"/>
      <c r="G55" s="624"/>
      <c r="H55" s="624"/>
      <c r="I55" s="624"/>
      <c r="J55" s="624"/>
      <c r="K55" s="624"/>
      <c r="L55" s="624"/>
    </row>
    <row r="56" spans="1:19" s="189" customFormat="1" ht="15.75" customHeight="1">
      <c r="A56" s="624"/>
      <c r="B56" s="624"/>
      <c r="C56" s="624"/>
      <c r="D56" s="624"/>
      <c r="E56" s="624"/>
      <c r="F56" s="624"/>
      <c r="G56" s="624"/>
      <c r="H56" s="624"/>
      <c r="I56" s="624"/>
      <c r="J56" s="624"/>
      <c r="K56" s="624"/>
      <c r="L56" s="624"/>
    </row>
    <row r="57" spans="1:19" s="105" customFormat="1" ht="16.350000000000001" customHeight="1">
      <c r="A57" s="503" t="s">
        <v>162</v>
      </c>
      <c r="B57" s="169">
        <v>1</v>
      </c>
      <c r="C57" s="169">
        <v>2</v>
      </c>
      <c r="D57" s="169">
        <v>3</v>
      </c>
      <c r="E57" s="169">
        <v>4</v>
      </c>
      <c r="F57" s="169">
        <v>5</v>
      </c>
      <c r="G57" s="169">
        <v>6</v>
      </c>
      <c r="H57" s="169">
        <v>7</v>
      </c>
      <c r="I57" s="169">
        <v>8</v>
      </c>
      <c r="J57" s="190">
        <v>9</v>
      </c>
      <c r="K57" s="191"/>
      <c r="L57" s="191"/>
      <c r="M57" s="192"/>
      <c r="N57" s="178"/>
      <c r="O57" s="178"/>
      <c r="P57" s="178"/>
      <c r="Q57" s="178"/>
      <c r="R57" s="178"/>
      <c r="S57" s="177"/>
    </row>
    <row r="58" spans="1:19" ht="16.350000000000001" customHeight="1">
      <c r="A58" s="505"/>
      <c r="B58" s="194" t="s">
        <v>189</v>
      </c>
      <c r="C58" s="194" t="s">
        <v>155</v>
      </c>
      <c r="D58" s="194" t="s">
        <v>190</v>
      </c>
      <c r="E58" s="194" t="s">
        <v>156</v>
      </c>
      <c r="F58" s="194" t="s">
        <v>138</v>
      </c>
      <c r="G58" s="195" t="s">
        <v>136</v>
      </c>
      <c r="H58" s="196" t="s">
        <v>191</v>
      </c>
      <c r="I58" s="195" t="s">
        <v>351</v>
      </c>
      <c r="J58" s="208" t="s">
        <v>142</v>
      </c>
      <c r="K58" s="197"/>
      <c r="L58" s="197"/>
      <c r="M58" s="189"/>
      <c r="N58" s="178"/>
      <c r="O58" s="178"/>
      <c r="P58" s="178"/>
      <c r="Q58" s="178"/>
      <c r="R58" s="178"/>
      <c r="S58" s="188"/>
    </row>
    <row r="59" spans="1:19" s="105" customFormat="1" ht="15.75" customHeight="1">
      <c r="A59" s="509" t="s">
        <v>171</v>
      </c>
      <c r="B59" s="510"/>
      <c r="C59" s="159" t="s">
        <v>47</v>
      </c>
      <c r="D59" s="509" t="s">
        <v>12</v>
      </c>
      <c r="E59" s="511"/>
      <c r="F59" s="510"/>
      <c r="G59" s="159" t="s">
        <v>46</v>
      </c>
      <c r="H59" s="159" t="s">
        <v>352</v>
      </c>
      <c r="I59" s="159" t="s">
        <v>353</v>
      </c>
      <c r="J59" s="159" t="s">
        <v>311</v>
      </c>
      <c r="K59" s="509" t="s">
        <v>51</v>
      </c>
      <c r="L59" s="510"/>
      <c r="M59" s="192"/>
      <c r="N59" s="178"/>
      <c r="O59" s="495"/>
      <c r="P59" s="495"/>
      <c r="Q59" s="495"/>
      <c r="R59" s="178"/>
      <c r="S59" s="177"/>
    </row>
    <row r="60" spans="1:19" ht="15.75" customHeight="1">
      <c r="A60" s="503">
        <f>J57</f>
        <v>9</v>
      </c>
      <c r="B60" s="506" t="str">
        <f>J58</f>
        <v>微波小吃</v>
      </c>
      <c r="C60" s="199">
        <v>1</v>
      </c>
      <c r="D60" s="630" t="s">
        <v>539</v>
      </c>
      <c r="E60" s="631"/>
      <c r="F60" s="632"/>
      <c r="G60" s="199">
        <v>11</v>
      </c>
      <c r="H60" s="201">
        <v>1808.3279954925197</v>
      </c>
      <c r="I60" s="202">
        <v>164.39345413568361</v>
      </c>
      <c r="J60" s="351">
        <f>I60-I34</f>
        <v>-1.2987012987025537E-2</v>
      </c>
      <c r="K60" s="497"/>
      <c r="L60" s="499"/>
      <c r="N60" s="178"/>
      <c r="O60" s="178"/>
      <c r="P60" s="496"/>
      <c r="Q60" s="496"/>
      <c r="R60" s="178"/>
      <c r="S60" s="188"/>
    </row>
    <row r="61" spans="1:19" ht="15.75" customHeight="1">
      <c r="A61" s="504"/>
      <c r="B61" s="507"/>
      <c r="C61" s="199">
        <v>2</v>
      </c>
      <c r="D61" s="630" t="s">
        <v>551</v>
      </c>
      <c r="E61" s="631"/>
      <c r="F61" s="632"/>
      <c r="G61" s="199">
        <v>19</v>
      </c>
      <c r="H61" s="201">
        <v>1805.3137725846659</v>
      </c>
      <c r="I61" s="202">
        <v>95.016514346561351</v>
      </c>
      <c r="J61" s="351">
        <f>I61-I36</f>
        <v>4.8120300751889999E-2</v>
      </c>
      <c r="K61" s="497"/>
      <c r="L61" s="499"/>
      <c r="N61" s="178"/>
      <c r="O61" s="178"/>
      <c r="P61" s="496"/>
      <c r="Q61" s="496"/>
      <c r="R61" s="178"/>
      <c r="S61" s="188"/>
    </row>
    <row r="62" spans="1:19" ht="15.75" customHeight="1">
      <c r="A62" s="504"/>
      <c r="B62" s="507"/>
      <c r="C62" s="199">
        <v>3</v>
      </c>
      <c r="D62" s="630" t="s">
        <v>332</v>
      </c>
      <c r="E62" s="631"/>
      <c r="F62" s="632"/>
      <c r="G62" s="199">
        <v>13</v>
      </c>
      <c r="H62" s="201">
        <v>1082.6244310339914</v>
      </c>
      <c r="I62" s="202">
        <v>83.278802387230101</v>
      </c>
      <c r="J62" s="351">
        <f>I62-I37</f>
        <v>-1.7142857142900425E-2</v>
      </c>
      <c r="K62" s="497"/>
      <c r="L62" s="499"/>
      <c r="N62" s="178"/>
      <c r="O62" s="178"/>
      <c r="P62" s="496"/>
      <c r="Q62" s="496"/>
      <c r="R62" s="178"/>
      <c r="S62" s="188"/>
    </row>
    <row r="63" spans="1:19" ht="15.75" customHeight="1">
      <c r="A63" s="504"/>
      <c r="B63" s="507"/>
      <c r="C63" s="199">
        <v>4</v>
      </c>
      <c r="D63" s="630"/>
      <c r="E63" s="631"/>
      <c r="F63" s="632"/>
      <c r="G63" s="201"/>
      <c r="H63" s="201"/>
      <c r="I63" s="202"/>
      <c r="J63" s="351"/>
      <c r="K63" s="497"/>
      <c r="L63" s="499"/>
      <c r="N63" s="178"/>
      <c r="O63" s="178"/>
      <c r="P63" s="496"/>
      <c r="Q63" s="496"/>
      <c r="R63" s="178"/>
      <c r="S63" s="188"/>
    </row>
    <row r="64" spans="1:19" ht="15.75" customHeight="1">
      <c r="A64" s="504"/>
      <c r="B64" s="507"/>
      <c r="C64" s="199">
        <v>5</v>
      </c>
      <c r="D64" s="630"/>
      <c r="E64" s="631"/>
      <c r="F64" s="632"/>
      <c r="G64" s="199"/>
      <c r="H64" s="201"/>
      <c r="I64" s="202"/>
      <c r="J64" s="351"/>
      <c r="K64" s="497"/>
      <c r="L64" s="499"/>
      <c r="N64" s="178"/>
      <c r="O64" s="178"/>
      <c r="P64" s="496"/>
      <c r="Q64" s="496"/>
      <c r="R64" s="178"/>
      <c r="S64" s="188"/>
    </row>
    <row r="65" spans="1:19" ht="15.75" customHeight="1">
      <c r="A65" s="504"/>
      <c r="B65" s="507"/>
      <c r="C65" s="203" t="s">
        <v>187</v>
      </c>
      <c r="D65" s="630"/>
      <c r="E65" s="631"/>
      <c r="F65" s="632"/>
      <c r="G65" s="199"/>
      <c r="H65" s="201"/>
      <c r="I65" s="202"/>
      <c r="J65" s="199"/>
      <c r="K65" s="497"/>
      <c r="L65" s="499"/>
      <c r="N65" s="178"/>
      <c r="O65" s="178"/>
      <c r="P65" s="496"/>
      <c r="Q65" s="496"/>
      <c r="R65" s="178"/>
      <c r="S65" s="188"/>
    </row>
    <row r="66" spans="1:19" ht="15.75" customHeight="1">
      <c r="A66" s="504"/>
      <c r="B66" s="507"/>
      <c r="C66" s="203" t="s">
        <v>192</v>
      </c>
      <c r="D66" s="497"/>
      <c r="E66" s="498"/>
      <c r="F66" s="499"/>
      <c r="G66" s="199"/>
      <c r="H66" s="201"/>
      <c r="I66" s="202"/>
      <c r="J66" s="199"/>
      <c r="K66" s="497"/>
      <c r="L66" s="499"/>
      <c r="N66" s="178"/>
      <c r="O66" s="178"/>
      <c r="P66" s="496"/>
      <c r="Q66" s="496"/>
      <c r="R66" s="178"/>
      <c r="S66" s="188"/>
    </row>
    <row r="67" spans="1:19" ht="15.75" customHeight="1">
      <c r="A67" s="504"/>
      <c r="B67" s="507"/>
      <c r="C67" s="203" t="s">
        <v>188</v>
      </c>
      <c r="D67" s="497"/>
      <c r="E67" s="498"/>
      <c r="F67" s="499"/>
      <c r="G67" s="199"/>
      <c r="H67" s="201"/>
      <c r="I67" s="202"/>
      <c r="J67" s="199"/>
      <c r="K67" s="497"/>
      <c r="L67" s="499"/>
      <c r="N67" s="178"/>
      <c r="O67" s="178"/>
      <c r="P67" s="496"/>
      <c r="Q67" s="496"/>
      <c r="R67" s="178"/>
      <c r="S67" s="188"/>
    </row>
    <row r="68" spans="1:19" ht="15.75" customHeight="1">
      <c r="A68" s="504"/>
      <c r="B68" s="507"/>
      <c r="C68" s="203" t="s">
        <v>193</v>
      </c>
      <c r="D68" s="497"/>
      <c r="E68" s="498"/>
      <c r="F68" s="499"/>
      <c r="G68" s="199"/>
      <c r="H68" s="201"/>
      <c r="I68" s="202"/>
      <c r="J68" s="199"/>
      <c r="K68" s="497"/>
      <c r="L68" s="499"/>
      <c r="M68" s="98"/>
      <c r="N68" s="178"/>
      <c r="O68" s="178"/>
      <c r="P68" s="496"/>
      <c r="Q68" s="496"/>
      <c r="R68" s="178"/>
      <c r="S68" s="188"/>
    </row>
    <row r="69" spans="1:19" ht="15.75" customHeight="1">
      <c r="A69" s="505"/>
      <c r="B69" s="508"/>
      <c r="C69" s="203" t="s">
        <v>194</v>
      </c>
      <c r="D69" s="497"/>
      <c r="E69" s="498"/>
      <c r="F69" s="499"/>
      <c r="G69" s="199"/>
      <c r="H69" s="201"/>
      <c r="I69" s="202"/>
      <c r="J69" s="199"/>
      <c r="K69" s="497"/>
      <c r="L69" s="499"/>
      <c r="M69" s="98"/>
      <c r="N69" s="178"/>
      <c r="O69" s="178"/>
      <c r="P69" s="496"/>
      <c r="Q69" s="496"/>
      <c r="R69" s="178"/>
      <c r="S69" s="188"/>
    </row>
    <row r="70" spans="1:19" s="103" customFormat="1" ht="15.75" customHeight="1">
      <c r="A70" s="500" t="s">
        <v>171</v>
      </c>
      <c r="B70" s="501"/>
      <c r="C70" s="206" t="s">
        <v>47</v>
      </c>
      <c r="D70" s="500" t="s">
        <v>12</v>
      </c>
      <c r="E70" s="502"/>
      <c r="F70" s="501"/>
      <c r="G70" s="206" t="s">
        <v>46</v>
      </c>
      <c r="H70" s="206" t="s">
        <v>352</v>
      </c>
      <c r="I70" s="206" t="s">
        <v>353</v>
      </c>
      <c r="J70" s="159" t="s">
        <v>311</v>
      </c>
      <c r="K70" s="500" t="s">
        <v>51</v>
      </c>
      <c r="L70" s="501"/>
      <c r="M70" s="127"/>
      <c r="N70" s="178"/>
      <c r="O70" s="178"/>
      <c r="P70" s="496"/>
      <c r="Q70" s="496"/>
      <c r="R70" s="178"/>
      <c r="S70" s="198"/>
    </row>
    <row r="71" spans="1:19" ht="15.75" customHeight="1">
      <c r="A71" s="503"/>
      <c r="B71" s="506"/>
      <c r="C71" s="199">
        <v>1</v>
      </c>
      <c r="D71" s="497"/>
      <c r="E71" s="498"/>
      <c r="F71" s="499"/>
      <c r="G71" s="199"/>
      <c r="H71" s="201"/>
      <c r="I71" s="202"/>
      <c r="J71" s="199"/>
      <c r="K71" s="497"/>
      <c r="L71" s="499"/>
      <c r="M71" s="98"/>
      <c r="N71" s="178"/>
      <c r="O71" s="178"/>
      <c r="P71" s="496"/>
      <c r="Q71" s="496"/>
      <c r="R71" s="178"/>
      <c r="S71" s="188"/>
    </row>
    <row r="72" spans="1:19" ht="15.75" customHeight="1">
      <c r="A72" s="504"/>
      <c r="B72" s="507"/>
      <c r="C72" s="199">
        <v>2</v>
      </c>
      <c r="D72" s="497"/>
      <c r="E72" s="498"/>
      <c r="F72" s="499"/>
      <c r="G72" s="199"/>
      <c r="H72" s="201"/>
      <c r="I72" s="202"/>
      <c r="J72" s="199"/>
      <c r="K72" s="497"/>
      <c r="L72" s="499"/>
      <c r="M72" s="98"/>
      <c r="N72" s="178"/>
      <c r="O72" s="178"/>
      <c r="P72" s="496"/>
      <c r="Q72" s="496"/>
      <c r="R72" s="178"/>
      <c r="S72" s="188"/>
    </row>
    <row r="73" spans="1:19" ht="15.75" customHeight="1">
      <c r="A73" s="504"/>
      <c r="B73" s="507"/>
      <c r="C73" s="199">
        <v>3</v>
      </c>
      <c r="D73" s="497"/>
      <c r="E73" s="498"/>
      <c r="F73" s="499"/>
      <c r="G73" s="199"/>
      <c r="H73" s="201"/>
      <c r="I73" s="202"/>
      <c r="J73" s="199"/>
      <c r="K73" s="497"/>
      <c r="L73" s="499"/>
      <c r="M73" s="98"/>
      <c r="N73" s="178"/>
      <c r="O73" s="178"/>
      <c r="P73" s="496"/>
      <c r="Q73" s="496"/>
      <c r="R73" s="178"/>
      <c r="S73" s="188"/>
    </row>
    <row r="74" spans="1:19" ht="15.75" customHeight="1">
      <c r="A74" s="504"/>
      <c r="B74" s="507"/>
      <c r="C74" s="199">
        <v>4</v>
      </c>
      <c r="D74" s="497"/>
      <c r="E74" s="498"/>
      <c r="F74" s="499"/>
      <c r="G74" s="199"/>
      <c r="H74" s="201"/>
      <c r="I74" s="202"/>
      <c r="J74" s="199"/>
      <c r="K74" s="497"/>
      <c r="L74" s="499"/>
      <c r="M74" s="98"/>
      <c r="N74" s="178"/>
      <c r="O74" s="178"/>
      <c r="P74" s="496"/>
      <c r="Q74" s="496"/>
      <c r="R74" s="178"/>
      <c r="S74" s="188"/>
    </row>
    <row r="75" spans="1:19" ht="15.75" customHeight="1">
      <c r="A75" s="504"/>
      <c r="B75" s="507"/>
      <c r="C75" s="199">
        <v>5</v>
      </c>
      <c r="D75" s="497"/>
      <c r="E75" s="498"/>
      <c r="F75" s="499"/>
      <c r="G75" s="199"/>
      <c r="H75" s="201"/>
      <c r="I75" s="202"/>
      <c r="J75" s="199"/>
      <c r="K75" s="497"/>
      <c r="L75" s="499"/>
      <c r="M75" s="98"/>
      <c r="N75" s="178"/>
      <c r="O75" s="178"/>
      <c r="P75" s="496"/>
      <c r="Q75" s="496"/>
      <c r="R75" s="178"/>
      <c r="S75" s="188"/>
    </row>
    <row r="76" spans="1:19" ht="15.75" customHeight="1">
      <c r="A76" s="504"/>
      <c r="B76" s="507"/>
      <c r="C76" s="203" t="s">
        <v>187</v>
      </c>
      <c r="D76" s="497"/>
      <c r="E76" s="498"/>
      <c r="F76" s="499"/>
      <c r="G76" s="199"/>
      <c r="H76" s="201"/>
      <c r="I76" s="202"/>
      <c r="J76" s="199"/>
      <c r="K76" s="497"/>
      <c r="L76" s="499"/>
      <c r="M76" s="98"/>
      <c r="N76" s="178"/>
      <c r="O76" s="178"/>
      <c r="P76" s="496"/>
      <c r="Q76" s="496"/>
      <c r="R76" s="178"/>
      <c r="S76" s="188"/>
    </row>
    <row r="77" spans="1:19" ht="15.75" customHeight="1">
      <c r="A77" s="504"/>
      <c r="B77" s="507"/>
      <c r="C77" s="203" t="s">
        <v>192</v>
      </c>
      <c r="D77" s="497"/>
      <c r="E77" s="498"/>
      <c r="F77" s="499"/>
      <c r="G77" s="199"/>
      <c r="H77" s="201"/>
      <c r="I77" s="202"/>
      <c r="J77" s="199"/>
      <c r="K77" s="497"/>
      <c r="L77" s="499"/>
      <c r="M77" s="98"/>
      <c r="N77" s="178"/>
      <c r="O77" s="178"/>
      <c r="P77" s="496"/>
      <c r="Q77" s="496"/>
      <c r="R77" s="178"/>
      <c r="S77" s="188"/>
    </row>
    <row r="78" spans="1:19" ht="15.75" customHeight="1">
      <c r="A78" s="504"/>
      <c r="B78" s="507"/>
      <c r="C78" s="203" t="s">
        <v>188</v>
      </c>
      <c r="D78" s="497"/>
      <c r="E78" s="498"/>
      <c r="F78" s="499"/>
      <c r="G78" s="199"/>
      <c r="H78" s="201"/>
      <c r="I78" s="202"/>
      <c r="J78" s="199"/>
      <c r="K78" s="497"/>
      <c r="L78" s="499"/>
      <c r="M78" s="98"/>
      <c r="N78" s="178"/>
      <c r="O78" s="178"/>
      <c r="P78" s="496"/>
      <c r="Q78" s="496"/>
      <c r="R78" s="178"/>
      <c r="S78" s="188"/>
    </row>
    <row r="79" spans="1:19" ht="15.75" customHeight="1">
      <c r="A79" s="504"/>
      <c r="B79" s="507"/>
      <c r="C79" s="203" t="s">
        <v>193</v>
      </c>
      <c r="D79" s="497"/>
      <c r="E79" s="498"/>
      <c r="F79" s="499"/>
      <c r="G79" s="199"/>
      <c r="H79" s="201"/>
      <c r="I79" s="202"/>
      <c r="J79" s="199"/>
      <c r="K79" s="497"/>
      <c r="L79" s="499"/>
      <c r="M79" s="98"/>
      <c r="N79" s="178"/>
      <c r="O79" s="178"/>
      <c r="P79" s="496"/>
      <c r="Q79" s="496"/>
      <c r="R79" s="178"/>
      <c r="S79" s="188"/>
    </row>
    <row r="80" spans="1:19" ht="15.75" customHeight="1">
      <c r="A80" s="505"/>
      <c r="B80" s="508"/>
      <c r="C80" s="203" t="s">
        <v>194</v>
      </c>
      <c r="D80" s="497"/>
      <c r="E80" s="498"/>
      <c r="F80" s="499"/>
      <c r="G80" s="199"/>
      <c r="H80" s="201"/>
      <c r="I80" s="202"/>
      <c r="J80" s="199"/>
      <c r="K80" s="497"/>
      <c r="L80" s="499"/>
      <c r="M80" s="98"/>
      <c r="N80" s="178"/>
      <c r="O80" s="178"/>
      <c r="P80" s="496"/>
      <c r="Q80" s="496"/>
      <c r="R80" s="178"/>
      <c r="S80" s="188"/>
    </row>
    <row r="81" spans="1:19" s="188" customFormat="1" ht="15.75" customHeight="1">
      <c r="A81" s="624" t="s">
        <v>713</v>
      </c>
      <c r="B81" s="624"/>
      <c r="C81" s="624"/>
      <c r="D81" s="624"/>
      <c r="E81" s="624"/>
      <c r="F81" s="624"/>
      <c r="G81" s="624"/>
      <c r="H81" s="624"/>
      <c r="I81" s="624"/>
      <c r="J81" s="624"/>
      <c r="K81" s="624"/>
      <c r="L81" s="624"/>
    </row>
    <row r="82" spans="1:19" s="189" customFormat="1" ht="15.75" customHeight="1">
      <c r="A82" s="624"/>
      <c r="B82" s="624"/>
      <c r="C82" s="624"/>
      <c r="D82" s="624"/>
      <c r="E82" s="624"/>
      <c r="F82" s="624"/>
      <c r="G82" s="624"/>
      <c r="H82" s="624"/>
      <c r="I82" s="624"/>
      <c r="J82" s="624"/>
      <c r="K82" s="624"/>
      <c r="L82" s="624"/>
    </row>
    <row r="83" spans="1:19" s="105" customFormat="1" ht="16.350000000000001" customHeight="1">
      <c r="A83" s="503" t="s">
        <v>162</v>
      </c>
      <c r="B83" s="169">
        <v>1</v>
      </c>
      <c r="C83" s="169">
        <v>2</v>
      </c>
      <c r="D83" s="169">
        <v>3</v>
      </c>
      <c r="E83" s="169">
        <v>4</v>
      </c>
      <c r="F83" s="169">
        <v>5</v>
      </c>
      <c r="G83" s="169">
        <v>6</v>
      </c>
      <c r="H83" s="169">
        <v>7</v>
      </c>
      <c r="I83" s="169">
        <v>8</v>
      </c>
      <c r="J83" s="190">
        <v>9</v>
      </c>
      <c r="K83" s="191"/>
      <c r="L83" s="191"/>
      <c r="M83" s="192"/>
      <c r="N83" s="178"/>
      <c r="O83" s="178"/>
      <c r="P83" s="178"/>
      <c r="Q83" s="178"/>
      <c r="R83" s="178"/>
      <c r="S83" s="177"/>
    </row>
    <row r="84" spans="1:19" ht="16.350000000000001" customHeight="1">
      <c r="A84" s="505"/>
      <c r="B84" s="194" t="s">
        <v>189</v>
      </c>
      <c r="C84" s="194" t="s">
        <v>155</v>
      </c>
      <c r="D84" s="194" t="s">
        <v>190</v>
      </c>
      <c r="E84" s="194" t="s">
        <v>156</v>
      </c>
      <c r="F84" s="194" t="s">
        <v>138</v>
      </c>
      <c r="G84" s="195" t="s">
        <v>136</v>
      </c>
      <c r="H84" s="196" t="s">
        <v>191</v>
      </c>
      <c r="I84" s="195" t="s">
        <v>351</v>
      </c>
      <c r="J84" s="208" t="s">
        <v>142</v>
      </c>
      <c r="K84" s="197"/>
      <c r="L84" s="197"/>
      <c r="M84" s="189"/>
      <c r="N84" s="178"/>
      <c r="O84" s="178"/>
      <c r="P84" s="178"/>
      <c r="Q84" s="178"/>
      <c r="R84" s="178"/>
      <c r="S84" s="188"/>
    </row>
    <row r="85" spans="1:19" s="105" customFormat="1" ht="15.75" customHeight="1">
      <c r="A85" s="509" t="s">
        <v>171</v>
      </c>
      <c r="B85" s="510"/>
      <c r="C85" s="159" t="s">
        <v>47</v>
      </c>
      <c r="D85" s="509" t="s">
        <v>12</v>
      </c>
      <c r="E85" s="511"/>
      <c r="F85" s="510"/>
      <c r="G85" s="159" t="s">
        <v>46</v>
      </c>
      <c r="H85" s="159" t="s">
        <v>352</v>
      </c>
      <c r="I85" s="159" t="s">
        <v>353</v>
      </c>
      <c r="J85" s="159" t="s">
        <v>311</v>
      </c>
      <c r="K85" s="509" t="s">
        <v>51</v>
      </c>
      <c r="L85" s="510"/>
      <c r="M85" s="192"/>
      <c r="N85" s="178"/>
      <c r="O85" s="495"/>
      <c r="P85" s="495"/>
      <c r="Q85" s="495"/>
      <c r="R85" s="178"/>
      <c r="S85" s="177"/>
    </row>
    <row r="86" spans="1:19" ht="15.75" customHeight="1">
      <c r="A86" s="503">
        <f>J83</f>
        <v>9</v>
      </c>
      <c r="B86" s="506" t="str">
        <f>J84</f>
        <v>微波小吃</v>
      </c>
      <c r="C86" s="199">
        <v>1</v>
      </c>
      <c r="D86" s="630"/>
      <c r="E86" s="631"/>
      <c r="F86" s="632"/>
      <c r="G86" s="199"/>
      <c r="H86" s="201"/>
      <c r="I86" s="202"/>
      <c r="J86" s="351">
        <f>I86-I60</f>
        <v>-164.39345413568361</v>
      </c>
      <c r="K86" s="497"/>
      <c r="L86" s="499"/>
      <c r="N86" s="178"/>
      <c r="O86" s="178"/>
      <c r="P86" s="496"/>
      <c r="Q86" s="496"/>
      <c r="R86" s="178"/>
      <c r="S86" s="188"/>
    </row>
    <row r="87" spans="1:19" ht="15.75" customHeight="1">
      <c r="A87" s="504"/>
      <c r="B87" s="507"/>
      <c r="C87" s="199">
        <v>2</v>
      </c>
      <c r="D87" s="630"/>
      <c r="E87" s="631"/>
      <c r="F87" s="632"/>
      <c r="G87" s="199"/>
      <c r="H87" s="201"/>
      <c r="I87" s="202"/>
      <c r="J87" s="351">
        <f>I87-I61</f>
        <v>-95.016514346561351</v>
      </c>
      <c r="K87" s="497"/>
      <c r="L87" s="499"/>
      <c r="N87" s="178"/>
      <c r="O87" s="178"/>
      <c r="P87" s="496"/>
      <c r="Q87" s="496"/>
      <c r="R87" s="178"/>
      <c r="S87" s="188"/>
    </row>
    <row r="88" spans="1:19" ht="15.75" customHeight="1">
      <c r="A88" s="504"/>
      <c r="B88" s="507"/>
      <c r="C88" s="199">
        <v>3</v>
      </c>
      <c r="D88" s="630"/>
      <c r="E88" s="631"/>
      <c r="F88" s="632"/>
      <c r="G88" s="199"/>
      <c r="H88" s="201"/>
      <c r="I88" s="202"/>
      <c r="J88" s="351">
        <f>I88-I62</f>
        <v>-83.278802387230101</v>
      </c>
      <c r="K88" s="497"/>
      <c r="L88" s="499"/>
      <c r="N88" s="178"/>
      <c r="O88" s="178"/>
      <c r="P88" s="496"/>
      <c r="Q88" s="496"/>
      <c r="R88" s="178"/>
      <c r="S88" s="188"/>
    </row>
    <row r="89" spans="1:19" ht="15.75" customHeight="1">
      <c r="A89" s="504"/>
      <c r="B89" s="507"/>
      <c r="C89" s="199">
        <v>4</v>
      </c>
      <c r="D89" s="630"/>
      <c r="E89" s="631"/>
      <c r="F89" s="632"/>
      <c r="G89" s="201"/>
      <c r="H89" s="201"/>
      <c r="I89" s="202"/>
      <c r="J89" s="351">
        <f>I89-I63</f>
        <v>0</v>
      </c>
      <c r="K89" s="497"/>
      <c r="L89" s="499"/>
      <c r="N89" s="178"/>
      <c r="O89" s="178"/>
      <c r="P89" s="496"/>
      <c r="Q89" s="496"/>
      <c r="R89" s="178"/>
      <c r="S89" s="188"/>
    </row>
    <row r="90" spans="1:19" ht="15.75" customHeight="1">
      <c r="A90" s="504"/>
      <c r="B90" s="507"/>
      <c r="C90" s="199">
        <v>5</v>
      </c>
      <c r="D90" s="630"/>
      <c r="E90" s="631"/>
      <c r="F90" s="632"/>
      <c r="G90" s="199"/>
      <c r="H90" s="201"/>
      <c r="I90" s="202"/>
      <c r="J90" s="351">
        <f>I90-I64</f>
        <v>0</v>
      </c>
      <c r="K90" s="497"/>
      <c r="L90" s="499"/>
      <c r="N90" s="178"/>
      <c r="O90" s="178"/>
      <c r="P90" s="496"/>
      <c r="Q90" s="496"/>
      <c r="R90" s="178"/>
      <c r="S90" s="188"/>
    </row>
    <row r="91" spans="1:19" ht="15.75" customHeight="1">
      <c r="A91" s="504"/>
      <c r="B91" s="507"/>
      <c r="C91" s="203" t="s">
        <v>187</v>
      </c>
      <c r="D91" s="630"/>
      <c r="E91" s="631"/>
      <c r="F91" s="632"/>
      <c r="G91" s="199"/>
      <c r="H91" s="201"/>
      <c r="I91" s="202"/>
      <c r="J91" s="199"/>
      <c r="K91" s="497"/>
      <c r="L91" s="499"/>
      <c r="N91" s="178"/>
      <c r="O91" s="178"/>
      <c r="P91" s="496"/>
      <c r="Q91" s="496"/>
      <c r="R91" s="178"/>
      <c r="S91" s="188"/>
    </row>
    <row r="92" spans="1:19" ht="15.75" customHeight="1">
      <c r="A92" s="504"/>
      <c r="B92" s="507"/>
      <c r="C92" s="203" t="s">
        <v>192</v>
      </c>
      <c r="D92" s="497"/>
      <c r="E92" s="498"/>
      <c r="F92" s="499"/>
      <c r="G92" s="199"/>
      <c r="H92" s="201"/>
      <c r="I92" s="202"/>
      <c r="J92" s="199"/>
      <c r="K92" s="497"/>
      <c r="L92" s="499"/>
      <c r="N92" s="178"/>
      <c r="O92" s="178"/>
      <c r="P92" s="496"/>
      <c r="Q92" s="496"/>
      <c r="R92" s="178"/>
      <c r="S92" s="188"/>
    </row>
    <row r="93" spans="1:19" ht="15.75" customHeight="1">
      <c r="A93" s="504"/>
      <c r="B93" s="507"/>
      <c r="C93" s="203" t="s">
        <v>188</v>
      </c>
      <c r="D93" s="497"/>
      <c r="E93" s="498"/>
      <c r="F93" s="499"/>
      <c r="G93" s="199"/>
      <c r="H93" s="201"/>
      <c r="I93" s="202"/>
      <c r="J93" s="199"/>
      <c r="K93" s="497"/>
      <c r="L93" s="499"/>
      <c r="N93" s="178"/>
      <c r="O93" s="178"/>
      <c r="P93" s="496"/>
      <c r="Q93" s="496"/>
      <c r="R93" s="178"/>
      <c r="S93" s="188"/>
    </row>
    <row r="94" spans="1:19" ht="15.75" customHeight="1">
      <c r="A94" s="504"/>
      <c r="B94" s="507"/>
      <c r="C94" s="203" t="s">
        <v>193</v>
      </c>
      <c r="D94" s="497"/>
      <c r="E94" s="498"/>
      <c r="F94" s="499"/>
      <c r="G94" s="199"/>
      <c r="H94" s="201"/>
      <c r="I94" s="202"/>
      <c r="J94" s="199"/>
      <c r="K94" s="497"/>
      <c r="L94" s="499"/>
      <c r="M94" s="98"/>
      <c r="N94" s="178"/>
      <c r="O94" s="178"/>
      <c r="P94" s="496"/>
      <c r="Q94" s="496"/>
      <c r="R94" s="178"/>
      <c r="S94" s="188"/>
    </row>
    <row r="95" spans="1:19" ht="15.75" customHeight="1">
      <c r="A95" s="505"/>
      <c r="B95" s="508"/>
      <c r="C95" s="203" t="s">
        <v>194</v>
      </c>
      <c r="D95" s="497"/>
      <c r="E95" s="498"/>
      <c r="F95" s="499"/>
      <c r="G95" s="199"/>
      <c r="H95" s="201"/>
      <c r="I95" s="202"/>
      <c r="J95" s="199"/>
      <c r="K95" s="497"/>
      <c r="L95" s="499"/>
      <c r="M95" s="98"/>
      <c r="N95" s="178"/>
      <c r="O95" s="178"/>
      <c r="P95" s="496"/>
      <c r="Q95" s="496"/>
      <c r="R95" s="178"/>
      <c r="S95" s="188"/>
    </row>
    <row r="96" spans="1:19" s="103" customFormat="1" ht="15.75" customHeight="1">
      <c r="A96" s="500" t="s">
        <v>171</v>
      </c>
      <c r="B96" s="501"/>
      <c r="C96" s="206" t="s">
        <v>47</v>
      </c>
      <c r="D96" s="500" t="s">
        <v>12</v>
      </c>
      <c r="E96" s="502"/>
      <c r="F96" s="501"/>
      <c r="G96" s="206" t="s">
        <v>46</v>
      </c>
      <c r="H96" s="206" t="s">
        <v>352</v>
      </c>
      <c r="I96" s="206" t="s">
        <v>353</v>
      </c>
      <c r="J96" s="159" t="s">
        <v>311</v>
      </c>
      <c r="K96" s="500" t="s">
        <v>51</v>
      </c>
      <c r="L96" s="501"/>
      <c r="M96" s="127"/>
      <c r="N96" s="178"/>
      <c r="O96" s="178"/>
      <c r="P96" s="496"/>
      <c r="Q96" s="496"/>
      <c r="R96" s="178"/>
      <c r="S96" s="198"/>
    </row>
    <row r="97" spans="1:19" ht="15.75" customHeight="1">
      <c r="A97" s="503"/>
      <c r="B97" s="506"/>
      <c r="C97" s="199">
        <v>1</v>
      </c>
      <c r="D97" s="497"/>
      <c r="E97" s="498"/>
      <c r="F97" s="499"/>
      <c r="G97" s="199"/>
      <c r="H97" s="201"/>
      <c r="I97" s="202"/>
      <c r="J97" s="199"/>
      <c r="K97" s="497"/>
      <c r="L97" s="499"/>
      <c r="M97" s="98"/>
      <c r="N97" s="178"/>
      <c r="O97" s="178"/>
      <c r="P97" s="496"/>
      <c r="Q97" s="496"/>
      <c r="R97" s="178"/>
      <c r="S97" s="188"/>
    </row>
    <row r="98" spans="1:19" ht="15.75" customHeight="1">
      <c r="A98" s="504"/>
      <c r="B98" s="507"/>
      <c r="C98" s="199">
        <v>2</v>
      </c>
      <c r="D98" s="497"/>
      <c r="E98" s="498"/>
      <c r="F98" s="499"/>
      <c r="G98" s="199"/>
      <c r="H98" s="201"/>
      <c r="I98" s="202"/>
      <c r="J98" s="199"/>
      <c r="K98" s="497"/>
      <c r="L98" s="499"/>
      <c r="M98" s="98"/>
      <c r="N98" s="178"/>
      <c r="O98" s="178"/>
      <c r="P98" s="496"/>
      <c r="Q98" s="496"/>
      <c r="R98" s="178"/>
      <c r="S98" s="188"/>
    </row>
    <row r="99" spans="1:19" ht="15.75" customHeight="1">
      <c r="A99" s="504"/>
      <c r="B99" s="507"/>
      <c r="C99" s="199">
        <v>3</v>
      </c>
      <c r="D99" s="497"/>
      <c r="E99" s="498"/>
      <c r="F99" s="499"/>
      <c r="G99" s="199"/>
      <c r="H99" s="201"/>
      <c r="I99" s="202"/>
      <c r="J99" s="199"/>
      <c r="K99" s="497"/>
      <c r="L99" s="499"/>
      <c r="M99" s="98"/>
      <c r="N99" s="178"/>
      <c r="O99" s="178"/>
      <c r="P99" s="496"/>
      <c r="Q99" s="496"/>
      <c r="R99" s="178"/>
      <c r="S99" s="188"/>
    </row>
    <row r="100" spans="1:19" ht="15.75" customHeight="1">
      <c r="A100" s="504"/>
      <c r="B100" s="507"/>
      <c r="C100" s="199">
        <v>4</v>
      </c>
      <c r="D100" s="497"/>
      <c r="E100" s="498"/>
      <c r="F100" s="499"/>
      <c r="G100" s="199"/>
      <c r="H100" s="201"/>
      <c r="I100" s="202"/>
      <c r="J100" s="199"/>
      <c r="K100" s="497"/>
      <c r="L100" s="499"/>
      <c r="M100" s="98"/>
      <c r="N100" s="178"/>
      <c r="O100" s="178"/>
      <c r="P100" s="496"/>
      <c r="Q100" s="496"/>
      <c r="R100" s="178"/>
      <c r="S100" s="188"/>
    </row>
    <row r="101" spans="1:19" ht="15.75" customHeight="1">
      <c r="A101" s="504"/>
      <c r="B101" s="507"/>
      <c r="C101" s="199">
        <v>5</v>
      </c>
      <c r="D101" s="497"/>
      <c r="E101" s="498"/>
      <c r="F101" s="499"/>
      <c r="G101" s="199"/>
      <c r="H101" s="201"/>
      <c r="I101" s="202"/>
      <c r="J101" s="199"/>
      <c r="K101" s="497"/>
      <c r="L101" s="499"/>
      <c r="M101" s="98"/>
      <c r="N101" s="178"/>
      <c r="O101" s="178"/>
      <c r="P101" s="496"/>
      <c r="Q101" s="496"/>
      <c r="R101" s="178"/>
      <c r="S101" s="188"/>
    </row>
    <row r="102" spans="1:19" ht="15.75" customHeight="1">
      <c r="A102" s="504"/>
      <c r="B102" s="507"/>
      <c r="C102" s="203" t="s">
        <v>187</v>
      </c>
      <c r="D102" s="497"/>
      <c r="E102" s="498"/>
      <c r="F102" s="499"/>
      <c r="G102" s="199"/>
      <c r="H102" s="201"/>
      <c r="I102" s="202"/>
      <c r="J102" s="199"/>
      <c r="K102" s="497"/>
      <c r="L102" s="499"/>
      <c r="M102" s="98"/>
      <c r="N102" s="178"/>
      <c r="O102" s="178"/>
      <c r="P102" s="496"/>
      <c r="Q102" s="496"/>
      <c r="R102" s="178"/>
      <c r="S102" s="188"/>
    </row>
    <row r="103" spans="1:19" ht="15.75" customHeight="1">
      <c r="A103" s="504"/>
      <c r="B103" s="507"/>
      <c r="C103" s="203" t="s">
        <v>192</v>
      </c>
      <c r="D103" s="497"/>
      <c r="E103" s="498"/>
      <c r="F103" s="499"/>
      <c r="G103" s="199"/>
      <c r="H103" s="201"/>
      <c r="I103" s="202"/>
      <c r="J103" s="199"/>
      <c r="K103" s="497"/>
      <c r="L103" s="499"/>
      <c r="M103" s="98"/>
      <c r="N103" s="178"/>
      <c r="O103" s="178"/>
      <c r="P103" s="496"/>
      <c r="Q103" s="496"/>
      <c r="R103" s="178"/>
      <c r="S103" s="188"/>
    </row>
    <row r="104" spans="1:19" ht="15.75" customHeight="1">
      <c r="A104" s="504"/>
      <c r="B104" s="507"/>
      <c r="C104" s="203" t="s">
        <v>188</v>
      </c>
      <c r="D104" s="497"/>
      <c r="E104" s="498"/>
      <c r="F104" s="499"/>
      <c r="G104" s="199"/>
      <c r="H104" s="201"/>
      <c r="I104" s="202"/>
      <c r="J104" s="199"/>
      <c r="K104" s="497"/>
      <c r="L104" s="499"/>
      <c r="M104" s="98"/>
      <c r="N104" s="178"/>
      <c r="O104" s="178"/>
      <c r="P104" s="496"/>
      <c r="Q104" s="496"/>
      <c r="R104" s="178"/>
      <c r="S104" s="188"/>
    </row>
    <row r="105" spans="1:19" ht="15.75" customHeight="1">
      <c r="A105" s="504"/>
      <c r="B105" s="507"/>
      <c r="C105" s="203" t="s">
        <v>193</v>
      </c>
      <c r="D105" s="497"/>
      <c r="E105" s="498"/>
      <c r="F105" s="499"/>
      <c r="G105" s="199"/>
      <c r="H105" s="201"/>
      <c r="I105" s="202"/>
      <c r="J105" s="199"/>
      <c r="K105" s="497"/>
      <c r="L105" s="499"/>
      <c r="M105" s="98"/>
      <c r="N105" s="178"/>
      <c r="O105" s="178"/>
      <c r="P105" s="496"/>
      <c r="Q105" s="496"/>
      <c r="R105" s="178"/>
      <c r="S105" s="188"/>
    </row>
    <row r="106" spans="1:19" ht="15.75" customHeight="1">
      <c r="A106" s="505"/>
      <c r="B106" s="508"/>
      <c r="C106" s="203" t="s">
        <v>194</v>
      </c>
      <c r="D106" s="497"/>
      <c r="E106" s="498"/>
      <c r="F106" s="499"/>
      <c r="G106" s="199"/>
      <c r="H106" s="201"/>
      <c r="I106" s="202"/>
      <c r="J106" s="199"/>
      <c r="K106" s="497"/>
      <c r="L106" s="499"/>
      <c r="M106" s="98"/>
      <c r="N106" s="178"/>
      <c r="O106" s="178"/>
      <c r="P106" s="496"/>
      <c r="Q106" s="496"/>
      <c r="R106" s="178"/>
      <c r="S106" s="188"/>
    </row>
  </sheetData>
  <mergeCells count="39">
    <mergeCell ref="D90:F90"/>
    <mergeCell ref="D91:F91"/>
    <mergeCell ref="A81:L82"/>
    <mergeCell ref="D86:F86"/>
    <mergeCell ref="D87:F87"/>
    <mergeCell ref="D88:F88"/>
    <mergeCell ref="D89:F89"/>
    <mergeCell ref="D63:F63"/>
    <mergeCell ref="D64:F64"/>
    <mergeCell ref="A29:L30"/>
    <mergeCell ref="D34:F34"/>
    <mergeCell ref="D35:F35"/>
    <mergeCell ref="D36:F36"/>
    <mergeCell ref="D37:F37"/>
    <mergeCell ref="D38:F38"/>
    <mergeCell ref="D39:F39"/>
    <mergeCell ref="D60:F60"/>
    <mergeCell ref="D61:F61"/>
    <mergeCell ref="K34:L34"/>
    <mergeCell ref="K35:L35"/>
    <mergeCell ref="K36:L36"/>
    <mergeCell ref="K37:L37"/>
    <mergeCell ref="K38:L38"/>
    <mergeCell ref="D65:F65"/>
    <mergeCell ref="A55:L56"/>
    <mergeCell ref="A1:L2"/>
    <mergeCell ref="D12:F12"/>
    <mergeCell ref="D13:F13"/>
    <mergeCell ref="K8:L8"/>
    <mergeCell ref="K9:L9"/>
    <mergeCell ref="K10:L10"/>
    <mergeCell ref="K11:L11"/>
    <mergeCell ref="K12:L12"/>
    <mergeCell ref="A3:L4"/>
    <mergeCell ref="D8:F8"/>
    <mergeCell ref="D9:F9"/>
    <mergeCell ref="D10:F10"/>
    <mergeCell ref="D11:F11"/>
    <mergeCell ref="D62:F62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2" manualBreakCount="2">
    <brk id="28" max="11" man="1"/>
    <brk id="54" max="11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2">
    <tabColor rgb="FFFF0000"/>
    <outlinePr summaryBelow="0" summaryRight="0"/>
  </sheetPr>
  <dimension ref="A1:M15"/>
  <sheetViews>
    <sheetView view="pageBreakPreview" zoomScale="115" zoomScaleNormal="60" zoomScaleSheetLayoutView="115" workbookViewId="0">
      <selection activeCell="B5" sqref="B5:C5"/>
    </sheetView>
  </sheetViews>
  <sheetFormatPr defaultColWidth="12.5703125" defaultRowHeight="15.75" customHeight="1"/>
  <cols>
    <col min="1" max="1" width="18" style="135" bestFit="1" customWidth="1"/>
    <col min="2" max="2" width="14.85546875" style="135" customWidth="1"/>
    <col min="3" max="3" width="12.85546875" style="135" customWidth="1"/>
    <col min="4" max="4" width="2.5703125" style="135" customWidth="1"/>
    <col min="5" max="5" width="7.5703125" style="135" customWidth="1"/>
    <col min="6" max="6" width="12.85546875" style="135" customWidth="1"/>
    <col min="7" max="7" width="9.42578125" style="135" customWidth="1"/>
    <col min="8" max="8" width="12.85546875" style="135" customWidth="1"/>
    <col min="9" max="9" width="9.42578125" style="135" customWidth="1"/>
    <col min="10" max="10" width="12.85546875" style="135" customWidth="1"/>
    <col min="11" max="11" width="9.42578125" style="135" customWidth="1"/>
    <col min="12" max="12" width="12.85546875" style="135" customWidth="1"/>
    <col min="13" max="13" width="9.42578125" style="135" customWidth="1"/>
    <col min="14" max="16384" width="12.5703125" style="135"/>
  </cols>
  <sheetData>
    <row r="1" spans="1:13" ht="15.75" customHeight="1">
      <c r="A1" s="647" t="s">
        <v>339</v>
      </c>
      <c r="B1" s="647"/>
      <c r="C1" s="647"/>
      <c r="D1" s="647"/>
      <c r="E1" s="647"/>
      <c r="F1" s="647"/>
      <c r="G1" s="647"/>
      <c r="H1" s="647"/>
      <c r="I1" s="647"/>
      <c r="J1" s="647"/>
      <c r="K1" s="647"/>
      <c r="L1" s="647"/>
      <c r="M1" s="647"/>
    </row>
    <row r="2" spans="1:13" s="136" customFormat="1" ht="15.75" customHeight="1">
      <c r="A2" s="647"/>
      <c r="B2" s="647"/>
      <c r="C2" s="647"/>
      <c r="D2" s="647"/>
      <c r="E2" s="647"/>
      <c r="F2" s="647"/>
      <c r="G2" s="647"/>
      <c r="H2" s="647"/>
      <c r="I2" s="647"/>
      <c r="J2" s="647"/>
      <c r="K2" s="647"/>
      <c r="L2" s="647"/>
      <c r="M2" s="647"/>
    </row>
    <row r="3" spans="1:13" ht="15.75" customHeight="1">
      <c r="A3" s="648" t="s">
        <v>221</v>
      </c>
      <c r="B3" s="648"/>
      <c r="C3" s="648"/>
      <c r="D3" s="648"/>
      <c r="E3" s="648"/>
      <c r="F3" s="648"/>
      <c r="G3" s="648"/>
      <c r="H3" s="648"/>
      <c r="I3" s="648"/>
      <c r="J3" s="648"/>
      <c r="K3" s="648"/>
      <c r="L3" s="648"/>
      <c r="M3" s="648"/>
    </row>
    <row r="4" spans="1:13" s="136" customFormat="1" ht="15.75" customHeight="1">
      <c r="A4" s="648"/>
      <c r="B4" s="648"/>
      <c r="C4" s="648"/>
      <c r="D4" s="648"/>
      <c r="E4" s="648"/>
      <c r="F4" s="648"/>
      <c r="G4" s="648"/>
      <c r="H4" s="648"/>
      <c r="I4" s="648"/>
      <c r="J4" s="648"/>
      <c r="K4" s="648"/>
      <c r="L4" s="648"/>
      <c r="M4" s="648"/>
    </row>
    <row r="5" spans="1:13" ht="15.75" customHeight="1">
      <c r="A5" s="225" t="s">
        <v>399</v>
      </c>
      <c r="B5" s="137" t="e">
        <f>'生產管理報表(月)'!B6</f>
        <v>#REF!</v>
      </c>
    </row>
    <row r="6" spans="1:13" ht="15.75" customHeight="1">
      <c r="A6" s="649" t="s">
        <v>222</v>
      </c>
      <c r="B6" s="650" t="s">
        <v>10</v>
      </c>
      <c r="C6" s="650"/>
      <c r="D6" s="651"/>
      <c r="E6" s="649" t="s">
        <v>180</v>
      </c>
      <c r="F6" s="653">
        <v>1</v>
      </c>
      <c r="G6" s="653"/>
      <c r="H6" s="653">
        <v>2</v>
      </c>
      <c r="I6" s="653"/>
      <c r="J6" s="653">
        <v>3</v>
      </c>
      <c r="K6" s="653"/>
      <c r="L6" s="653">
        <v>4</v>
      </c>
      <c r="M6" s="653"/>
    </row>
    <row r="7" spans="1:13" ht="31.35" customHeight="1">
      <c r="A7" s="649"/>
      <c r="B7" s="650"/>
      <c r="C7" s="650"/>
      <c r="D7" s="652"/>
      <c r="E7" s="649"/>
      <c r="F7" s="655" t="s">
        <v>427</v>
      </c>
      <c r="G7" s="655"/>
      <c r="H7" s="655" t="s">
        <v>223</v>
      </c>
      <c r="I7" s="655"/>
      <c r="J7" s="655" t="s">
        <v>166</v>
      </c>
      <c r="K7" s="655"/>
      <c r="L7" s="655" t="s">
        <v>407</v>
      </c>
      <c r="M7" s="655"/>
    </row>
    <row r="8" spans="1:13" ht="15.75" customHeight="1">
      <c r="A8" s="649"/>
      <c r="B8" s="154" t="s">
        <v>11</v>
      </c>
      <c r="C8" s="154" t="s">
        <v>224</v>
      </c>
      <c r="D8" s="652"/>
      <c r="E8" s="649"/>
      <c r="F8" s="154" t="s">
        <v>11</v>
      </c>
      <c r="G8" s="154" t="s">
        <v>41</v>
      </c>
      <c r="H8" s="154" t="s">
        <v>11</v>
      </c>
      <c r="I8" s="154" t="s">
        <v>41</v>
      </c>
      <c r="J8" s="154" t="s">
        <v>11</v>
      </c>
      <c r="K8" s="154" t="s">
        <v>41</v>
      </c>
      <c r="L8" s="154" t="s">
        <v>11</v>
      </c>
      <c r="M8" s="154" t="s">
        <v>41</v>
      </c>
    </row>
    <row r="9" spans="1:13" ht="19.350000000000001" customHeight="1">
      <c r="A9" s="138" t="s">
        <v>225</v>
      </c>
      <c r="B9" s="139">
        <f>日別報廢率總表!B2</f>
        <v>198560.50470000002</v>
      </c>
      <c r="C9" s="140" t="e">
        <f>B9/($B$5*1000)</f>
        <v>#REF!</v>
      </c>
      <c r="D9" s="652"/>
      <c r="E9" s="138" t="s">
        <v>225</v>
      </c>
      <c r="F9" s="141">
        <f>'報廢20大－原因別分析'!AG111</f>
        <v>23576.6005</v>
      </c>
      <c r="G9" s="356">
        <f>'報廢20大－原因別分析'!AG112</f>
        <v>0.46</v>
      </c>
      <c r="H9" s="141">
        <f>'報廢20大－原因別分析'!AH111</f>
        <v>0</v>
      </c>
      <c r="I9" s="356">
        <f>'報廢20大－原因別分析'!AH112</f>
        <v>0</v>
      </c>
      <c r="J9" s="141">
        <f>'報廢20大－原因別分析'!AI111</f>
        <v>23225.286599999999</v>
      </c>
      <c r="K9" s="356">
        <f>'報廢20大－原因別分析'!AI112</f>
        <v>0.27</v>
      </c>
      <c r="L9" s="141">
        <f>'報廢20大－原因別分析'!AJ111</f>
        <v>0</v>
      </c>
      <c r="M9" s="356">
        <f>'報廢20大－原因別分析'!AJ112</f>
        <v>0</v>
      </c>
    </row>
    <row r="10" spans="1:13" ht="19.350000000000001" customHeight="1">
      <c r="A10" s="143" t="s">
        <v>226</v>
      </c>
      <c r="B10" s="144">
        <f>日別報廢率總表!E3</f>
        <v>595418.50159999984</v>
      </c>
      <c r="C10" s="140" t="e">
        <f>B10/($B$5*1000)</f>
        <v>#REF!</v>
      </c>
      <c r="D10" s="652"/>
      <c r="E10" s="143" t="s">
        <v>226</v>
      </c>
      <c r="F10" s="141">
        <f>'超用20大－原因別分析'!AG111</f>
        <v>0</v>
      </c>
      <c r="G10" s="356">
        <f>'超用20大－原因別分析'!AG112</f>
        <v>0</v>
      </c>
      <c r="H10" s="141">
        <f>'超用20大－原因別分析'!AH111</f>
        <v>0</v>
      </c>
      <c r="I10" s="356">
        <f>'超用20大－原因別分析'!AH112</f>
        <v>0</v>
      </c>
      <c r="J10" s="141">
        <f>'報廢20大－原因別分析'!AI111</f>
        <v>23225.286599999999</v>
      </c>
      <c r="K10" s="356">
        <f>'超用20大－原因別分析'!AI112</f>
        <v>0</v>
      </c>
      <c r="L10" s="141">
        <f>'超用20大－原因別分析'!AJ111</f>
        <v>189974.60510000002</v>
      </c>
      <c r="M10" s="356">
        <f>'超用20大－原因別分析'!AJ112</f>
        <v>0.75</v>
      </c>
    </row>
    <row r="11" spans="1:13" ht="15.75" customHeight="1">
      <c r="D11" s="652"/>
      <c r="E11" s="649" t="s">
        <v>180</v>
      </c>
      <c r="F11" s="653">
        <v>5</v>
      </c>
      <c r="G11" s="653"/>
      <c r="H11" s="653">
        <v>6</v>
      </c>
      <c r="I11" s="653"/>
      <c r="J11" s="653">
        <v>7</v>
      </c>
      <c r="K11" s="653"/>
      <c r="L11" s="654">
        <v>8</v>
      </c>
      <c r="M11" s="654"/>
    </row>
    <row r="12" spans="1:13" ht="31.35" customHeight="1">
      <c r="D12" s="652"/>
      <c r="E12" s="649"/>
      <c r="F12" s="655" t="s">
        <v>172</v>
      </c>
      <c r="G12" s="655"/>
      <c r="H12" s="655" t="s">
        <v>167</v>
      </c>
      <c r="I12" s="655"/>
      <c r="J12" s="655" t="s">
        <v>173</v>
      </c>
      <c r="K12" s="655"/>
      <c r="L12" s="656"/>
      <c r="M12" s="656"/>
    </row>
    <row r="13" spans="1:13" ht="15.75" customHeight="1">
      <c r="D13" s="652"/>
      <c r="E13" s="649"/>
      <c r="F13" s="154" t="s">
        <v>11</v>
      </c>
      <c r="G13" s="154" t="s">
        <v>41</v>
      </c>
      <c r="H13" s="154" t="s">
        <v>11</v>
      </c>
      <c r="I13" s="154" t="s">
        <v>41</v>
      </c>
      <c r="J13" s="154" t="s">
        <v>11</v>
      </c>
      <c r="K13" s="154" t="s">
        <v>41</v>
      </c>
      <c r="L13" s="154"/>
      <c r="M13" s="154"/>
    </row>
    <row r="14" spans="1:13" ht="19.350000000000001" customHeight="1">
      <c r="D14" s="652"/>
      <c r="E14" s="138" t="s">
        <v>225</v>
      </c>
      <c r="F14" s="141">
        <f>'報廢20大－原因別分析'!AK111</f>
        <v>4007.1474000000007</v>
      </c>
      <c r="G14" s="356">
        <f>'報廢20大－原因別分析'!AK112</f>
        <v>0.05</v>
      </c>
      <c r="H14" s="141">
        <f>'報廢20大－原因別分析'!AL111</f>
        <v>14568.186600000001</v>
      </c>
      <c r="I14" s="356">
        <f>'報廢20大－原因別分析'!AL112</f>
        <v>0.22</v>
      </c>
      <c r="J14" s="141">
        <f>'報廢20大－原因別分析'!AM111</f>
        <v>0</v>
      </c>
      <c r="K14" s="356">
        <f>'報廢20大－原因別分析'!AM112</f>
        <v>0</v>
      </c>
      <c r="L14" s="141"/>
      <c r="M14" s="142"/>
    </row>
    <row r="15" spans="1:13" ht="19.350000000000001" customHeight="1">
      <c r="D15" s="652"/>
      <c r="E15" s="143" t="s">
        <v>226</v>
      </c>
      <c r="F15" s="141">
        <f>'超用20大－原因別分析'!AK111</f>
        <v>26006.65200000002</v>
      </c>
      <c r="G15" s="356">
        <f>'超用20大－原因別分析'!AK112</f>
        <v>0.05</v>
      </c>
      <c r="H15" s="141">
        <f>'超用20大－原因別分析'!AL111</f>
        <v>36825.95830000002</v>
      </c>
      <c r="I15" s="356">
        <f>'超用20大－原因別分析'!AL112</f>
        <v>0.2</v>
      </c>
      <c r="J15" s="141">
        <f>'超用20大－原因別分析'!AM111</f>
        <v>0</v>
      </c>
      <c r="K15" s="356">
        <f>'超用20大－原因別分析'!AM112</f>
        <v>0</v>
      </c>
      <c r="L15" s="141"/>
      <c r="M15" s="142"/>
    </row>
  </sheetData>
  <mergeCells count="23">
    <mergeCell ref="H12:I12"/>
    <mergeCell ref="J12:K12"/>
    <mergeCell ref="L12:M12"/>
    <mergeCell ref="F7:G7"/>
    <mergeCell ref="H7:I7"/>
    <mergeCell ref="J7:K7"/>
    <mergeCell ref="L7:M7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98" fitToWidth="0" fitToHeight="0" pageOrder="overThenDown" orientation="landscape" cellComments="atEnd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3">
    <tabColor rgb="FFFF0000"/>
    <outlinePr summaryBelow="0" summaryRight="0"/>
  </sheetPr>
  <dimension ref="A1:BV30"/>
  <sheetViews>
    <sheetView view="pageBreakPreview" topLeftCell="A22" zoomScaleNormal="60" zoomScaleSheetLayoutView="100" workbookViewId="0">
      <selection activeCell="B5" sqref="B5:C5"/>
    </sheetView>
  </sheetViews>
  <sheetFormatPr defaultColWidth="12.5703125" defaultRowHeight="15.75" customHeight="1"/>
  <cols>
    <col min="1" max="1" width="5.42578125" style="135" customWidth="1"/>
    <col min="2" max="2" width="11.42578125" style="232" customWidth="1"/>
    <col min="3" max="3" width="4" style="233" customWidth="1"/>
    <col min="4" max="15" width="9.5703125" style="135" customWidth="1"/>
    <col min="16" max="16" width="55.42578125" style="135" customWidth="1"/>
    <col min="17" max="20" width="12.5703125" style="231"/>
    <col min="21" max="21" width="24.42578125" style="135" bestFit="1" customWidth="1"/>
    <col min="22" max="22" width="19.42578125" style="135" bestFit="1" customWidth="1"/>
    <col min="23" max="23" width="23" style="135" bestFit="1" customWidth="1"/>
    <col min="24" max="24" width="11.7109375" style="135" bestFit="1" customWidth="1"/>
    <col min="25" max="25" width="15.85546875" style="135" bestFit="1" customWidth="1"/>
    <col min="26" max="26" width="23.5703125" style="135" bestFit="1" customWidth="1"/>
    <col min="27" max="27" width="23" style="135" bestFit="1" customWidth="1"/>
    <col min="28" max="28" width="11.7109375" style="135" bestFit="1" customWidth="1"/>
    <col min="29" max="29" width="20.5703125" style="135" bestFit="1" customWidth="1"/>
    <col min="30" max="30" width="15" style="135" bestFit="1" customWidth="1"/>
    <col min="31" max="31" width="23" style="135" bestFit="1" customWidth="1"/>
    <col min="32" max="32" width="11.7109375" style="135" bestFit="1" customWidth="1"/>
    <col min="33" max="33" width="15.85546875" style="135" bestFit="1" customWidth="1"/>
    <col min="34" max="34" width="15" style="135" bestFit="1" customWidth="1"/>
    <col min="35" max="35" width="23" style="135" bestFit="1" customWidth="1"/>
    <col min="36" max="36" width="15" style="135" bestFit="1" customWidth="1"/>
    <col min="37" max="37" width="23" style="135" bestFit="1" customWidth="1"/>
    <col min="38" max="38" width="11.7109375" style="135" bestFit="1" customWidth="1"/>
    <col min="39" max="39" width="13.85546875" style="135" bestFit="1" customWidth="1"/>
    <col min="40" max="40" width="27.85546875" style="135" bestFit="1" customWidth="1"/>
    <col min="41" max="41" width="23" style="135" bestFit="1" customWidth="1"/>
    <col min="42" max="42" width="8" style="135" bestFit="1" customWidth="1"/>
    <col min="43" max="43" width="30.7109375" style="135" bestFit="1" customWidth="1"/>
    <col min="44" max="44" width="25.7109375" style="135" bestFit="1" customWidth="1"/>
    <col min="45" max="45" width="23" style="135" bestFit="1" customWidth="1"/>
    <col min="46" max="46" width="15" style="135" bestFit="1" customWidth="1"/>
    <col min="47" max="47" width="23" style="135" bestFit="1" customWidth="1"/>
    <col min="48" max="48" width="11.7109375" style="135" bestFit="1" customWidth="1"/>
    <col min="49" max="49" width="20.140625" style="135" bestFit="1" customWidth="1"/>
    <col min="50" max="50" width="23.5703125" style="135" bestFit="1" customWidth="1"/>
    <col min="51" max="51" width="23" style="135" bestFit="1" customWidth="1"/>
    <col min="52" max="52" width="11.7109375" style="135" bestFit="1" customWidth="1"/>
    <col min="53" max="53" width="21.42578125" style="135" bestFit="1" customWidth="1"/>
    <col min="54" max="54" width="15" style="135" bestFit="1" customWidth="1"/>
    <col min="55" max="55" width="23" style="135" bestFit="1" customWidth="1"/>
    <col min="56" max="56" width="11.7109375" style="135" bestFit="1" customWidth="1"/>
    <col min="57" max="57" width="13.85546875" style="135" bestFit="1" customWidth="1"/>
    <col min="58" max="58" width="22" style="135" bestFit="1" customWidth="1"/>
    <col min="59" max="59" width="23" style="135" bestFit="1" customWidth="1"/>
    <col min="60" max="60" width="15" style="135" bestFit="1" customWidth="1"/>
    <col min="61" max="61" width="23" style="135" bestFit="1" customWidth="1"/>
    <col min="62" max="62" width="11.7109375" style="135" bestFit="1" customWidth="1"/>
    <col min="63" max="63" width="24.7109375" style="135" bestFit="1" customWidth="1"/>
    <col min="64" max="64" width="18.7109375" style="135" bestFit="1" customWidth="1"/>
    <col min="65" max="65" width="23" style="135" bestFit="1" customWidth="1"/>
    <col min="66" max="66" width="15" style="135" bestFit="1" customWidth="1"/>
    <col min="67" max="67" width="23" style="135" bestFit="1" customWidth="1"/>
    <col min="68" max="68" width="15" style="135" bestFit="1" customWidth="1"/>
    <col min="69" max="69" width="23" style="135" bestFit="1" customWidth="1"/>
    <col min="70" max="70" width="15" style="135" bestFit="1" customWidth="1"/>
    <col min="71" max="71" width="21.85546875" style="135" bestFit="1" customWidth="1"/>
    <col min="72" max="72" width="10.5703125" style="135" bestFit="1" customWidth="1"/>
    <col min="73" max="73" width="21.42578125" style="135" bestFit="1" customWidth="1"/>
    <col min="74" max="74" width="5.42578125" style="135" bestFit="1" customWidth="1"/>
    <col min="75" max="16384" width="12.5703125" style="135"/>
  </cols>
  <sheetData>
    <row r="1" spans="1:74" ht="15.75" customHeight="1">
      <c r="A1" s="647" t="s">
        <v>339</v>
      </c>
      <c r="B1" s="647"/>
      <c r="C1" s="647"/>
      <c r="D1" s="647"/>
      <c r="E1" s="647"/>
      <c r="F1" s="647"/>
      <c r="G1" s="647"/>
      <c r="H1" s="647"/>
      <c r="I1" s="647"/>
      <c r="J1" s="647"/>
      <c r="K1" s="647"/>
      <c r="L1" s="647"/>
      <c r="M1" s="647"/>
      <c r="N1" s="647"/>
      <c r="O1" s="647"/>
      <c r="P1" s="647"/>
    </row>
    <row r="2" spans="1:74" s="136" customFormat="1" ht="15.75" customHeight="1">
      <c r="A2" s="647"/>
      <c r="B2" s="647"/>
      <c r="C2" s="647"/>
      <c r="D2" s="647"/>
      <c r="E2" s="647"/>
      <c r="F2" s="647"/>
      <c r="G2" s="647"/>
      <c r="H2" s="647"/>
      <c r="I2" s="647"/>
      <c r="J2" s="647"/>
      <c r="K2" s="647"/>
      <c r="L2" s="647"/>
      <c r="M2" s="647"/>
      <c r="N2" s="647"/>
      <c r="O2" s="647"/>
      <c r="P2" s="647"/>
    </row>
    <row r="3" spans="1:74" ht="15.75" customHeight="1">
      <c r="A3" s="648" t="s">
        <v>408</v>
      </c>
      <c r="B3" s="676"/>
      <c r="C3" s="676"/>
      <c r="D3" s="676"/>
      <c r="E3" s="676"/>
      <c r="F3" s="676"/>
      <c r="G3" s="676"/>
      <c r="H3" s="676"/>
      <c r="I3" s="676"/>
      <c r="J3" s="676"/>
      <c r="K3" s="676"/>
      <c r="L3" s="676"/>
      <c r="M3" s="676"/>
    </row>
    <row r="4" spans="1:74" s="136" customFormat="1" ht="15.75" customHeight="1">
      <c r="A4" s="676"/>
      <c r="B4" s="676"/>
      <c r="C4" s="676"/>
      <c r="D4" s="676"/>
      <c r="E4" s="676"/>
      <c r="F4" s="676"/>
      <c r="G4" s="676"/>
      <c r="H4" s="676"/>
      <c r="I4" s="676"/>
      <c r="J4" s="676"/>
      <c r="K4" s="676"/>
      <c r="L4" s="676"/>
      <c r="M4" s="676"/>
    </row>
    <row r="5" spans="1:74" ht="15.75" customHeight="1">
      <c r="A5" s="650" t="s">
        <v>174</v>
      </c>
      <c r="B5" s="677">
        <v>1</v>
      </c>
      <c r="C5" s="677"/>
      <c r="D5" s="677">
        <v>2</v>
      </c>
      <c r="E5" s="677"/>
      <c r="F5" s="677">
        <v>3</v>
      </c>
      <c r="G5" s="677"/>
      <c r="H5" s="653">
        <v>4</v>
      </c>
      <c r="I5" s="653"/>
      <c r="J5" s="653">
        <v>5</v>
      </c>
      <c r="K5" s="653"/>
      <c r="L5" s="653">
        <v>6</v>
      </c>
      <c r="M5" s="653"/>
      <c r="N5" s="653">
        <v>7</v>
      </c>
      <c r="O5" s="653"/>
      <c r="P5" s="352">
        <v>8</v>
      </c>
    </row>
    <row r="6" spans="1:74" ht="15.75" customHeight="1">
      <c r="A6" s="650"/>
      <c r="B6" s="678" t="s">
        <v>427</v>
      </c>
      <c r="C6" s="678"/>
      <c r="D6" s="678" t="s">
        <v>195</v>
      </c>
      <c r="E6" s="678"/>
      <c r="F6" s="678" t="s">
        <v>166</v>
      </c>
      <c r="G6" s="678"/>
      <c r="H6" s="650" t="s">
        <v>406</v>
      </c>
      <c r="I6" s="650"/>
      <c r="J6" s="650" t="s">
        <v>172</v>
      </c>
      <c r="K6" s="650"/>
      <c r="L6" s="650" t="s">
        <v>167</v>
      </c>
      <c r="M6" s="650"/>
      <c r="N6" s="650" t="s">
        <v>173</v>
      </c>
      <c r="O6" s="650"/>
      <c r="P6" s="353" t="s">
        <v>200</v>
      </c>
    </row>
    <row r="8" spans="1:74" s="235" customFormat="1" ht="15.75" customHeight="1">
      <c r="A8" s="653" t="s">
        <v>174</v>
      </c>
      <c r="B8" s="653"/>
      <c r="C8" s="234" t="s">
        <v>47</v>
      </c>
      <c r="D8" s="671" t="s">
        <v>12</v>
      </c>
      <c r="E8" s="671"/>
      <c r="F8" s="671"/>
      <c r="G8" s="665" t="s">
        <v>53</v>
      </c>
      <c r="H8" s="666"/>
      <c r="I8" s="667"/>
      <c r="J8" s="234" t="s">
        <v>54</v>
      </c>
      <c r="K8" s="234" t="s">
        <v>55</v>
      </c>
      <c r="L8" s="234" t="s">
        <v>56</v>
      </c>
      <c r="M8" s="234" t="s">
        <v>11</v>
      </c>
      <c r="N8" s="234" t="s">
        <v>312</v>
      </c>
      <c r="O8" s="657" t="s">
        <v>51</v>
      </c>
      <c r="P8" s="657"/>
    </row>
    <row r="9" spans="1:74" ht="69.95" customHeight="1">
      <c r="A9" s="653">
        <v>1</v>
      </c>
      <c r="B9" s="668" t="s">
        <v>428</v>
      </c>
      <c r="C9" s="236">
        <v>1</v>
      </c>
      <c r="D9" s="237" t="s">
        <v>319</v>
      </c>
      <c r="E9" s="238"/>
      <c r="F9" s="239"/>
      <c r="G9" s="306" t="s">
        <v>364</v>
      </c>
      <c r="H9" s="305"/>
      <c r="I9" s="306"/>
      <c r="J9" s="236">
        <v>127.84</v>
      </c>
      <c r="K9" s="242">
        <v>2.4214792193287355E-3</v>
      </c>
      <c r="L9" s="236">
        <v>48.03</v>
      </c>
      <c r="M9" s="322">
        <f>L9*J9</f>
        <v>6140.1552000000001</v>
      </c>
      <c r="N9" s="243"/>
      <c r="O9" s="672" t="s">
        <v>642</v>
      </c>
      <c r="P9" s="672"/>
    </row>
    <row r="10" spans="1:74" ht="84.75" customHeight="1">
      <c r="A10" s="653"/>
      <c r="B10" s="668"/>
      <c r="C10" s="236">
        <v>2</v>
      </c>
      <c r="D10" s="237" t="s">
        <v>564</v>
      </c>
      <c r="E10" s="238"/>
      <c r="F10" s="239"/>
      <c r="G10" s="306" t="s">
        <v>566</v>
      </c>
      <c r="H10" s="305"/>
      <c r="I10" s="306"/>
      <c r="J10" s="236">
        <v>91.13</v>
      </c>
      <c r="K10" s="242">
        <v>9.0694824306053086E-3</v>
      </c>
      <c r="L10" s="236">
        <v>43.609999999999992</v>
      </c>
      <c r="M10" s="322">
        <f t="shared" ref="M10:M13" si="0">L10*J10</f>
        <v>3974.1792999999989</v>
      </c>
      <c r="N10" s="243"/>
      <c r="O10" s="673" t="s">
        <v>643</v>
      </c>
      <c r="P10" s="673"/>
      <c r="U10" s="231"/>
      <c r="V10" s="231"/>
      <c r="W10" s="231"/>
      <c r="X10" s="231"/>
      <c r="Y10" s="231"/>
      <c r="Z10" s="231"/>
      <c r="AA10" s="231"/>
      <c r="AB10" s="231"/>
      <c r="AC10" s="231"/>
      <c r="AD10" s="231"/>
      <c r="AE10" s="231"/>
      <c r="AF10" s="231"/>
      <c r="AG10" s="231"/>
      <c r="AH10" s="231"/>
      <c r="AI10" s="231"/>
      <c r="AJ10" s="231"/>
      <c r="AK10" s="231"/>
      <c r="AL10" s="231"/>
      <c r="AM10" s="231"/>
      <c r="AN10" s="231"/>
      <c r="AO10" s="231"/>
      <c r="AP10" s="231"/>
      <c r="AQ10" s="231"/>
      <c r="AR10" s="231"/>
      <c r="AS10" s="231"/>
      <c r="AT10" s="231"/>
      <c r="AU10" s="231"/>
      <c r="AV10" s="231"/>
      <c r="AW10" s="231"/>
      <c r="AX10" s="231"/>
      <c r="AY10" s="231"/>
      <c r="AZ10" s="231"/>
      <c r="BA10" s="231"/>
      <c r="BB10" s="231"/>
      <c r="BC10" s="231"/>
      <c r="BD10" s="231"/>
      <c r="BE10" s="231"/>
      <c r="BF10" s="231"/>
      <c r="BG10" s="231"/>
      <c r="BH10" s="231"/>
      <c r="BI10" s="231"/>
      <c r="BJ10" s="231"/>
      <c r="BK10" s="231"/>
      <c r="BL10" s="231"/>
      <c r="BM10" s="231"/>
      <c r="BN10" s="231"/>
      <c r="BO10" s="231"/>
      <c r="BP10" s="231"/>
      <c r="BQ10" s="231"/>
      <c r="BR10" s="231"/>
      <c r="BS10" s="231"/>
      <c r="BT10" s="231"/>
      <c r="BU10" s="231"/>
      <c r="BV10" s="231"/>
    </row>
    <row r="11" spans="1:74" ht="69.95" customHeight="1">
      <c r="A11" s="653"/>
      <c r="B11" s="668"/>
      <c r="C11" s="236">
        <v>3</v>
      </c>
      <c r="D11" s="237" t="s">
        <v>471</v>
      </c>
      <c r="E11" s="238"/>
      <c r="F11" s="239"/>
      <c r="G11" s="306" t="s">
        <v>567</v>
      </c>
      <c r="H11" s="305"/>
      <c r="I11" s="306"/>
      <c r="J11" s="236">
        <v>139.97999999999999</v>
      </c>
      <c r="K11" s="242">
        <v>1.4909994817504229E-2</v>
      </c>
      <c r="L11" s="236">
        <v>21.37</v>
      </c>
      <c r="M11" s="322">
        <f t="shared" si="0"/>
        <v>2991.3726000000001</v>
      </c>
      <c r="N11" s="243"/>
      <c r="O11" s="674" t="s">
        <v>644</v>
      </c>
      <c r="P11" s="674"/>
      <c r="U11" s="231"/>
      <c r="V11" s="231"/>
      <c r="W11" s="231"/>
      <c r="X11" s="231"/>
      <c r="Y11" s="231"/>
      <c r="Z11" s="231"/>
      <c r="AA11" s="231"/>
      <c r="AB11" s="231"/>
      <c r="AC11" s="231"/>
      <c r="AD11" s="231"/>
      <c r="AE11" s="231"/>
      <c r="AF11" s="231"/>
      <c r="AG11" s="231"/>
      <c r="AH11" s="231"/>
      <c r="AI11" s="231"/>
      <c r="AJ11" s="231"/>
      <c r="AK11" s="231"/>
      <c r="AL11" s="231"/>
      <c r="AM11" s="231"/>
      <c r="AN11" s="231"/>
      <c r="AO11" s="231"/>
      <c r="AP11" s="231"/>
      <c r="AQ11" s="231"/>
      <c r="AR11" s="231"/>
      <c r="AS11" s="231"/>
      <c r="AT11" s="231"/>
      <c r="AU11" s="231"/>
      <c r="AV11" s="231"/>
      <c r="AW11" s="231"/>
      <c r="AX11" s="231"/>
      <c r="AY11" s="231"/>
      <c r="AZ11" s="231"/>
      <c r="BA11" s="231"/>
      <c r="BB11" s="231"/>
      <c r="BC11" s="231"/>
      <c r="BD11" s="231"/>
      <c r="BE11" s="231"/>
      <c r="BF11" s="231"/>
      <c r="BG11" s="231"/>
      <c r="BH11" s="231"/>
      <c r="BI11" s="231"/>
      <c r="BJ11" s="231"/>
      <c r="BK11" s="231"/>
      <c r="BL11" s="231"/>
      <c r="BM11" s="231"/>
      <c r="BN11" s="231"/>
      <c r="BO11" s="231"/>
      <c r="BP11" s="231"/>
      <c r="BQ11" s="231"/>
      <c r="BR11" s="231"/>
      <c r="BS11" s="231"/>
      <c r="BT11" s="231"/>
      <c r="BU11" s="231"/>
      <c r="BV11" s="231"/>
    </row>
    <row r="12" spans="1:74" ht="69.95" customHeight="1">
      <c r="A12" s="653"/>
      <c r="B12" s="668"/>
      <c r="C12" s="236">
        <v>4</v>
      </c>
      <c r="D12" s="237" t="s">
        <v>551</v>
      </c>
      <c r="E12" s="238"/>
      <c r="F12" s="239"/>
      <c r="G12" s="306" t="s">
        <v>556</v>
      </c>
      <c r="H12" s="305"/>
      <c r="I12" s="306"/>
      <c r="J12" s="236">
        <v>108.96</v>
      </c>
      <c r="K12" s="242">
        <v>1.9065738948608548E-2</v>
      </c>
      <c r="L12" s="236">
        <v>27.450000000000003</v>
      </c>
      <c r="M12" s="322">
        <f t="shared" si="0"/>
        <v>2990.9520000000002</v>
      </c>
      <c r="N12" s="243"/>
      <c r="O12" s="674" t="s">
        <v>645</v>
      </c>
      <c r="P12" s="674"/>
      <c r="U12" s="231"/>
      <c r="V12" s="231"/>
      <c r="W12" s="231"/>
      <c r="X12" s="231"/>
      <c r="Y12" s="231"/>
      <c r="Z12" s="231"/>
      <c r="AA12" s="231"/>
      <c r="AB12" s="231"/>
      <c r="AC12" s="231"/>
      <c r="AD12" s="231"/>
      <c r="AE12" s="231"/>
      <c r="AF12" s="231"/>
      <c r="AG12" s="231"/>
      <c r="AH12" s="231"/>
      <c r="AI12" s="231"/>
      <c r="AJ12" s="231"/>
      <c r="AK12" s="231"/>
      <c r="AL12" s="231"/>
      <c r="AM12" s="231"/>
      <c r="AN12" s="231"/>
      <c r="AO12" s="231"/>
      <c r="AP12" s="231"/>
      <c r="AQ12" s="231"/>
      <c r="AR12" s="231"/>
      <c r="AS12" s="231"/>
      <c r="AT12" s="231"/>
      <c r="AU12" s="231"/>
      <c r="AV12" s="231"/>
      <c r="AW12" s="231"/>
      <c r="AX12" s="231"/>
      <c r="AY12" s="231"/>
      <c r="AZ12" s="231"/>
      <c r="BA12" s="231"/>
      <c r="BB12" s="231"/>
      <c r="BC12" s="231"/>
      <c r="BD12" s="231"/>
      <c r="BE12" s="231"/>
      <c r="BF12" s="231"/>
      <c r="BG12" s="231"/>
      <c r="BH12" s="231"/>
      <c r="BI12" s="231"/>
      <c r="BJ12" s="231"/>
      <c r="BK12" s="231"/>
      <c r="BL12" s="231"/>
      <c r="BM12" s="231"/>
      <c r="BN12" s="231"/>
      <c r="BO12" s="231"/>
      <c r="BP12" s="231"/>
      <c r="BQ12" s="231"/>
      <c r="BR12" s="231"/>
      <c r="BS12" s="231"/>
      <c r="BT12" s="231"/>
      <c r="BU12" s="231"/>
      <c r="BV12" s="231"/>
    </row>
    <row r="13" spans="1:74" ht="69.95" customHeight="1" thickBot="1">
      <c r="A13" s="653"/>
      <c r="B13" s="668"/>
      <c r="C13" s="236">
        <v>5</v>
      </c>
      <c r="D13" s="244" t="s">
        <v>336</v>
      </c>
      <c r="E13" s="245"/>
      <c r="F13" s="246"/>
      <c r="G13" s="360" t="s">
        <v>565</v>
      </c>
      <c r="H13" s="359"/>
      <c r="I13" s="360"/>
      <c r="J13" s="247">
        <v>426.69</v>
      </c>
      <c r="K13" s="248">
        <v>2.5547490275103354E-3</v>
      </c>
      <c r="L13" s="247">
        <v>5.34</v>
      </c>
      <c r="M13" s="323">
        <f t="shared" si="0"/>
        <v>2278.5245999999997</v>
      </c>
      <c r="N13" s="243"/>
      <c r="O13" s="675" t="s">
        <v>646</v>
      </c>
      <c r="P13" s="675"/>
      <c r="U13" s="231"/>
      <c r="V13" s="231"/>
      <c r="W13" s="231"/>
      <c r="X13" s="231"/>
      <c r="Y13" s="231"/>
      <c r="Z13" s="231"/>
      <c r="AA13" s="231"/>
      <c r="AB13" s="231"/>
      <c r="AC13" s="231"/>
      <c r="AD13" s="231"/>
      <c r="AE13" s="231"/>
      <c r="AF13" s="231"/>
      <c r="AG13" s="231"/>
      <c r="AH13" s="231"/>
      <c r="AI13" s="231"/>
      <c r="AJ13" s="231"/>
      <c r="AK13" s="231"/>
      <c r="AL13" s="231"/>
      <c r="AM13" s="231"/>
      <c r="AN13" s="231"/>
      <c r="AO13" s="231"/>
      <c r="AP13" s="231"/>
      <c r="AQ13" s="231"/>
      <c r="AR13" s="231"/>
      <c r="AS13" s="231"/>
      <c r="AT13" s="231"/>
      <c r="AU13" s="231"/>
      <c r="AV13" s="231"/>
      <c r="AW13" s="231"/>
      <c r="AX13" s="231"/>
      <c r="AY13" s="231"/>
      <c r="AZ13" s="231"/>
      <c r="BA13" s="231"/>
      <c r="BB13" s="231"/>
      <c r="BC13" s="231"/>
      <c r="BD13" s="231"/>
      <c r="BE13" s="231"/>
      <c r="BF13" s="231"/>
      <c r="BG13" s="231"/>
      <c r="BH13" s="231"/>
      <c r="BI13" s="231"/>
      <c r="BJ13" s="231"/>
      <c r="BK13" s="231"/>
      <c r="BL13" s="231"/>
      <c r="BM13" s="231"/>
      <c r="BN13" s="231"/>
      <c r="BO13" s="231"/>
      <c r="BP13" s="231"/>
      <c r="BQ13" s="231"/>
      <c r="BR13" s="231"/>
      <c r="BS13" s="231"/>
      <c r="BT13" s="231"/>
      <c r="BU13" s="231"/>
      <c r="BV13" s="231"/>
    </row>
    <row r="14" spans="1:74" ht="15.75" customHeight="1" thickTop="1">
      <c r="A14" s="653"/>
      <c r="B14" s="668"/>
      <c r="C14" s="659"/>
      <c r="D14" s="660"/>
      <c r="E14" s="660"/>
      <c r="F14" s="660"/>
      <c r="G14" s="660"/>
      <c r="H14" s="660"/>
      <c r="I14" s="661"/>
      <c r="J14" s="249" t="s">
        <v>58</v>
      </c>
      <c r="K14" s="338">
        <f>M14/'生產管理報表 7-1(月)'!$B$9</f>
        <v>9.2541987278701748E-2</v>
      </c>
      <c r="L14" s="249" t="s">
        <v>59</v>
      </c>
      <c r="M14" s="354">
        <f>SUM(M9:M13)</f>
        <v>18375.183700000001</v>
      </c>
      <c r="N14" s="670"/>
      <c r="O14" s="670"/>
      <c r="P14" s="670"/>
      <c r="U14" s="231"/>
      <c r="V14" s="231"/>
      <c r="W14" s="231"/>
      <c r="X14" s="231"/>
      <c r="Y14" s="231"/>
      <c r="Z14" s="231"/>
      <c r="AA14" s="231"/>
      <c r="AB14" s="231"/>
      <c r="AC14" s="231"/>
      <c r="AD14" s="231"/>
      <c r="AE14" s="231"/>
      <c r="AF14" s="231"/>
      <c r="AG14" s="231"/>
      <c r="AH14" s="231"/>
      <c r="AI14" s="231"/>
      <c r="AJ14" s="231"/>
      <c r="AK14" s="231"/>
      <c r="AL14" s="231"/>
      <c r="AM14" s="231"/>
      <c r="AN14" s="231"/>
      <c r="AO14" s="231"/>
      <c r="AP14" s="231"/>
      <c r="AQ14" s="231"/>
      <c r="AR14" s="231"/>
      <c r="AS14" s="231"/>
      <c r="AT14" s="231"/>
      <c r="AU14" s="231"/>
      <c r="AV14" s="231"/>
      <c r="AW14" s="231"/>
      <c r="AX14" s="231"/>
      <c r="AY14" s="231"/>
      <c r="AZ14" s="231"/>
      <c r="BA14" s="231"/>
      <c r="BB14" s="231"/>
      <c r="BC14" s="231"/>
      <c r="BD14" s="231"/>
      <c r="BE14" s="231"/>
      <c r="BF14" s="231"/>
      <c r="BG14" s="231"/>
      <c r="BH14" s="231"/>
      <c r="BI14" s="231"/>
      <c r="BJ14" s="231"/>
      <c r="BK14" s="231"/>
      <c r="BL14" s="231"/>
      <c r="BM14" s="231"/>
      <c r="BN14" s="231"/>
      <c r="BO14" s="231"/>
      <c r="BP14" s="231"/>
      <c r="BQ14" s="231"/>
      <c r="BR14" s="231"/>
      <c r="BS14" s="231"/>
      <c r="BT14" s="231"/>
      <c r="BU14" s="231"/>
      <c r="BV14" s="231"/>
    </row>
    <row r="15" spans="1:74" ht="15.75" customHeight="1">
      <c r="D15" s="233"/>
      <c r="E15" s="233"/>
      <c r="F15" s="233"/>
      <c r="G15" s="233"/>
      <c r="H15" s="233"/>
      <c r="I15" s="233"/>
      <c r="J15" s="233"/>
      <c r="K15" s="233"/>
      <c r="L15" s="233"/>
      <c r="M15" s="233"/>
      <c r="N15" s="251"/>
      <c r="O15" s="251"/>
      <c r="P15" s="251"/>
      <c r="U15" s="231"/>
      <c r="V15" s="231"/>
      <c r="W15" s="231"/>
      <c r="X15" s="231"/>
      <c r="Y15" s="231"/>
      <c r="Z15" s="231"/>
      <c r="AA15" s="231"/>
      <c r="AB15" s="231"/>
      <c r="AC15" s="231"/>
      <c r="AD15" s="231"/>
      <c r="AE15" s="231"/>
      <c r="AF15" s="231"/>
      <c r="AG15" s="231"/>
      <c r="AH15" s="231"/>
      <c r="AI15" s="231"/>
      <c r="AJ15" s="231"/>
      <c r="AK15" s="231"/>
      <c r="AL15" s="231"/>
      <c r="AM15" s="231"/>
      <c r="AN15" s="231"/>
      <c r="AO15" s="231"/>
      <c r="AP15" s="231"/>
      <c r="AQ15" s="231"/>
      <c r="AR15" s="231"/>
      <c r="AS15" s="231"/>
      <c r="AT15" s="231"/>
      <c r="AU15" s="231"/>
      <c r="AV15" s="231"/>
      <c r="AW15" s="231"/>
      <c r="AX15" s="231"/>
      <c r="AY15" s="231"/>
      <c r="AZ15" s="231"/>
      <c r="BA15" s="231"/>
      <c r="BB15" s="231"/>
      <c r="BC15" s="231"/>
      <c r="BD15" s="231"/>
      <c r="BE15" s="231"/>
      <c r="BF15" s="231"/>
      <c r="BG15" s="231"/>
      <c r="BH15" s="231"/>
      <c r="BI15" s="231"/>
      <c r="BJ15" s="231"/>
      <c r="BK15" s="231"/>
      <c r="BL15" s="231"/>
      <c r="BM15" s="231"/>
      <c r="BN15" s="231"/>
      <c r="BO15" s="231"/>
      <c r="BP15" s="231"/>
      <c r="BQ15" s="231"/>
      <c r="BR15" s="231"/>
      <c r="BS15" s="231"/>
      <c r="BT15" s="231"/>
      <c r="BU15" s="231"/>
      <c r="BV15" s="231"/>
    </row>
    <row r="16" spans="1:74" ht="15.75" customHeight="1">
      <c r="A16" s="653" t="s">
        <v>174</v>
      </c>
      <c r="B16" s="653"/>
      <c r="C16" s="252" t="s">
        <v>47</v>
      </c>
      <c r="D16" s="662" t="s">
        <v>12</v>
      </c>
      <c r="E16" s="663"/>
      <c r="F16" s="664"/>
      <c r="G16" s="665" t="s">
        <v>53</v>
      </c>
      <c r="H16" s="666"/>
      <c r="I16" s="667"/>
      <c r="J16" s="254" t="s">
        <v>54</v>
      </c>
      <c r="K16" s="254" t="s">
        <v>55</v>
      </c>
      <c r="L16" s="254" t="s">
        <v>56</v>
      </c>
      <c r="M16" s="254" t="s">
        <v>11</v>
      </c>
      <c r="N16" s="234" t="s">
        <v>312</v>
      </c>
      <c r="O16" s="657" t="s">
        <v>51</v>
      </c>
      <c r="P16" s="657"/>
      <c r="U16" s="231"/>
      <c r="V16" s="231"/>
      <c r="W16" s="231"/>
      <c r="X16" s="231"/>
      <c r="Y16" s="231"/>
      <c r="Z16" s="231"/>
      <c r="AA16" s="231"/>
      <c r="AB16" s="231"/>
      <c r="AC16" s="231"/>
      <c r="AD16" s="231"/>
      <c r="AE16" s="231"/>
      <c r="AF16" s="231"/>
      <c r="AG16" s="231"/>
      <c r="AH16" s="231"/>
      <c r="AI16" s="231"/>
    </row>
    <row r="17" spans="1:35" ht="20.100000000000001" customHeight="1">
      <c r="A17" s="653">
        <v>2</v>
      </c>
      <c r="B17" s="668" t="s">
        <v>196</v>
      </c>
      <c r="C17" s="256">
        <v>1</v>
      </c>
      <c r="D17" s="237"/>
      <c r="E17" s="238"/>
      <c r="F17" s="239"/>
      <c r="G17" s="237"/>
      <c r="H17" s="238"/>
      <c r="I17" s="239"/>
      <c r="J17" s="257"/>
      <c r="K17" s="258"/>
      <c r="L17" s="257"/>
      <c r="M17" s="259">
        <f t="shared" ref="M17:M21" si="1">L17*J17</f>
        <v>0</v>
      </c>
      <c r="N17" s="243"/>
      <c r="O17" s="658"/>
      <c r="P17" s="658"/>
      <c r="U17" s="231"/>
      <c r="V17" s="231"/>
      <c r="W17" s="231"/>
      <c r="X17" s="231"/>
      <c r="Y17" s="231"/>
      <c r="Z17" s="231"/>
      <c r="AA17" s="231"/>
      <c r="AB17" s="231"/>
      <c r="AC17" s="231"/>
      <c r="AD17" s="231"/>
      <c r="AE17" s="231"/>
      <c r="AF17" s="231"/>
      <c r="AG17" s="231"/>
      <c r="AH17" s="231"/>
      <c r="AI17" s="231"/>
    </row>
    <row r="18" spans="1:35" ht="20.100000000000001" customHeight="1">
      <c r="A18" s="653"/>
      <c r="B18" s="668"/>
      <c r="C18" s="256">
        <v>2</v>
      </c>
      <c r="D18" s="237"/>
      <c r="E18" s="238"/>
      <c r="F18" s="239"/>
      <c r="G18" s="237"/>
      <c r="H18" s="238"/>
      <c r="I18" s="239"/>
      <c r="J18" s="257"/>
      <c r="K18" s="258"/>
      <c r="L18" s="257"/>
      <c r="M18" s="259">
        <f t="shared" si="1"/>
        <v>0</v>
      </c>
      <c r="N18" s="243"/>
      <c r="O18" s="658"/>
      <c r="P18" s="658"/>
      <c r="U18" s="231"/>
      <c r="V18" s="231"/>
      <c r="W18" s="231"/>
      <c r="X18" s="231"/>
      <c r="Y18" s="231"/>
      <c r="Z18" s="231"/>
      <c r="AA18" s="231"/>
      <c r="AB18" s="231"/>
      <c r="AC18" s="231"/>
      <c r="AD18" s="231"/>
      <c r="AE18" s="231"/>
      <c r="AF18" s="231"/>
      <c r="AG18" s="231"/>
      <c r="AH18" s="231"/>
      <c r="AI18" s="231"/>
    </row>
    <row r="19" spans="1:35" ht="20.100000000000001" customHeight="1">
      <c r="A19" s="653"/>
      <c r="B19" s="668"/>
      <c r="C19" s="256">
        <v>3</v>
      </c>
      <c r="D19" s="237"/>
      <c r="E19" s="238"/>
      <c r="F19" s="239"/>
      <c r="G19" s="237"/>
      <c r="H19" s="238"/>
      <c r="I19" s="239"/>
      <c r="J19" s="257"/>
      <c r="K19" s="258"/>
      <c r="L19" s="257"/>
      <c r="M19" s="259">
        <f t="shared" si="1"/>
        <v>0</v>
      </c>
      <c r="N19" s="243"/>
      <c r="O19" s="679"/>
      <c r="P19" s="679"/>
      <c r="U19" s="231"/>
      <c r="V19" s="231"/>
      <c r="W19" s="231"/>
      <c r="X19" s="231"/>
      <c r="Y19" s="231"/>
      <c r="Z19" s="231"/>
      <c r="AA19" s="231"/>
      <c r="AB19" s="231"/>
      <c r="AC19" s="231"/>
      <c r="AD19" s="231"/>
      <c r="AE19" s="231"/>
      <c r="AF19" s="231"/>
      <c r="AG19" s="231"/>
    </row>
    <row r="20" spans="1:35" ht="20.100000000000001" customHeight="1">
      <c r="A20" s="653"/>
      <c r="B20" s="668"/>
      <c r="C20" s="256">
        <v>4</v>
      </c>
      <c r="D20" s="237"/>
      <c r="E20" s="238"/>
      <c r="F20" s="239"/>
      <c r="G20" s="237"/>
      <c r="H20" s="238"/>
      <c r="I20" s="239"/>
      <c r="J20" s="257"/>
      <c r="K20" s="258"/>
      <c r="L20" s="257"/>
      <c r="M20" s="259">
        <f t="shared" si="1"/>
        <v>0</v>
      </c>
      <c r="N20" s="243"/>
      <c r="O20" s="679"/>
      <c r="P20" s="679"/>
      <c r="U20" s="231"/>
      <c r="V20" s="231"/>
      <c r="W20" s="231"/>
      <c r="X20" s="231"/>
      <c r="Y20" s="231"/>
      <c r="Z20" s="231"/>
      <c r="AA20" s="231"/>
      <c r="AB20" s="231"/>
      <c r="AC20" s="231"/>
      <c r="AD20" s="231"/>
      <c r="AE20" s="231"/>
      <c r="AF20" s="231"/>
      <c r="AG20" s="231"/>
    </row>
    <row r="21" spans="1:35" ht="20.100000000000001" customHeight="1" thickBot="1">
      <c r="A21" s="653"/>
      <c r="B21" s="668"/>
      <c r="C21" s="262">
        <v>5</v>
      </c>
      <c r="D21" s="244"/>
      <c r="E21" s="245"/>
      <c r="F21" s="246"/>
      <c r="G21" s="244"/>
      <c r="H21" s="245"/>
      <c r="I21" s="246"/>
      <c r="J21" s="263"/>
      <c r="K21" s="264"/>
      <c r="L21" s="263"/>
      <c r="M21" s="265">
        <f t="shared" si="1"/>
        <v>0</v>
      </c>
      <c r="N21" s="243"/>
      <c r="O21" s="679"/>
      <c r="P21" s="679"/>
      <c r="U21" s="231"/>
      <c r="V21" s="231"/>
      <c r="W21" s="231"/>
      <c r="X21" s="231"/>
      <c r="Y21" s="231"/>
      <c r="Z21" s="231"/>
      <c r="AA21" s="231"/>
      <c r="AB21" s="231"/>
      <c r="AC21" s="231"/>
      <c r="AD21" s="231"/>
      <c r="AE21" s="231"/>
      <c r="AF21" s="231"/>
      <c r="AG21" s="231"/>
    </row>
    <row r="22" spans="1:35" ht="15.75" customHeight="1" thickTop="1">
      <c r="A22" s="653"/>
      <c r="B22" s="668"/>
      <c r="C22" s="659"/>
      <c r="D22" s="660"/>
      <c r="E22" s="660"/>
      <c r="F22" s="660"/>
      <c r="G22" s="660"/>
      <c r="H22" s="660"/>
      <c r="I22" s="661"/>
      <c r="J22" s="249" t="s">
        <v>58</v>
      </c>
      <c r="K22" s="338">
        <f>M22/'生產管理報表 7-1(月)'!$B$9</f>
        <v>0</v>
      </c>
      <c r="L22" s="249" t="s">
        <v>59</v>
      </c>
      <c r="M22" s="250">
        <f>SUM(M17:M21)</f>
        <v>0</v>
      </c>
      <c r="N22" s="670"/>
      <c r="O22" s="670"/>
      <c r="P22" s="670"/>
      <c r="U22" s="231"/>
      <c r="V22" s="231"/>
      <c r="W22" s="231"/>
      <c r="X22" s="231"/>
      <c r="Y22" s="231"/>
      <c r="Z22" s="231"/>
      <c r="AA22" s="231"/>
      <c r="AB22" s="231"/>
      <c r="AC22" s="231"/>
      <c r="AD22" s="231"/>
      <c r="AE22" s="231"/>
      <c r="AF22" s="231"/>
      <c r="AG22" s="231"/>
    </row>
    <row r="23" spans="1:35" ht="15.75" customHeight="1">
      <c r="D23" s="233"/>
      <c r="E23" s="233"/>
      <c r="F23" s="233"/>
      <c r="G23" s="233"/>
      <c r="H23" s="233"/>
      <c r="I23" s="233"/>
      <c r="J23" s="233"/>
      <c r="K23" s="233"/>
      <c r="L23" s="233"/>
      <c r="M23" s="233"/>
      <c r="N23" s="267"/>
      <c r="O23" s="267"/>
      <c r="P23" s="267"/>
      <c r="U23" s="231"/>
      <c r="V23" s="231"/>
      <c r="W23" s="231"/>
      <c r="X23" s="231"/>
      <c r="Y23" s="231"/>
      <c r="Z23" s="231"/>
      <c r="AA23" s="231"/>
      <c r="AB23" s="231"/>
      <c r="AC23" s="231"/>
      <c r="AD23" s="231"/>
      <c r="AE23" s="231"/>
      <c r="AF23" s="231"/>
      <c r="AG23" s="231"/>
    </row>
    <row r="24" spans="1:35" ht="15.75" customHeight="1">
      <c r="A24" s="653" t="s">
        <v>174</v>
      </c>
      <c r="B24" s="653"/>
      <c r="C24" s="252" t="s">
        <v>47</v>
      </c>
      <c r="D24" s="662" t="s">
        <v>12</v>
      </c>
      <c r="E24" s="663"/>
      <c r="F24" s="664"/>
      <c r="G24" s="665" t="s">
        <v>53</v>
      </c>
      <c r="H24" s="666"/>
      <c r="I24" s="667"/>
      <c r="J24" s="253" t="s">
        <v>54</v>
      </c>
      <c r="K24" s="254" t="s">
        <v>55</v>
      </c>
      <c r="L24" s="254" t="s">
        <v>56</v>
      </c>
      <c r="M24" s="254" t="s">
        <v>11</v>
      </c>
      <c r="N24" s="234" t="s">
        <v>312</v>
      </c>
      <c r="O24" s="657" t="s">
        <v>51</v>
      </c>
      <c r="P24" s="657"/>
      <c r="U24" s="231"/>
      <c r="V24" s="231"/>
      <c r="W24" s="231"/>
      <c r="X24" s="231"/>
      <c r="Y24" s="231"/>
      <c r="Z24" s="231"/>
      <c r="AA24" s="231"/>
      <c r="AB24" s="231"/>
      <c r="AC24" s="231"/>
      <c r="AD24" s="231"/>
      <c r="AE24" s="231"/>
      <c r="AF24" s="231"/>
      <c r="AG24" s="231"/>
      <c r="AH24" s="231"/>
      <c r="AI24" s="231"/>
    </row>
    <row r="25" spans="1:35" ht="60" customHeight="1">
      <c r="A25" s="653">
        <v>3</v>
      </c>
      <c r="B25" s="668" t="s">
        <v>400</v>
      </c>
      <c r="C25" s="256">
        <v>1</v>
      </c>
      <c r="D25" s="237" t="s">
        <v>319</v>
      </c>
      <c r="E25" s="238"/>
      <c r="F25" s="239"/>
      <c r="G25" s="360" t="s">
        <v>423</v>
      </c>
      <c r="H25" s="359"/>
      <c r="I25" s="360"/>
      <c r="J25" s="257">
        <v>2.4499999999999997</v>
      </c>
      <c r="K25" s="258">
        <v>6.315922474023304E-3</v>
      </c>
      <c r="L25" s="257">
        <v>4500</v>
      </c>
      <c r="M25" s="325">
        <f t="shared" ref="M25:M29" si="2">L25*J25</f>
        <v>11024.999999999998</v>
      </c>
      <c r="N25" s="243"/>
      <c r="O25" s="658" t="s">
        <v>647</v>
      </c>
      <c r="P25" s="658"/>
      <c r="U25" s="231"/>
      <c r="V25" s="231"/>
      <c r="W25" s="231"/>
      <c r="X25" s="231"/>
      <c r="Y25" s="231"/>
      <c r="Z25" s="231"/>
      <c r="AA25" s="231"/>
      <c r="AB25" s="231"/>
      <c r="AC25" s="231"/>
      <c r="AD25" s="231"/>
      <c r="AE25" s="231"/>
      <c r="AF25" s="231"/>
      <c r="AG25" s="231"/>
      <c r="AH25" s="231"/>
      <c r="AI25" s="231"/>
    </row>
    <row r="26" spans="1:35" ht="60" customHeight="1">
      <c r="A26" s="653"/>
      <c r="B26" s="668"/>
      <c r="C26" s="256">
        <v>2</v>
      </c>
      <c r="D26" s="237" t="s">
        <v>319</v>
      </c>
      <c r="E26" s="238"/>
      <c r="F26" s="239"/>
      <c r="G26" s="360" t="s">
        <v>422</v>
      </c>
      <c r="H26" s="359"/>
      <c r="I26" s="360"/>
      <c r="J26" s="257">
        <v>1.17</v>
      </c>
      <c r="K26" s="258">
        <v>6.8893978794708557E-3</v>
      </c>
      <c r="L26" s="257">
        <v>8127</v>
      </c>
      <c r="M26" s="325">
        <f t="shared" si="2"/>
        <v>9508.59</v>
      </c>
      <c r="N26" s="243"/>
      <c r="O26" s="658" t="s">
        <v>648</v>
      </c>
      <c r="P26" s="658"/>
      <c r="U26" s="231"/>
      <c r="V26" s="231"/>
      <c r="W26" s="231"/>
      <c r="X26" s="231"/>
      <c r="Y26" s="231"/>
      <c r="Z26" s="231"/>
      <c r="AA26" s="231"/>
      <c r="AB26" s="231"/>
      <c r="AC26" s="231"/>
      <c r="AD26" s="231"/>
      <c r="AE26" s="231"/>
      <c r="AF26" s="231"/>
      <c r="AG26" s="231"/>
      <c r="AH26" s="231"/>
      <c r="AI26" s="231"/>
    </row>
    <row r="27" spans="1:35" ht="60" customHeight="1">
      <c r="A27" s="653"/>
      <c r="B27" s="668"/>
      <c r="C27" s="256">
        <v>3</v>
      </c>
      <c r="D27" s="237" t="s">
        <v>436</v>
      </c>
      <c r="E27" s="238"/>
      <c r="F27" s="239"/>
      <c r="G27" s="360" t="s">
        <v>434</v>
      </c>
      <c r="H27" s="359"/>
      <c r="I27" s="360"/>
      <c r="J27" s="257">
        <v>407.74000000000007</v>
      </c>
      <c r="K27" s="258">
        <v>2.5483126278250247E-3</v>
      </c>
      <c r="L27" s="257">
        <v>14.42</v>
      </c>
      <c r="M27" s="325">
        <f t="shared" si="2"/>
        <v>5879.6108000000013</v>
      </c>
      <c r="N27" s="243"/>
      <c r="O27" s="669" t="s">
        <v>649</v>
      </c>
      <c r="P27" s="669"/>
      <c r="U27" s="231"/>
      <c r="V27" s="231"/>
      <c r="W27" s="231"/>
      <c r="X27" s="231"/>
      <c r="Y27" s="231"/>
      <c r="Z27" s="231"/>
      <c r="AA27" s="231"/>
      <c r="AB27" s="231"/>
      <c r="AC27" s="231"/>
      <c r="AD27" s="231"/>
      <c r="AE27" s="231"/>
      <c r="AF27" s="231"/>
      <c r="AG27" s="231"/>
      <c r="AH27" s="231"/>
      <c r="AI27" s="231"/>
    </row>
    <row r="28" spans="1:35" ht="60" customHeight="1">
      <c r="A28" s="653"/>
      <c r="B28" s="668"/>
      <c r="C28" s="256">
        <v>4</v>
      </c>
      <c r="D28" s="237" t="s">
        <v>562</v>
      </c>
      <c r="E28" s="238"/>
      <c r="F28" s="239"/>
      <c r="G28" s="246" t="s">
        <v>561</v>
      </c>
      <c r="H28" s="245"/>
      <c r="I28" s="246"/>
      <c r="J28" s="257">
        <v>625.94000000000005</v>
      </c>
      <c r="K28" s="258">
        <v>1.4902145890671463E-3</v>
      </c>
      <c r="L28" s="257">
        <v>8.42</v>
      </c>
      <c r="M28" s="325">
        <f t="shared" si="2"/>
        <v>5270.4148000000005</v>
      </c>
      <c r="N28" s="243"/>
      <c r="O28" s="669" t="s">
        <v>650</v>
      </c>
      <c r="P28" s="669"/>
      <c r="U28" s="231"/>
      <c r="V28" s="231"/>
      <c r="W28" s="231"/>
      <c r="X28" s="231"/>
      <c r="Y28" s="231"/>
      <c r="Z28" s="231"/>
      <c r="AA28" s="231"/>
      <c r="AB28" s="231"/>
      <c r="AC28" s="231"/>
      <c r="AD28" s="231"/>
      <c r="AE28" s="231"/>
      <c r="AF28" s="231"/>
      <c r="AG28" s="231"/>
      <c r="AH28" s="231"/>
      <c r="AI28" s="231"/>
    </row>
    <row r="29" spans="1:35" ht="60" customHeight="1" thickBot="1">
      <c r="A29" s="653"/>
      <c r="B29" s="668"/>
      <c r="C29" s="262">
        <v>5</v>
      </c>
      <c r="D29" s="244" t="s">
        <v>471</v>
      </c>
      <c r="E29" s="245"/>
      <c r="F29" s="246"/>
      <c r="G29" s="358" t="s">
        <v>532</v>
      </c>
      <c r="H29" s="359"/>
      <c r="I29" s="375"/>
      <c r="J29" s="263">
        <v>6.04</v>
      </c>
      <c r="K29" s="264">
        <v>2.6583716624368273E-2</v>
      </c>
      <c r="L29" s="263">
        <v>333</v>
      </c>
      <c r="M29" s="325">
        <f t="shared" si="2"/>
        <v>2011.32</v>
      </c>
      <c r="N29" s="243"/>
      <c r="O29" s="669" t="s">
        <v>651</v>
      </c>
      <c r="P29" s="669"/>
      <c r="U29" s="231"/>
      <c r="V29" s="231"/>
      <c r="W29" s="231"/>
      <c r="X29" s="231"/>
      <c r="Y29" s="231"/>
      <c r="Z29" s="231"/>
      <c r="AA29" s="231"/>
      <c r="AB29" s="231"/>
      <c r="AC29" s="231"/>
      <c r="AD29" s="231"/>
      <c r="AE29" s="231"/>
      <c r="AF29" s="231"/>
      <c r="AG29" s="231"/>
      <c r="AH29" s="231"/>
      <c r="AI29" s="231"/>
    </row>
    <row r="30" spans="1:35" ht="15.75" customHeight="1" thickTop="1">
      <c r="A30" s="653"/>
      <c r="B30" s="668"/>
      <c r="C30" s="659"/>
      <c r="D30" s="660"/>
      <c r="E30" s="660"/>
      <c r="F30" s="660"/>
      <c r="G30" s="660"/>
      <c r="H30" s="660"/>
      <c r="I30" s="661"/>
      <c r="J30" s="274" t="s">
        <v>58</v>
      </c>
      <c r="K30" s="338">
        <f>M30/'生產管理報表 7-1(月)'!$B$9</f>
        <v>0.16969606141417101</v>
      </c>
      <c r="L30" s="274" t="s">
        <v>59</v>
      </c>
      <c r="M30" s="326">
        <f>SUM(M25:M29)</f>
        <v>33694.935599999997</v>
      </c>
      <c r="N30" s="670"/>
      <c r="O30" s="670"/>
      <c r="P30" s="670"/>
      <c r="U30" s="231"/>
      <c r="V30" s="231"/>
      <c r="W30" s="231"/>
      <c r="X30" s="231"/>
      <c r="Y30" s="231"/>
      <c r="Z30" s="231"/>
      <c r="AA30" s="231"/>
      <c r="AB30" s="231"/>
      <c r="AC30" s="231"/>
      <c r="AD30" s="231"/>
      <c r="AE30" s="231"/>
      <c r="AF30" s="231"/>
      <c r="AG30" s="231"/>
      <c r="AH30" s="231"/>
      <c r="AI30" s="231"/>
    </row>
  </sheetData>
  <mergeCells count="56">
    <mergeCell ref="O28:P28"/>
    <mergeCell ref="O29:P29"/>
    <mergeCell ref="N30:P30"/>
    <mergeCell ref="O19:P19"/>
    <mergeCell ref="O20:P20"/>
    <mergeCell ref="O21:P21"/>
    <mergeCell ref="N22:P22"/>
    <mergeCell ref="O24:P24"/>
    <mergeCell ref="A1:P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B6:C6"/>
    <mergeCell ref="D6:E6"/>
    <mergeCell ref="F6:G6"/>
    <mergeCell ref="H6:I6"/>
    <mergeCell ref="J6:K6"/>
    <mergeCell ref="L6:M6"/>
    <mergeCell ref="N14:P14"/>
    <mergeCell ref="N6:O6"/>
    <mergeCell ref="A8:B8"/>
    <mergeCell ref="D8:F8"/>
    <mergeCell ref="G8:I8"/>
    <mergeCell ref="O8:P8"/>
    <mergeCell ref="O9:P9"/>
    <mergeCell ref="O10:P10"/>
    <mergeCell ref="O11:P11"/>
    <mergeCell ref="O12:P12"/>
    <mergeCell ref="O13:P13"/>
    <mergeCell ref="B17:B22"/>
    <mergeCell ref="C22:I22"/>
    <mergeCell ref="A9:A14"/>
    <mergeCell ref="B9:B14"/>
    <mergeCell ref="C14:I14"/>
    <mergeCell ref="O16:P16"/>
    <mergeCell ref="O17:P17"/>
    <mergeCell ref="O18:P18"/>
    <mergeCell ref="C30:I30"/>
    <mergeCell ref="A24:B24"/>
    <mergeCell ref="D24:F24"/>
    <mergeCell ref="G24:I24"/>
    <mergeCell ref="A25:A30"/>
    <mergeCell ref="B25:B30"/>
    <mergeCell ref="O25:P25"/>
    <mergeCell ref="O26:P26"/>
    <mergeCell ref="O27:P27"/>
    <mergeCell ref="A16:B16"/>
    <mergeCell ref="D16:F16"/>
    <mergeCell ref="G16:I16"/>
    <mergeCell ref="A17:A22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63" fitToWidth="0" fitToHeight="0" pageOrder="overThenDown" orientation="landscape" cellComments="atEnd" r:id="rId1"/>
  <rowBreaks count="1" manualBreakCount="1">
    <brk id="22" max="15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4">
    <tabColor rgb="FFFF0000"/>
    <outlinePr summaryBelow="0" summaryRight="0"/>
  </sheetPr>
  <dimension ref="A1:T156"/>
  <sheetViews>
    <sheetView view="pageBreakPreview" topLeftCell="A31" zoomScale="91" zoomScaleNormal="60" zoomScaleSheetLayoutView="91" workbookViewId="0">
      <selection activeCell="B5" sqref="B5:C5"/>
    </sheetView>
  </sheetViews>
  <sheetFormatPr defaultColWidth="12.5703125" defaultRowHeight="15.75" customHeight="1"/>
  <cols>
    <col min="1" max="1" width="5.42578125" style="289" customWidth="1"/>
    <col min="2" max="2" width="11.42578125" style="297" customWidth="1"/>
    <col min="3" max="3" width="4" style="298" customWidth="1"/>
    <col min="4" max="4" width="9.5703125" style="289" customWidth="1"/>
    <col min="5" max="5" width="10.28515625" style="289" customWidth="1"/>
    <col min="6" max="15" width="9.5703125" style="289" customWidth="1"/>
    <col min="16" max="16" width="38" style="289" customWidth="1"/>
    <col min="17" max="16384" width="12.5703125" style="289"/>
  </cols>
  <sheetData>
    <row r="1" spans="1:20" s="135" customFormat="1" ht="15.75" customHeight="1">
      <c r="A1" s="647" t="s">
        <v>339</v>
      </c>
      <c r="B1" s="647"/>
      <c r="C1" s="647"/>
      <c r="D1" s="647"/>
      <c r="E1" s="647"/>
      <c r="F1" s="647"/>
      <c r="G1" s="647"/>
      <c r="H1" s="647"/>
      <c r="I1" s="647"/>
      <c r="J1" s="647"/>
      <c r="K1" s="647"/>
      <c r="L1" s="647"/>
      <c r="M1" s="647"/>
      <c r="N1" s="647"/>
      <c r="O1" s="647"/>
      <c r="P1" s="647"/>
    </row>
    <row r="2" spans="1:20" s="136" customFormat="1" ht="15.75" customHeight="1">
      <c r="A2" s="647"/>
      <c r="B2" s="647"/>
      <c r="C2" s="647"/>
      <c r="D2" s="647"/>
      <c r="E2" s="647"/>
      <c r="F2" s="647"/>
      <c r="G2" s="647"/>
      <c r="H2" s="647"/>
      <c r="I2" s="647"/>
      <c r="J2" s="647"/>
      <c r="K2" s="647"/>
      <c r="L2" s="647"/>
      <c r="M2" s="647"/>
      <c r="N2" s="647"/>
      <c r="O2" s="647"/>
      <c r="P2" s="647"/>
    </row>
    <row r="3" spans="1:20" s="135" customFormat="1" ht="15.75" customHeight="1">
      <c r="A3" s="648" t="s">
        <v>408</v>
      </c>
      <c r="B3" s="648"/>
      <c r="C3" s="648"/>
      <c r="D3" s="648"/>
      <c r="E3" s="648"/>
      <c r="F3" s="648"/>
      <c r="G3" s="648"/>
      <c r="H3" s="648"/>
      <c r="I3" s="648"/>
      <c r="J3" s="648"/>
      <c r="K3" s="648"/>
      <c r="L3" s="648"/>
      <c r="M3" s="648"/>
    </row>
    <row r="4" spans="1:20" s="136" customFormat="1" ht="15.75" customHeight="1">
      <c r="A4" s="745"/>
      <c r="B4" s="745"/>
      <c r="C4" s="745"/>
      <c r="D4" s="745"/>
      <c r="E4" s="745"/>
      <c r="F4" s="745"/>
      <c r="G4" s="745"/>
      <c r="H4" s="745"/>
      <c r="I4" s="745"/>
      <c r="J4" s="745"/>
      <c r="K4" s="745"/>
      <c r="L4" s="745"/>
      <c r="M4" s="745"/>
    </row>
    <row r="5" spans="1:20" s="135" customFormat="1" ht="15.75" customHeight="1">
      <c r="A5" s="746" t="s">
        <v>174</v>
      </c>
      <c r="B5" s="748">
        <v>1</v>
      </c>
      <c r="C5" s="749"/>
      <c r="D5" s="748">
        <v>2</v>
      </c>
      <c r="E5" s="749"/>
      <c r="F5" s="748">
        <v>3</v>
      </c>
      <c r="G5" s="749"/>
      <c r="H5" s="739">
        <v>4</v>
      </c>
      <c r="I5" s="740"/>
      <c r="J5" s="739">
        <v>5</v>
      </c>
      <c r="K5" s="740"/>
      <c r="L5" s="739">
        <v>6</v>
      </c>
      <c r="M5" s="740"/>
      <c r="N5" s="739">
        <v>7</v>
      </c>
      <c r="O5" s="740"/>
      <c r="P5" s="327">
        <v>8</v>
      </c>
    </row>
    <row r="6" spans="1:20" s="135" customFormat="1" ht="15.75" customHeight="1">
      <c r="A6" s="747"/>
      <c r="B6" s="743" t="s">
        <v>427</v>
      </c>
      <c r="C6" s="744"/>
      <c r="D6" s="743" t="s">
        <v>195</v>
      </c>
      <c r="E6" s="744"/>
      <c r="F6" s="743" t="s">
        <v>166</v>
      </c>
      <c r="G6" s="744"/>
      <c r="H6" s="741" t="s">
        <v>406</v>
      </c>
      <c r="I6" s="742"/>
      <c r="J6" s="741" t="s">
        <v>172</v>
      </c>
      <c r="K6" s="742"/>
      <c r="L6" s="741" t="s">
        <v>167</v>
      </c>
      <c r="M6" s="742"/>
      <c r="N6" s="741" t="s">
        <v>173</v>
      </c>
      <c r="O6" s="742"/>
      <c r="P6" s="328" t="s">
        <v>200</v>
      </c>
    </row>
    <row r="7" spans="1:20" s="135" customFormat="1" ht="15.75" customHeight="1">
      <c r="B7" s="232"/>
      <c r="C7" s="233"/>
    </row>
    <row r="8" spans="1:20" s="278" customFormat="1" ht="15.75" customHeight="1">
      <c r="A8" s="683" t="s">
        <v>174</v>
      </c>
      <c r="B8" s="684"/>
      <c r="C8" s="275" t="s">
        <v>47</v>
      </c>
      <c r="D8" s="713" t="s">
        <v>12</v>
      </c>
      <c r="E8" s="714"/>
      <c r="F8" s="715"/>
      <c r="G8" s="716" t="s">
        <v>53</v>
      </c>
      <c r="H8" s="717"/>
      <c r="I8" s="718"/>
      <c r="J8" s="276" t="s">
        <v>54</v>
      </c>
      <c r="K8" s="276" t="s">
        <v>55</v>
      </c>
      <c r="L8" s="276" t="s">
        <v>56</v>
      </c>
      <c r="M8" s="277" t="s">
        <v>11</v>
      </c>
      <c r="N8" s="277" t="s">
        <v>312</v>
      </c>
      <c r="O8" s="691" t="s">
        <v>51</v>
      </c>
      <c r="P8" s="692"/>
      <c r="R8" s="339"/>
      <c r="S8" s="340"/>
    </row>
    <row r="9" spans="1:20" s="298" customFormat="1" ht="20.100000000000001" customHeight="1">
      <c r="A9" s="693">
        <v>4</v>
      </c>
      <c r="B9" s="727" t="s">
        <v>406</v>
      </c>
      <c r="C9" s="279">
        <v>1</v>
      </c>
      <c r="D9" s="237"/>
      <c r="E9" s="238"/>
      <c r="F9" s="239"/>
      <c r="G9" s="268"/>
      <c r="H9" s="238"/>
      <c r="I9" s="268"/>
      <c r="J9" s="236"/>
      <c r="K9" s="242"/>
      <c r="L9" s="236"/>
      <c r="M9" s="322">
        <f t="shared" ref="M9:M13" si="0">L9*J9</f>
        <v>0</v>
      </c>
      <c r="N9" s="314"/>
      <c r="O9" s="730"/>
      <c r="P9" s="731"/>
      <c r="R9" s="341"/>
      <c r="S9" s="341"/>
    </row>
    <row r="10" spans="1:20" s="298" customFormat="1" ht="20.100000000000001" customHeight="1">
      <c r="A10" s="694"/>
      <c r="B10" s="728"/>
      <c r="C10" s="279">
        <v>2</v>
      </c>
      <c r="D10" s="237"/>
      <c r="E10" s="238"/>
      <c r="F10" s="239"/>
      <c r="G10" s="237"/>
      <c r="H10" s="238"/>
      <c r="I10" s="268"/>
      <c r="J10" s="236"/>
      <c r="K10" s="242"/>
      <c r="L10" s="236"/>
      <c r="M10" s="322">
        <f t="shared" si="0"/>
        <v>0</v>
      </c>
      <c r="N10" s="314"/>
      <c r="O10" s="723"/>
      <c r="P10" s="724"/>
      <c r="R10" s="341"/>
      <c r="S10" s="341"/>
    </row>
    <row r="11" spans="1:20" s="298" customFormat="1" ht="20.100000000000001" customHeight="1">
      <c r="A11" s="694"/>
      <c r="B11" s="728"/>
      <c r="C11" s="279">
        <v>3</v>
      </c>
      <c r="D11" s="237"/>
      <c r="E11" s="238"/>
      <c r="F11" s="239"/>
      <c r="G11" s="268"/>
      <c r="H11" s="238"/>
      <c r="I11" s="268"/>
      <c r="J11" s="236"/>
      <c r="K11" s="242"/>
      <c r="L11" s="236"/>
      <c r="M11" s="322">
        <f t="shared" si="0"/>
        <v>0</v>
      </c>
      <c r="N11" s="314"/>
      <c r="O11" s="732"/>
      <c r="P11" s="733"/>
      <c r="R11" s="341"/>
      <c r="S11" s="339"/>
    </row>
    <row r="12" spans="1:20" s="298" customFormat="1" ht="20.100000000000001" customHeight="1">
      <c r="A12" s="694"/>
      <c r="B12" s="728"/>
      <c r="C12" s="279">
        <v>4</v>
      </c>
      <c r="D12" s="237"/>
      <c r="E12" s="238"/>
      <c r="F12" s="239"/>
      <c r="G12" s="244"/>
      <c r="H12" s="245"/>
      <c r="I12" s="271"/>
      <c r="J12" s="236"/>
      <c r="K12" s="242"/>
      <c r="L12" s="236"/>
      <c r="M12" s="322">
        <f t="shared" si="0"/>
        <v>0</v>
      </c>
      <c r="N12" s="314"/>
      <c r="O12" s="723"/>
      <c r="P12" s="724"/>
      <c r="R12" s="341"/>
      <c r="S12" s="339"/>
    </row>
    <row r="13" spans="1:20" s="298" customFormat="1" ht="20.100000000000001" customHeight="1" thickBot="1">
      <c r="A13" s="694"/>
      <c r="B13" s="728"/>
      <c r="C13" s="279">
        <v>5</v>
      </c>
      <c r="D13" s="244"/>
      <c r="E13" s="245"/>
      <c r="F13" s="246"/>
      <c r="G13" s="360"/>
      <c r="H13" s="359"/>
      <c r="I13" s="360"/>
      <c r="J13" s="247"/>
      <c r="K13" s="248"/>
      <c r="L13" s="247"/>
      <c r="M13" s="322">
        <f t="shared" si="0"/>
        <v>0</v>
      </c>
      <c r="N13" s="314"/>
      <c r="O13" s="734"/>
      <c r="P13" s="735"/>
      <c r="R13" s="342"/>
      <c r="S13" s="339"/>
      <c r="T13" s="289"/>
    </row>
    <row r="14" spans="1:20" ht="15.75" customHeight="1" thickTop="1" thickBot="1">
      <c r="A14" s="695"/>
      <c r="B14" s="729"/>
      <c r="C14" s="736"/>
      <c r="D14" s="737"/>
      <c r="E14" s="737"/>
      <c r="F14" s="737"/>
      <c r="G14" s="737"/>
      <c r="H14" s="737"/>
      <c r="I14" s="738"/>
      <c r="J14" s="295" t="s">
        <v>58</v>
      </c>
      <c r="K14" s="433">
        <f>M14/'生產管理報表 7-1(月)'!$B$9</f>
        <v>0</v>
      </c>
      <c r="L14" s="296" t="s">
        <v>59</v>
      </c>
      <c r="M14" s="334">
        <f>SUM(M9:M13)</f>
        <v>0</v>
      </c>
      <c r="N14" s="680"/>
      <c r="O14" s="681"/>
      <c r="P14" s="682"/>
      <c r="R14" s="339"/>
      <c r="S14" s="339"/>
    </row>
    <row r="15" spans="1:20" ht="15.75" customHeight="1" thickTop="1">
      <c r="M15" s="329"/>
      <c r="S15" s="339"/>
    </row>
    <row r="16" spans="1:20" ht="15.75" customHeight="1">
      <c r="A16" s="683" t="s">
        <v>174</v>
      </c>
      <c r="B16" s="684"/>
      <c r="C16" s="275" t="s">
        <v>47</v>
      </c>
      <c r="D16" s="713" t="s">
        <v>12</v>
      </c>
      <c r="E16" s="714"/>
      <c r="F16" s="715"/>
      <c r="G16" s="716" t="s">
        <v>53</v>
      </c>
      <c r="H16" s="717"/>
      <c r="I16" s="718"/>
      <c r="J16" s="276" t="s">
        <v>54</v>
      </c>
      <c r="K16" s="276" t="s">
        <v>55</v>
      </c>
      <c r="L16" s="276" t="s">
        <v>56</v>
      </c>
      <c r="M16" s="330" t="s">
        <v>11</v>
      </c>
      <c r="N16" s="277" t="s">
        <v>312</v>
      </c>
      <c r="O16" s="691" t="s">
        <v>51</v>
      </c>
      <c r="P16" s="692"/>
      <c r="S16" s="340"/>
      <c r="T16" s="298"/>
    </row>
    <row r="17" spans="1:20" s="298" customFormat="1" ht="66.75" customHeight="1">
      <c r="A17" s="693">
        <v>5</v>
      </c>
      <c r="B17" s="706" t="s">
        <v>198</v>
      </c>
      <c r="C17" s="279">
        <v>1</v>
      </c>
      <c r="D17" s="237" t="s">
        <v>319</v>
      </c>
      <c r="E17" s="238"/>
      <c r="F17" s="239"/>
      <c r="G17" s="306" t="s">
        <v>315</v>
      </c>
      <c r="H17" s="305"/>
      <c r="I17" s="306"/>
      <c r="J17" s="312">
        <v>147.43000000000004</v>
      </c>
      <c r="K17" s="313">
        <v>2.4342047066994543E-3</v>
      </c>
      <c r="L17" s="314">
        <v>41.82</v>
      </c>
      <c r="M17" s="322">
        <f t="shared" ref="M17:M21" si="1">L17*J17</f>
        <v>6165.5226000000011</v>
      </c>
      <c r="N17" s="314"/>
      <c r="O17" s="719" t="s">
        <v>652</v>
      </c>
      <c r="P17" s="720"/>
      <c r="S17" s="339"/>
    </row>
    <row r="18" spans="1:20" s="298" customFormat="1" ht="66.75" customHeight="1">
      <c r="A18" s="694"/>
      <c r="B18" s="707"/>
      <c r="C18" s="279">
        <v>2</v>
      </c>
      <c r="D18" s="237" t="s">
        <v>564</v>
      </c>
      <c r="E18" s="238"/>
      <c r="F18" s="239"/>
      <c r="G18" s="306" t="s">
        <v>594</v>
      </c>
      <c r="H18" s="305"/>
      <c r="I18" s="306"/>
      <c r="J18" s="312">
        <v>122.85000000000001</v>
      </c>
      <c r="K18" s="313">
        <v>8.1864281674479244E-3</v>
      </c>
      <c r="L18" s="314">
        <v>8.5399999999999991</v>
      </c>
      <c r="M18" s="322">
        <f t="shared" si="1"/>
        <v>1049.1389999999999</v>
      </c>
      <c r="N18" s="314"/>
      <c r="O18" s="711" t="s">
        <v>653</v>
      </c>
      <c r="P18" s="712"/>
      <c r="S18" s="289"/>
      <c r="T18" s="289"/>
    </row>
    <row r="19" spans="1:20" ht="20.100000000000001" customHeight="1">
      <c r="A19" s="694"/>
      <c r="B19" s="707"/>
      <c r="C19" s="279">
        <v>3</v>
      </c>
      <c r="D19" s="237"/>
      <c r="E19" s="281"/>
      <c r="F19" s="282"/>
      <c r="G19" s="350"/>
      <c r="H19" s="305"/>
      <c r="I19" s="306"/>
      <c r="J19" s="312"/>
      <c r="K19" s="313"/>
      <c r="L19" s="314"/>
      <c r="M19" s="322">
        <f t="shared" si="1"/>
        <v>0</v>
      </c>
      <c r="N19" s="288"/>
      <c r="O19" s="721"/>
      <c r="P19" s="722"/>
    </row>
    <row r="20" spans="1:20" ht="20.100000000000001" customHeight="1">
      <c r="A20" s="694"/>
      <c r="B20" s="707"/>
      <c r="C20" s="279">
        <v>4</v>
      </c>
      <c r="D20" s="237"/>
      <c r="E20" s="281"/>
      <c r="F20" s="282"/>
      <c r="G20" s="350"/>
      <c r="H20" s="305"/>
      <c r="I20" s="306"/>
      <c r="J20" s="312"/>
      <c r="K20" s="313"/>
      <c r="L20" s="314"/>
      <c r="M20" s="322">
        <f t="shared" si="1"/>
        <v>0</v>
      </c>
      <c r="N20" s="288"/>
      <c r="O20" s="723"/>
      <c r="P20" s="724"/>
    </row>
    <row r="21" spans="1:20" ht="20.100000000000001" customHeight="1" thickBot="1">
      <c r="A21" s="694"/>
      <c r="B21" s="707"/>
      <c r="C21" s="279">
        <v>5</v>
      </c>
      <c r="D21" s="244"/>
      <c r="E21" s="291"/>
      <c r="F21" s="292"/>
      <c r="G21" s="350"/>
      <c r="H21" s="305"/>
      <c r="I21" s="306"/>
      <c r="J21" s="316"/>
      <c r="K21" s="264"/>
      <c r="L21" s="317"/>
      <c r="M21" s="322">
        <f t="shared" si="1"/>
        <v>0</v>
      </c>
      <c r="N21" s="288"/>
      <c r="O21" s="725"/>
      <c r="P21" s="726"/>
      <c r="R21" s="343"/>
    </row>
    <row r="22" spans="1:20" ht="15.75" customHeight="1" thickTop="1" thickBot="1">
      <c r="A22" s="695"/>
      <c r="B22" s="708"/>
      <c r="C22" s="703"/>
      <c r="D22" s="704"/>
      <c r="E22" s="704"/>
      <c r="F22" s="704"/>
      <c r="G22" s="704"/>
      <c r="H22" s="704"/>
      <c r="I22" s="705"/>
      <c r="J22" s="295" t="s">
        <v>58</v>
      </c>
      <c r="K22" s="338">
        <f>M22/'生產管理報表 7-1(月)'!$B$9</f>
        <v>3.6334827063924158E-2</v>
      </c>
      <c r="L22" s="296" t="s">
        <v>59</v>
      </c>
      <c r="M22" s="334">
        <f>SUM(M17:M21)</f>
        <v>7214.6616000000013</v>
      </c>
      <c r="N22" s="680"/>
      <c r="O22" s="681"/>
      <c r="P22" s="682"/>
      <c r="R22" s="339"/>
    </row>
    <row r="23" spans="1:20" ht="15.75" customHeight="1" thickTop="1">
      <c r="M23" s="329"/>
      <c r="R23" s="339"/>
    </row>
    <row r="24" spans="1:20" ht="15.75" customHeight="1">
      <c r="A24" s="683" t="s">
        <v>174</v>
      </c>
      <c r="B24" s="684"/>
      <c r="C24" s="303" t="s">
        <v>47</v>
      </c>
      <c r="D24" s="685" t="s">
        <v>12</v>
      </c>
      <c r="E24" s="686"/>
      <c r="F24" s="687"/>
      <c r="G24" s="688" t="s">
        <v>53</v>
      </c>
      <c r="H24" s="689"/>
      <c r="I24" s="690"/>
      <c r="J24" s="304" t="s">
        <v>54</v>
      </c>
      <c r="K24" s="276" t="s">
        <v>55</v>
      </c>
      <c r="L24" s="276" t="s">
        <v>56</v>
      </c>
      <c r="M24" s="330" t="s">
        <v>11</v>
      </c>
      <c r="N24" s="277" t="s">
        <v>312</v>
      </c>
      <c r="O24" s="691" t="s">
        <v>51</v>
      </c>
      <c r="P24" s="692"/>
      <c r="R24" s="339"/>
    </row>
    <row r="25" spans="1:20" s="298" customFormat="1" ht="81" customHeight="1">
      <c r="A25" s="693">
        <v>6</v>
      </c>
      <c r="B25" s="706" t="s">
        <v>199</v>
      </c>
      <c r="C25" s="279">
        <v>1</v>
      </c>
      <c r="D25" s="237" t="s">
        <v>485</v>
      </c>
      <c r="E25" s="238"/>
      <c r="F25" s="239"/>
      <c r="G25" s="306" t="s">
        <v>314</v>
      </c>
      <c r="H25" s="305"/>
      <c r="I25" s="306"/>
      <c r="J25" s="312">
        <v>15.45</v>
      </c>
      <c r="K25" s="313">
        <v>2.1239320487524476E-3</v>
      </c>
      <c r="L25" s="314">
        <v>677</v>
      </c>
      <c r="M25" s="322">
        <f t="shared" ref="M25:M29" si="2">L25*J25</f>
        <v>10459.65</v>
      </c>
      <c r="N25" s="314"/>
      <c r="O25" s="709" t="s">
        <v>654</v>
      </c>
      <c r="P25" s="710"/>
    </row>
    <row r="26" spans="1:20" ht="81" customHeight="1">
      <c r="A26" s="694"/>
      <c r="B26" s="707"/>
      <c r="C26" s="279">
        <v>2</v>
      </c>
      <c r="D26" s="237" t="s">
        <v>319</v>
      </c>
      <c r="E26" s="281"/>
      <c r="F26" s="282"/>
      <c r="G26" s="240" t="s">
        <v>495</v>
      </c>
      <c r="H26" s="241"/>
      <c r="I26" s="240"/>
      <c r="J26" s="312">
        <v>39.389999999999993</v>
      </c>
      <c r="K26" s="313">
        <v>1.1534913258360083E-3</v>
      </c>
      <c r="L26" s="314">
        <v>169.14999999999998</v>
      </c>
      <c r="M26" s="322">
        <f t="shared" si="2"/>
        <v>6662.8184999999976</v>
      </c>
      <c r="N26" s="288"/>
      <c r="O26" s="711" t="s">
        <v>655</v>
      </c>
      <c r="P26" s="712"/>
    </row>
    <row r="27" spans="1:20" ht="81" customHeight="1">
      <c r="A27" s="694"/>
      <c r="B27" s="707"/>
      <c r="C27" s="279">
        <v>3</v>
      </c>
      <c r="D27" s="237" t="s">
        <v>581</v>
      </c>
      <c r="E27" s="281"/>
      <c r="F27" s="282"/>
      <c r="G27" s="240" t="s">
        <v>592</v>
      </c>
      <c r="H27" s="241"/>
      <c r="I27" s="240"/>
      <c r="J27" s="312">
        <v>52.26</v>
      </c>
      <c r="K27" s="313">
        <v>4.6661396934026596E-3</v>
      </c>
      <c r="L27" s="314">
        <v>100.97999999999999</v>
      </c>
      <c r="M27" s="322">
        <f t="shared" si="2"/>
        <v>5277.2147999999988</v>
      </c>
      <c r="N27" s="288"/>
      <c r="O27" s="711" t="s">
        <v>656</v>
      </c>
      <c r="P27" s="712"/>
    </row>
    <row r="28" spans="1:20" ht="81" customHeight="1">
      <c r="A28" s="694"/>
      <c r="B28" s="707"/>
      <c r="C28" s="279">
        <v>4</v>
      </c>
      <c r="D28" s="237" t="s">
        <v>498</v>
      </c>
      <c r="E28" s="281"/>
      <c r="F28" s="282"/>
      <c r="G28" s="240" t="s">
        <v>499</v>
      </c>
      <c r="H28" s="241"/>
      <c r="I28" s="240"/>
      <c r="J28" s="312">
        <v>62.43</v>
      </c>
      <c r="K28" s="313">
        <v>5.2578259238101575E-3</v>
      </c>
      <c r="L28" s="314">
        <v>52.209999999999994</v>
      </c>
      <c r="M28" s="322">
        <f t="shared" si="2"/>
        <v>3259.4702999999995</v>
      </c>
      <c r="N28" s="288"/>
      <c r="O28" s="711" t="s">
        <v>657</v>
      </c>
      <c r="P28" s="712"/>
    </row>
    <row r="29" spans="1:20" ht="81" customHeight="1" thickBot="1">
      <c r="A29" s="694"/>
      <c r="B29" s="707"/>
      <c r="C29" s="279">
        <v>5</v>
      </c>
      <c r="D29" s="244" t="s">
        <v>536</v>
      </c>
      <c r="E29" s="291"/>
      <c r="F29" s="292"/>
      <c r="G29" s="240" t="s">
        <v>540</v>
      </c>
      <c r="H29" s="241"/>
      <c r="I29" s="240"/>
      <c r="J29" s="316">
        <v>39.389999999999993</v>
      </c>
      <c r="K29" s="379">
        <v>5.1334467070313968E-3</v>
      </c>
      <c r="L29" s="317">
        <v>64.88</v>
      </c>
      <c r="M29" s="322">
        <f t="shared" si="2"/>
        <v>2555.6231999999995</v>
      </c>
      <c r="N29" s="288"/>
      <c r="O29" s="711" t="s">
        <v>658</v>
      </c>
      <c r="P29" s="712"/>
    </row>
    <row r="30" spans="1:20" ht="15.75" customHeight="1" thickTop="1" thickBot="1">
      <c r="A30" s="695"/>
      <c r="B30" s="708"/>
      <c r="C30" s="703"/>
      <c r="D30" s="704"/>
      <c r="E30" s="704"/>
      <c r="F30" s="704"/>
      <c r="G30" s="704"/>
      <c r="H30" s="704"/>
      <c r="I30" s="705"/>
      <c r="J30" s="295" t="s">
        <v>58</v>
      </c>
      <c r="K30" s="433">
        <f>M30/'生產管理報表 7-1(月)'!$B$9</f>
        <v>0.14209662109103205</v>
      </c>
      <c r="L30" s="296" t="s">
        <v>59</v>
      </c>
      <c r="M30" s="334">
        <f>SUM(M25:M29)</f>
        <v>28214.776799999992</v>
      </c>
      <c r="N30" s="680"/>
      <c r="O30" s="681"/>
      <c r="P30" s="682"/>
    </row>
    <row r="31" spans="1:20" ht="15.75" customHeight="1" thickTop="1">
      <c r="M31" s="329"/>
    </row>
    <row r="32" spans="1:20" ht="15.75" customHeight="1">
      <c r="A32" s="683" t="s">
        <v>174</v>
      </c>
      <c r="B32" s="684"/>
      <c r="C32" s="303" t="s">
        <v>47</v>
      </c>
      <c r="D32" s="685" t="s">
        <v>12</v>
      </c>
      <c r="E32" s="686"/>
      <c r="F32" s="687"/>
      <c r="G32" s="688" t="s">
        <v>53</v>
      </c>
      <c r="H32" s="689"/>
      <c r="I32" s="690"/>
      <c r="J32" s="304" t="s">
        <v>54</v>
      </c>
      <c r="K32" s="276" t="s">
        <v>55</v>
      </c>
      <c r="L32" s="276" t="s">
        <v>56</v>
      </c>
      <c r="M32" s="330" t="s">
        <v>11</v>
      </c>
      <c r="N32" s="277" t="s">
        <v>312</v>
      </c>
      <c r="O32" s="691" t="s">
        <v>51</v>
      </c>
      <c r="P32" s="692"/>
    </row>
    <row r="33" spans="1:16" ht="20.100000000000001" customHeight="1">
      <c r="A33" s="693">
        <v>7</v>
      </c>
      <c r="B33" s="696" t="s">
        <v>231</v>
      </c>
      <c r="C33" s="279">
        <v>1</v>
      </c>
      <c r="D33" s="280"/>
      <c r="E33" s="281"/>
      <c r="F33" s="282"/>
      <c r="G33" s="283"/>
      <c r="H33" s="284"/>
      <c r="I33" s="285"/>
      <c r="J33" s="286"/>
      <c r="K33" s="287"/>
      <c r="L33" s="288"/>
      <c r="M33" s="331">
        <f t="shared" ref="M33:M35" si="3">L33*J33</f>
        <v>0</v>
      </c>
      <c r="N33" s="288"/>
      <c r="O33" s="699"/>
      <c r="P33" s="700"/>
    </row>
    <row r="34" spans="1:16" ht="20.100000000000001" customHeight="1">
      <c r="A34" s="694"/>
      <c r="B34" s="697"/>
      <c r="C34" s="279">
        <v>2</v>
      </c>
      <c r="D34" s="280"/>
      <c r="E34" s="281"/>
      <c r="F34" s="282"/>
      <c r="G34" s="283"/>
      <c r="H34" s="284"/>
      <c r="I34" s="285"/>
      <c r="J34" s="286"/>
      <c r="K34" s="287"/>
      <c r="L34" s="288"/>
      <c r="M34" s="331">
        <f t="shared" si="3"/>
        <v>0</v>
      </c>
      <c r="N34" s="288"/>
      <c r="O34" s="701"/>
      <c r="P34" s="702"/>
    </row>
    <row r="35" spans="1:16" ht="20.100000000000001" customHeight="1">
      <c r="A35" s="694"/>
      <c r="B35" s="697"/>
      <c r="C35" s="279">
        <v>3</v>
      </c>
      <c r="D35" s="280"/>
      <c r="E35" s="281"/>
      <c r="F35" s="282"/>
      <c r="G35" s="283"/>
      <c r="H35" s="284"/>
      <c r="I35" s="285"/>
      <c r="J35" s="286"/>
      <c r="K35" s="287"/>
      <c r="L35" s="288"/>
      <c r="M35" s="331">
        <f t="shared" si="3"/>
        <v>0</v>
      </c>
      <c r="N35" s="288"/>
      <c r="O35" s="701"/>
      <c r="P35" s="702"/>
    </row>
    <row r="36" spans="1:16" ht="20.100000000000001" customHeight="1">
      <c r="A36" s="694"/>
      <c r="B36" s="697"/>
      <c r="C36" s="279">
        <v>4</v>
      </c>
      <c r="D36" s="280"/>
      <c r="E36" s="281"/>
      <c r="F36" s="282"/>
      <c r="G36" s="283"/>
      <c r="H36" s="284"/>
      <c r="I36" s="285"/>
      <c r="J36" s="286"/>
      <c r="K36" s="287"/>
      <c r="L36" s="288"/>
      <c r="M36" s="332">
        <v>0</v>
      </c>
      <c r="N36" s="288"/>
      <c r="O36" s="299"/>
      <c r="P36" s="300"/>
    </row>
    <row r="37" spans="1:16" ht="20.100000000000001" customHeight="1" thickBot="1">
      <c r="A37" s="694"/>
      <c r="B37" s="697"/>
      <c r="C37" s="279">
        <v>5</v>
      </c>
      <c r="D37" s="290"/>
      <c r="E37" s="291"/>
      <c r="F37" s="292"/>
      <c r="G37" s="283"/>
      <c r="H37" s="284"/>
      <c r="I37" s="285"/>
      <c r="J37" s="293"/>
      <c r="K37" s="264"/>
      <c r="L37" s="294"/>
      <c r="M37" s="333">
        <v>0</v>
      </c>
      <c r="N37" s="288"/>
      <c r="O37" s="301"/>
      <c r="P37" s="302"/>
    </row>
    <row r="38" spans="1:16" ht="15.75" customHeight="1" thickTop="1" thickBot="1">
      <c r="A38" s="695"/>
      <c r="B38" s="698"/>
      <c r="C38" s="703"/>
      <c r="D38" s="704"/>
      <c r="E38" s="704"/>
      <c r="F38" s="704"/>
      <c r="G38" s="704"/>
      <c r="H38" s="704"/>
      <c r="I38" s="705"/>
      <c r="J38" s="295" t="s">
        <v>58</v>
      </c>
      <c r="K38" s="433">
        <f>M38/'生產管理報表 7-1(月)'!$B$9</f>
        <v>0</v>
      </c>
      <c r="L38" s="296" t="s">
        <v>59</v>
      </c>
      <c r="M38" s="334">
        <f>SUM(M33:M37)</f>
        <v>0</v>
      </c>
      <c r="N38" s="680"/>
      <c r="O38" s="681"/>
      <c r="P38" s="682"/>
    </row>
    <row r="39" spans="1:16" ht="15.75" customHeight="1" thickTop="1"/>
    <row r="44" spans="1:16" ht="15.75" customHeight="1">
      <c r="O44" s="289" ph="1"/>
      <c r="P44" s="289" ph="1"/>
    </row>
    <row r="46" spans="1:16" ht="15.75" customHeight="1">
      <c r="O46" s="289" ph="1"/>
      <c r="P46" s="289" ph="1"/>
    </row>
    <row r="47" spans="1:16" ht="15.75" customHeight="1">
      <c r="O47" s="289" ph="1"/>
      <c r="P47" s="289" ph="1"/>
    </row>
    <row r="117" spans="15:16" ht="15.75" customHeight="1">
      <c r="O117" s="289" ph="1"/>
      <c r="P117" s="289" ph="1"/>
    </row>
    <row r="119" spans="15:16" ht="15.75" customHeight="1">
      <c r="O119" s="289" ph="1"/>
      <c r="P119" s="289" ph="1"/>
    </row>
    <row r="120" spans="15:16" ht="15.75" customHeight="1">
      <c r="O120" s="289" ph="1"/>
      <c r="P120" s="289" ph="1"/>
    </row>
    <row r="153" spans="15:16" ht="15.75" customHeight="1">
      <c r="O153" s="289" ph="1"/>
      <c r="P153" s="289" ph="1"/>
    </row>
    <row r="155" spans="15:16" ht="15.75" customHeight="1">
      <c r="O155" s="289" ph="1"/>
      <c r="P155" s="289" ph="1"/>
    </row>
    <row r="156" spans="15:16" ht="15.75" customHeight="1">
      <c r="O156" s="289" ph="1"/>
      <c r="P156" s="289" ph="1"/>
    </row>
  </sheetData>
  <mergeCells count="67">
    <mergeCell ref="A1:P2"/>
    <mergeCell ref="N5:O5"/>
    <mergeCell ref="N6:O6"/>
    <mergeCell ref="B6:C6"/>
    <mergeCell ref="D6:E6"/>
    <mergeCell ref="F6:G6"/>
    <mergeCell ref="H6:I6"/>
    <mergeCell ref="J6:K6"/>
    <mergeCell ref="L6:M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O20:P20"/>
    <mergeCell ref="O21:P21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O26:P26"/>
    <mergeCell ref="O27:P27"/>
    <mergeCell ref="O28:P28"/>
    <mergeCell ref="O29:P29"/>
    <mergeCell ref="N38:P38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51" fitToWidth="0" fitToHeight="0" pageOrder="overThenDown" orientation="landscape" cellComments="atEn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5">
    <tabColor rgb="FFFF0000"/>
    <outlinePr summaryBelow="0" summaryRight="0"/>
  </sheetPr>
  <dimension ref="A1:BW30"/>
  <sheetViews>
    <sheetView view="pageBreakPreview" zoomScaleNormal="60" zoomScaleSheetLayoutView="100" workbookViewId="0">
      <selection activeCell="B5" sqref="B5:C5"/>
    </sheetView>
  </sheetViews>
  <sheetFormatPr defaultColWidth="12.5703125" defaultRowHeight="15.75" customHeight="1"/>
  <cols>
    <col min="1" max="1" width="5.42578125" style="135" customWidth="1"/>
    <col min="2" max="2" width="11.42578125" style="232" customWidth="1"/>
    <col min="3" max="3" width="4" style="233" customWidth="1"/>
    <col min="4" max="15" width="9.5703125" style="135" customWidth="1"/>
    <col min="16" max="16" width="47.85546875" style="135" customWidth="1"/>
    <col min="17" max="17" width="9.5703125" style="135" customWidth="1"/>
    <col min="18" max="21" width="12.5703125" style="231"/>
    <col min="22" max="22" width="24.42578125" style="135" bestFit="1" customWidth="1"/>
    <col min="23" max="23" width="19.42578125" style="135" bestFit="1" customWidth="1"/>
    <col min="24" max="24" width="23" style="135" bestFit="1" customWidth="1"/>
    <col min="25" max="25" width="11.7109375" style="135" bestFit="1" customWidth="1"/>
    <col min="26" max="26" width="15.85546875" style="135" bestFit="1" customWidth="1"/>
    <col min="27" max="27" width="23.5703125" style="135" bestFit="1" customWidth="1"/>
    <col min="28" max="28" width="23" style="135" bestFit="1" customWidth="1"/>
    <col min="29" max="29" width="11.7109375" style="135" bestFit="1" customWidth="1"/>
    <col min="30" max="30" width="20.5703125" style="135" bestFit="1" customWidth="1"/>
    <col min="31" max="31" width="15" style="135" bestFit="1" customWidth="1"/>
    <col min="32" max="32" width="23" style="135" bestFit="1" customWidth="1"/>
    <col min="33" max="33" width="11.7109375" style="135" bestFit="1" customWidth="1"/>
    <col min="34" max="34" width="15.85546875" style="135" bestFit="1" customWidth="1"/>
    <col min="35" max="35" width="15" style="135" bestFit="1" customWidth="1"/>
    <col min="36" max="36" width="23" style="135" bestFit="1" customWidth="1"/>
    <col min="37" max="37" width="15" style="135" bestFit="1" customWidth="1"/>
    <col min="38" max="38" width="23" style="135" bestFit="1" customWidth="1"/>
    <col min="39" max="39" width="11.7109375" style="135" bestFit="1" customWidth="1"/>
    <col min="40" max="40" width="13.85546875" style="135" bestFit="1" customWidth="1"/>
    <col min="41" max="41" width="27.85546875" style="135" bestFit="1" customWidth="1"/>
    <col min="42" max="42" width="23" style="135" bestFit="1" customWidth="1"/>
    <col min="43" max="43" width="8" style="135" bestFit="1" customWidth="1"/>
    <col min="44" max="44" width="30.7109375" style="135" bestFit="1" customWidth="1"/>
    <col min="45" max="45" width="25.7109375" style="135" bestFit="1" customWidth="1"/>
    <col min="46" max="46" width="23" style="135" bestFit="1" customWidth="1"/>
    <col min="47" max="47" width="15" style="135" bestFit="1" customWidth="1"/>
    <col min="48" max="48" width="23" style="135" bestFit="1" customWidth="1"/>
    <col min="49" max="49" width="11.7109375" style="135" bestFit="1" customWidth="1"/>
    <col min="50" max="50" width="20.140625" style="135" bestFit="1" customWidth="1"/>
    <col min="51" max="51" width="23.5703125" style="135" bestFit="1" customWidth="1"/>
    <col min="52" max="52" width="23" style="135" bestFit="1" customWidth="1"/>
    <col min="53" max="53" width="11.7109375" style="135" bestFit="1" customWidth="1"/>
    <col min="54" max="54" width="21.42578125" style="135" bestFit="1" customWidth="1"/>
    <col min="55" max="55" width="15" style="135" bestFit="1" customWidth="1"/>
    <col min="56" max="56" width="23" style="135" bestFit="1" customWidth="1"/>
    <col min="57" max="57" width="11.7109375" style="135" bestFit="1" customWidth="1"/>
    <col min="58" max="58" width="13.85546875" style="135" bestFit="1" customWidth="1"/>
    <col min="59" max="59" width="22" style="135" bestFit="1" customWidth="1"/>
    <col min="60" max="60" width="23" style="135" bestFit="1" customWidth="1"/>
    <col min="61" max="61" width="15" style="135" bestFit="1" customWidth="1"/>
    <col min="62" max="62" width="23" style="135" bestFit="1" customWidth="1"/>
    <col min="63" max="63" width="11.7109375" style="135" bestFit="1" customWidth="1"/>
    <col min="64" max="64" width="24.7109375" style="135" bestFit="1" customWidth="1"/>
    <col min="65" max="65" width="18.7109375" style="135" bestFit="1" customWidth="1"/>
    <col min="66" max="66" width="23" style="135" bestFit="1" customWidth="1"/>
    <col min="67" max="67" width="15" style="135" bestFit="1" customWidth="1"/>
    <col min="68" max="68" width="23" style="135" bestFit="1" customWidth="1"/>
    <col min="69" max="69" width="15" style="135" bestFit="1" customWidth="1"/>
    <col min="70" max="70" width="23" style="135" bestFit="1" customWidth="1"/>
    <col min="71" max="71" width="15" style="135" bestFit="1" customWidth="1"/>
    <col min="72" max="72" width="21.85546875" style="135" bestFit="1" customWidth="1"/>
    <col min="73" max="73" width="10.5703125" style="135" bestFit="1" customWidth="1"/>
    <col min="74" max="74" width="21.42578125" style="135" bestFit="1" customWidth="1"/>
    <col min="75" max="75" width="5.42578125" style="135" bestFit="1" customWidth="1"/>
    <col min="76" max="16384" width="12.5703125" style="135"/>
  </cols>
  <sheetData>
    <row r="1" spans="1:75" ht="15.75" customHeight="1">
      <c r="A1" s="647" t="s">
        <v>339</v>
      </c>
      <c r="B1" s="647"/>
      <c r="C1" s="647"/>
      <c r="D1" s="647"/>
      <c r="E1" s="647"/>
      <c r="F1" s="647"/>
      <c r="G1" s="647"/>
      <c r="H1" s="647"/>
      <c r="I1" s="647"/>
      <c r="J1" s="647"/>
      <c r="K1" s="647"/>
      <c r="L1" s="647"/>
      <c r="M1" s="647"/>
      <c r="N1" s="647"/>
      <c r="O1" s="647"/>
      <c r="P1" s="647"/>
      <c r="Q1" s="647"/>
    </row>
    <row r="2" spans="1:75" s="136" customFormat="1" ht="15.75" customHeight="1">
      <c r="A2" s="647"/>
      <c r="B2" s="647"/>
      <c r="C2" s="647"/>
      <c r="D2" s="647"/>
      <c r="E2" s="647"/>
      <c r="F2" s="647"/>
      <c r="G2" s="647"/>
      <c r="H2" s="647"/>
      <c r="I2" s="647"/>
      <c r="J2" s="647"/>
      <c r="K2" s="647"/>
      <c r="L2" s="647"/>
      <c r="M2" s="647"/>
      <c r="N2" s="647"/>
      <c r="O2" s="647"/>
      <c r="P2" s="647"/>
      <c r="Q2" s="647"/>
    </row>
    <row r="3" spans="1:75" ht="15.75" customHeight="1">
      <c r="A3" s="648" t="s">
        <v>409</v>
      </c>
      <c r="B3" s="676"/>
      <c r="C3" s="676"/>
      <c r="D3" s="676"/>
      <c r="E3" s="676"/>
      <c r="F3" s="676"/>
      <c r="G3" s="676"/>
      <c r="H3" s="676"/>
      <c r="I3" s="676"/>
      <c r="J3" s="676"/>
      <c r="K3" s="676"/>
      <c r="L3" s="676"/>
      <c r="M3" s="676"/>
    </row>
    <row r="4" spans="1:75" s="136" customFormat="1" ht="15.75" customHeight="1">
      <c r="A4" s="676"/>
      <c r="B4" s="676"/>
      <c r="C4" s="676"/>
      <c r="D4" s="676"/>
      <c r="E4" s="676"/>
      <c r="F4" s="676"/>
      <c r="G4" s="676"/>
      <c r="H4" s="676"/>
      <c r="I4" s="676"/>
      <c r="J4" s="676"/>
      <c r="K4" s="676"/>
      <c r="L4" s="676"/>
      <c r="M4" s="676"/>
    </row>
    <row r="5" spans="1:75" ht="15.75" customHeight="1">
      <c r="A5" s="650" t="s">
        <v>174</v>
      </c>
      <c r="B5" s="677">
        <v>1</v>
      </c>
      <c r="C5" s="677"/>
      <c r="D5" s="677">
        <v>2</v>
      </c>
      <c r="E5" s="677"/>
      <c r="F5" s="677">
        <v>3</v>
      </c>
      <c r="G5" s="677"/>
      <c r="H5" s="653">
        <v>4</v>
      </c>
      <c r="I5" s="653"/>
      <c r="J5" s="653">
        <v>5</v>
      </c>
      <c r="K5" s="653"/>
      <c r="L5" s="653">
        <v>6</v>
      </c>
      <c r="M5" s="653"/>
      <c r="N5" s="653">
        <v>7</v>
      </c>
      <c r="O5" s="653"/>
      <c r="P5" s="653">
        <v>8</v>
      </c>
      <c r="Q5" s="653"/>
    </row>
    <row r="6" spans="1:75" ht="15.75" customHeight="1">
      <c r="A6" s="650"/>
      <c r="B6" s="678" t="s">
        <v>427</v>
      </c>
      <c r="C6" s="678"/>
      <c r="D6" s="678" t="s">
        <v>195</v>
      </c>
      <c r="E6" s="678"/>
      <c r="F6" s="678" t="s">
        <v>166</v>
      </c>
      <c r="G6" s="678"/>
      <c r="H6" s="650" t="s">
        <v>406</v>
      </c>
      <c r="I6" s="650"/>
      <c r="J6" s="650" t="s">
        <v>172</v>
      </c>
      <c r="K6" s="650"/>
      <c r="L6" s="650" t="s">
        <v>167</v>
      </c>
      <c r="M6" s="650"/>
      <c r="N6" s="650" t="s">
        <v>173</v>
      </c>
      <c r="O6" s="650"/>
      <c r="P6" s="769" t="s">
        <v>200</v>
      </c>
      <c r="Q6" s="650"/>
    </row>
    <row r="8" spans="1:75" s="235" customFormat="1" ht="15.75" customHeight="1">
      <c r="A8" s="653" t="s">
        <v>174</v>
      </c>
      <c r="B8" s="653"/>
      <c r="C8" s="234" t="s">
        <v>47</v>
      </c>
      <c r="D8" s="671" t="s">
        <v>12</v>
      </c>
      <c r="E8" s="671"/>
      <c r="F8" s="671"/>
      <c r="G8" s="665" t="s">
        <v>53</v>
      </c>
      <c r="H8" s="666"/>
      <c r="I8" s="667"/>
      <c r="J8" s="234" t="s">
        <v>54</v>
      </c>
      <c r="K8" s="234" t="s">
        <v>55</v>
      </c>
      <c r="L8" s="234" t="s">
        <v>56</v>
      </c>
      <c r="M8" s="234" t="s">
        <v>11</v>
      </c>
      <c r="N8" s="234" t="s">
        <v>312</v>
      </c>
      <c r="O8" s="657" t="s">
        <v>51</v>
      </c>
      <c r="P8" s="657"/>
    </row>
    <row r="9" spans="1:75" ht="24.95" customHeight="1">
      <c r="A9" s="653">
        <v>1</v>
      </c>
      <c r="B9" s="668" t="s">
        <v>428</v>
      </c>
      <c r="C9" s="236">
        <v>1</v>
      </c>
      <c r="D9" s="237"/>
      <c r="E9" s="238"/>
      <c r="F9" s="239"/>
      <c r="G9" s="268"/>
      <c r="H9" s="238"/>
      <c r="I9" s="268"/>
      <c r="J9" s="236"/>
      <c r="K9" s="242"/>
      <c r="L9" s="236"/>
      <c r="M9" s="322">
        <f>L9*J9</f>
        <v>0</v>
      </c>
      <c r="N9" s="243"/>
      <c r="O9" s="730"/>
      <c r="P9" s="731"/>
    </row>
    <row r="10" spans="1:75" ht="24.95" customHeight="1">
      <c r="A10" s="653"/>
      <c r="B10" s="668"/>
      <c r="C10" s="236">
        <v>2</v>
      </c>
      <c r="D10" s="237"/>
      <c r="E10" s="238"/>
      <c r="F10" s="239"/>
      <c r="G10" s="237"/>
      <c r="H10" s="238"/>
      <c r="I10" s="268"/>
      <c r="J10" s="236"/>
      <c r="K10" s="242"/>
      <c r="L10" s="236"/>
      <c r="M10" s="322">
        <f t="shared" ref="M10:M13" si="0">L10*J10</f>
        <v>0</v>
      </c>
      <c r="N10" s="243"/>
      <c r="O10" s="764"/>
      <c r="P10" s="765"/>
      <c r="V10" s="231"/>
      <c r="W10" s="231"/>
      <c r="X10" s="231"/>
      <c r="Y10" s="231"/>
      <c r="Z10" s="231"/>
      <c r="AA10" s="231"/>
      <c r="AB10" s="231"/>
      <c r="AC10" s="231"/>
      <c r="AD10" s="231"/>
      <c r="AE10" s="231"/>
      <c r="AF10" s="231"/>
      <c r="AG10" s="231"/>
      <c r="AH10" s="231"/>
      <c r="AI10" s="231"/>
      <c r="AJ10" s="231"/>
      <c r="AK10" s="231"/>
      <c r="AL10" s="231"/>
      <c r="AM10" s="231"/>
      <c r="AN10" s="231"/>
      <c r="AO10" s="231"/>
      <c r="AP10" s="231"/>
      <c r="AQ10" s="231"/>
      <c r="AR10" s="231"/>
      <c r="AS10" s="231"/>
      <c r="AT10" s="231"/>
      <c r="AU10" s="231"/>
      <c r="AV10" s="231"/>
      <c r="AW10" s="231"/>
      <c r="AX10" s="231"/>
      <c r="AY10" s="231"/>
      <c r="AZ10" s="231"/>
      <c r="BA10" s="231"/>
      <c r="BB10" s="231"/>
      <c r="BC10" s="231"/>
      <c r="BD10" s="231"/>
      <c r="BE10" s="231"/>
      <c r="BF10" s="231"/>
      <c r="BG10" s="231"/>
      <c r="BH10" s="231"/>
      <c r="BI10" s="231"/>
      <c r="BJ10" s="231"/>
      <c r="BK10" s="231"/>
      <c r="BL10" s="231"/>
      <c r="BM10" s="231"/>
      <c r="BN10" s="231"/>
      <c r="BO10" s="231"/>
      <c r="BP10" s="231"/>
      <c r="BQ10" s="231"/>
      <c r="BR10" s="231"/>
      <c r="BS10" s="231"/>
      <c r="BT10" s="231"/>
      <c r="BU10" s="231"/>
      <c r="BV10" s="231"/>
      <c r="BW10" s="231"/>
    </row>
    <row r="11" spans="1:75" ht="24.95" customHeight="1">
      <c r="A11" s="653"/>
      <c r="B11" s="668"/>
      <c r="C11" s="236">
        <v>3</v>
      </c>
      <c r="D11" s="237"/>
      <c r="E11" s="238"/>
      <c r="F11" s="239"/>
      <c r="G11" s="268"/>
      <c r="H11" s="238"/>
      <c r="I11" s="268"/>
      <c r="J11" s="236"/>
      <c r="K11" s="242"/>
      <c r="L11" s="236"/>
      <c r="M11" s="322">
        <f t="shared" si="0"/>
        <v>0</v>
      </c>
      <c r="N11" s="243"/>
      <c r="O11" s="764"/>
      <c r="P11" s="765"/>
      <c r="V11" s="231"/>
      <c r="W11" s="231"/>
      <c r="X11" s="231"/>
      <c r="Y11" s="231"/>
      <c r="Z11" s="231"/>
      <c r="AA11" s="231"/>
      <c r="AB11" s="231"/>
      <c r="AC11" s="231"/>
      <c r="AD11" s="231"/>
      <c r="AE11" s="231"/>
      <c r="AF11" s="231"/>
      <c r="AG11" s="231"/>
      <c r="AH11" s="231"/>
      <c r="AI11" s="231"/>
      <c r="AJ11" s="231"/>
      <c r="AK11" s="231"/>
      <c r="AL11" s="231"/>
      <c r="AM11" s="231"/>
      <c r="AN11" s="231"/>
      <c r="AO11" s="231"/>
      <c r="AP11" s="231"/>
      <c r="AQ11" s="231"/>
      <c r="AR11" s="231"/>
      <c r="AS11" s="231"/>
      <c r="AT11" s="231"/>
      <c r="AU11" s="231"/>
      <c r="AV11" s="231"/>
      <c r="AW11" s="231"/>
      <c r="AX11" s="231"/>
      <c r="AY11" s="231"/>
      <c r="AZ11" s="231"/>
      <c r="BA11" s="231"/>
      <c r="BB11" s="231"/>
      <c r="BC11" s="231"/>
      <c r="BD11" s="231"/>
      <c r="BE11" s="231"/>
      <c r="BF11" s="231"/>
      <c r="BG11" s="231"/>
      <c r="BH11" s="231"/>
      <c r="BI11" s="231"/>
      <c r="BJ11" s="231"/>
      <c r="BK11" s="231"/>
      <c r="BL11" s="231"/>
      <c r="BM11" s="231"/>
      <c r="BN11" s="231"/>
      <c r="BO11" s="231"/>
      <c r="BP11" s="231"/>
      <c r="BQ11" s="231"/>
      <c r="BR11" s="231"/>
      <c r="BS11" s="231"/>
      <c r="BT11" s="231"/>
      <c r="BU11" s="231"/>
      <c r="BV11" s="231"/>
      <c r="BW11" s="231"/>
    </row>
    <row r="12" spans="1:75" ht="24.95" customHeight="1">
      <c r="A12" s="653"/>
      <c r="B12" s="668"/>
      <c r="C12" s="236">
        <v>4</v>
      </c>
      <c r="D12" s="237"/>
      <c r="E12" s="238"/>
      <c r="F12" s="239"/>
      <c r="G12" s="244"/>
      <c r="H12" s="245"/>
      <c r="I12" s="271"/>
      <c r="J12" s="236"/>
      <c r="K12" s="242"/>
      <c r="L12" s="236"/>
      <c r="M12" s="322">
        <f t="shared" si="0"/>
        <v>0</v>
      </c>
      <c r="N12" s="243"/>
      <c r="O12" s="764"/>
      <c r="P12" s="765"/>
      <c r="V12" s="231"/>
      <c r="W12" s="231"/>
      <c r="X12" s="231"/>
      <c r="Y12" s="231"/>
      <c r="Z12" s="231"/>
      <c r="AA12" s="231"/>
      <c r="AB12" s="231"/>
      <c r="AC12" s="231"/>
      <c r="AD12" s="231"/>
      <c r="AE12" s="231"/>
      <c r="AF12" s="231"/>
      <c r="AG12" s="231"/>
      <c r="AH12" s="231"/>
      <c r="AI12" s="231"/>
      <c r="AJ12" s="231"/>
      <c r="AK12" s="231"/>
      <c r="AL12" s="231"/>
      <c r="AM12" s="231"/>
      <c r="AN12" s="231"/>
      <c r="AO12" s="231"/>
      <c r="AP12" s="231"/>
      <c r="AQ12" s="231"/>
      <c r="AR12" s="231"/>
      <c r="AS12" s="231"/>
      <c r="AT12" s="231"/>
      <c r="AU12" s="231"/>
      <c r="AV12" s="231"/>
      <c r="AW12" s="231"/>
      <c r="AX12" s="231"/>
      <c r="AY12" s="231"/>
      <c r="AZ12" s="231"/>
      <c r="BA12" s="231"/>
      <c r="BB12" s="231"/>
      <c r="BC12" s="231"/>
      <c r="BD12" s="231"/>
      <c r="BE12" s="231"/>
      <c r="BF12" s="231"/>
      <c r="BG12" s="231"/>
      <c r="BH12" s="231"/>
      <c r="BI12" s="231"/>
      <c r="BJ12" s="231"/>
      <c r="BK12" s="231"/>
      <c r="BL12" s="231"/>
      <c r="BM12" s="231"/>
      <c r="BN12" s="231"/>
      <c r="BO12" s="231"/>
      <c r="BP12" s="231"/>
      <c r="BQ12" s="231"/>
      <c r="BR12" s="231"/>
      <c r="BS12" s="231"/>
      <c r="BT12" s="231"/>
      <c r="BU12" s="231"/>
      <c r="BV12" s="231"/>
      <c r="BW12" s="231"/>
    </row>
    <row r="13" spans="1:75" ht="24.95" customHeight="1" thickBot="1">
      <c r="A13" s="653"/>
      <c r="B13" s="668"/>
      <c r="C13" s="236">
        <v>5</v>
      </c>
      <c r="D13" s="244"/>
      <c r="E13" s="245"/>
      <c r="F13" s="246"/>
      <c r="G13" s="360"/>
      <c r="H13" s="359"/>
      <c r="I13" s="360"/>
      <c r="J13" s="247"/>
      <c r="K13" s="248"/>
      <c r="L13" s="247"/>
      <c r="M13" s="323">
        <f t="shared" si="0"/>
        <v>0</v>
      </c>
      <c r="N13" s="243"/>
      <c r="O13" s="764"/>
      <c r="P13" s="765"/>
      <c r="V13" s="231"/>
      <c r="W13" s="231"/>
      <c r="X13" s="231"/>
      <c r="Y13" s="231"/>
      <c r="Z13" s="231"/>
      <c r="AA13" s="231"/>
      <c r="AB13" s="231"/>
      <c r="AC13" s="231"/>
      <c r="AD13" s="231"/>
      <c r="AE13" s="231"/>
      <c r="AF13" s="231"/>
      <c r="AG13" s="231"/>
      <c r="AH13" s="231"/>
      <c r="AI13" s="231"/>
      <c r="AJ13" s="231"/>
      <c r="AK13" s="231"/>
      <c r="AL13" s="231"/>
      <c r="AM13" s="231"/>
      <c r="AN13" s="231"/>
      <c r="AO13" s="231"/>
      <c r="AP13" s="231"/>
      <c r="AQ13" s="231"/>
      <c r="AR13" s="231"/>
      <c r="AS13" s="231"/>
      <c r="AT13" s="231"/>
      <c r="AU13" s="231"/>
      <c r="AV13" s="231"/>
      <c r="AW13" s="231"/>
      <c r="AX13" s="231"/>
      <c r="AY13" s="231"/>
      <c r="AZ13" s="231"/>
      <c r="BA13" s="231"/>
      <c r="BB13" s="231"/>
      <c r="BC13" s="231"/>
      <c r="BD13" s="231"/>
      <c r="BE13" s="231"/>
      <c r="BF13" s="231"/>
      <c r="BG13" s="231"/>
      <c r="BH13" s="231"/>
      <c r="BI13" s="231"/>
      <c r="BJ13" s="231"/>
      <c r="BK13" s="231"/>
      <c r="BL13" s="231"/>
      <c r="BM13" s="231"/>
      <c r="BN13" s="231"/>
      <c r="BO13" s="231"/>
      <c r="BP13" s="231"/>
      <c r="BQ13" s="231"/>
      <c r="BR13" s="231"/>
      <c r="BS13" s="231"/>
      <c r="BT13" s="231"/>
      <c r="BU13" s="231"/>
      <c r="BV13" s="231"/>
      <c r="BW13" s="231"/>
    </row>
    <row r="14" spans="1:75" ht="15.75" customHeight="1" thickTop="1">
      <c r="A14" s="653"/>
      <c r="B14" s="668"/>
      <c r="C14" s="659"/>
      <c r="D14" s="660"/>
      <c r="E14" s="660"/>
      <c r="F14" s="660"/>
      <c r="G14" s="660"/>
      <c r="H14" s="660"/>
      <c r="I14" s="661"/>
      <c r="J14" s="249" t="s">
        <v>58</v>
      </c>
      <c r="K14" s="338">
        <f>M14/'生產管理報表 7-1(月)'!$B$10</f>
        <v>0</v>
      </c>
      <c r="L14" s="249" t="s">
        <v>59</v>
      </c>
      <c r="M14" s="324">
        <f>SUM(M9:M13)</f>
        <v>0</v>
      </c>
      <c r="N14" s="766"/>
      <c r="O14" s="767"/>
      <c r="P14" s="768"/>
      <c r="V14" s="231"/>
      <c r="W14" s="231"/>
      <c r="X14" s="231"/>
      <c r="Y14" s="231"/>
      <c r="Z14" s="231"/>
      <c r="AA14" s="231"/>
      <c r="AB14" s="231"/>
      <c r="AC14" s="231"/>
      <c r="AD14" s="231"/>
      <c r="AE14" s="231"/>
      <c r="AF14" s="231"/>
      <c r="AG14" s="231"/>
      <c r="AH14" s="231"/>
      <c r="AI14" s="231"/>
      <c r="AJ14" s="231"/>
      <c r="AK14" s="231"/>
      <c r="AL14" s="231"/>
      <c r="AM14" s="231"/>
      <c r="AN14" s="231"/>
      <c r="AO14" s="231"/>
      <c r="AP14" s="231"/>
      <c r="AQ14" s="231"/>
      <c r="AR14" s="231"/>
      <c r="AS14" s="231"/>
      <c r="AT14" s="231"/>
      <c r="AU14" s="231"/>
      <c r="AV14" s="231"/>
      <c r="AW14" s="231"/>
      <c r="AX14" s="231"/>
      <c r="AY14" s="231"/>
      <c r="AZ14" s="231"/>
      <c r="BA14" s="231"/>
      <c r="BB14" s="231"/>
      <c r="BC14" s="231"/>
      <c r="BD14" s="231"/>
      <c r="BE14" s="231"/>
      <c r="BF14" s="231"/>
      <c r="BG14" s="231"/>
      <c r="BH14" s="231"/>
      <c r="BI14" s="231"/>
      <c r="BJ14" s="231"/>
      <c r="BK14" s="231"/>
      <c r="BL14" s="231"/>
      <c r="BM14" s="231"/>
      <c r="BN14" s="231"/>
      <c r="BO14" s="231"/>
      <c r="BP14" s="231"/>
      <c r="BQ14" s="231"/>
      <c r="BR14" s="231"/>
      <c r="BS14" s="231"/>
      <c r="BT14" s="231"/>
      <c r="BU14" s="231"/>
      <c r="BV14" s="231"/>
      <c r="BW14" s="231"/>
    </row>
    <row r="15" spans="1:75" ht="15.75" customHeight="1">
      <c r="D15" s="233"/>
      <c r="E15" s="233"/>
      <c r="F15" s="233"/>
      <c r="G15" s="233"/>
      <c r="H15" s="233"/>
      <c r="I15" s="233"/>
      <c r="J15" s="233"/>
      <c r="K15" s="233"/>
      <c r="L15" s="233"/>
      <c r="M15" s="233"/>
      <c r="N15" s="251"/>
      <c r="O15" s="251"/>
      <c r="P15" s="251"/>
      <c r="V15" s="231"/>
      <c r="W15" s="231"/>
      <c r="X15" s="231"/>
      <c r="Y15" s="231"/>
      <c r="Z15" s="231"/>
      <c r="AA15" s="231"/>
      <c r="AB15" s="231"/>
      <c r="AC15" s="231"/>
      <c r="AD15" s="231"/>
      <c r="AE15" s="231"/>
      <c r="AF15" s="231"/>
      <c r="AG15" s="231"/>
      <c r="AH15" s="231"/>
      <c r="AI15" s="231"/>
      <c r="AJ15" s="231"/>
      <c r="AK15" s="231"/>
      <c r="AL15" s="231"/>
      <c r="AM15" s="231"/>
      <c r="AN15" s="231"/>
      <c r="AO15" s="231"/>
      <c r="AP15" s="231"/>
      <c r="AQ15" s="231"/>
      <c r="AR15" s="231"/>
      <c r="AS15" s="231"/>
      <c r="AT15" s="231"/>
      <c r="AU15" s="231"/>
      <c r="AV15" s="231"/>
      <c r="AW15" s="231"/>
      <c r="AX15" s="231"/>
      <c r="AY15" s="231"/>
      <c r="AZ15" s="231"/>
      <c r="BA15" s="231"/>
      <c r="BB15" s="231"/>
      <c r="BC15" s="231"/>
      <c r="BD15" s="231"/>
      <c r="BE15" s="231"/>
      <c r="BF15" s="231"/>
      <c r="BG15" s="231"/>
      <c r="BH15" s="231"/>
      <c r="BI15" s="231"/>
      <c r="BJ15" s="231"/>
      <c r="BK15" s="231"/>
      <c r="BL15" s="231"/>
      <c r="BM15" s="231"/>
      <c r="BN15" s="231"/>
      <c r="BO15" s="231"/>
      <c r="BP15" s="231"/>
      <c r="BQ15" s="231"/>
      <c r="BR15" s="231"/>
      <c r="BS15" s="231"/>
      <c r="BT15" s="231"/>
      <c r="BU15" s="231"/>
      <c r="BV15" s="231"/>
      <c r="BW15" s="231"/>
    </row>
    <row r="16" spans="1:75" ht="15.75" customHeight="1">
      <c r="A16" s="653" t="s">
        <v>174</v>
      </c>
      <c r="B16" s="653"/>
      <c r="C16" s="252" t="s">
        <v>47</v>
      </c>
      <c r="D16" s="662" t="s">
        <v>12</v>
      </c>
      <c r="E16" s="663"/>
      <c r="F16" s="664"/>
      <c r="G16" s="665" t="s">
        <v>53</v>
      </c>
      <c r="H16" s="666"/>
      <c r="I16" s="667"/>
      <c r="J16" s="254" t="s">
        <v>54</v>
      </c>
      <c r="K16" s="254" t="s">
        <v>55</v>
      </c>
      <c r="L16" s="254" t="s">
        <v>56</v>
      </c>
      <c r="M16" s="254" t="s">
        <v>11</v>
      </c>
      <c r="N16" s="255" t="s">
        <v>312</v>
      </c>
      <c r="O16" s="757" t="s">
        <v>51</v>
      </c>
      <c r="P16" s="758"/>
      <c r="V16" s="231"/>
      <c r="W16" s="231"/>
      <c r="X16" s="231"/>
      <c r="Y16" s="231"/>
      <c r="Z16" s="231"/>
      <c r="AA16" s="231"/>
      <c r="AB16" s="231"/>
      <c r="AC16" s="231"/>
      <c r="AD16" s="231"/>
      <c r="AE16" s="231"/>
      <c r="AF16" s="231"/>
      <c r="AG16" s="231"/>
      <c r="AH16" s="231"/>
      <c r="AI16" s="231"/>
      <c r="AJ16" s="231"/>
    </row>
    <row r="17" spans="1:36" ht="20.100000000000001" customHeight="1">
      <c r="A17" s="653">
        <v>2</v>
      </c>
      <c r="B17" s="668" t="s">
        <v>196</v>
      </c>
      <c r="C17" s="256">
        <v>1</v>
      </c>
      <c r="D17" s="237"/>
      <c r="E17" s="238"/>
      <c r="F17" s="239"/>
      <c r="G17" s="237"/>
      <c r="H17" s="238"/>
      <c r="I17" s="239"/>
      <c r="J17" s="257"/>
      <c r="K17" s="258"/>
      <c r="L17" s="257"/>
      <c r="M17" s="259">
        <f t="shared" ref="M17:M21" si="1">L17*J17</f>
        <v>0</v>
      </c>
      <c r="N17" s="260"/>
      <c r="O17" s="759"/>
      <c r="P17" s="760"/>
      <c r="V17" s="231"/>
      <c r="W17" s="231"/>
      <c r="X17" s="231"/>
      <c r="Y17" s="231"/>
      <c r="Z17" s="231"/>
      <c r="AA17" s="231"/>
      <c r="AB17" s="231"/>
      <c r="AC17" s="231"/>
      <c r="AD17" s="231"/>
      <c r="AE17" s="231"/>
      <c r="AF17" s="231"/>
      <c r="AG17" s="231"/>
      <c r="AH17" s="231"/>
      <c r="AI17" s="231"/>
      <c r="AJ17" s="231"/>
    </row>
    <row r="18" spans="1:36" ht="20.100000000000001" customHeight="1">
      <c r="A18" s="653"/>
      <c r="B18" s="668"/>
      <c r="C18" s="256">
        <v>2</v>
      </c>
      <c r="D18" s="237"/>
      <c r="E18" s="238"/>
      <c r="F18" s="239"/>
      <c r="G18" s="237"/>
      <c r="H18" s="238"/>
      <c r="I18" s="239"/>
      <c r="J18" s="257"/>
      <c r="K18" s="258"/>
      <c r="L18" s="257"/>
      <c r="M18" s="259">
        <f t="shared" si="1"/>
        <v>0</v>
      </c>
      <c r="N18" s="260"/>
      <c r="O18" s="759"/>
      <c r="P18" s="760"/>
      <c r="V18" s="231"/>
      <c r="W18" s="231"/>
      <c r="X18" s="231"/>
      <c r="Y18" s="231"/>
      <c r="Z18" s="231"/>
      <c r="AA18" s="231"/>
      <c r="AB18" s="231"/>
      <c r="AC18" s="231"/>
      <c r="AD18" s="231"/>
      <c r="AE18" s="231"/>
      <c r="AF18" s="231"/>
      <c r="AG18" s="231"/>
      <c r="AH18" s="231"/>
      <c r="AI18" s="231"/>
      <c r="AJ18" s="231"/>
    </row>
    <row r="19" spans="1:36" ht="20.100000000000001" customHeight="1">
      <c r="A19" s="653"/>
      <c r="B19" s="668"/>
      <c r="C19" s="256">
        <v>3</v>
      </c>
      <c r="D19" s="237"/>
      <c r="E19" s="238"/>
      <c r="F19" s="239"/>
      <c r="G19" s="237"/>
      <c r="H19" s="238"/>
      <c r="I19" s="239"/>
      <c r="J19" s="257"/>
      <c r="K19" s="258"/>
      <c r="L19" s="257"/>
      <c r="M19" s="259">
        <f t="shared" si="1"/>
        <v>0</v>
      </c>
      <c r="N19" s="260"/>
      <c r="O19" s="759"/>
      <c r="P19" s="760"/>
      <c r="V19" s="231"/>
      <c r="W19" s="231"/>
      <c r="X19" s="231"/>
      <c r="Y19" s="231"/>
      <c r="Z19" s="231"/>
      <c r="AA19" s="231"/>
      <c r="AB19" s="231"/>
      <c r="AC19" s="231"/>
      <c r="AD19" s="231"/>
      <c r="AE19" s="231"/>
      <c r="AF19" s="231"/>
      <c r="AG19" s="231"/>
      <c r="AH19" s="231"/>
    </row>
    <row r="20" spans="1:36" ht="20.100000000000001" customHeight="1">
      <c r="A20" s="653"/>
      <c r="B20" s="668"/>
      <c r="C20" s="256">
        <v>4</v>
      </c>
      <c r="D20" s="237"/>
      <c r="E20" s="238"/>
      <c r="F20" s="239"/>
      <c r="G20" s="237"/>
      <c r="H20" s="238"/>
      <c r="I20" s="239"/>
      <c r="J20" s="257"/>
      <c r="K20" s="258"/>
      <c r="L20" s="257"/>
      <c r="M20" s="259">
        <f t="shared" si="1"/>
        <v>0</v>
      </c>
      <c r="N20" s="260"/>
      <c r="O20" s="759"/>
      <c r="P20" s="760"/>
      <c r="V20" s="231"/>
      <c r="W20" s="231"/>
      <c r="X20" s="231"/>
      <c r="Y20" s="231"/>
      <c r="Z20" s="231"/>
      <c r="AA20" s="231"/>
      <c r="AB20" s="231"/>
      <c r="AC20" s="231"/>
      <c r="AD20" s="231"/>
      <c r="AE20" s="231"/>
      <c r="AF20" s="231"/>
      <c r="AG20" s="231"/>
      <c r="AH20" s="231"/>
    </row>
    <row r="21" spans="1:36" ht="20.100000000000001" customHeight="1" thickBot="1">
      <c r="A21" s="653"/>
      <c r="B21" s="668"/>
      <c r="C21" s="262">
        <v>5</v>
      </c>
      <c r="D21" s="244"/>
      <c r="E21" s="245"/>
      <c r="F21" s="246"/>
      <c r="G21" s="244"/>
      <c r="H21" s="245"/>
      <c r="I21" s="246"/>
      <c r="J21" s="263"/>
      <c r="K21" s="264"/>
      <c r="L21" s="263"/>
      <c r="M21" s="265">
        <f t="shared" si="1"/>
        <v>0</v>
      </c>
      <c r="N21" s="266"/>
      <c r="O21" s="759"/>
      <c r="P21" s="760"/>
      <c r="V21" s="231"/>
      <c r="W21" s="231"/>
      <c r="X21" s="231"/>
      <c r="Y21" s="231"/>
      <c r="Z21" s="231"/>
      <c r="AA21" s="231"/>
      <c r="AB21" s="231"/>
      <c r="AC21" s="231"/>
      <c r="AD21" s="231"/>
      <c r="AE21" s="231"/>
      <c r="AF21" s="231"/>
      <c r="AG21" s="231"/>
      <c r="AH21" s="231"/>
    </row>
    <row r="22" spans="1:36" ht="15.75" customHeight="1" thickTop="1">
      <c r="A22" s="653"/>
      <c r="B22" s="668"/>
      <c r="C22" s="659"/>
      <c r="D22" s="660"/>
      <c r="E22" s="660"/>
      <c r="F22" s="660"/>
      <c r="G22" s="660"/>
      <c r="H22" s="660"/>
      <c r="I22" s="661"/>
      <c r="J22" s="249" t="s">
        <v>58</v>
      </c>
      <c r="K22" s="338">
        <f>M22/'生產管理報表 7-1(月)'!$B$10</f>
        <v>0</v>
      </c>
      <c r="L22" s="249" t="s">
        <v>59</v>
      </c>
      <c r="M22" s="250">
        <f>SUM(M17:M21)</f>
        <v>0</v>
      </c>
      <c r="N22" s="761"/>
      <c r="O22" s="762"/>
      <c r="P22" s="763"/>
      <c r="V22" s="231"/>
      <c r="W22" s="231"/>
      <c r="X22" s="231"/>
      <c r="Y22" s="231"/>
      <c r="Z22" s="231"/>
      <c r="AA22" s="231"/>
      <c r="AB22" s="231"/>
      <c r="AC22" s="231"/>
      <c r="AD22" s="231"/>
      <c r="AE22" s="231"/>
      <c r="AF22" s="231"/>
      <c r="AG22" s="231"/>
      <c r="AH22" s="231"/>
    </row>
    <row r="23" spans="1:36" ht="15.75" customHeight="1">
      <c r="D23" s="233"/>
      <c r="E23" s="233"/>
      <c r="F23" s="233"/>
      <c r="G23" s="233"/>
      <c r="H23" s="233"/>
      <c r="I23" s="233"/>
      <c r="J23" s="233"/>
      <c r="K23" s="233"/>
      <c r="L23" s="233"/>
      <c r="M23" s="233"/>
      <c r="N23" s="267"/>
      <c r="O23" s="267"/>
      <c r="P23" s="267"/>
      <c r="V23" s="231"/>
      <c r="W23" s="231"/>
      <c r="X23" s="231"/>
      <c r="Y23" s="231"/>
      <c r="Z23" s="231"/>
      <c r="AA23" s="231"/>
      <c r="AB23" s="231"/>
      <c r="AC23" s="231"/>
      <c r="AD23" s="231"/>
      <c r="AE23" s="231"/>
      <c r="AF23" s="231"/>
      <c r="AG23" s="231"/>
      <c r="AH23" s="231"/>
    </row>
    <row r="24" spans="1:36" ht="15.75" customHeight="1">
      <c r="A24" s="653" t="s">
        <v>174</v>
      </c>
      <c r="B24" s="653"/>
      <c r="C24" s="252" t="s">
        <v>47</v>
      </c>
      <c r="D24" s="662" t="s">
        <v>12</v>
      </c>
      <c r="E24" s="663"/>
      <c r="F24" s="664"/>
      <c r="G24" s="665" t="s">
        <v>53</v>
      </c>
      <c r="H24" s="666"/>
      <c r="I24" s="667"/>
      <c r="J24" s="253" t="s">
        <v>54</v>
      </c>
      <c r="K24" s="254" t="s">
        <v>55</v>
      </c>
      <c r="L24" s="254" t="s">
        <v>56</v>
      </c>
      <c r="M24" s="254" t="s">
        <v>11</v>
      </c>
      <c r="N24" s="255" t="s">
        <v>312</v>
      </c>
      <c r="O24" s="755" t="s">
        <v>51</v>
      </c>
      <c r="P24" s="756"/>
      <c r="V24" s="231"/>
      <c r="W24" s="231"/>
      <c r="X24" s="231"/>
      <c r="Y24" s="231"/>
      <c r="Z24" s="231"/>
      <c r="AA24" s="231"/>
      <c r="AB24" s="231"/>
      <c r="AC24" s="231"/>
      <c r="AD24" s="231"/>
      <c r="AE24" s="231"/>
      <c r="AF24" s="231"/>
      <c r="AG24" s="231"/>
      <c r="AH24" s="231"/>
      <c r="AI24" s="231"/>
      <c r="AJ24" s="231"/>
    </row>
    <row r="25" spans="1:36" ht="24.95" customHeight="1">
      <c r="A25" s="653">
        <v>3</v>
      </c>
      <c r="B25" s="668" t="s">
        <v>400</v>
      </c>
      <c r="C25" s="256">
        <v>1</v>
      </c>
      <c r="D25" s="237"/>
      <c r="E25" s="238"/>
      <c r="F25" s="239"/>
      <c r="G25" s="358"/>
      <c r="H25" s="359"/>
      <c r="I25" s="360"/>
      <c r="J25" s="269"/>
      <c r="K25" s="258"/>
      <c r="L25" s="257"/>
      <c r="M25" s="325">
        <f t="shared" ref="M25:M29" si="2">L25*J25</f>
        <v>0</v>
      </c>
      <c r="N25" s="270"/>
      <c r="O25" s="750"/>
      <c r="P25" s="751"/>
      <c r="V25" s="231"/>
      <c r="W25" s="231"/>
      <c r="X25" s="231"/>
      <c r="Y25" s="231"/>
      <c r="Z25" s="231"/>
      <c r="AA25" s="231"/>
      <c r="AB25" s="231"/>
      <c r="AC25" s="231"/>
      <c r="AD25" s="231"/>
      <c r="AE25" s="231"/>
      <c r="AF25" s="231"/>
      <c r="AG25" s="231"/>
      <c r="AH25" s="231"/>
      <c r="AI25" s="231"/>
      <c r="AJ25" s="231"/>
    </row>
    <row r="26" spans="1:36" ht="24.95" customHeight="1">
      <c r="A26" s="653"/>
      <c r="B26" s="668"/>
      <c r="C26" s="256">
        <v>2</v>
      </c>
      <c r="D26" s="237"/>
      <c r="E26" s="238"/>
      <c r="F26" s="239"/>
      <c r="G26" s="358"/>
      <c r="H26" s="359"/>
      <c r="I26" s="360"/>
      <c r="J26" s="269"/>
      <c r="K26" s="258"/>
      <c r="L26" s="257"/>
      <c r="M26" s="325">
        <f t="shared" si="2"/>
        <v>0</v>
      </c>
      <c r="N26" s="270"/>
      <c r="O26" s="750"/>
      <c r="P26" s="751"/>
      <c r="V26" s="231"/>
      <c r="W26" s="231"/>
      <c r="X26" s="231"/>
      <c r="Y26" s="231"/>
      <c r="Z26" s="231"/>
      <c r="AA26" s="231"/>
      <c r="AB26" s="231"/>
      <c r="AC26" s="231"/>
      <c r="AD26" s="231"/>
      <c r="AE26" s="231"/>
      <c r="AF26" s="231"/>
      <c r="AG26" s="231"/>
      <c r="AH26" s="231"/>
      <c r="AI26" s="231"/>
      <c r="AJ26" s="231"/>
    </row>
    <row r="27" spans="1:36" ht="24.95" customHeight="1">
      <c r="A27" s="653"/>
      <c r="B27" s="668"/>
      <c r="C27" s="256">
        <v>3</v>
      </c>
      <c r="D27" s="237"/>
      <c r="E27" s="238"/>
      <c r="F27" s="239"/>
      <c r="G27" s="358"/>
      <c r="H27" s="359"/>
      <c r="I27" s="360"/>
      <c r="J27" s="269"/>
      <c r="K27" s="258"/>
      <c r="L27" s="257"/>
      <c r="M27" s="325">
        <f t="shared" si="2"/>
        <v>0</v>
      </c>
      <c r="N27" s="270"/>
      <c r="O27" s="750"/>
      <c r="P27" s="751"/>
      <c r="V27" s="231"/>
      <c r="W27" s="231"/>
      <c r="X27" s="231"/>
      <c r="Y27" s="231"/>
      <c r="Z27" s="231"/>
      <c r="AA27" s="231"/>
      <c r="AB27" s="231"/>
      <c r="AC27" s="231"/>
      <c r="AD27" s="231"/>
      <c r="AE27" s="231"/>
      <c r="AF27" s="231"/>
      <c r="AG27" s="231"/>
      <c r="AH27" s="231"/>
      <c r="AI27" s="231"/>
      <c r="AJ27" s="231"/>
    </row>
    <row r="28" spans="1:36" ht="24.95" customHeight="1">
      <c r="A28" s="653"/>
      <c r="B28" s="668"/>
      <c r="C28" s="256">
        <v>4</v>
      </c>
      <c r="D28" s="237"/>
      <c r="E28" s="238"/>
      <c r="F28" s="239"/>
      <c r="G28" s="237"/>
      <c r="H28" s="238"/>
      <c r="I28" s="268"/>
      <c r="J28" s="269"/>
      <c r="K28" s="258"/>
      <c r="L28" s="257"/>
      <c r="M28" s="325">
        <f t="shared" si="2"/>
        <v>0</v>
      </c>
      <c r="N28" s="270"/>
      <c r="O28" s="750"/>
      <c r="P28" s="751"/>
      <c r="V28" s="231"/>
      <c r="W28" s="231"/>
      <c r="X28" s="231"/>
      <c r="Y28" s="231"/>
      <c r="Z28" s="231"/>
      <c r="AA28" s="231"/>
      <c r="AB28" s="231"/>
      <c r="AC28" s="231"/>
      <c r="AD28" s="231"/>
      <c r="AE28" s="231"/>
      <c r="AF28" s="231"/>
      <c r="AG28" s="231"/>
      <c r="AH28" s="231"/>
      <c r="AI28" s="231"/>
      <c r="AJ28" s="231"/>
    </row>
    <row r="29" spans="1:36" ht="24.95" customHeight="1" thickBot="1">
      <c r="A29" s="653"/>
      <c r="B29" s="668"/>
      <c r="C29" s="262">
        <v>5</v>
      </c>
      <c r="D29" s="244"/>
      <c r="E29" s="245"/>
      <c r="F29" s="246"/>
      <c r="G29" s="244"/>
      <c r="H29" s="245"/>
      <c r="I29" s="271"/>
      <c r="J29" s="272"/>
      <c r="K29" s="264"/>
      <c r="L29" s="273"/>
      <c r="M29" s="325">
        <f t="shared" si="2"/>
        <v>0</v>
      </c>
      <c r="N29" s="270"/>
      <c r="O29" s="750"/>
      <c r="P29" s="751"/>
      <c r="V29" s="231"/>
      <c r="W29" s="231"/>
      <c r="X29" s="231"/>
      <c r="Y29" s="231"/>
      <c r="Z29" s="231"/>
      <c r="AA29" s="231"/>
      <c r="AB29" s="231"/>
      <c r="AC29" s="231"/>
      <c r="AD29" s="231"/>
      <c r="AE29" s="231"/>
      <c r="AF29" s="231"/>
      <c r="AG29" s="231"/>
      <c r="AH29" s="231"/>
      <c r="AI29" s="231"/>
      <c r="AJ29" s="231"/>
    </row>
    <row r="30" spans="1:36" ht="15.75" customHeight="1" thickTop="1">
      <c r="A30" s="653"/>
      <c r="B30" s="668"/>
      <c r="C30" s="659"/>
      <c r="D30" s="660"/>
      <c r="E30" s="660"/>
      <c r="F30" s="660"/>
      <c r="G30" s="660"/>
      <c r="H30" s="660"/>
      <c r="I30" s="661"/>
      <c r="J30" s="274" t="s">
        <v>58</v>
      </c>
      <c r="K30" s="338">
        <f>M30/'生產管理報表 7-1(月)'!$B$10</f>
        <v>0</v>
      </c>
      <c r="L30" s="274" t="s">
        <v>59</v>
      </c>
      <c r="M30" s="326">
        <f>SUM(M25:M29)</f>
        <v>0</v>
      </c>
      <c r="N30" s="752"/>
      <c r="O30" s="753"/>
      <c r="P30" s="754"/>
      <c r="V30" s="231"/>
      <c r="W30" s="231"/>
      <c r="X30" s="231"/>
      <c r="Y30" s="231"/>
      <c r="Z30" s="231"/>
      <c r="AA30" s="231"/>
      <c r="AB30" s="231"/>
      <c r="AC30" s="231"/>
      <c r="AD30" s="231"/>
      <c r="AE30" s="231"/>
      <c r="AF30" s="231"/>
      <c r="AG30" s="231"/>
      <c r="AH30" s="231"/>
      <c r="AI30" s="231"/>
      <c r="AJ30" s="231"/>
    </row>
  </sheetData>
  <mergeCells count="58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O29:P29"/>
    <mergeCell ref="C30:I30"/>
    <mergeCell ref="N30:P30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6">
    <tabColor rgb="FFFF0000"/>
    <outlinePr summaryBelow="0" summaryRight="0"/>
  </sheetPr>
  <dimension ref="A1:T156"/>
  <sheetViews>
    <sheetView view="pageBreakPreview" topLeftCell="A16" zoomScale="91" zoomScaleNormal="60" zoomScaleSheetLayoutView="91" workbookViewId="0">
      <selection activeCell="B5" sqref="B5:C5"/>
    </sheetView>
  </sheetViews>
  <sheetFormatPr defaultColWidth="12.5703125" defaultRowHeight="15.75" customHeight="1"/>
  <cols>
    <col min="1" max="1" width="5.42578125" style="289" customWidth="1"/>
    <col min="2" max="2" width="11.42578125" style="297" customWidth="1"/>
    <col min="3" max="3" width="4" style="298" customWidth="1"/>
    <col min="4" max="4" width="9.5703125" style="289" customWidth="1"/>
    <col min="5" max="5" width="10.28515625" style="289" customWidth="1"/>
    <col min="6" max="15" width="9.5703125" style="289" customWidth="1"/>
    <col min="16" max="16" width="52" style="289" customWidth="1"/>
    <col min="17" max="16384" width="12.5703125" style="289"/>
  </cols>
  <sheetData>
    <row r="1" spans="1:20" s="135" customFormat="1" ht="15.75" customHeight="1">
      <c r="A1" s="647" t="s">
        <v>339</v>
      </c>
      <c r="B1" s="647"/>
      <c r="C1" s="647"/>
      <c r="D1" s="647"/>
      <c r="E1" s="647"/>
      <c r="F1" s="647"/>
      <c r="G1" s="647"/>
      <c r="H1" s="647"/>
      <c r="I1" s="647"/>
      <c r="J1" s="647"/>
      <c r="K1" s="647"/>
      <c r="L1" s="647"/>
      <c r="M1" s="647"/>
      <c r="N1" s="647"/>
      <c r="O1" s="647"/>
      <c r="P1" s="647"/>
    </row>
    <row r="2" spans="1:20" s="136" customFormat="1" ht="15.75" customHeight="1">
      <c r="A2" s="647"/>
      <c r="B2" s="647"/>
      <c r="C2" s="647"/>
      <c r="D2" s="647"/>
      <c r="E2" s="647"/>
      <c r="F2" s="647"/>
      <c r="G2" s="647"/>
      <c r="H2" s="647"/>
      <c r="I2" s="647"/>
      <c r="J2" s="647"/>
      <c r="K2" s="647"/>
      <c r="L2" s="647"/>
      <c r="M2" s="647"/>
      <c r="N2" s="647"/>
      <c r="O2" s="647"/>
      <c r="P2" s="647"/>
    </row>
    <row r="3" spans="1:20" s="135" customFormat="1" ht="15.75" customHeight="1">
      <c r="A3" s="648" t="s">
        <v>409</v>
      </c>
      <c r="B3" s="648"/>
      <c r="C3" s="648"/>
      <c r="D3" s="648"/>
      <c r="E3" s="648"/>
      <c r="F3" s="648"/>
      <c r="G3" s="648"/>
      <c r="H3" s="648"/>
      <c r="I3" s="648"/>
      <c r="J3" s="648"/>
      <c r="K3" s="648"/>
      <c r="L3" s="648"/>
      <c r="M3" s="648"/>
    </row>
    <row r="4" spans="1:20" s="136" customFormat="1" ht="15.75" customHeight="1">
      <c r="A4" s="745"/>
      <c r="B4" s="745"/>
      <c r="C4" s="745"/>
      <c r="D4" s="745"/>
      <c r="E4" s="745"/>
      <c r="F4" s="745"/>
      <c r="G4" s="745"/>
      <c r="H4" s="745"/>
      <c r="I4" s="745"/>
      <c r="J4" s="745"/>
      <c r="K4" s="745"/>
      <c r="L4" s="745"/>
      <c r="M4" s="745"/>
    </row>
    <row r="5" spans="1:20" s="135" customFormat="1" ht="15.75" customHeight="1">
      <c r="A5" s="746" t="s">
        <v>174</v>
      </c>
      <c r="B5" s="748">
        <v>1</v>
      </c>
      <c r="C5" s="749"/>
      <c r="D5" s="748">
        <v>2</v>
      </c>
      <c r="E5" s="749"/>
      <c r="F5" s="748">
        <v>3</v>
      </c>
      <c r="G5" s="749"/>
      <c r="H5" s="739">
        <v>4</v>
      </c>
      <c r="I5" s="740"/>
      <c r="J5" s="739">
        <v>5</v>
      </c>
      <c r="K5" s="740"/>
      <c r="L5" s="739">
        <v>6</v>
      </c>
      <c r="M5" s="740"/>
      <c r="N5" s="739">
        <v>7</v>
      </c>
      <c r="O5" s="740"/>
      <c r="P5" s="327">
        <v>8</v>
      </c>
    </row>
    <row r="6" spans="1:20" s="135" customFormat="1" ht="15.75" customHeight="1">
      <c r="A6" s="747"/>
      <c r="B6" s="743" t="s">
        <v>427</v>
      </c>
      <c r="C6" s="744"/>
      <c r="D6" s="743" t="s">
        <v>195</v>
      </c>
      <c r="E6" s="744"/>
      <c r="F6" s="743" t="s">
        <v>166</v>
      </c>
      <c r="G6" s="744"/>
      <c r="H6" s="741" t="s">
        <v>406</v>
      </c>
      <c r="I6" s="742"/>
      <c r="J6" s="741" t="s">
        <v>172</v>
      </c>
      <c r="K6" s="742"/>
      <c r="L6" s="741" t="s">
        <v>167</v>
      </c>
      <c r="M6" s="742"/>
      <c r="N6" s="741" t="s">
        <v>173</v>
      </c>
      <c r="O6" s="742"/>
      <c r="P6" s="328" t="s">
        <v>200</v>
      </c>
    </row>
    <row r="7" spans="1:20" s="135" customFormat="1" ht="15.75" customHeight="1">
      <c r="B7" s="232"/>
      <c r="C7" s="233"/>
    </row>
    <row r="8" spans="1:20" s="278" customFormat="1" ht="15.75" customHeight="1">
      <c r="A8" s="683" t="s">
        <v>174</v>
      </c>
      <c r="B8" s="684"/>
      <c r="C8" s="275" t="s">
        <v>47</v>
      </c>
      <c r="D8" s="776" t="s">
        <v>12</v>
      </c>
      <c r="E8" s="777"/>
      <c r="F8" s="778"/>
      <c r="G8" s="779" t="s">
        <v>53</v>
      </c>
      <c r="H8" s="780"/>
      <c r="I8" s="781"/>
      <c r="J8" s="276" t="s">
        <v>54</v>
      </c>
      <c r="K8" s="276" t="s">
        <v>55</v>
      </c>
      <c r="L8" s="276" t="s">
        <v>56</v>
      </c>
      <c r="M8" s="277" t="s">
        <v>11</v>
      </c>
      <c r="N8" s="277" t="s">
        <v>312</v>
      </c>
      <c r="O8" s="691" t="s">
        <v>51</v>
      </c>
      <c r="P8" s="692"/>
      <c r="R8" s="339"/>
      <c r="S8" s="340"/>
    </row>
    <row r="9" spans="1:20" s="298" customFormat="1" ht="60" customHeight="1">
      <c r="A9" s="693">
        <v>4</v>
      </c>
      <c r="B9" s="727" t="s">
        <v>406</v>
      </c>
      <c r="C9" s="279">
        <v>1</v>
      </c>
      <c r="D9" s="373" t="s">
        <v>319</v>
      </c>
      <c r="E9" s="359"/>
      <c r="F9" s="359"/>
      <c r="G9" s="357" t="s">
        <v>364</v>
      </c>
      <c r="H9" s="305"/>
      <c r="I9" s="306"/>
      <c r="J9" s="312">
        <v>127.84</v>
      </c>
      <c r="K9" s="313">
        <v>2.4214792193287355E-3</v>
      </c>
      <c r="L9" s="314">
        <v>245.98999999999978</v>
      </c>
      <c r="M9" s="322">
        <f t="shared" ref="M9:M13" si="0">L9*J9</f>
        <v>31447.361599999975</v>
      </c>
      <c r="N9" s="314"/>
      <c r="O9" s="723" t="s">
        <v>659</v>
      </c>
      <c r="P9" s="724"/>
      <c r="R9" s="341"/>
      <c r="S9" s="341"/>
    </row>
    <row r="10" spans="1:20" s="298" customFormat="1" ht="60" customHeight="1">
      <c r="A10" s="694"/>
      <c r="B10" s="728"/>
      <c r="C10" s="279">
        <v>2</v>
      </c>
      <c r="D10" s="355" t="s">
        <v>319</v>
      </c>
      <c r="E10" s="238"/>
      <c r="F10" s="238"/>
      <c r="G10" s="357" t="s">
        <v>547</v>
      </c>
      <c r="H10" s="305"/>
      <c r="I10" s="306"/>
      <c r="J10" s="312">
        <v>144.79999999999998</v>
      </c>
      <c r="K10" s="313">
        <v>2.5748786557789121E-3</v>
      </c>
      <c r="L10" s="314">
        <v>121.28999999999996</v>
      </c>
      <c r="M10" s="322">
        <f t="shared" si="0"/>
        <v>17562.791999999994</v>
      </c>
      <c r="N10" s="314"/>
      <c r="O10" s="723" t="s">
        <v>660</v>
      </c>
      <c r="P10" s="724"/>
      <c r="R10" s="341"/>
      <c r="S10" s="341"/>
    </row>
    <row r="11" spans="1:20" s="298" customFormat="1" ht="60" customHeight="1">
      <c r="A11" s="694"/>
      <c r="B11" s="728"/>
      <c r="C11" s="279">
        <v>3</v>
      </c>
      <c r="D11" s="355" t="s">
        <v>538</v>
      </c>
      <c r="E11" s="238"/>
      <c r="F11" s="238"/>
      <c r="G11" s="357" t="s">
        <v>549</v>
      </c>
      <c r="H11" s="305"/>
      <c r="I11" s="306"/>
      <c r="J11" s="312">
        <v>49.82</v>
      </c>
      <c r="K11" s="313">
        <v>6.5637832882863428E-3</v>
      </c>
      <c r="L11" s="314">
        <v>320.75</v>
      </c>
      <c r="M11" s="322">
        <f t="shared" si="0"/>
        <v>15979.764999999999</v>
      </c>
      <c r="N11" s="314"/>
      <c r="O11" s="723" t="s">
        <v>661</v>
      </c>
      <c r="P11" s="724"/>
      <c r="R11" s="341"/>
      <c r="S11" s="339"/>
    </row>
    <row r="12" spans="1:20" s="298" customFormat="1" ht="60" customHeight="1">
      <c r="A12" s="694"/>
      <c r="B12" s="728"/>
      <c r="C12" s="279">
        <v>4</v>
      </c>
      <c r="D12" s="376" t="s">
        <v>580</v>
      </c>
      <c r="E12" s="238"/>
      <c r="F12" s="238"/>
      <c r="G12" s="357" t="s">
        <v>593</v>
      </c>
      <c r="H12" s="305"/>
      <c r="I12" s="306"/>
      <c r="J12" s="312">
        <v>24.789999999999996</v>
      </c>
      <c r="K12" s="313">
        <v>5.4861446202645577E-3</v>
      </c>
      <c r="L12" s="314">
        <v>605.38000000000011</v>
      </c>
      <c r="M12" s="322">
        <f t="shared" si="0"/>
        <v>15007.370199999999</v>
      </c>
      <c r="N12" s="314"/>
      <c r="O12" s="723" t="s">
        <v>662</v>
      </c>
      <c r="P12" s="724"/>
      <c r="R12" s="341"/>
      <c r="S12" s="339"/>
    </row>
    <row r="13" spans="1:20" s="298" customFormat="1" ht="60" customHeight="1" thickBot="1">
      <c r="A13" s="694"/>
      <c r="B13" s="728"/>
      <c r="C13" s="279">
        <v>5</v>
      </c>
      <c r="D13" s="376" t="s">
        <v>579</v>
      </c>
      <c r="E13" s="245"/>
      <c r="F13" s="245"/>
      <c r="G13" s="357" t="s">
        <v>595</v>
      </c>
      <c r="H13" s="305"/>
      <c r="I13" s="306"/>
      <c r="J13" s="316">
        <v>321.61000000000007</v>
      </c>
      <c r="K13" s="264">
        <v>5.1160662705692179E-3</v>
      </c>
      <c r="L13" s="317">
        <v>41.06</v>
      </c>
      <c r="M13" s="322">
        <f t="shared" si="0"/>
        <v>13205.306600000004</v>
      </c>
      <c r="N13" s="314"/>
      <c r="O13" s="723" t="s">
        <v>663</v>
      </c>
      <c r="P13" s="724"/>
      <c r="R13" s="342"/>
      <c r="S13" s="339"/>
      <c r="T13" s="289"/>
    </row>
    <row r="14" spans="1:20" ht="15.75" customHeight="1" thickTop="1" thickBot="1">
      <c r="A14" s="695"/>
      <c r="B14" s="729"/>
      <c r="C14" s="736"/>
      <c r="D14" s="737"/>
      <c r="E14" s="737"/>
      <c r="F14" s="737"/>
      <c r="G14" s="737"/>
      <c r="H14" s="737"/>
      <c r="I14" s="738"/>
      <c r="J14" s="295" t="s">
        <v>58</v>
      </c>
      <c r="K14" s="433">
        <f>M14/'生產管理報表 7-1(月)'!$B$10</f>
        <v>0.15653291785449616</v>
      </c>
      <c r="L14" s="296" t="s">
        <v>59</v>
      </c>
      <c r="M14" s="334">
        <f>SUM(M9:M13)</f>
        <v>93202.595399999962</v>
      </c>
      <c r="N14" s="680"/>
      <c r="O14" s="681"/>
      <c r="P14" s="682"/>
      <c r="R14" s="339"/>
      <c r="S14" s="339"/>
    </row>
    <row r="15" spans="1:20" ht="15.75" customHeight="1" thickTop="1">
      <c r="M15" s="329"/>
      <c r="S15" s="339"/>
    </row>
    <row r="16" spans="1:20" ht="15.75" customHeight="1">
      <c r="A16" s="683" t="s">
        <v>174</v>
      </c>
      <c r="B16" s="684"/>
      <c r="C16" s="275" t="s">
        <v>47</v>
      </c>
      <c r="D16" s="713" t="s">
        <v>12</v>
      </c>
      <c r="E16" s="714"/>
      <c r="F16" s="715"/>
      <c r="G16" s="716" t="s">
        <v>53</v>
      </c>
      <c r="H16" s="717"/>
      <c r="I16" s="718"/>
      <c r="J16" s="276" t="s">
        <v>54</v>
      </c>
      <c r="K16" s="276" t="s">
        <v>55</v>
      </c>
      <c r="L16" s="276" t="s">
        <v>56</v>
      </c>
      <c r="M16" s="330" t="s">
        <v>11</v>
      </c>
      <c r="N16" s="277" t="s">
        <v>312</v>
      </c>
      <c r="O16" s="691" t="s">
        <v>51</v>
      </c>
      <c r="P16" s="692"/>
      <c r="S16" s="340"/>
      <c r="T16" s="298"/>
    </row>
    <row r="17" spans="1:20" s="298" customFormat="1" ht="50.1" customHeight="1">
      <c r="A17" s="693">
        <v>5</v>
      </c>
      <c r="B17" s="706" t="s">
        <v>198</v>
      </c>
      <c r="C17" s="279">
        <v>1</v>
      </c>
      <c r="D17" s="237" t="s">
        <v>319</v>
      </c>
      <c r="E17" s="238"/>
      <c r="F17" s="239"/>
      <c r="G17" s="306" t="s">
        <v>315</v>
      </c>
      <c r="H17" s="305"/>
      <c r="I17" s="306"/>
      <c r="J17" s="312">
        <v>147.43000000000004</v>
      </c>
      <c r="K17" s="313">
        <v>2.2631988656981257E-3</v>
      </c>
      <c r="L17" s="314">
        <v>359.15000000000009</v>
      </c>
      <c r="M17" s="322">
        <f t="shared" ref="M17:M19" si="1">L17*J17</f>
        <v>52949.484500000028</v>
      </c>
      <c r="N17" s="314"/>
      <c r="O17" s="774" t="s">
        <v>664</v>
      </c>
      <c r="P17" s="775"/>
      <c r="S17" s="339"/>
    </row>
    <row r="18" spans="1:20" s="298" customFormat="1" ht="20.100000000000001" customHeight="1">
      <c r="A18" s="694"/>
      <c r="B18" s="707"/>
      <c r="C18" s="279">
        <v>2</v>
      </c>
      <c r="D18" s="237"/>
      <c r="E18" s="238"/>
      <c r="F18" s="239"/>
      <c r="G18" s="350"/>
      <c r="H18" s="305"/>
      <c r="I18" s="306"/>
      <c r="J18" s="312"/>
      <c r="K18" s="313"/>
      <c r="L18" s="314"/>
      <c r="M18" s="322">
        <f t="shared" si="1"/>
        <v>0</v>
      </c>
      <c r="N18" s="314"/>
      <c r="O18" s="711"/>
      <c r="P18" s="712"/>
      <c r="S18" s="289"/>
      <c r="T18" s="289"/>
    </row>
    <row r="19" spans="1:20" ht="20.100000000000001" customHeight="1">
      <c r="A19" s="694"/>
      <c r="B19" s="707"/>
      <c r="C19" s="279">
        <v>3</v>
      </c>
      <c r="D19" s="237"/>
      <c r="E19" s="281"/>
      <c r="F19" s="282"/>
      <c r="G19" s="350"/>
      <c r="H19" s="305"/>
      <c r="I19" s="306"/>
      <c r="J19" s="312"/>
      <c r="K19" s="313"/>
      <c r="L19" s="314"/>
      <c r="M19" s="322">
        <f t="shared" si="1"/>
        <v>0</v>
      </c>
      <c r="N19" s="288"/>
      <c r="O19" s="774"/>
      <c r="P19" s="775"/>
    </row>
    <row r="20" spans="1:20" ht="20.100000000000001" customHeight="1">
      <c r="A20" s="694"/>
      <c r="B20" s="707"/>
      <c r="C20" s="279">
        <v>4</v>
      </c>
      <c r="D20" s="280"/>
      <c r="E20" s="281"/>
      <c r="F20" s="282"/>
      <c r="G20" s="283"/>
      <c r="H20" s="284"/>
      <c r="I20" s="285"/>
      <c r="J20" s="286"/>
      <c r="K20" s="287"/>
      <c r="L20" s="288"/>
      <c r="M20" s="332">
        <v>0</v>
      </c>
      <c r="N20" s="288"/>
      <c r="O20" s="299"/>
      <c r="P20" s="300"/>
    </row>
    <row r="21" spans="1:20" ht="20.100000000000001" customHeight="1" thickBot="1">
      <c r="A21" s="694"/>
      <c r="B21" s="707"/>
      <c r="C21" s="279">
        <v>5</v>
      </c>
      <c r="D21" s="290"/>
      <c r="E21" s="291"/>
      <c r="F21" s="292"/>
      <c r="G21" s="283"/>
      <c r="H21" s="284"/>
      <c r="I21" s="285"/>
      <c r="J21" s="293"/>
      <c r="K21" s="264"/>
      <c r="L21" s="294"/>
      <c r="M21" s="333">
        <v>0</v>
      </c>
      <c r="N21" s="288"/>
      <c r="O21" s="301"/>
      <c r="P21" s="302"/>
      <c r="R21" s="343"/>
    </row>
    <row r="22" spans="1:20" ht="15.75" customHeight="1" thickTop="1" thickBot="1">
      <c r="A22" s="695"/>
      <c r="B22" s="708"/>
      <c r="C22" s="703"/>
      <c r="D22" s="704"/>
      <c r="E22" s="704"/>
      <c r="F22" s="704"/>
      <c r="G22" s="704"/>
      <c r="H22" s="704"/>
      <c r="I22" s="705"/>
      <c r="J22" s="295" t="s">
        <v>58</v>
      </c>
      <c r="K22" s="433">
        <f>M22/'生產管理報表 7-1(月)'!$B$10</f>
        <v>8.8928181367752185E-2</v>
      </c>
      <c r="L22" s="296" t="s">
        <v>59</v>
      </c>
      <c r="M22" s="334">
        <f>SUM(M17:M21)</f>
        <v>52949.484500000028</v>
      </c>
      <c r="N22" s="680"/>
      <c r="O22" s="681"/>
      <c r="P22" s="682"/>
      <c r="R22" s="339"/>
    </row>
    <row r="23" spans="1:20" ht="15.75" customHeight="1" thickTop="1">
      <c r="M23" s="329"/>
      <c r="R23" s="339"/>
    </row>
    <row r="24" spans="1:20" ht="15.75" customHeight="1">
      <c r="A24" s="683" t="s">
        <v>174</v>
      </c>
      <c r="B24" s="684"/>
      <c r="C24" s="303" t="s">
        <v>47</v>
      </c>
      <c r="D24" s="685" t="s">
        <v>12</v>
      </c>
      <c r="E24" s="686"/>
      <c r="F24" s="687"/>
      <c r="G24" s="688" t="s">
        <v>53</v>
      </c>
      <c r="H24" s="689"/>
      <c r="I24" s="690"/>
      <c r="J24" s="304" t="s">
        <v>54</v>
      </c>
      <c r="K24" s="276" t="s">
        <v>55</v>
      </c>
      <c r="L24" s="276" t="s">
        <v>56</v>
      </c>
      <c r="M24" s="330" t="s">
        <v>11</v>
      </c>
      <c r="N24" s="277" t="s">
        <v>312</v>
      </c>
      <c r="O24" s="691" t="s">
        <v>51</v>
      </c>
      <c r="P24" s="692"/>
      <c r="R24" s="339"/>
    </row>
    <row r="25" spans="1:20" ht="60" customHeight="1">
      <c r="A25" s="693">
        <v>6</v>
      </c>
      <c r="B25" s="706" t="s">
        <v>199</v>
      </c>
      <c r="C25" s="279">
        <v>1</v>
      </c>
      <c r="D25" s="237" t="s">
        <v>562</v>
      </c>
      <c r="E25" s="281"/>
      <c r="F25" s="281"/>
      <c r="G25" s="357" t="s">
        <v>561</v>
      </c>
      <c r="H25" s="305"/>
      <c r="I25" s="306"/>
      <c r="J25" s="312">
        <v>625.93999999999994</v>
      </c>
      <c r="K25" s="313">
        <v>1.4086793027892725E-3</v>
      </c>
      <c r="L25" s="314">
        <v>61.160000000000082</v>
      </c>
      <c r="M25" s="322">
        <f t="shared" ref="M25:M28" si="2">L25*J25</f>
        <v>38282.490400000046</v>
      </c>
      <c r="N25" s="288"/>
      <c r="O25" s="770" t="s">
        <v>665</v>
      </c>
      <c r="P25" s="771"/>
    </row>
    <row r="26" spans="1:20" ht="60" customHeight="1">
      <c r="A26" s="694"/>
      <c r="B26" s="707"/>
      <c r="C26" s="279">
        <v>2</v>
      </c>
      <c r="D26" s="237" t="s">
        <v>319</v>
      </c>
      <c r="E26" s="281"/>
      <c r="F26" s="281"/>
      <c r="G26" s="357" t="s">
        <v>495</v>
      </c>
      <c r="H26" s="305"/>
      <c r="I26" s="306"/>
      <c r="J26" s="312">
        <v>39.389999999999993</v>
      </c>
      <c r="K26" s="313">
        <v>1.1534913258360083E-3</v>
      </c>
      <c r="L26" s="314">
        <v>802.64999999999782</v>
      </c>
      <c r="M26" s="322">
        <f t="shared" si="2"/>
        <v>31616.383499999909</v>
      </c>
      <c r="N26" s="288"/>
      <c r="O26" s="772" t="s">
        <v>666</v>
      </c>
      <c r="P26" s="773"/>
    </row>
    <row r="27" spans="1:20" ht="60" customHeight="1">
      <c r="A27" s="694"/>
      <c r="B27" s="707"/>
      <c r="C27" s="279">
        <v>3</v>
      </c>
      <c r="D27" s="237" t="s">
        <v>436</v>
      </c>
      <c r="E27" s="281"/>
      <c r="F27" s="281"/>
      <c r="G27" s="357" t="s">
        <v>434</v>
      </c>
      <c r="H27" s="305"/>
      <c r="I27" s="306"/>
      <c r="J27" s="312">
        <v>407.74000000000007</v>
      </c>
      <c r="K27" s="313">
        <v>2.5483126278250247E-3</v>
      </c>
      <c r="L27" s="314">
        <v>61.649999999999864</v>
      </c>
      <c r="M27" s="322">
        <f t="shared" si="2"/>
        <v>25137.170999999948</v>
      </c>
      <c r="N27" s="288"/>
      <c r="O27" s="770" t="s">
        <v>667</v>
      </c>
      <c r="P27" s="771"/>
    </row>
    <row r="28" spans="1:20" ht="60" customHeight="1">
      <c r="A28" s="694"/>
      <c r="B28" s="707"/>
      <c r="C28" s="279">
        <v>4</v>
      </c>
      <c r="D28" s="237" t="s">
        <v>581</v>
      </c>
      <c r="E28" s="281"/>
      <c r="F28" s="281"/>
      <c r="G28" s="357" t="s">
        <v>592</v>
      </c>
      <c r="H28" s="305"/>
      <c r="I28" s="306"/>
      <c r="J28" s="312">
        <v>52.26</v>
      </c>
      <c r="K28" s="313">
        <v>4.6661396934026596E-3</v>
      </c>
      <c r="L28" s="314">
        <v>406.5</v>
      </c>
      <c r="M28" s="322">
        <f t="shared" si="2"/>
        <v>21243.69</v>
      </c>
      <c r="N28" s="288"/>
      <c r="O28" s="770" t="s">
        <v>668</v>
      </c>
      <c r="P28" s="771"/>
    </row>
    <row r="29" spans="1:20" ht="60" customHeight="1" thickBot="1">
      <c r="A29" s="694"/>
      <c r="B29" s="707"/>
      <c r="C29" s="279">
        <v>5</v>
      </c>
      <c r="D29" s="244" t="s">
        <v>536</v>
      </c>
      <c r="E29" s="291"/>
      <c r="F29" s="291"/>
      <c r="G29" s="357" t="s">
        <v>540</v>
      </c>
      <c r="H29" s="305"/>
      <c r="I29" s="306"/>
      <c r="J29" s="316">
        <v>39.389999999999993</v>
      </c>
      <c r="K29" s="264">
        <v>4.7728965701402818E-3</v>
      </c>
      <c r="L29" s="317">
        <v>363.54000000000087</v>
      </c>
      <c r="M29" s="322">
        <f>L29*J29</f>
        <v>14319.840600000032</v>
      </c>
      <c r="N29" s="288"/>
      <c r="O29" s="772" t="s">
        <v>668</v>
      </c>
      <c r="P29" s="773"/>
    </row>
    <row r="30" spans="1:20" ht="15.75" customHeight="1" thickTop="1" thickBot="1">
      <c r="A30" s="695"/>
      <c r="B30" s="708"/>
      <c r="C30" s="703"/>
      <c r="D30" s="704"/>
      <c r="E30" s="704"/>
      <c r="F30" s="704"/>
      <c r="G30" s="704"/>
      <c r="H30" s="704"/>
      <c r="I30" s="705"/>
      <c r="J30" s="295" t="s">
        <v>58</v>
      </c>
      <c r="K30" s="433">
        <f>M30/'生產管理報表 7-1(月)'!$B$10</f>
        <v>0.21934080843819037</v>
      </c>
      <c r="L30" s="296" t="s">
        <v>59</v>
      </c>
      <c r="M30" s="334">
        <f>SUM(M25:M29)</f>
        <v>130599.57549999992</v>
      </c>
      <c r="N30" s="680"/>
      <c r="O30" s="681"/>
      <c r="P30" s="682"/>
    </row>
    <row r="31" spans="1:20" ht="15.75" customHeight="1" thickTop="1">
      <c r="M31" s="329"/>
    </row>
    <row r="32" spans="1:20" ht="15.75" customHeight="1">
      <c r="A32" s="683" t="s">
        <v>174</v>
      </c>
      <c r="B32" s="684"/>
      <c r="C32" s="303" t="s">
        <v>47</v>
      </c>
      <c r="D32" s="685" t="s">
        <v>12</v>
      </c>
      <c r="E32" s="686"/>
      <c r="F32" s="687"/>
      <c r="G32" s="688" t="s">
        <v>53</v>
      </c>
      <c r="H32" s="689"/>
      <c r="I32" s="690"/>
      <c r="J32" s="304" t="s">
        <v>54</v>
      </c>
      <c r="K32" s="276" t="s">
        <v>55</v>
      </c>
      <c r="L32" s="276" t="s">
        <v>56</v>
      </c>
      <c r="M32" s="330" t="s">
        <v>11</v>
      </c>
      <c r="N32" s="277" t="s">
        <v>312</v>
      </c>
      <c r="O32" s="691" t="s">
        <v>51</v>
      </c>
      <c r="P32" s="692"/>
    </row>
    <row r="33" spans="1:16" ht="15.75" customHeight="1">
      <c r="A33" s="693">
        <v>7</v>
      </c>
      <c r="B33" s="696" t="s">
        <v>231</v>
      </c>
      <c r="C33" s="279">
        <v>1</v>
      </c>
      <c r="D33" s="280"/>
      <c r="E33" s="281"/>
      <c r="F33" s="282"/>
      <c r="G33" s="283"/>
      <c r="H33" s="284"/>
      <c r="I33" s="285"/>
      <c r="J33" s="286"/>
      <c r="K33" s="287"/>
      <c r="L33" s="288"/>
      <c r="M33" s="331">
        <f t="shared" ref="M33:M35" si="3">L33*J33</f>
        <v>0</v>
      </c>
      <c r="N33" s="288"/>
      <c r="O33" s="699"/>
      <c r="P33" s="700"/>
    </row>
    <row r="34" spans="1:16" ht="15.75" customHeight="1">
      <c r="A34" s="694"/>
      <c r="B34" s="697"/>
      <c r="C34" s="279">
        <v>2</v>
      </c>
      <c r="D34" s="280"/>
      <c r="E34" s="281"/>
      <c r="F34" s="282"/>
      <c r="G34" s="283"/>
      <c r="H34" s="284"/>
      <c r="I34" s="285"/>
      <c r="J34" s="286"/>
      <c r="K34" s="287"/>
      <c r="L34" s="288"/>
      <c r="M34" s="331">
        <f t="shared" si="3"/>
        <v>0</v>
      </c>
      <c r="N34" s="288"/>
      <c r="O34" s="701"/>
      <c r="P34" s="702"/>
    </row>
    <row r="35" spans="1:16" ht="15.75" customHeight="1">
      <c r="A35" s="694"/>
      <c r="B35" s="697"/>
      <c r="C35" s="279">
        <v>3</v>
      </c>
      <c r="D35" s="280"/>
      <c r="E35" s="281"/>
      <c r="F35" s="282"/>
      <c r="G35" s="283"/>
      <c r="H35" s="284"/>
      <c r="I35" s="285"/>
      <c r="J35" s="286"/>
      <c r="K35" s="287"/>
      <c r="L35" s="288"/>
      <c r="M35" s="331">
        <f t="shared" si="3"/>
        <v>0</v>
      </c>
      <c r="N35" s="288"/>
      <c r="O35" s="701"/>
      <c r="P35" s="702"/>
    </row>
    <row r="36" spans="1:16" ht="15.75" customHeight="1">
      <c r="A36" s="694"/>
      <c r="B36" s="697"/>
      <c r="C36" s="279">
        <v>4</v>
      </c>
      <c r="D36" s="280"/>
      <c r="E36" s="281"/>
      <c r="F36" s="282"/>
      <c r="G36" s="283"/>
      <c r="H36" s="284"/>
      <c r="I36" s="285"/>
      <c r="J36" s="286"/>
      <c r="K36" s="287"/>
      <c r="L36" s="288"/>
      <c r="M36" s="332">
        <v>0</v>
      </c>
      <c r="N36" s="288"/>
      <c r="O36" s="299"/>
      <c r="P36" s="300"/>
    </row>
    <row r="37" spans="1:16" ht="15.75" customHeight="1" thickBot="1">
      <c r="A37" s="694"/>
      <c r="B37" s="697"/>
      <c r="C37" s="279">
        <v>5</v>
      </c>
      <c r="D37" s="290"/>
      <c r="E37" s="291"/>
      <c r="F37" s="292"/>
      <c r="G37" s="283"/>
      <c r="H37" s="284"/>
      <c r="I37" s="285"/>
      <c r="J37" s="293"/>
      <c r="K37" s="264"/>
      <c r="L37" s="294"/>
      <c r="M37" s="333">
        <v>0</v>
      </c>
      <c r="N37" s="288"/>
      <c r="O37" s="301"/>
      <c r="P37" s="302"/>
    </row>
    <row r="38" spans="1:16" ht="15.75" customHeight="1" thickTop="1" thickBot="1">
      <c r="A38" s="695"/>
      <c r="B38" s="698"/>
      <c r="C38" s="703"/>
      <c r="D38" s="704"/>
      <c r="E38" s="704"/>
      <c r="F38" s="704"/>
      <c r="G38" s="704"/>
      <c r="H38" s="704"/>
      <c r="I38" s="705"/>
      <c r="J38" s="295" t="s">
        <v>58</v>
      </c>
      <c r="K38" s="433">
        <f>M38/'生產管理報表 7-1(月)'!$B$10</f>
        <v>0</v>
      </c>
      <c r="L38" s="296" t="s">
        <v>59</v>
      </c>
      <c r="M38" s="334">
        <f>SUM(M33:M37)</f>
        <v>0</v>
      </c>
      <c r="N38" s="680"/>
      <c r="O38" s="681"/>
      <c r="P38" s="682"/>
    </row>
    <row r="39" spans="1:16" ht="15.75" customHeight="1" thickTop="1"/>
    <row r="44" spans="1:16" ht="15.75" customHeight="1">
      <c r="O44" s="289" ph="1"/>
      <c r="P44" s="289" ph="1"/>
    </row>
    <row r="46" spans="1:16" ht="15.75" customHeight="1">
      <c r="O46" s="289" ph="1"/>
      <c r="P46" s="289" ph="1"/>
    </row>
    <row r="47" spans="1:16" ht="15.75" customHeight="1">
      <c r="O47" s="289" ph="1"/>
      <c r="P47" s="289" ph="1"/>
    </row>
    <row r="117" spans="15:16" ht="15.75" customHeight="1">
      <c r="O117" s="289" ph="1"/>
      <c r="P117" s="289" ph="1"/>
    </row>
    <row r="119" spans="15:16" ht="15.75" customHeight="1">
      <c r="O119" s="289" ph="1"/>
      <c r="P119" s="289" ph="1"/>
    </row>
    <row r="120" spans="15:16" ht="15.75" customHeight="1">
      <c r="O120" s="289" ph="1"/>
      <c r="P120" s="289" ph="1"/>
    </row>
    <row r="153" spans="15:16" ht="15.75" customHeight="1">
      <c r="O153" s="289" ph="1"/>
      <c r="P153" s="289" ph="1"/>
    </row>
    <row r="155" spans="15:16" ht="15.75" customHeight="1">
      <c r="O155" s="289" ph="1"/>
      <c r="P155" s="289" ph="1"/>
    </row>
    <row r="156" spans="15:16" ht="15.75" customHeight="1">
      <c r="O156" s="289" ph="1"/>
      <c r="P156" s="289" ph="1"/>
    </row>
  </sheetData>
  <mergeCells count="65">
    <mergeCell ref="A1:P2"/>
    <mergeCell ref="N5:O5"/>
    <mergeCell ref="N6:O6"/>
    <mergeCell ref="B6:C6"/>
    <mergeCell ref="D6:E6"/>
    <mergeCell ref="F6:G6"/>
    <mergeCell ref="H6:I6"/>
    <mergeCell ref="J6:K6"/>
    <mergeCell ref="L6:M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O26:P26"/>
    <mergeCell ref="O27:P27"/>
    <mergeCell ref="O28:P28"/>
    <mergeCell ref="O29:P29"/>
    <mergeCell ref="N38:P38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66" fitToWidth="0" fitToHeight="0" pageOrder="overThenDown" orientation="landscape" cellComments="atEnd" r:id="rId1"/>
  <rowBreaks count="1" manualBreakCount="1">
    <brk id="23" max="15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7">
    <tabColor rgb="FF92D050"/>
    <outlinePr summaryBelow="0" summaryRight="0"/>
  </sheetPr>
  <dimension ref="A1:N70"/>
  <sheetViews>
    <sheetView tabSelected="1" view="pageBreakPreview" topLeftCell="A16" zoomScale="115" zoomScaleNormal="60" zoomScaleSheetLayoutView="115" workbookViewId="0">
      <selection activeCell="C31" sqref="C31"/>
    </sheetView>
  </sheetViews>
  <sheetFormatPr defaultColWidth="12.5703125" defaultRowHeight="15.75" customHeight="1"/>
  <cols>
    <col min="1" max="1" width="14.140625" style="135" customWidth="1"/>
    <col min="2" max="2" width="14.85546875" style="135" customWidth="1"/>
    <col min="3" max="3" width="12.85546875" style="135" customWidth="1"/>
    <col min="4" max="4" width="2.5703125" style="135" customWidth="1"/>
    <col min="5" max="5" width="7.5703125" style="135" customWidth="1"/>
    <col min="6" max="6" width="12.85546875" style="135" customWidth="1"/>
    <col min="7" max="7" width="9.42578125" style="135" customWidth="1"/>
    <col min="8" max="8" width="12.85546875" style="135" customWidth="1"/>
    <col min="9" max="9" width="9.42578125" style="135" customWidth="1"/>
    <col min="10" max="10" width="12.85546875" style="135" customWidth="1"/>
    <col min="11" max="11" width="9.42578125" style="135" customWidth="1"/>
    <col min="12" max="12" width="12.85546875" style="135" customWidth="1"/>
    <col min="13" max="13" width="9.42578125" style="135" customWidth="1"/>
    <col min="14" max="16384" width="12.5703125" style="135"/>
  </cols>
  <sheetData>
    <row r="1" spans="1:14" ht="15.75" customHeight="1">
      <c r="A1" s="647" t="s">
        <v>339</v>
      </c>
      <c r="B1" s="647"/>
      <c r="C1" s="647"/>
      <c r="D1" s="647"/>
      <c r="E1" s="647"/>
      <c r="F1" s="647"/>
      <c r="G1" s="647"/>
      <c r="H1" s="647"/>
      <c r="I1" s="647"/>
      <c r="J1" s="647"/>
      <c r="K1" s="647"/>
      <c r="L1" s="647"/>
      <c r="M1" s="647"/>
    </row>
    <row r="2" spans="1:14" s="136" customFormat="1" ht="15.75" customHeight="1">
      <c r="A2" s="647"/>
      <c r="B2" s="647"/>
      <c r="C2" s="647"/>
      <c r="D2" s="647"/>
      <c r="E2" s="647"/>
      <c r="F2" s="647"/>
      <c r="G2" s="647"/>
      <c r="H2" s="647"/>
      <c r="I2" s="647"/>
      <c r="J2" s="647"/>
      <c r="K2" s="647"/>
      <c r="L2" s="647"/>
      <c r="M2" s="647"/>
    </row>
    <row r="3" spans="1:14" ht="15.75" customHeight="1">
      <c r="A3" s="648" t="s">
        <v>425</v>
      </c>
      <c r="B3" s="648"/>
      <c r="C3" s="648"/>
      <c r="D3" s="648"/>
      <c r="E3" s="648"/>
      <c r="F3" s="648"/>
      <c r="G3" s="648"/>
      <c r="H3" s="648"/>
      <c r="I3" s="648"/>
      <c r="J3" s="648"/>
      <c r="K3" s="648"/>
      <c r="L3" s="648"/>
      <c r="M3" s="648"/>
    </row>
    <row r="4" spans="1:14" s="136" customFormat="1" ht="15.75" customHeight="1">
      <c r="A4" s="648"/>
      <c r="B4" s="648"/>
      <c r="C4" s="648"/>
      <c r="D4" s="648"/>
      <c r="E4" s="648"/>
      <c r="F4" s="648"/>
      <c r="G4" s="648"/>
      <c r="H4" s="648"/>
      <c r="I4" s="648"/>
      <c r="J4" s="648"/>
      <c r="K4" s="648"/>
      <c r="L4" s="648"/>
      <c r="M4" s="648"/>
    </row>
    <row r="5" spans="1:14" ht="15.75" customHeight="1">
      <c r="A5" s="225" t="s">
        <v>399</v>
      </c>
      <c r="B5" s="226">
        <v>42486.866159999998</v>
      </c>
      <c r="E5" s="782" t="s">
        <v>426</v>
      </c>
      <c r="F5" s="783"/>
      <c r="G5" s="783"/>
      <c r="H5" s="783"/>
      <c r="I5" s="783"/>
      <c r="J5" s="783"/>
      <c r="K5" s="783"/>
      <c r="L5" s="783"/>
      <c r="M5" s="783"/>
      <c r="N5" s="443"/>
    </row>
    <row r="6" spans="1:14" ht="15.75" customHeight="1">
      <c r="A6" s="784" t="s">
        <v>180</v>
      </c>
      <c r="B6" s="650" t="s">
        <v>10</v>
      </c>
      <c r="C6" s="650"/>
      <c r="D6" s="651"/>
      <c r="E6" s="649" t="s">
        <v>180</v>
      </c>
      <c r="F6" s="653">
        <v>1</v>
      </c>
      <c r="G6" s="653"/>
      <c r="H6" s="653">
        <v>2</v>
      </c>
      <c r="I6" s="653"/>
      <c r="J6" s="653">
        <v>3</v>
      </c>
      <c r="K6" s="653"/>
      <c r="L6" s="653">
        <v>4</v>
      </c>
      <c r="M6" s="653"/>
    </row>
    <row r="7" spans="1:14" ht="31.35" customHeight="1">
      <c r="A7" s="784"/>
      <c r="B7" s="650"/>
      <c r="C7" s="650"/>
      <c r="D7" s="652"/>
      <c r="E7" s="649"/>
      <c r="F7" s="655" t="s">
        <v>427</v>
      </c>
      <c r="G7" s="655"/>
      <c r="H7" s="655" t="s">
        <v>223</v>
      </c>
      <c r="I7" s="655"/>
      <c r="J7" s="655" t="s">
        <v>166</v>
      </c>
      <c r="K7" s="655"/>
      <c r="L7" s="655" t="s">
        <v>406</v>
      </c>
      <c r="M7" s="655"/>
    </row>
    <row r="8" spans="1:14" ht="15.75" customHeight="1">
      <c r="A8" s="784"/>
      <c r="B8" s="154" t="s">
        <v>11</v>
      </c>
      <c r="C8" s="154" t="s">
        <v>41</v>
      </c>
      <c r="D8" s="652"/>
      <c r="E8" s="649"/>
      <c r="F8" s="154" t="s">
        <v>11</v>
      </c>
      <c r="G8" s="154" t="s">
        <v>41</v>
      </c>
      <c r="H8" s="154" t="s">
        <v>11</v>
      </c>
      <c r="I8" s="154" t="s">
        <v>41</v>
      </c>
      <c r="J8" s="154" t="s">
        <v>11</v>
      </c>
      <c r="K8" s="154" t="s">
        <v>41</v>
      </c>
      <c r="L8" s="154" t="s">
        <v>11</v>
      </c>
      <c r="M8" s="154" t="s">
        <v>41</v>
      </c>
    </row>
    <row r="9" spans="1:14" ht="19.350000000000001" customHeight="1">
      <c r="A9" s="227" t="s">
        <v>225</v>
      </c>
      <c r="B9" s="139">
        <f>日別報廢率總表!I5</f>
        <v>85080.957900000009</v>
      </c>
      <c r="C9" s="229">
        <f>B9/($B$5*1000)</f>
        <v>2.0025237347371353E-3</v>
      </c>
      <c r="D9" s="652"/>
      <c r="E9" s="138" t="s">
        <v>225</v>
      </c>
      <c r="F9" s="141">
        <f>'報廢20大－原因別分析'!AG8</f>
        <v>7367.6618000000008</v>
      </c>
      <c r="G9" s="142">
        <f>'報廢20大－原因別分析'!AG9</f>
        <v>0.4</v>
      </c>
      <c r="H9" s="141">
        <f>'報廢20大－原因別分析'!AH8</f>
        <v>0</v>
      </c>
      <c r="I9" s="142">
        <f>'報廢20大－原因別分析'!AH9</f>
        <v>0</v>
      </c>
      <c r="J9" s="141">
        <f>'報廢20大－原因別分析'!AI8</f>
        <v>8116.3483999999989</v>
      </c>
      <c r="K9" s="142">
        <f>'報廢20大－原因別分析'!AI9</f>
        <v>0.3</v>
      </c>
      <c r="L9" s="141">
        <f>'報廢20大－原因別分析'!AJ8</f>
        <v>0</v>
      </c>
      <c r="M9" s="142">
        <f>'報廢20大－原因別分析'!AJ9</f>
        <v>0</v>
      </c>
    </row>
    <row r="10" spans="1:14" ht="19.350000000000001" customHeight="1">
      <c r="A10" s="228" t="s">
        <v>226</v>
      </c>
      <c r="B10" s="144">
        <f>日別報廢率總表!J5</f>
        <v>255308.68299999996</v>
      </c>
      <c r="C10" s="140">
        <f>B10/($B$5*1000)</f>
        <v>6.0091201369981201E-3</v>
      </c>
      <c r="D10" s="652"/>
      <c r="E10" s="143" t="s">
        <v>226</v>
      </c>
      <c r="F10" s="141">
        <f>'超用20大－原因別分析'!AG8</f>
        <v>0</v>
      </c>
      <c r="G10" s="142">
        <f>'超用20大－原因別分析'!AG9</f>
        <v>0</v>
      </c>
      <c r="H10" s="141">
        <f>'超用20大－原因別分析'!AH8</f>
        <v>0</v>
      </c>
      <c r="I10" s="142">
        <f>'超用20大－原因別分析'!AH9</f>
        <v>0</v>
      </c>
      <c r="J10" s="141">
        <f>'超用20大－原因別分析'!AI8</f>
        <v>0</v>
      </c>
      <c r="K10" s="142">
        <f>'超用20大－原因別分析'!AI9</f>
        <v>0</v>
      </c>
      <c r="L10" s="141">
        <f>'超用20大－原因別分析'!AJ8</f>
        <v>51502.644800000031</v>
      </c>
      <c r="M10" s="142">
        <f>'超用20大－原因別分析'!AJ9</f>
        <v>0.65</v>
      </c>
    </row>
    <row r="11" spans="1:14" ht="15.75" customHeight="1">
      <c r="A11" s="224" t="s">
        <v>396</v>
      </c>
      <c r="B11" s="378" t="s">
        <v>626</v>
      </c>
      <c r="C11" s="223"/>
      <c r="D11" s="652"/>
      <c r="E11" s="649" t="s">
        <v>180</v>
      </c>
      <c r="F11" s="748">
        <v>5</v>
      </c>
      <c r="G11" s="749"/>
      <c r="H11" s="748">
        <v>6</v>
      </c>
      <c r="I11" s="749"/>
      <c r="J11" s="748">
        <v>7</v>
      </c>
      <c r="K11" s="749"/>
      <c r="L11" s="785"/>
      <c r="M11" s="786"/>
    </row>
    <row r="12" spans="1:14" ht="31.35" customHeight="1">
      <c r="A12" s="135" t="s">
        <v>397</v>
      </c>
      <c r="B12" s="378" t="s">
        <v>626</v>
      </c>
      <c r="C12" s="223"/>
      <c r="D12" s="652"/>
      <c r="E12" s="649"/>
      <c r="F12" s="787" t="s">
        <v>172</v>
      </c>
      <c r="G12" s="788"/>
      <c r="H12" s="787" t="s">
        <v>167</v>
      </c>
      <c r="I12" s="788"/>
      <c r="J12" s="787" t="s">
        <v>173</v>
      </c>
      <c r="K12" s="788"/>
      <c r="L12" s="789"/>
      <c r="M12" s="790"/>
    </row>
    <row r="13" spans="1:14" ht="15.75" customHeight="1">
      <c r="D13" s="652"/>
      <c r="E13" s="649"/>
      <c r="F13" s="154" t="s">
        <v>11</v>
      </c>
      <c r="G13" s="154" t="s">
        <v>41</v>
      </c>
      <c r="H13" s="154" t="s">
        <v>11</v>
      </c>
      <c r="I13" s="154" t="s">
        <v>41</v>
      </c>
      <c r="J13" s="154" t="s">
        <v>11</v>
      </c>
      <c r="K13" s="154" t="s">
        <v>41</v>
      </c>
      <c r="L13" s="154"/>
      <c r="M13" s="154"/>
    </row>
    <row r="14" spans="1:14" ht="19.350000000000001" customHeight="1">
      <c r="D14" s="652"/>
      <c r="E14" s="138" t="s">
        <v>225</v>
      </c>
      <c r="F14" s="141">
        <f>'報廢20大－原因別分析'!AK8</f>
        <v>1509.6832000000004</v>
      </c>
      <c r="G14" s="142">
        <f>'報廢20大－原因別分析'!AK9</f>
        <v>0.05</v>
      </c>
      <c r="H14" s="141">
        <f>'報廢20大－原因別分析'!AL8</f>
        <v>6083.7018000000007</v>
      </c>
      <c r="I14" s="142">
        <f>'報廢20大－原因別分析'!AL9</f>
        <v>0.25</v>
      </c>
      <c r="J14" s="141">
        <f>'報廢20大－原因別分析'!AM8</f>
        <v>0</v>
      </c>
      <c r="K14" s="142">
        <f>'報廢20大－原因別分析'!AM9</f>
        <v>0</v>
      </c>
      <c r="L14" s="141"/>
      <c r="M14" s="142"/>
    </row>
    <row r="15" spans="1:14" ht="19.350000000000001" customHeight="1">
      <c r="D15" s="652"/>
      <c r="E15" s="143" t="s">
        <v>226</v>
      </c>
      <c r="F15" s="141">
        <f>'超用20大－原因別分析'!AK8</f>
        <v>9664.0365000000293</v>
      </c>
      <c r="G15" s="142">
        <f>'超用20大－原因別分析'!AK9</f>
        <v>0.05</v>
      </c>
      <c r="H15" s="141">
        <f>'超用20大－原因別分析'!AL8</f>
        <v>28695.622699999996</v>
      </c>
      <c r="I15" s="142">
        <f>'超用20大－原因別分析'!AL9</f>
        <v>0.3</v>
      </c>
      <c r="J15" s="141">
        <f>'超用20大－原因別分析'!AM8</f>
        <v>0</v>
      </c>
      <c r="K15" s="142">
        <f>'超用20大－原因別分析'!AM9</f>
        <v>0</v>
      </c>
      <c r="L15" s="141"/>
      <c r="M15" s="142"/>
    </row>
    <row r="16" spans="1:14" ht="15.75" customHeight="1">
      <c r="A16" s="225" t="s">
        <v>399</v>
      </c>
      <c r="B16" s="226">
        <v>41863.93067999999</v>
      </c>
      <c r="E16" s="782" t="s">
        <v>426</v>
      </c>
      <c r="F16" s="783"/>
      <c r="G16" s="783"/>
      <c r="H16" s="783"/>
      <c r="I16" s="783"/>
      <c r="J16" s="783"/>
      <c r="K16" s="783"/>
      <c r="L16" s="783"/>
      <c r="M16" s="783"/>
      <c r="N16" s="443"/>
    </row>
    <row r="17" spans="1:14" ht="15.75" customHeight="1">
      <c r="A17" s="784" t="s">
        <v>180</v>
      </c>
      <c r="B17" s="650" t="s">
        <v>10</v>
      </c>
      <c r="C17" s="650"/>
      <c r="D17" s="651"/>
      <c r="E17" s="649" t="s">
        <v>180</v>
      </c>
      <c r="F17" s="653">
        <v>1</v>
      </c>
      <c r="G17" s="653"/>
      <c r="H17" s="653">
        <v>2</v>
      </c>
      <c r="I17" s="653"/>
      <c r="J17" s="653">
        <v>3</v>
      </c>
      <c r="K17" s="653"/>
      <c r="L17" s="653">
        <v>4</v>
      </c>
      <c r="M17" s="653"/>
    </row>
    <row r="18" spans="1:14" ht="31.35" customHeight="1">
      <c r="A18" s="784"/>
      <c r="B18" s="650"/>
      <c r="C18" s="650"/>
      <c r="D18" s="652"/>
      <c r="E18" s="649"/>
      <c r="F18" s="655" t="s">
        <v>427</v>
      </c>
      <c r="G18" s="655"/>
      <c r="H18" s="655" t="s">
        <v>223</v>
      </c>
      <c r="I18" s="655"/>
      <c r="J18" s="655" t="s">
        <v>166</v>
      </c>
      <c r="K18" s="655"/>
      <c r="L18" s="655" t="s">
        <v>406</v>
      </c>
      <c r="M18" s="655"/>
    </row>
    <row r="19" spans="1:14" ht="15.75" customHeight="1">
      <c r="A19" s="784"/>
      <c r="B19" s="154" t="s">
        <v>11</v>
      </c>
      <c r="C19" s="154" t="s">
        <v>41</v>
      </c>
      <c r="D19" s="652"/>
      <c r="E19" s="649"/>
      <c r="F19" s="154" t="s">
        <v>11</v>
      </c>
      <c r="G19" s="154" t="s">
        <v>41</v>
      </c>
      <c r="H19" s="154" t="s">
        <v>11</v>
      </c>
      <c r="I19" s="154" t="s">
        <v>41</v>
      </c>
      <c r="J19" s="154" t="s">
        <v>11</v>
      </c>
      <c r="K19" s="154" t="s">
        <v>41</v>
      </c>
      <c r="L19" s="154" t="s">
        <v>11</v>
      </c>
      <c r="M19" s="154" t="s">
        <v>41</v>
      </c>
    </row>
    <row r="20" spans="1:14" ht="19.350000000000001" customHeight="1">
      <c r="A20" s="227" t="s">
        <v>225</v>
      </c>
      <c r="B20" s="139">
        <f>日別報廢率總表!I12</f>
        <v>83879.815799999997</v>
      </c>
      <c r="C20" s="229">
        <f>B20/($B$16*1000)</f>
        <v>2.0036297222341955E-3</v>
      </c>
      <c r="D20" s="652"/>
      <c r="E20" s="138" t="s">
        <v>225</v>
      </c>
      <c r="F20" s="141">
        <f>'報廢20大－原因別分析'!AG30</f>
        <v>9488.8132000000005</v>
      </c>
      <c r="G20" s="142">
        <f>'報廢20大－原因別分析'!AG31</f>
        <v>0.55000000000000004</v>
      </c>
      <c r="H20" s="141">
        <f>'報廢20大－原因別分析'!AH30</f>
        <v>0</v>
      </c>
      <c r="I20" s="142">
        <f>'報廢20大－原因別分析'!AH31</f>
        <v>0</v>
      </c>
      <c r="J20" s="141">
        <f>'報廢20大－原因別分析'!AI30</f>
        <v>7708.4367999999995</v>
      </c>
      <c r="K20" s="142">
        <f>'報廢20大－原因別分析'!AI31</f>
        <v>0.25</v>
      </c>
      <c r="L20" s="141">
        <f>'報廢20大－原因別分析'!AJ30</f>
        <v>0</v>
      </c>
      <c r="M20" s="142">
        <f>'報廢20大－原因別分析'!AJ31</f>
        <v>0</v>
      </c>
    </row>
    <row r="21" spans="1:14" ht="19.350000000000001" customHeight="1">
      <c r="A21" s="228" t="s">
        <v>226</v>
      </c>
      <c r="B21" s="144">
        <f>日別報廢率總表!J12</f>
        <v>251578.55800000002</v>
      </c>
      <c r="C21" s="140">
        <f>B21/($B$16*1000)</f>
        <v>6.0094347070039642E-3</v>
      </c>
      <c r="D21" s="652"/>
      <c r="E21" s="143" t="s">
        <v>226</v>
      </c>
      <c r="F21" s="141">
        <f>'超用20大－原因別分析'!AG30</f>
        <v>0</v>
      </c>
      <c r="G21" s="142">
        <f>'超用20大－原因別分析'!AG31</f>
        <v>0</v>
      </c>
      <c r="H21" s="141">
        <f>'超用20大－原因別分析'!AH30</f>
        <v>0</v>
      </c>
      <c r="I21" s="142">
        <f>'超用20大－原因別分析'!AH31</f>
        <v>0</v>
      </c>
      <c r="J21" s="141">
        <f>'超用20大－原因別分析'!AI30</f>
        <v>0</v>
      </c>
      <c r="K21" s="142">
        <f>'超用20大－原因別分析'!AI31</f>
        <v>0</v>
      </c>
      <c r="L21" s="141">
        <f>'超用20大－原因別分析'!AJ30</f>
        <v>69862.741700000028</v>
      </c>
      <c r="M21" s="142">
        <f>'超用20大－原因別分析'!AJ31</f>
        <v>0.9</v>
      </c>
    </row>
    <row r="22" spans="1:14" ht="15.75" customHeight="1">
      <c r="A22" s="224" t="s">
        <v>396</v>
      </c>
      <c r="B22" s="378" t="s">
        <v>641</v>
      </c>
      <c r="C22" s="223"/>
      <c r="D22" s="652"/>
      <c r="E22" s="649" t="s">
        <v>180</v>
      </c>
      <c r="F22" s="748">
        <v>5</v>
      </c>
      <c r="G22" s="749"/>
      <c r="H22" s="748">
        <v>6</v>
      </c>
      <c r="I22" s="749"/>
      <c r="J22" s="748">
        <v>7</v>
      </c>
      <c r="K22" s="749"/>
      <c r="L22" s="785"/>
      <c r="M22" s="786"/>
    </row>
    <row r="23" spans="1:14" ht="31.35" customHeight="1">
      <c r="A23" s="135" t="s">
        <v>397</v>
      </c>
      <c r="B23" s="378" t="s">
        <v>641</v>
      </c>
      <c r="C23" s="223"/>
      <c r="D23" s="652"/>
      <c r="E23" s="649"/>
      <c r="F23" s="787" t="s">
        <v>172</v>
      </c>
      <c r="G23" s="788"/>
      <c r="H23" s="787" t="s">
        <v>167</v>
      </c>
      <c r="I23" s="788"/>
      <c r="J23" s="787" t="s">
        <v>173</v>
      </c>
      <c r="K23" s="788"/>
      <c r="L23" s="789"/>
      <c r="M23" s="790"/>
    </row>
    <row r="24" spans="1:14" ht="15.75" customHeight="1">
      <c r="D24" s="652"/>
      <c r="E24" s="649"/>
      <c r="F24" s="154" t="s">
        <v>11</v>
      </c>
      <c r="G24" s="154" t="s">
        <v>41</v>
      </c>
      <c r="H24" s="154" t="s">
        <v>11</v>
      </c>
      <c r="I24" s="154" t="s">
        <v>41</v>
      </c>
      <c r="J24" s="154" t="s">
        <v>11</v>
      </c>
      <c r="K24" s="154" t="s">
        <v>41</v>
      </c>
      <c r="L24" s="154"/>
      <c r="M24" s="154"/>
    </row>
    <row r="25" spans="1:14" ht="19.350000000000001" customHeight="1">
      <c r="D25" s="652"/>
      <c r="E25" s="138" t="s">
        <v>225</v>
      </c>
      <c r="F25" s="141">
        <f>'報廢20大－原因別分析'!AK30</f>
        <v>1294.4354000000005</v>
      </c>
      <c r="G25" s="142">
        <f>'報廢20大－原因別分析'!AK31</f>
        <v>0.05</v>
      </c>
      <c r="H25" s="141">
        <f>'報廢20大－原因別分析'!AL30</f>
        <v>3045.7166000000002</v>
      </c>
      <c r="I25" s="142">
        <f>'報廢20大－原因別分析'!AL31</f>
        <v>0.15</v>
      </c>
      <c r="J25" s="141">
        <f>'報廢20大－原因別分析'!AM30</f>
        <v>0</v>
      </c>
      <c r="K25" s="142">
        <f>'報廢20大－原因別分析'!AM31</f>
        <v>0</v>
      </c>
      <c r="L25" s="141"/>
      <c r="M25" s="142"/>
    </row>
    <row r="26" spans="1:14" ht="19.350000000000001" customHeight="1">
      <c r="D26" s="652"/>
      <c r="E26" s="143" t="s">
        <v>226</v>
      </c>
      <c r="F26" s="141">
        <f>'超用20大－原因別分析'!AK30</f>
        <v>8752.9190999999864</v>
      </c>
      <c r="G26" s="142">
        <f>'超用20大－原因別分析'!AK31</f>
        <v>0.05</v>
      </c>
      <c r="H26" s="141">
        <f>'超用20大－原因別分析'!AL30</f>
        <v>4089.6321999999896</v>
      </c>
      <c r="I26" s="142">
        <f>'超用20大－原因別分析'!AL31</f>
        <v>0.05</v>
      </c>
      <c r="J26" s="141">
        <f>'超用20大－原因別分析'!AM30</f>
        <v>0</v>
      </c>
      <c r="K26" s="142">
        <f>'超用20大－原因別分析'!AM31</f>
        <v>0</v>
      </c>
      <c r="L26" s="141"/>
      <c r="M26" s="142"/>
    </row>
    <row r="27" spans="1:14" ht="15.75" customHeight="1">
      <c r="A27" s="225" t="s">
        <v>399</v>
      </c>
      <c r="B27" s="226">
        <f>'生產管理報表(週) '!B6</f>
        <v>38288.004869999997</v>
      </c>
      <c r="E27" s="782" t="s">
        <v>426</v>
      </c>
      <c r="F27" s="783"/>
      <c r="G27" s="783"/>
      <c r="H27" s="783"/>
      <c r="I27" s="783"/>
      <c r="J27" s="783"/>
      <c r="K27" s="783"/>
      <c r="L27" s="783"/>
      <c r="M27" s="783"/>
      <c r="N27" s="443"/>
    </row>
    <row r="28" spans="1:14" ht="15.75" customHeight="1">
      <c r="A28" s="784" t="s">
        <v>180</v>
      </c>
      <c r="B28" s="650" t="s">
        <v>10</v>
      </c>
      <c r="C28" s="650"/>
      <c r="D28" s="651"/>
      <c r="E28" s="649" t="s">
        <v>180</v>
      </c>
      <c r="F28" s="653">
        <v>1</v>
      </c>
      <c r="G28" s="653"/>
      <c r="H28" s="653">
        <v>2</v>
      </c>
      <c r="I28" s="653"/>
      <c r="J28" s="653">
        <v>3</v>
      </c>
      <c r="K28" s="653"/>
      <c r="L28" s="653">
        <v>4</v>
      </c>
      <c r="M28" s="653"/>
    </row>
    <row r="29" spans="1:14" ht="31.35" customHeight="1">
      <c r="A29" s="784"/>
      <c r="B29" s="650"/>
      <c r="C29" s="650"/>
      <c r="D29" s="652"/>
      <c r="E29" s="649"/>
      <c r="F29" s="655" t="s">
        <v>427</v>
      </c>
      <c r="G29" s="655"/>
      <c r="H29" s="655" t="s">
        <v>223</v>
      </c>
      <c r="I29" s="655"/>
      <c r="J29" s="655" t="s">
        <v>166</v>
      </c>
      <c r="K29" s="655"/>
      <c r="L29" s="655" t="s">
        <v>406</v>
      </c>
      <c r="M29" s="655"/>
    </row>
    <row r="30" spans="1:14" ht="15.75" customHeight="1">
      <c r="A30" s="784"/>
      <c r="B30" s="154" t="s">
        <v>11</v>
      </c>
      <c r="C30" s="154" t="s">
        <v>41</v>
      </c>
      <c r="D30" s="652"/>
      <c r="E30" s="649"/>
      <c r="F30" s="154" t="s">
        <v>11</v>
      </c>
      <c r="G30" s="154" t="s">
        <v>41</v>
      </c>
      <c r="H30" s="154" t="s">
        <v>11</v>
      </c>
      <c r="I30" s="154" t="s">
        <v>41</v>
      </c>
      <c r="J30" s="154" t="s">
        <v>11</v>
      </c>
      <c r="K30" s="154" t="s">
        <v>41</v>
      </c>
      <c r="L30" s="154" t="s">
        <v>11</v>
      </c>
      <c r="M30" s="154" t="s">
        <v>41</v>
      </c>
    </row>
    <row r="31" spans="1:14" ht="19.350000000000001" customHeight="1">
      <c r="A31" s="227" t="s">
        <v>225</v>
      </c>
      <c r="B31" s="139">
        <f>日別報廢率總表!I19</f>
        <v>76818.528200000015</v>
      </c>
      <c r="C31" s="229">
        <f>B31/($B$27*1000)</f>
        <v>2.0063340584296164E-3</v>
      </c>
      <c r="D31" s="652"/>
      <c r="E31" s="138" t="s">
        <v>225</v>
      </c>
      <c r="F31" s="141">
        <f>'報廢20大－原因別分析'!AG52</f>
        <v>6720.1255000000001</v>
      </c>
      <c r="G31" s="142">
        <f>'報廢20大－原因別分析'!AG53</f>
        <v>0.4</v>
      </c>
      <c r="H31" s="141">
        <f>'報廢20大－原因別分析'!AH52</f>
        <v>0</v>
      </c>
      <c r="I31" s="142">
        <f>'報廢20大－原因別分析'!AH53</f>
        <v>0</v>
      </c>
      <c r="J31" s="141">
        <f>'報廢20大－原因別分析'!AI52</f>
        <v>7400.501400000001</v>
      </c>
      <c r="K31" s="142">
        <f>'報廢20大－原因別分析'!AI53</f>
        <v>0.3</v>
      </c>
      <c r="L31" s="141">
        <f>'報廢20大－原因別分析'!AJ52</f>
        <v>0</v>
      </c>
      <c r="M31" s="142">
        <f>'報廢20大－原因別分析'!AJ53</f>
        <v>0</v>
      </c>
    </row>
    <row r="32" spans="1:14" ht="19.350000000000001" customHeight="1">
      <c r="A32" s="228" t="s">
        <v>226</v>
      </c>
      <c r="B32" s="144">
        <f>日別報廢率總表!J19</f>
        <v>230163.40269999992</v>
      </c>
      <c r="C32" s="140">
        <f>B32/($B$27*1000)</f>
        <v>6.0113710150601516E-3</v>
      </c>
      <c r="D32" s="652"/>
      <c r="E32" s="143" t="s">
        <v>226</v>
      </c>
      <c r="F32" s="141">
        <f>'超用20大－原因別分析'!AG52</f>
        <v>0</v>
      </c>
      <c r="G32" s="142">
        <f>'超用20大－原因別分析'!AG53</f>
        <v>0</v>
      </c>
      <c r="H32" s="141">
        <f>'超用20大－原因別分析'!AH52</f>
        <v>0</v>
      </c>
      <c r="I32" s="142">
        <f>'超用20大－原因別分析'!AH53</f>
        <v>0</v>
      </c>
      <c r="J32" s="141">
        <f>'超用20大－原因別分析'!AI52</f>
        <v>0</v>
      </c>
      <c r="K32" s="142">
        <f>'超用20大－原因別分析'!AI53</f>
        <v>0</v>
      </c>
      <c r="L32" s="141">
        <f>'超用20大－原因別分析'!AJ52</f>
        <v>68609.218599999964</v>
      </c>
      <c r="M32" s="142">
        <f>'超用20大－原因別分析'!AJ53</f>
        <v>0.9</v>
      </c>
    </row>
    <row r="33" spans="1:14" ht="15.75" customHeight="1">
      <c r="A33" s="224" t="s">
        <v>396</v>
      </c>
      <c r="B33" s="378" t="s">
        <v>685</v>
      </c>
      <c r="C33" s="223"/>
      <c r="D33" s="652"/>
      <c r="E33" s="649" t="s">
        <v>180</v>
      </c>
      <c r="F33" s="748">
        <v>5</v>
      </c>
      <c r="G33" s="749"/>
      <c r="H33" s="748">
        <v>6</v>
      </c>
      <c r="I33" s="749"/>
      <c r="J33" s="748">
        <v>7</v>
      </c>
      <c r="K33" s="749"/>
      <c r="L33" s="785"/>
      <c r="M33" s="786"/>
    </row>
    <row r="34" spans="1:14" ht="31.35" customHeight="1">
      <c r="A34" s="135" t="s">
        <v>397</v>
      </c>
      <c r="B34" s="378" t="s">
        <v>685</v>
      </c>
      <c r="C34" s="223"/>
      <c r="D34" s="652"/>
      <c r="E34" s="649"/>
      <c r="F34" s="787" t="s">
        <v>172</v>
      </c>
      <c r="G34" s="788"/>
      <c r="H34" s="787" t="s">
        <v>167</v>
      </c>
      <c r="I34" s="788"/>
      <c r="J34" s="787" t="s">
        <v>173</v>
      </c>
      <c r="K34" s="788"/>
      <c r="L34" s="789"/>
      <c r="M34" s="790"/>
    </row>
    <row r="35" spans="1:14" ht="15.75" customHeight="1">
      <c r="D35" s="652"/>
      <c r="E35" s="649"/>
      <c r="F35" s="154" t="s">
        <v>11</v>
      </c>
      <c r="G35" s="154" t="s">
        <v>41</v>
      </c>
      <c r="H35" s="154" t="s">
        <v>11</v>
      </c>
      <c r="I35" s="154" t="s">
        <v>41</v>
      </c>
      <c r="J35" s="154" t="s">
        <v>11</v>
      </c>
      <c r="K35" s="154" t="s">
        <v>41</v>
      </c>
      <c r="L35" s="154"/>
      <c r="M35" s="154"/>
    </row>
    <row r="36" spans="1:14" ht="19.350000000000001" customHeight="1">
      <c r="D36" s="652"/>
      <c r="E36" s="138" t="s">
        <v>225</v>
      </c>
      <c r="F36" s="141">
        <f>'報廢20大－原因別分析'!AK52</f>
        <v>1203.0288000000003</v>
      </c>
      <c r="G36" s="142">
        <f>'報廢20大－原因別分析'!AK53</f>
        <v>0.05</v>
      </c>
      <c r="H36" s="141">
        <f>'報廢20大－原因別分析'!AL52</f>
        <v>5438.7682000000013</v>
      </c>
      <c r="I36" s="142">
        <f>'報廢20大－原因別分析'!AL53</f>
        <v>0.25</v>
      </c>
      <c r="J36" s="141">
        <f>'報廢20大－原因別分析'!AM52</f>
        <v>0</v>
      </c>
      <c r="K36" s="142">
        <f>'報廢20大－原因別分析'!AM53</f>
        <v>0</v>
      </c>
      <c r="L36" s="141"/>
      <c r="M36" s="142"/>
    </row>
    <row r="37" spans="1:14" ht="19.350000000000001" customHeight="1">
      <c r="D37" s="652"/>
      <c r="E37" s="143" t="s">
        <v>226</v>
      </c>
      <c r="F37" s="141">
        <f>'超用20大－原因別分析'!AK52</f>
        <v>7589.6964000000044</v>
      </c>
      <c r="G37" s="142">
        <f>'超用20大－原因別分析'!AK53</f>
        <v>0.05</v>
      </c>
      <c r="H37" s="141">
        <f>'超用20大－原因別分析'!AL52</f>
        <v>4040.703400000034</v>
      </c>
      <c r="I37" s="142">
        <f>'超用20大－原因別分析'!AL53</f>
        <v>0.05</v>
      </c>
      <c r="J37" s="141">
        <f>'超用20大－原因別分析'!AM52</f>
        <v>0</v>
      </c>
      <c r="K37" s="142">
        <f>'超用20大－原因別分析'!AM53</f>
        <v>0</v>
      </c>
      <c r="L37" s="141"/>
      <c r="M37" s="142"/>
    </row>
    <row r="38" spans="1:14" ht="15.75" customHeight="1">
      <c r="A38" s="225" t="s">
        <v>399</v>
      </c>
      <c r="B38" s="226"/>
      <c r="E38" s="782" t="s">
        <v>426</v>
      </c>
      <c r="F38" s="783"/>
      <c r="G38" s="783"/>
      <c r="H38" s="783"/>
      <c r="I38" s="783"/>
      <c r="J38" s="783"/>
      <c r="K38" s="783"/>
      <c r="L38" s="783"/>
      <c r="M38" s="783"/>
      <c r="N38" s="443"/>
    </row>
    <row r="39" spans="1:14" ht="15.75" customHeight="1">
      <c r="A39" s="784" t="s">
        <v>180</v>
      </c>
      <c r="B39" s="650" t="s">
        <v>10</v>
      </c>
      <c r="C39" s="650"/>
      <c r="D39" s="651"/>
      <c r="E39" s="649" t="s">
        <v>180</v>
      </c>
      <c r="F39" s="653">
        <v>1</v>
      </c>
      <c r="G39" s="653"/>
      <c r="H39" s="653">
        <v>2</v>
      </c>
      <c r="I39" s="653"/>
      <c r="J39" s="653">
        <v>3</v>
      </c>
      <c r="K39" s="653"/>
      <c r="L39" s="653">
        <v>4</v>
      </c>
      <c r="M39" s="653"/>
    </row>
    <row r="40" spans="1:14" ht="31.35" customHeight="1">
      <c r="A40" s="784"/>
      <c r="B40" s="650"/>
      <c r="C40" s="650"/>
      <c r="D40" s="652"/>
      <c r="E40" s="649"/>
      <c r="F40" s="655" t="s">
        <v>427</v>
      </c>
      <c r="G40" s="655"/>
      <c r="H40" s="655" t="s">
        <v>223</v>
      </c>
      <c r="I40" s="655"/>
      <c r="J40" s="655" t="s">
        <v>166</v>
      </c>
      <c r="K40" s="655"/>
      <c r="L40" s="655" t="s">
        <v>406</v>
      </c>
      <c r="M40" s="655"/>
    </row>
    <row r="41" spans="1:14" ht="15.75" customHeight="1">
      <c r="A41" s="784"/>
      <c r="B41" s="154" t="s">
        <v>11</v>
      </c>
      <c r="C41" s="154" t="s">
        <v>41</v>
      </c>
      <c r="D41" s="652"/>
      <c r="E41" s="649"/>
      <c r="F41" s="154" t="s">
        <v>11</v>
      </c>
      <c r="G41" s="154" t="s">
        <v>41</v>
      </c>
      <c r="H41" s="154" t="s">
        <v>11</v>
      </c>
      <c r="I41" s="154" t="s">
        <v>41</v>
      </c>
      <c r="J41" s="154" t="s">
        <v>11</v>
      </c>
      <c r="K41" s="154" t="s">
        <v>41</v>
      </c>
      <c r="L41" s="154" t="s">
        <v>11</v>
      </c>
      <c r="M41" s="154" t="s">
        <v>41</v>
      </c>
    </row>
    <row r="42" spans="1:14" ht="19.350000000000001" customHeight="1">
      <c r="A42" s="227" t="s">
        <v>225</v>
      </c>
      <c r="B42" s="139">
        <f>日別報廢率總表!I33</f>
        <v>0</v>
      </c>
      <c r="C42" s="229" t="e">
        <f>B42/($B$38*1000)</f>
        <v>#DIV/0!</v>
      </c>
      <c r="D42" s="652"/>
      <c r="E42" s="138" t="s">
        <v>225</v>
      </c>
      <c r="F42" s="141">
        <f>'報廢20大－原因別分析'!AG74</f>
        <v>0</v>
      </c>
      <c r="G42" s="142">
        <f>'報廢20大－原因別分析'!AG75</f>
        <v>0.55000000000000004</v>
      </c>
      <c r="H42" s="141">
        <f>'報廢20大－原因別分析'!AH74</f>
        <v>0</v>
      </c>
      <c r="I42" s="142">
        <f>'報廢20大－原因別分析'!AH75</f>
        <v>0</v>
      </c>
      <c r="J42" s="141">
        <f>'報廢20大－原因別分析'!AI74</f>
        <v>0</v>
      </c>
      <c r="K42" s="142">
        <f>'報廢20大－原因別分析'!AI75</f>
        <v>0.2</v>
      </c>
      <c r="L42" s="141">
        <f>'報廢20大－原因別分析'!AJ74</f>
        <v>0</v>
      </c>
      <c r="M42" s="142">
        <f>'報廢20大－原因別分析'!AJ75</f>
        <v>0</v>
      </c>
    </row>
    <row r="43" spans="1:14" ht="19.350000000000001" customHeight="1">
      <c r="A43" s="228" t="s">
        <v>226</v>
      </c>
      <c r="B43" s="144">
        <f>日別報廢率總表!J33</f>
        <v>0</v>
      </c>
      <c r="C43" s="140" t="e">
        <f>B43/($B$38*1000)</f>
        <v>#DIV/0!</v>
      </c>
      <c r="D43" s="652"/>
      <c r="E43" s="143" t="s">
        <v>226</v>
      </c>
      <c r="F43" s="141">
        <f>'超用20大－原因別分析'!AG74</f>
        <v>0</v>
      </c>
      <c r="G43" s="142">
        <f>'超用20大－原因別分析'!AG75</f>
        <v>0</v>
      </c>
      <c r="H43" s="141">
        <f>'超用20大－原因別分析'!AH74</f>
        <v>0</v>
      </c>
      <c r="I43" s="142">
        <f>'超用20大－原因別分析'!AH75</f>
        <v>0</v>
      </c>
      <c r="J43" s="141">
        <f>'超用20大－原因別分析'!AI74</f>
        <v>0</v>
      </c>
      <c r="K43" s="142">
        <f>'超用20大－原因別分析'!AI75</f>
        <v>0</v>
      </c>
      <c r="L43" s="141">
        <f>'超用20大－原因別分析'!AJ74</f>
        <v>0</v>
      </c>
      <c r="M43" s="142">
        <f>'超用20大－原因別分析'!AJ75</f>
        <v>0.65</v>
      </c>
    </row>
    <row r="44" spans="1:14" ht="15.75" customHeight="1">
      <c r="A44" s="224" t="s">
        <v>396</v>
      </c>
      <c r="B44" s="378" t="s">
        <v>686</v>
      </c>
      <c r="C44" s="223"/>
      <c r="D44" s="652"/>
      <c r="E44" s="649" t="s">
        <v>180</v>
      </c>
      <c r="F44" s="748">
        <v>5</v>
      </c>
      <c r="G44" s="749"/>
      <c r="H44" s="748">
        <v>6</v>
      </c>
      <c r="I44" s="749"/>
      <c r="J44" s="748">
        <v>7</v>
      </c>
      <c r="K44" s="749"/>
      <c r="L44" s="785"/>
      <c r="M44" s="786"/>
    </row>
    <row r="45" spans="1:14" ht="31.35" customHeight="1">
      <c r="A45" s="135" t="s">
        <v>397</v>
      </c>
      <c r="B45" s="378" t="s">
        <v>686</v>
      </c>
      <c r="C45" s="223"/>
      <c r="D45" s="652"/>
      <c r="E45" s="649"/>
      <c r="F45" s="787" t="s">
        <v>172</v>
      </c>
      <c r="G45" s="788"/>
      <c r="H45" s="787" t="s">
        <v>167</v>
      </c>
      <c r="I45" s="788"/>
      <c r="J45" s="787" t="s">
        <v>173</v>
      </c>
      <c r="K45" s="788"/>
      <c r="L45" s="789"/>
      <c r="M45" s="790"/>
    </row>
    <row r="46" spans="1:14" ht="15.75" customHeight="1">
      <c r="D46" s="652"/>
      <c r="E46" s="649"/>
      <c r="F46" s="154" t="s">
        <v>11</v>
      </c>
      <c r="G46" s="154" t="s">
        <v>41</v>
      </c>
      <c r="H46" s="154" t="s">
        <v>11</v>
      </c>
      <c r="I46" s="154" t="s">
        <v>41</v>
      </c>
      <c r="J46" s="154" t="s">
        <v>11</v>
      </c>
      <c r="K46" s="154" t="s">
        <v>41</v>
      </c>
      <c r="L46" s="154"/>
      <c r="M46" s="154"/>
    </row>
    <row r="47" spans="1:14" ht="19.350000000000001" customHeight="1">
      <c r="D47" s="652"/>
      <c r="E47" s="138" t="s">
        <v>225</v>
      </c>
      <c r="F47" s="141">
        <f>'報廢20大－原因別分析'!AK74</f>
        <v>0</v>
      </c>
      <c r="G47" s="142">
        <f>'報廢20大－原因別分析'!AK75</f>
        <v>0.05</v>
      </c>
      <c r="H47" s="141">
        <f>'報廢20大－原因別分析'!AL74</f>
        <v>0</v>
      </c>
      <c r="I47" s="142">
        <f>'報廢20大－原因別分析'!AL75</f>
        <v>0.2</v>
      </c>
      <c r="J47" s="141">
        <f>'報廢20大－原因別分析'!AM74</f>
        <v>0</v>
      </c>
      <c r="K47" s="142">
        <f>'報廢20大－原因別分析'!AM75</f>
        <v>0</v>
      </c>
      <c r="L47" s="141"/>
      <c r="M47" s="142"/>
    </row>
    <row r="48" spans="1:14" ht="19.350000000000001" customHeight="1">
      <c r="D48" s="652"/>
      <c r="E48" s="143" t="s">
        <v>226</v>
      </c>
      <c r="F48" s="141">
        <f>'超用20大－原因別分析'!AK74</f>
        <v>0</v>
      </c>
      <c r="G48" s="142">
        <f>'超用20大－原因別分析'!AK75</f>
        <v>0.05</v>
      </c>
      <c r="H48" s="141">
        <f>'超用20大－原因別分析'!AL74</f>
        <v>0</v>
      </c>
      <c r="I48" s="142">
        <f>'超用20大－原因別分析'!AL75</f>
        <v>0.3</v>
      </c>
      <c r="J48" s="141">
        <f>'超用20大－原因別分析'!AM74</f>
        <v>0</v>
      </c>
      <c r="K48" s="142">
        <f>'超用20大－原因別分析'!AM75</f>
        <v>0</v>
      </c>
      <c r="L48" s="141"/>
      <c r="M48" s="142"/>
    </row>
    <row r="49" spans="1:14" ht="15.75" customHeight="1">
      <c r="A49" s="225" t="s">
        <v>399</v>
      </c>
      <c r="B49" s="226"/>
      <c r="E49" s="782" t="s">
        <v>426</v>
      </c>
      <c r="F49" s="783"/>
      <c r="G49" s="783"/>
      <c r="H49" s="783"/>
      <c r="I49" s="783"/>
      <c r="J49" s="783"/>
      <c r="K49" s="783"/>
      <c r="L49" s="783"/>
      <c r="M49" s="783"/>
      <c r="N49" s="443"/>
    </row>
    <row r="50" spans="1:14" ht="15.75" customHeight="1">
      <c r="A50" s="784" t="s">
        <v>180</v>
      </c>
      <c r="B50" s="650" t="s">
        <v>10</v>
      </c>
      <c r="C50" s="650"/>
      <c r="D50" s="651"/>
      <c r="E50" s="649" t="s">
        <v>180</v>
      </c>
      <c r="F50" s="653">
        <v>1</v>
      </c>
      <c r="G50" s="653"/>
      <c r="H50" s="653">
        <v>2</v>
      </c>
      <c r="I50" s="653"/>
      <c r="J50" s="653">
        <v>3</v>
      </c>
      <c r="K50" s="653"/>
      <c r="L50" s="653">
        <v>4</v>
      </c>
      <c r="M50" s="653"/>
    </row>
    <row r="51" spans="1:14" ht="31.35" customHeight="1">
      <c r="A51" s="784"/>
      <c r="B51" s="650"/>
      <c r="C51" s="650"/>
      <c r="D51" s="652"/>
      <c r="E51" s="649"/>
      <c r="F51" s="655" t="s">
        <v>427</v>
      </c>
      <c r="G51" s="655"/>
      <c r="H51" s="655" t="s">
        <v>223</v>
      </c>
      <c r="I51" s="655"/>
      <c r="J51" s="655" t="s">
        <v>166</v>
      </c>
      <c r="K51" s="655"/>
      <c r="L51" s="655" t="s">
        <v>406</v>
      </c>
      <c r="M51" s="655"/>
    </row>
    <row r="52" spans="1:14" ht="15.75" customHeight="1">
      <c r="A52" s="784"/>
      <c r="B52" s="154" t="s">
        <v>11</v>
      </c>
      <c r="C52" s="154" t="s">
        <v>41</v>
      </c>
      <c r="D52" s="652"/>
      <c r="E52" s="649"/>
      <c r="F52" s="154" t="s">
        <v>11</v>
      </c>
      <c r="G52" s="154" t="s">
        <v>41</v>
      </c>
      <c r="H52" s="154" t="s">
        <v>11</v>
      </c>
      <c r="I52" s="154" t="s">
        <v>41</v>
      </c>
      <c r="J52" s="154" t="s">
        <v>11</v>
      </c>
      <c r="K52" s="154" t="s">
        <v>41</v>
      </c>
      <c r="L52" s="154" t="s">
        <v>11</v>
      </c>
      <c r="M52" s="154" t="s">
        <v>41</v>
      </c>
    </row>
    <row r="53" spans="1:14" ht="19.350000000000001" customHeight="1">
      <c r="A53" s="227" t="s">
        <v>225</v>
      </c>
      <c r="B53" s="139">
        <f>日別報廢率總表!I40</f>
        <v>0</v>
      </c>
      <c r="C53" s="229" t="e">
        <f>B53/($B$49*1000)</f>
        <v>#DIV/0!</v>
      </c>
      <c r="D53" s="652"/>
      <c r="E53" s="138" t="s">
        <v>225</v>
      </c>
      <c r="F53" s="141">
        <f>'報廢20大－原因別分析'!AG96</f>
        <v>0</v>
      </c>
      <c r="G53" s="142">
        <f>'報廢20大－原因別分析'!AG97</f>
        <v>0.4</v>
      </c>
      <c r="H53" s="141">
        <f>'報廢20大－原因別分析'!AH96</f>
        <v>0</v>
      </c>
      <c r="I53" s="142">
        <f>'報廢20大－原因別分析'!AH97</f>
        <v>0</v>
      </c>
      <c r="J53" s="141">
        <f>'報廢20大－原因別分析'!AI96</f>
        <v>0</v>
      </c>
      <c r="K53" s="142">
        <f>'報廢20大－原因別分析'!AI97</f>
        <v>0.3</v>
      </c>
      <c r="L53" s="141">
        <f>'報廢20大－原因別分析'!AJ96</f>
        <v>0</v>
      </c>
      <c r="M53" s="142">
        <f>'報廢20大－原因別分析'!AJ97</f>
        <v>0</v>
      </c>
    </row>
    <row r="54" spans="1:14" ht="19.350000000000001" customHeight="1">
      <c r="A54" s="228" t="s">
        <v>226</v>
      </c>
      <c r="B54" s="144">
        <f>日別報廢率總表!J40</f>
        <v>0</v>
      </c>
      <c r="C54" s="140" t="e">
        <f>B54/($B$49*1000)</f>
        <v>#DIV/0!</v>
      </c>
      <c r="D54" s="652"/>
      <c r="E54" s="143" t="s">
        <v>226</v>
      </c>
      <c r="F54" s="141">
        <f>'超用20大－原因別分析'!AG96</f>
        <v>0</v>
      </c>
      <c r="G54" s="142">
        <f>'超用20大－原因別分析'!AG97</f>
        <v>0</v>
      </c>
      <c r="H54" s="141">
        <f>'超用20大－原因別分析'!AH96</f>
        <v>0</v>
      </c>
      <c r="I54" s="142">
        <f>'超用20大－原因別分析'!AH97</f>
        <v>0</v>
      </c>
      <c r="J54" s="141">
        <f>'超用20大－原因別分析'!AI96</f>
        <v>0</v>
      </c>
      <c r="K54" s="142">
        <f>'超用20大－原因別分析'!AI86</f>
        <v>0</v>
      </c>
      <c r="L54" s="141">
        <f>'超用20大－原因別分析'!AJ96</f>
        <v>0</v>
      </c>
      <c r="M54" s="142">
        <f>'超用20大－原因別分析'!AJ97</f>
        <v>0.65</v>
      </c>
    </row>
    <row r="55" spans="1:14" ht="15.75" customHeight="1">
      <c r="A55" s="224" t="s">
        <v>396</v>
      </c>
      <c r="B55" s="378" t="s">
        <v>687</v>
      </c>
      <c r="C55" s="223"/>
      <c r="D55" s="652"/>
      <c r="E55" s="649" t="s">
        <v>180</v>
      </c>
      <c r="F55" s="748">
        <v>5</v>
      </c>
      <c r="G55" s="749"/>
      <c r="H55" s="748">
        <v>6</v>
      </c>
      <c r="I55" s="749"/>
      <c r="J55" s="748">
        <v>7</v>
      </c>
      <c r="K55" s="749"/>
      <c r="L55" s="785"/>
      <c r="M55" s="786"/>
    </row>
    <row r="56" spans="1:14" ht="31.35" customHeight="1">
      <c r="A56" s="135" t="s">
        <v>397</v>
      </c>
      <c r="B56" s="378" t="s">
        <v>687</v>
      </c>
      <c r="C56" s="223"/>
      <c r="D56" s="652"/>
      <c r="E56" s="649"/>
      <c r="F56" s="787" t="s">
        <v>172</v>
      </c>
      <c r="G56" s="788"/>
      <c r="H56" s="787" t="s">
        <v>167</v>
      </c>
      <c r="I56" s="788"/>
      <c r="J56" s="787" t="s">
        <v>173</v>
      </c>
      <c r="K56" s="788"/>
      <c r="L56" s="789"/>
      <c r="M56" s="790"/>
    </row>
    <row r="57" spans="1:14" ht="15.75" customHeight="1">
      <c r="D57" s="652"/>
      <c r="E57" s="649"/>
      <c r="F57" s="154" t="s">
        <v>11</v>
      </c>
      <c r="G57" s="154" t="s">
        <v>41</v>
      </c>
      <c r="H57" s="154" t="s">
        <v>11</v>
      </c>
      <c r="I57" s="154" t="s">
        <v>41</v>
      </c>
      <c r="J57" s="154" t="s">
        <v>11</v>
      </c>
      <c r="K57" s="154" t="s">
        <v>41</v>
      </c>
      <c r="L57" s="154"/>
      <c r="M57" s="154"/>
    </row>
    <row r="58" spans="1:14" ht="19.350000000000001" customHeight="1">
      <c r="D58" s="652"/>
      <c r="E58" s="138" t="s">
        <v>225</v>
      </c>
      <c r="F58" s="141">
        <f>'報廢20大－原因別分析'!AK96</f>
        <v>0</v>
      </c>
      <c r="G58" s="142">
        <f>'報廢20大－原因別分析'!AK97</f>
        <v>0.05</v>
      </c>
      <c r="H58" s="141">
        <f>'報廢20大－原因別分析'!AL96</f>
        <v>0</v>
      </c>
      <c r="I58" s="142" t="e">
        <f>'報廢20大－原因別分析'!#REF!</f>
        <v>#REF!</v>
      </c>
      <c r="J58" s="141">
        <f>'報廢20大－原因別分析'!AM96</f>
        <v>0</v>
      </c>
      <c r="K58" s="142">
        <f>'報廢20大－原因別分析'!AM97</f>
        <v>0</v>
      </c>
      <c r="L58" s="141"/>
      <c r="M58" s="142"/>
    </row>
    <row r="59" spans="1:14" ht="19.350000000000001" customHeight="1">
      <c r="D59" s="652"/>
      <c r="E59" s="143" t="s">
        <v>226</v>
      </c>
      <c r="F59" s="141">
        <f>'超用20大－原因別分析'!AK96</f>
        <v>0</v>
      </c>
      <c r="G59" s="142">
        <f>'超用20大－原因別分析'!AK97</f>
        <v>0.05</v>
      </c>
      <c r="H59" s="141">
        <f>'超用20大－原因別分析'!AL96</f>
        <v>0</v>
      </c>
      <c r="I59" s="142">
        <f>'超用20大－原因別分析'!AL97</f>
        <v>0.3</v>
      </c>
      <c r="J59" s="141">
        <f>'超用20大－原因別分析'!AM96</f>
        <v>0</v>
      </c>
      <c r="K59" s="142">
        <f>'超用20大－原因別分析'!AM97</f>
        <v>0</v>
      </c>
      <c r="L59" s="141"/>
      <c r="M59" s="142"/>
    </row>
    <row r="60" spans="1:14" ht="15.75" customHeight="1">
      <c r="A60" s="225" t="s">
        <v>399</v>
      </c>
      <c r="B60" s="226"/>
      <c r="E60" s="782" t="s">
        <v>426</v>
      </c>
      <c r="F60" s="783"/>
      <c r="G60" s="783"/>
      <c r="H60" s="783"/>
      <c r="I60" s="783"/>
      <c r="J60" s="783"/>
      <c r="K60" s="783"/>
      <c r="L60" s="783"/>
      <c r="M60" s="783"/>
      <c r="N60" s="443"/>
    </row>
    <row r="61" spans="1:14" ht="15.75" customHeight="1">
      <c r="A61" s="784" t="s">
        <v>180</v>
      </c>
      <c r="B61" s="650" t="s">
        <v>10</v>
      </c>
      <c r="C61" s="650"/>
      <c r="D61" s="651"/>
      <c r="E61" s="649" t="s">
        <v>180</v>
      </c>
      <c r="F61" s="653">
        <v>1</v>
      </c>
      <c r="G61" s="653"/>
      <c r="H61" s="653">
        <v>2</v>
      </c>
      <c r="I61" s="653"/>
      <c r="J61" s="653">
        <v>3</v>
      </c>
      <c r="K61" s="653"/>
      <c r="L61" s="653">
        <v>4</v>
      </c>
      <c r="M61" s="653"/>
    </row>
    <row r="62" spans="1:14" ht="31.35" customHeight="1">
      <c r="A62" s="784"/>
      <c r="B62" s="650"/>
      <c r="C62" s="650"/>
      <c r="D62" s="652"/>
      <c r="E62" s="649"/>
      <c r="F62" s="655" t="s">
        <v>427</v>
      </c>
      <c r="G62" s="655"/>
      <c r="H62" s="655" t="s">
        <v>223</v>
      </c>
      <c r="I62" s="655"/>
      <c r="J62" s="655" t="s">
        <v>166</v>
      </c>
      <c r="K62" s="655"/>
      <c r="L62" s="655" t="s">
        <v>406</v>
      </c>
      <c r="M62" s="655"/>
    </row>
    <row r="63" spans="1:14" ht="15.75" customHeight="1">
      <c r="A63" s="784"/>
      <c r="B63" s="154" t="s">
        <v>11</v>
      </c>
      <c r="C63" s="154" t="s">
        <v>41</v>
      </c>
      <c r="D63" s="652"/>
      <c r="E63" s="649"/>
      <c r="F63" s="154" t="s">
        <v>11</v>
      </c>
      <c r="G63" s="154" t="s">
        <v>41</v>
      </c>
      <c r="H63" s="154" t="s">
        <v>11</v>
      </c>
      <c r="I63" s="154" t="s">
        <v>41</v>
      </c>
      <c r="J63" s="154" t="s">
        <v>11</v>
      </c>
      <c r="K63" s="154" t="s">
        <v>41</v>
      </c>
      <c r="L63" s="154" t="s">
        <v>11</v>
      </c>
      <c r="M63" s="154" t="s">
        <v>41</v>
      </c>
    </row>
    <row r="64" spans="1:14" ht="19.350000000000001" customHeight="1">
      <c r="A64" s="227" t="s">
        <v>225</v>
      </c>
      <c r="B64" s="139">
        <f>日別報廢率總表!I51</f>
        <v>0</v>
      </c>
      <c r="C64" s="229" t="e">
        <f>B64/($B$60*1000)</f>
        <v>#DIV/0!</v>
      </c>
      <c r="D64" s="652"/>
      <c r="E64" s="138" t="s">
        <v>225</v>
      </c>
      <c r="F64" s="141">
        <f>'報廢20大－原因別分析'!AG107</f>
        <v>0</v>
      </c>
      <c r="G64" s="142">
        <f>'報廢20大－原因別分析'!AG108</f>
        <v>0</v>
      </c>
      <c r="H64" s="141">
        <f>'報廢20大－原因別分析'!AH107</f>
        <v>0</v>
      </c>
      <c r="I64" s="142">
        <f>'報廢20大－原因別分析'!AH108</f>
        <v>0</v>
      </c>
      <c r="J64" s="141">
        <f>'報廢20大－原因別分析'!AI107</f>
        <v>0</v>
      </c>
      <c r="K64" s="142">
        <f>'報廢20大－原因別分析'!AI108</f>
        <v>0</v>
      </c>
      <c r="L64" s="141">
        <f>'報廢20大－原因別分析'!AJ107</f>
        <v>0</v>
      </c>
      <c r="M64" s="142">
        <f>'報廢20大－原因別分析'!AJ108</f>
        <v>0</v>
      </c>
    </row>
    <row r="65" spans="1:13" ht="19.350000000000001" customHeight="1">
      <c r="A65" s="228" t="s">
        <v>226</v>
      </c>
      <c r="B65" s="144">
        <f>日別報廢率總表!J51</f>
        <v>0</v>
      </c>
      <c r="C65" s="140" t="e">
        <f>B65/($B$60*1000)</f>
        <v>#DIV/0!</v>
      </c>
      <c r="D65" s="652"/>
      <c r="E65" s="143" t="s">
        <v>226</v>
      </c>
      <c r="F65" s="141">
        <f>'超用20大－原因別分析'!AG107</f>
        <v>0</v>
      </c>
      <c r="G65" s="142">
        <f>'超用20大－原因別分析'!AG108</f>
        <v>0</v>
      </c>
      <c r="H65" s="141">
        <f>'超用20大－原因別分析'!AH107</f>
        <v>0</v>
      </c>
      <c r="I65" s="142">
        <f>'超用20大－原因別分析'!AH108</f>
        <v>0</v>
      </c>
      <c r="J65" s="141">
        <f>'超用20大－原因別分析'!AI107</f>
        <v>0</v>
      </c>
      <c r="K65" s="142">
        <f>'超用20大－原因別分析'!AI97</f>
        <v>0</v>
      </c>
      <c r="L65" s="141">
        <f>'超用20大－原因別分析'!AJ107</f>
        <v>0</v>
      </c>
      <c r="M65" s="142">
        <f>'超用20大－原因別分析'!AJ108</f>
        <v>0</v>
      </c>
    </row>
    <row r="66" spans="1:13" ht="15.75" customHeight="1">
      <c r="A66" s="224" t="s">
        <v>396</v>
      </c>
      <c r="B66" s="378" t="s">
        <v>641</v>
      </c>
      <c r="C66" s="223"/>
      <c r="D66" s="652"/>
      <c r="E66" s="649" t="s">
        <v>180</v>
      </c>
      <c r="F66" s="748">
        <v>5</v>
      </c>
      <c r="G66" s="749"/>
      <c r="H66" s="748">
        <v>6</v>
      </c>
      <c r="I66" s="749"/>
      <c r="J66" s="748">
        <v>7</v>
      </c>
      <c r="K66" s="749"/>
      <c r="L66" s="785"/>
      <c r="M66" s="786"/>
    </row>
    <row r="67" spans="1:13" ht="31.35" customHeight="1">
      <c r="A67" s="135" t="s">
        <v>397</v>
      </c>
      <c r="B67" s="378" t="s">
        <v>641</v>
      </c>
      <c r="C67" s="223"/>
      <c r="D67" s="652"/>
      <c r="E67" s="649"/>
      <c r="F67" s="787" t="s">
        <v>172</v>
      </c>
      <c r="G67" s="788"/>
      <c r="H67" s="787" t="s">
        <v>167</v>
      </c>
      <c r="I67" s="788"/>
      <c r="J67" s="787" t="s">
        <v>173</v>
      </c>
      <c r="K67" s="788"/>
      <c r="L67" s="789"/>
      <c r="M67" s="790"/>
    </row>
    <row r="68" spans="1:13" ht="15.75" customHeight="1">
      <c r="D68" s="652"/>
      <c r="E68" s="649"/>
      <c r="F68" s="154" t="s">
        <v>11</v>
      </c>
      <c r="G68" s="154" t="s">
        <v>41</v>
      </c>
      <c r="H68" s="154" t="s">
        <v>11</v>
      </c>
      <c r="I68" s="154" t="s">
        <v>41</v>
      </c>
      <c r="J68" s="154" t="s">
        <v>11</v>
      </c>
      <c r="K68" s="154" t="s">
        <v>41</v>
      </c>
      <c r="L68" s="154"/>
      <c r="M68" s="154"/>
    </row>
    <row r="69" spans="1:13" ht="19.350000000000001" customHeight="1">
      <c r="D69" s="652"/>
      <c r="E69" s="138" t="s">
        <v>225</v>
      </c>
      <c r="F69" s="141">
        <f>'報廢20大－原因別分析'!AK107</f>
        <v>0</v>
      </c>
      <c r="G69" s="142">
        <f>'報廢20大－原因別分析'!AK108</f>
        <v>0</v>
      </c>
      <c r="H69" s="141">
        <f>'報廢20大－原因別分析'!AL107</f>
        <v>0</v>
      </c>
      <c r="I69" s="142" t="e">
        <f>'報廢20大－原因別分析'!#REF!</f>
        <v>#REF!</v>
      </c>
      <c r="J69" s="141">
        <f>'報廢20大－原因別分析'!AM107</f>
        <v>0</v>
      </c>
      <c r="K69" s="142">
        <f>'報廢20大－原因別分析'!AM108</f>
        <v>0</v>
      </c>
      <c r="L69" s="141"/>
      <c r="M69" s="142"/>
    </row>
    <row r="70" spans="1:13" ht="19.350000000000001" customHeight="1">
      <c r="D70" s="652"/>
      <c r="E70" s="143" t="s">
        <v>226</v>
      </c>
      <c r="F70" s="141">
        <f>'超用20大－原因別分析'!AK107</f>
        <v>0</v>
      </c>
      <c r="G70" s="142">
        <f>'超用20大－原因別分析'!AK108</f>
        <v>0</v>
      </c>
      <c r="H70" s="141">
        <f>'超用20大－原因別分析'!AL107</f>
        <v>0</v>
      </c>
      <c r="I70" s="142">
        <f>'超用20大－原因別分析'!AL108</f>
        <v>0</v>
      </c>
      <c r="J70" s="141">
        <f>'超用20大－原因別分析'!AM107</f>
        <v>0</v>
      </c>
      <c r="K70" s="142">
        <f>'超用20大－原因別分析'!AM108</f>
        <v>0</v>
      </c>
      <c r="L70" s="141"/>
      <c r="M70" s="142"/>
    </row>
  </sheetData>
  <mergeCells count="134">
    <mergeCell ref="J55:K55"/>
    <mergeCell ref="L55:M55"/>
    <mergeCell ref="F56:G56"/>
    <mergeCell ref="H56:I56"/>
    <mergeCell ref="J56:K56"/>
    <mergeCell ref="L56:M56"/>
    <mergeCell ref="E49:M49"/>
    <mergeCell ref="A50:A52"/>
    <mergeCell ref="B50:C51"/>
    <mergeCell ref="D50:D59"/>
    <mergeCell ref="E50:E52"/>
    <mergeCell ref="F50:G50"/>
    <mergeCell ref="H50:I50"/>
    <mergeCell ref="J50:K50"/>
    <mergeCell ref="L50:M50"/>
    <mergeCell ref="F51:G51"/>
    <mergeCell ref="H51:I51"/>
    <mergeCell ref="J51:K51"/>
    <mergeCell ref="L51:M51"/>
    <mergeCell ref="E55:E57"/>
    <mergeCell ref="F55:G55"/>
    <mergeCell ref="H55:I55"/>
    <mergeCell ref="F11:G11"/>
    <mergeCell ref="H11:I11"/>
    <mergeCell ref="J11:K11"/>
    <mergeCell ref="L11:M11"/>
    <mergeCell ref="F12:G12"/>
    <mergeCell ref="H12:I12"/>
    <mergeCell ref="J12:K12"/>
    <mergeCell ref="L12:M12"/>
    <mergeCell ref="A1:M2"/>
    <mergeCell ref="A3:M4"/>
    <mergeCell ref="E5:M5"/>
    <mergeCell ref="A6:A8"/>
    <mergeCell ref="B6:C7"/>
    <mergeCell ref="D6:D15"/>
    <mergeCell ref="E6:E8"/>
    <mergeCell ref="F6:G6"/>
    <mergeCell ref="H6:I6"/>
    <mergeCell ref="J6:K6"/>
    <mergeCell ref="L6:M6"/>
    <mergeCell ref="F7:G7"/>
    <mergeCell ref="H7:I7"/>
    <mergeCell ref="J7:K7"/>
    <mergeCell ref="L7:M7"/>
    <mergeCell ref="E11:E13"/>
    <mergeCell ref="J22:K22"/>
    <mergeCell ref="L22:M22"/>
    <mergeCell ref="F23:G23"/>
    <mergeCell ref="H23:I23"/>
    <mergeCell ref="J23:K23"/>
    <mergeCell ref="L23:M23"/>
    <mergeCell ref="E16:M16"/>
    <mergeCell ref="A17:A19"/>
    <mergeCell ref="B17:C18"/>
    <mergeCell ref="D17:D26"/>
    <mergeCell ref="E17:E19"/>
    <mergeCell ref="F17:G17"/>
    <mergeCell ref="H17:I17"/>
    <mergeCell ref="J17:K17"/>
    <mergeCell ref="L17:M17"/>
    <mergeCell ref="F18:G18"/>
    <mergeCell ref="H18:I18"/>
    <mergeCell ref="J18:K18"/>
    <mergeCell ref="L18:M18"/>
    <mergeCell ref="E22:E24"/>
    <mergeCell ref="F22:G22"/>
    <mergeCell ref="H22:I22"/>
    <mergeCell ref="E27:M27"/>
    <mergeCell ref="A28:A30"/>
    <mergeCell ref="B28:C29"/>
    <mergeCell ref="D28:D37"/>
    <mergeCell ref="E28:E30"/>
    <mergeCell ref="F28:G28"/>
    <mergeCell ref="H28:I28"/>
    <mergeCell ref="J28:K28"/>
    <mergeCell ref="L28:M28"/>
    <mergeCell ref="F29:G29"/>
    <mergeCell ref="H29:I29"/>
    <mergeCell ref="J29:K29"/>
    <mergeCell ref="L29:M29"/>
    <mergeCell ref="E33:E35"/>
    <mergeCell ref="F33:G33"/>
    <mergeCell ref="H33:I33"/>
    <mergeCell ref="J33:K33"/>
    <mergeCell ref="L33:M33"/>
    <mergeCell ref="F34:G34"/>
    <mergeCell ref="H34:I34"/>
    <mergeCell ref="J34:K34"/>
    <mergeCell ref="L34:M34"/>
    <mergeCell ref="E38:M38"/>
    <mergeCell ref="A39:A41"/>
    <mergeCell ref="B39:C40"/>
    <mergeCell ref="D39:D48"/>
    <mergeCell ref="E39:E41"/>
    <mergeCell ref="F39:G39"/>
    <mergeCell ref="H39:I39"/>
    <mergeCell ref="J39:K39"/>
    <mergeCell ref="L39:M39"/>
    <mergeCell ref="F40:G40"/>
    <mergeCell ref="H40:I40"/>
    <mergeCell ref="J40:K40"/>
    <mergeCell ref="L40:M40"/>
    <mergeCell ref="E44:E46"/>
    <mergeCell ref="F44:G44"/>
    <mergeCell ref="H44:I44"/>
    <mergeCell ref="J44:K44"/>
    <mergeCell ref="L44:M44"/>
    <mergeCell ref="F45:G45"/>
    <mergeCell ref="H45:I45"/>
    <mergeCell ref="J45:K45"/>
    <mergeCell ref="L45:M45"/>
    <mergeCell ref="E60:M60"/>
    <mergeCell ref="A61:A63"/>
    <mergeCell ref="B61:C62"/>
    <mergeCell ref="D61:D70"/>
    <mergeCell ref="E61:E63"/>
    <mergeCell ref="F61:G61"/>
    <mergeCell ref="H61:I61"/>
    <mergeCell ref="J61:K61"/>
    <mergeCell ref="L61:M61"/>
    <mergeCell ref="F62:G62"/>
    <mergeCell ref="H62:I62"/>
    <mergeCell ref="J62:K62"/>
    <mergeCell ref="L62:M62"/>
    <mergeCell ref="E66:E68"/>
    <mergeCell ref="F66:G66"/>
    <mergeCell ref="H66:I66"/>
    <mergeCell ref="J66:K66"/>
    <mergeCell ref="L66:M66"/>
    <mergeCell ref="F67:G67"/>
    <mergeCell ref="H67:I67"/>
    <mergeCell ref="J67:K67"/>
    <mergeCell ref="L67:M67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47" fitToWidth="0" fitToHeight="0" pageOrder="overThenDown" orientation="landscape" cellComments="atEnd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8">
    <tabColor rgb="FF92D050"/>
    <outlinePr summaryBelow="0" summaryRight="0"/>
  </sheetPr>
  <dimension ref="A1:BV86"/>
  <sheetViews>
    <sheetView view="pageBreakPreview" topLeftCell="A18" zoomScaleNormal="60" zoomScaleSheetLayoutView="100" workbookViewId="0">
      <selection activeCell="R59" sqref="R59"/>
    </sheetView>
  </sheetViews>
  <sheetFormatPr defaultColWidth="12.5703125" defaultRowHeight="15.75" customHeight="1"/>
  <cols>
    <col min="1" max="1" width="5.42578125" style="98" customWidth="1"/>
    <col min="2" max="2" width="11.42578125" style="131" customWidth="1"/>
    <col min="3" max="3" width="4" style="129" customWidth="1"/>
    <col min="4" max="9" width="9.5703125" style="98" customWidth="1"/>
    <col min="10" max="10" width="9.85546875" style="98" customWidth="1"/>
    <col min="11" max="15" width="9.5703125" style="98" customWidth="1"/>
    <col min="16" max="16" width="47.85546875" style="98" customWidth="1"/>
    <col min="21" max="21" width="24.42578125" style="98" bestFit="1" customWidth="1"/>
    <col min="22" max="22" width="19.42578125" style="98" bestFit="1" customWidth="1"/>
    <col min="23" max="23" width="23" style="98" bestFit="1" customWidth="1"/>
    <col min="24" max="24" width="11.7109375" style="98" bestFit="1" customWidth="1"/>
    <col min="25" max="25" width="15.85546875" style="98" bestFit="1" customWidth="1"/>
    <col min="26" max="26" width="23.5703125" style="98" bestFit="1" customWidth="1"/>
    <col min="27" max="27" width="23" style="98" bestFit="1" customWidth="1"/>
    <col min="28" max="28" width="11.7109375" style="98" bestFit="1" customWidth="1"/>
    <col min="29" max="29" width="20.5703125" style="98" bestFit="1" customWidth="1"/>
    <col min="30" max="30" width="15" style="98" bestFit="1" customWidth="1"/>
    <col min="31" max="31" width="23" style="98" bestFit="1" customWidth="1"/>
    <col min="32" max="32" width="11.7109375" style="98" bestFit="1" customWidth="1"/>
    <col min="33" max="33" width="15.85546875" style="98" bestFit="1" customWidth="1"/>
    <col min="34" max="34" width="15" style="98" bestFit="1" customWidth="1"/>
    <col min="35" max="35" width="23" style="98" bestFit="1" customWidth="1"/>
    <col min="36" max="36" width="15" style="98" bestFit="1" customWidth="1"/>
    <col min="37" max="37" width="23" style="98" bestFit="1" customWidth="1"/>
    <col min="38" max="38" width="11.7109375" style="98" bestFit="1" customWidth="1"/>
    <col min="39" max="39" width="13.85546875" style="98" bestFit="1" customWidth="1"/>
    <col min="40" max="40" width="27.85546875" style="98" bestFit="1" customWidth="1"/>
    <col min="41" max="41" width="23" style="98" bestFit="1" customWidth="1"/>
    <col min="42" max="42" width="8" style="98" bestFit="1" customWidth="1"/>
    <col min="43" max="43" width="30.7109375" style="98" bestFit="1" customWidth="1"/>
    <col min="44" max="44" width="25.7109375" style="98" bestFit="1" customWidth="1"/>
    <col min="45" max="45" width="23" style="98" bestFit="1" customWidth="1"/>
    <col min="46" max="46" width="15" style="98" bestFit="1" customWidth="1"/>
    <col min="47" max="47" width="23" style="98" bestFit="1" customWidth="1"/>
    <col min="48" max="48" width="11.7109375" style="98" bestFit="1" customWidth="1"/>
    <col min="49" max="49" width="20.140625" style="98" bestFit="1" customWidth="1"/>
    <col min="50" max="50" width="23.5703125" style="98" bestFit="1" customWidth="1"/>
    <col min="51" max="51" width="23" style="98" bestFit="1" customWidth="1"/>
    <col min="52" max="52" width="11.7109375" style="98" bestFit="1" customWidth="1"/>
    <col min="53" max="53" width="21.42578125" style="98" bestFit="1" customWidth="1"/>
    <col min="54" max="54" width="15" style="98" bestFit="1" customWidth="1"/>
    <col min="55" max="55" width="23" style="98" bestFit="1" customWidth="1"/>
    <col min="56" max="56" width="11.7109375" style="98" bestFit="1" customWidth="1"/>
    <col min="57" max="57" width="13.85546875" style="98" bestFit="1" customWidth="1"/>
    <col min="58" max="58" width="22" style="98" bestFit="1" customWidth="1"/>
    <col min="59" max="59" width="23" style="98" bestFit="1" customWidth="1"/>
    <col min="60" max="60" width="15" style="98" bestFit="1" customWidth="1"/>
    <col min="61" max="61" width="23" style="98" bestFit="1" customWidth="1"/>
    <col min="62" max="62" width="11.7109375" style="98" bestFit="1" customWidth="1"/>
    <col min="63" max="63" width="24.7109375" style="98" bestFit="1" customWidth="1"/>
    <col min="64" max="64" width="18.7109375" style="98" bestFit="1" customWidth="1"/>
    <col min="65" max="65" width="23" style="98" bestFit="1" customWidth="1"/>
    <col min="66" max="66" width="15" style="98" bestFit="1" customWidth="1"/>
    <col min="67" max="67" width="23" style="98" bestFit="1" customWidth="1"/>
    <col min="68" max="68" width="15" style="98" bestFit="1" customWidth="1"/>
    <col min="69" max="69" width="23" style="98" bestFit="1" customWidth="1"/>
    <col min="70" max="70" width="15" style="98" bestFit="1" customWidth="1"/>
    <col min="71" max="71" width="21.85546875" style="98" bestFit="1" customWidth="1"/>
    <col min="72" max="72" width="10.5703125" style="98" bestFit="1" customWidth="1"/>
    <col min="73" max="73" width="21.42578125" style="98" bestFit="1" customWidth="1"/>
    <col min="74" max="74" width="5.42578125" style="98" bestFit="1" customWidth="1"/>
    <col min="75" max="16384" width="12.5703125" style="98"/>
  </cols>
  <sheetData>
    <row r="1" spans="1:74" ht="15.75" customHeight="1">
      <c r="A1" s="526" t="s">
        <v>339</v>
      </c>
      <c r="B1" s="526"/>
      <c r="C1" s="526"/>
      <c r="D1" s="526"/>
      <c r="E1" s="526"/>
      <c r="F1" s="526"/>
      <c r="G1" s="526"/>
      <c r="H1" s="526"/>
      <c r="I1" s="526"/>
      <c r="J1" s="526"/>
      <c r="K1" s="526"/>
      <c r="L1" s="526"/>
      <c r="M1" s="526"/>
      <c r="N1" s="526"/>
      <c r="O1" s="526"/>
      <c r="P1" s="526"/>
    </row>
    <row r="2" spans="1:74" s="99" customFormat="1" ht="15.75" customHeight="1">
      <c r="A2" s="526"/>
      <c r="B2" s="526"/>
      <c r="C2" s="526"/>
      <c r="D2" s="526"/>
      <c r="E2" s="526"/>
      <c r="F2" s="526"/>
      <c r="G2" s="526"/>
      <c r="H2" s="526"/>
      <c r="I2" s="526"/>
      <c r="J2" s="526"/>
      <c r="K2" s="526"/>
      <c r="L2" s="526"/>
      <c r="M2" s="526"/>
      <c r="N2" s="526"/>
      <c r="O2" s="526"/>
      <c r="P2" s="526"/>
    </row>
    <row r="3" spans="1:74" s="135" customFormat="1" ht="15.75" customHeight="1">
      <c r="A3" s="809" t="s">
        <v>623</v>
      </c>
      <c r="B3" s="809"/>
      <c r="C3" s="809"/>
      <c r="D3" s="809"/>
      <c r="E3" s="809"/>
      <c r="F3" s="809"/>
      <c r="G3" s="809"/>
      <c r="H3" s="809"/>
      <c r="I3" s="809"/>
      <c r="J3" s="809"/>
      <c r="K3" s="809"/>
      <c r="L3" s="809"/>
      <c r="M3" s="809"/>
      <c r="Q3" s="231"/>
      <c r="R3" s="231"/>
      <c r="S3" s="231"/>
      <c r="T3" s="231"/>
    </row>
    <row r="4" spans="1:74" s="136" customFormat="1" ht="15.75" customHeight="1">
      <c r="A4" s="745"/>
      <c r="B4" s="745"/>
      <c r="C4" s="745"/>
      <c r="D4" s="745"/>
      <c r="E4" s="745"/>
      <c r="F4" s="745"/>
      <c r="G4" s="745"/>
      <c r="H4" s="745"/>
      <c r="I4" s="745"/>
      <c r="J4" s="745"/>
      <c r="K4" s="745"/>
      <c r="L4" s="745"/>
      <c r="M4" s="745"/>
    </row>
    <row r="5" spans="1:74" s="135" customFormat="1" ht="15.75" customHeight="1">
      <c r="A5" s="746" t="s">
        <v>174</v>
      </c>
      <c r="B5" s="739">
        <v>1</v>
      </c>
      <c r="C5" s="740"/>
      <c r="D5" s="739">
        <v>2</v>
      </c>
      <c r="E5" s="740"/>
      <c r="F5" s="739">
        <v>3</v>
      </c>
      <c r="G5" s="740"/>
      <c r="H5" s="748">
        <v>4</v>
      </c>
      <c r="I5" s="749"/>
      <c r="J5" s="748">
        <v>5</v>
      </c>
      <c r="K5" s="749"/>
      <c r="L5" s="748">
        <v>6</v>
      </c>
      <c r="M5" s="749"/>
      <c r="N5" s="748">
        <v>7</v>
      </c>
      <c r="O5" s="749"/>
      <c r="P5" s="352">
        <v>8</v>
      </c>
      <c r="Q5" s="231"/>
      <c r="R5" s="231"/>
      <c r="S5" s="231"/>
      <c r="T5" s="231"/>
    </row>
    <row r="6" spans="1:74" s="135" customFormat="1" ht="15.75" customHeight="1">
      <c r="A6" s="747"/>
      <c r="B6" s="741" t="s">
        <v>427</v>
      </c>
      <c r="C6" s="742"/>
      <c r="D6" s="741" t="s">
        <v>195</v>
      </c>
      <c r="E6" s="742"/>
      <c r="F6" s="741" t="s">
        <v>166</v>
      </c>
      <c r="G6" s="742"/>
      <c r="H6" s="743" t="s">
        <v>406</v>
      </c>
      <c r="I6" s="744"/>
      <c r="J6" s="743" t="s">
        <v>172</v>
      </c>
      <c r="K6" s="744"/>
      <c r="L6" s="743" t="s">
        <v>167</v>
      </c>
      <c r="M6" s="744"/>
      <c r="N6" s="743" t="s">
        <v>173</v>
      </c>
      <c r="O6" s="744"/>
      <c r="P6" s="353" t="s">
        <v>200</v>
      </c>
      <c r="Q6" s="231"/>
      <c r="R6" s="231"/>
      <c r="S6" s="231"/>
      <c r="T6" s="231"/>
    </row>
    <row r="7" spans="1:74" s="135" customFormat="1" ht="15.75" customHeight="1">
      <c r="B7" s="232"/>
      <c r="C7" s="233"/>
      <c r="Q7" s="231"/>
      <c r="R7" s="231"/>
      <c r="S7" s="231"/>
      <c r="T7" s="231"/>
    </row>
    <row r="8" spans="1:74" s="235" customFormat="1" ht="15.75" customHeight="1">
      <c r="A8" s="748" t="s">
        <v>174</v>
      </c>
      <c r="B8" s="749"/>
      <c r="C8" s="234" t="s">
        <v>47</v>
      </c>
      <c r="D8" s="801" t="s">
        <v>12</v>
      </c>
      <c r="E8" s="663"/>
      <c r="F8" s="791"/>
      <c r="G8" s="802" t="s">
        <v>53</v>
      </c>
      <c r="H8" s="803"/>
      <c r="I8" s="804"/>
      <c r="J8" s="234" t="s">
        <v>54</v>
      </c>
      <c r="K8" s="234" t="s">
        <v>55</v>
      </c>
      <c r="L8" s="234" t="s">
        <v>56</v>
      </c>
      <c r="M8" s="234" t="s">
        <v>11</v>
      </c>
      <c r="N8" s="234" t="s">
        <v>312</v>
      </c>
      <c r="O8" s="805" t="s">
        <v>51</v>
      </c>
      <c r="P8" s="806"/>
    </row>
    <row r="9" spans="1:74" s="135" customFormat="1" ht="66" customHeight="1">
      <c r="A9" s="792">
        <v>1</v>
      </c>
      <c r="B9" s="795" t="s">
        <v>428</v>
      </c>
      <c r="C9" s="236">
        <v>1</v>
      </c>
      <c r="D9" s="237" t="s">
        <v>319</v>
      </c>
      <c r="E9" s="238"/>
      <c r="F9" s="238"/>
      <c r="G9" s="357" t="s">
        <v>364</v>
      </c>
      <c r="H9" s="305"/>
      <c r="I9" s="306"/>
      <c r="J9" s="236">
        <v>127.84000000000002</v>
      </c>
      <c r="K9" s="242">
        <v>2.5210495398472685E-3</v>
      </c>
      <c r="L9" s="236">
        <v>9.27</v>
      </c>
      <c r="M9" s="322">
        <f>L9*J9</f>
        <v>1185.0768</v>
      </c>
      <c r="N9" s="243"/>
      <c r="O9" s="730" t="s">
        <v>608</v>
      </c>
      <c r="P9" s="731"/>
      <c r="Q9" s="231"/>
      <c r="R9" s="385"/>
      <c r="S9" s="261"/>
      <c r="T9" s="231"/>
    </row>
    <row r="10" spans="1:74" s="135" customFormat="1" ht="50.1" customHeight="1">
      <c r="A10" s="793"/>
      <c r="B10" s="796"/>
      <c r="C10" s="236">
        <v>2</v>
      </c>
      <c r="D10" s="237" t="s">
        <v>336</v>
      </c>
      <c r="E10" s="238"/>
      <c r="F10" s="238"/>
      <c r="G10" s="357" t="s">
        <v>565</v>
      </c>
      <c r="H10" s="305"/>
      <c r="I10" s="306"/>
      <c r="J10" s="236">
        <v>426.69</v>
      </c>
      <c r="K10" s="242">
        <v>2.6496792784040098E-3</v>
      </c>
      <c r="L10" s="236">
        <v>2.4</v>
      </c>
      <c r="M10" s="322">
        <f t="shared" ref="M10:M13" si="0">L10*J10</f>
        <v>1024.056</v>
      </c>
      <c r="N10" s="243"/>
      <c r="O10" s="807" t="s">
        <v>558</v>
      </c>
      <c r="P10" s="799"/>
      <c r="Q10" s="231"/>
      <c r="R10" s="386"/>
      <c r="S10" s="386"/>
      <c r="T10" s="231"/>
      <c r="U10" s="231"/>
      <c r="V10" s="231"/>
      <c r="W10" s="231"/>
      <c r="X10" s="231"/>
      <c r="Y10" s="231"/>
      <c r="Z10" s="231"/>
      <c r="AA10" s="231"/>
      <c r="AB10" s="231"/>
      <c r="AC10" s="231"/>
      <c r="AD10" s="231"/>
      <c r="AE10" s="231"/>
      <c r="AF10" s="231"/>
      <c r="AG10" s="231"/>
      <c r="AH10" s="231"/>
      <c r="AI10" s="231"/>
      <c r="AJ10" s="231"/>
      <c r="AK10" s="231"/>
      <c r="AL10" s="231"/>
      <c r="AM10" s="231"/>
      <c r="AN10" s="231"/>
      <c r="AO10" s="231"/>
      <c r="AP10" s="231"/>
      <c r="AQ10" s="231"/>
      <c r="AR10" s="231"/>
      <c r="AS10" s="231"/>
      <c r="AT10" s="231"/>
      <c r="AU10" s="231"/>
      <c r="AV10" s="231"/>
      <c r="AW10" s="231"/>
      <c r="AX10" s="231"/>
      <c r="AY10" s="231"/>
      <c r="AZ10" s="231"/>
      <c r="BA10" s="231"/>
      <c r="BB10" s="231"/>
      <c r="BC10" s="231"/>
      <c r="BD10" s="231"/>
      <c r="BE10" s="231"/>
      <c r="BF10" s="231"/>
      <c r="BG10" s="231"/>
      <c r="BH10" s="231"/>
      <c r="BI10" s="231"/>
      <c r="BJ10" s="231"/>
      <c r="BK10" s="231"/>
      <c r="BL10" s="231"/>
      <c r="BM10" s="231"/>
      <c r="BN10" s="231"/>
      <c r="BO10" s="231"/>
      <c r="BP10" s="231"/>
      <c r="BQ10" s="231"/>
      <c r="BR10" s="231"/>
      <c r="BS10" s="231"/>
      <c r="BT10" s="231"/>
      <c r="BU10" s="231"/>
      <c r="BV10" s="231"/>
    </row>
    <row r="11" spans="1:74" s="135" customFormat="1" ht="50.1" customHeight="1">
      <c r="A11" s="793"/>
      <c r="B11" s="796"/>
      <c r="C11" s="236">
        <v>3</v>
      </c>
      <c r="D11" s="237" t="s">
        <v>544</v>
      </c>
      <c r="E11" s="238"/>
      <c r="F11" s="238"/>
      <c r="G11" s="357" t="s">
        <v>548</v>
      </c>
      <c r="H11" s="305"/>
      <c r="I11" s="306"/>
      <c r="J11" s="236">
        <v>212.78</v>
      </c>
      <c r="K11" s="242">
        <v>1.1704358669160572E-2</v>
      </c>
      <c r="L11" s="236">
        <v>4.13</v>
      </c>
      <c r="M11" s="322">
        <f t="shared" si="0"/>
        <v>878.78139999999996</v>
      </c>
      <c r="N11" s="243"/>
      <c r="O11" s="808" t="s">
        <v>521</v>
      </c>
      <c r="P11" s="751"/>
      <c r="Q11" s="231"/>
      <c r="R11" s="385"/>
      <c r="S11" s="385"/>
      <c r="T11" s="231"/>
      <c r="U11" s="231"/>
      <c r="V11" s="231"/>
      <c r="W11" s="231"/>
      <c r="X11" s="231"/>
      <c r="Y11" s="231"/>
      <c r="Z11" s="231"/>
      <c r="AA11" s="231"/>
      <c r="AB11" s="231"/>
      <c r="AC11" s="231"/>
      <c r="AD11" s="231"/>
      <c r="AE11" s="231"/>
      <c r="AF11" s="231"/>
      <c r="AG11" s="231"/>
      <c r="AH11" s="231"/>
      <c r="AI11" s="231"/>
      <c r="AJ11" s="231"/>
      <c r="AK11" s="231"/>
      <c r="AL11" s="231"/>
      <c r="AM11" s="231"/>
      <c r="AN11" s="231"/>
      <c r="AO11" s="231"/>
      <c r="AP11" s="231"/>
      <c r="AQ11" s="231"/>
      <c r="AR11" s="231"/>
      <c r="AS11" s="231"/>
      <c r="AT11" s="231"/>
      <c r="AU11" s="231"/>
      <c r="AV11" s="231"/>
      <c r="AW11" s="231"/>
      <c r="AX11" s="231"/>
      <c r="AY11" s="231"/>
      <c r="AZ11" s="231"/>
      <c r="BA11" s="231"/>
      <c r="BB11" s="231"/>
      <c r="BC11" s="231"/>
      <c r="BD11" s="231"/>
      <c r="BE11" s="231"/>
      <c r="BF11" s="231"/>
      <c r="BG11" s="231"/>
      <c r="BH11" s="231"/>
      <c r="BI11" s="231"/>
      <c r="BJ11" s="231"/>
      <c r="BK11" s="231"/>
      <c r="BL11" s="231"/>
      <c r="BM11" s="231"/>
      <c r="BN11" s="231"/>
      <c r="BO11" s="231"/>
      <c r="BP11" s="231"/>
      <c r="BQ11" s="231"/>
      <c r="BR11" s="231"/>
      <c r="BS11" s="231"/>
      <c r="BT11" s="231"/>
      <c r="BU11" s="231"/>
      <c r="BV11" s="231"/>
    </row>
    <row r="12" spans="1:74" s="135" customFormat="1" ht="50.1" customHeight="1">
      <c r="A12" s="793"/>
      <c r="B12" s="796"/>
      <c r="C12" s="236">
        <v>4</v>
      </c>
      <c r="D12" s="237" t="s">
        <v>564</v>
      </c>
      <c r="E12" s="238"/>
      <c r="F12" s="238"/>
      <c r="G12" s="357" t="s">
        <v>566</v>
      </c>
      <c r="H12" s="305"/>
      <c r="I12" s="306"/>
      <c r="J12" s="236">
        <v>91.13</v>
      </c>
      <c r="K12" s="242">
        <v>1.0720010686615017E-2</v>
      </c>
      <c r="L12" s="236">
        <v>9.6300000000000008</v>
      </c>
      <c r="M12" s="322">
        <f t="shared" si="0"/>
        <v>877.58190000000002</v>
      </c>
      <c r="N12" s="243"/>
      <c r="O12" s="808" t="s">
        <v>521</v>
      </c>
      <c r="P12" s="751"/>
      <c r="Q12" s="231"/>
      <c r="R12" s="386"/>
      <c r="S12" s="386"/>
      <c r="T12" s="231"/>
      <c r="U12" s="231"/>
      <c r="V12" s="231"/>
      <c r="W12" s="231"/>
      <c r="X12" s="231"/>
      <c r="Y12" s="231"/>
      <c r="Z12" s="231"/>
      <c r="AA12" s="231"/>
      <c r="AB12" s="231"/>
      <c r="AC12" s="231"/>
      <c r="AD12" s="231"/>
      <c r="AE12" s="231"/>
      <c r="AF12" s="231"/>
      <c r="AG12" s="231"/>
      <c r="AH12" s="231"/>
      <c r="AI12" s="231"/>
      <c r="AJ12" s="231"/>
      <c r="AK12" s="231"/>
      <c r="AL12" s="231"/>
      <c r="AM12" s="231"/>
      <c r="AN12" s="231"/>
      <c r="AO12" s="231"/>
      <c r="AP12" s="231"/>
      <c r="AQ12" s="231"/>
      <c r="AR12" s="231"/>
      <c r="AS12" s="231"/>
      <c r="AT12" s="231"/>
      <c r="AU12" s="231"/>
      <c r="AV12" s="231"/>
      <c r="AW12" s="231"/>
      <c r="AX12" s="231"/>
      <c r="AY12" s="231"/>
      <c r="AZ12" s="231"/>
      <c r="BA12" s="231"/>
      <c r="BB12" s="231"/>
      <c r="BC12" s="231"/>
      <c r="BD12" s="231"/>
      <c r="BE12" s="231"/>
      <c r="BF12" s="231"/>
      <c r="BG12" s="231"/>
      <c r="BH12" s="231"/>
      <c r="BI12" s="231"/>
      <c r="BJ12" s="231"/>
      <c r="BK12" s="231"/>
      <c r="BL12" s="231"/>
      <c r="BM12" s="231"/>
      <c r="BN12" s="231"/>
      <c r="BO12" s="231"/>
      <c r="BP12" s="231"/>
      <c r="BQ12" s="231"/>
      <c r="BR12" s="231"/>
      <c r="BS12" s="231"/>
      <c r="BT12" s="231"/>
      <c r="BU12" s="231"/>
      <c r="BV12" s="231"/>
    </row>
    <row r="13" spans="1:74" s="135" customFormat="1" ht="50.1" customHeight="1" thickBot="1">
      <c r="A13" s="793"/>
      <c r="B13" s="796"/>
      <c r="C13" s="236">
        <v>5</v>
      </c>
      <c r="D13" s="244" t="s">
        <v>328</v>
      </c>
      <c r="E13" s="245"/>
      <c r="F13" s="245"/>
      <c r="G13" s="514" t="s">
        <v>557</v>
      </c>
      <c r="H13" s="305"/>
      <c r="I13" s="306"/>
      <c r="J13" s="247">
        <v>99.51</v>
      </c>
      <c r="K13" s="248">
        <v>7.0432977461447211E-3</v>
      </c>
      <c r="L13" s="247">
        <v>8.5500000000000007</v>
      </c>
      <c r="M13" s="323">
        <f t="shared" si="0"/>
        <v>850.81050000000016</v>
      </c>
      <c r="N13" s="243"/>
      <c r="O13" s="808" t="s">
        <v>542</v>
      </c>
      <c r="P13" s="751"/>
      <c r="Q13" s="231"/>
      <c r="R13" s="385"/>
      <c r="S13" s="385"/>
      <c r="T13" s="231"/>
      <c r="U13" s="387"/>
      <c r="V13" s="231"/>
      <c r="W13" s="231"/>
      <c r="X13" s="231"/>
      <c r="Y13" s="231"/>
      <c r="Z13" s="231"/>
      <c r="AA13" s="231"/>
      <c r="AB13" s="231"/>
      <c r="AC13" s="231"/>
      <c r="AD13" s="231"/>
      <c r="AE13" s="231"/>
      <c r="AF13" s="231"/>
      <c r="AG13" s="231"/>
      <c r="AH13" s="231"/>
      <c r="AI13" s="231"/>
      <c r="AJ13" s="231"/>
      <c r="AK13" s="231"/>
      <c r="AL13" s="231"/>
      <c r="AM13" s="231"/>
      <c r="AN13" s="231"/>
      <c r="AO13" s="231"/>
      <c r="AP13" s="231"/>
      <c r="AQ13" s="231"/>
      <c r="AR13" s="231"/>
      <c r="AS13" s="231"/>
      <c r="AT13" s="231"/>
      <c r="AU13" s="231"/>
      <c r="AV13" s="231"/>
      <c r="AW13" s="231"/>
      <c r="AX13" s="231"/>
      <c r="AY13" s="231"/>
      <c r="AZ13" s="231"/>
      <c r="BA13" s="231"/>
      <c r="BB13" s="231"/>
      <c r="BC13" s="231"/>
      <c r="BD13" s="231"/>
      <c r="BE13" s="231"/>
      <c r="BF13" s="231"/>
      <c r="BG13" s="231"/>
      <c r="BH13" s="231"/>
      <c r="BI13" s="231"/>
      <c r="BJ13" s="231"/>
      <c r="BK13" s="231"/>
      <c r="BL13" s="231"/>
      <c r="BM13" s="231"/>
      <c r="BN13" s="231"/>
      <c r="BO13" s="231"/>
      <c r="BP13" s="231"/>
      <c r="BQ13" s="231"/>
      <c r="BR13" s="231"/>
      <c r="BS13" s="231"/>
      <c r="BT13" s="231"/>
      <c r="BU13" s="231"/>
      <c r="BV13" s="231"/>
    </row>
    <row r="14" spans="1:74" s="135" customFormat="1" ht="15.75" customHeight="1" thickTop="1">
      <c r="A14" s="794"/>
      <c r="B14" s="797"/>
      <c r="C14" s="665"/>
      <c r="D14" s="666"/>
      <c r="E14" s="666"/>
      <c r="F14" s="666"/>
      <c r="G14" s="666"/>
      <c r="H14" s="666"/>
      <c r="I14" s="800"/>
      <c r="J14" s="249" t="s">
        <v>58</v>
      </c>
      <c r="K14" s="212">
        <f>M14/'生產管理報表 7-1 (週)'!$B$9</f>
        <v>5.660851404212975E-2</v>
      </c>
      <c r="L14" s="249" t="s">
        <v>59</v>
      </c>
      <c r="M14" s="324">
        <f>SUM(M9:M13)</f>
        <v>4816.3066000000008</v>
      </c>
      <c r="N14" s="766"/>
      <c r="O14" s="767"/>
      <c r="P14" s="768"/>
      <c r="Q14" s="231"/>
      <c r="R14" s="210"/>
      <c r="S14" s="210"/>
      <c r="T14" s="231"/>
      <c r="U14" s="231"/>
      <c r="V14" s="231"/>
      <c r="W14" s="231"/>
      <c r="X14" s="231"/>
      <c r="Y14" s="231"/>
      <c r="Z14" s="231"/>
      <c r="AA14" s="231"/>
      <c r="AB14" s="231"/>
      <c r="AC14" s="231"/>
      <c r="AD14" s="231"/>
      <c r="AE14" s="231"/>
      <c r="AF14" s="231"/>
      <c r="AG14" s="231"/>
      <c r="AH14" s="231"/>
      <c r="AI14" s="231"/>
      <c r="AJ14" s="231"/>
      <c r="AK14" s="231"/>
      <c r="AL14" s="231"/>
      <c r="AM14" s="231"/>
      <c r="AN14" s="231"/>
      <c r="AO14" s="231"/>
      <c r="AP14" s="231"/>
      <c r="AQ14" s="231"/>
      <c r="AR14" s="231"/>
      <c r="AS14" s="231"/>
      <c r="AT14" s="231"/>
      <c r="AU14" s="231"/>
      <c r="AV14" s="231"/>
      <c r="AW14" s="231"/>
      <c r="AX14" s="231"/>
      <c r="AY14" s="231"/>
      <c r="AZ14" s="231"/>
      <c r="BA14" s="231"/>
      <c r="BB14" s="231"/>
      <c r="BC14" s="231"/>
      <c r="BD14" s="231"/>
      <c r="BE14" s="231"/>
      <c r="BF14" s="231"/>
      <c r="BG14" s="231"/>
      <c r="BH14" s="231"/>
      <c r="BI14" s="231"/>
      <c r="BJ14" s="231"/>
      <c r="BK14" s="231"/>
      <c r="BL14" s="231"/>
      <c r="BM14" s="231"/>
      <c r="BN14" s="231"/>
      <c r="BO14" s="231"/>
      <c r="BP14" s="231"/>
      <c r="BQ14" s="231"/>
      <c r="BR14" s="231"/>
      <c r="BS14" s="231"/>
      <c r="BT14" s="231"/>
      <c r="BU14" s="231"/>
      <c r="BV14" s="231"/>
    </row>
    <row r="15" spans="1:74" s="135" customFormat="1" ht="15.75" customHeight="1">
      <c r="B15" s="232"/>
      <c r="C15" s="233"/>
      <c r="D15" s="233"/>
      <c r="E15" s="233"/>
      <c r="F15" s="233"/>
      <c r="G15" s="233"/>
      <c r="H15" s="233"/>
      <c r="I15" s="233"/>
      <c r="J15" s="233"/>
      <c r="K15" s="233"/>
      <c r="L15" s="233"/>
      <c r="M15" s="233"/>
      <c r="N15" s="251"/>
      <c r="O15" s="251"/>
      <c r="P15" s="251"/>
      <c r="Q15" s="231"/>
      <c r="R15" s="261"/>
      <c r="S15" s="261"/>
      <c r="T15" s="231"/>
      <c r="U15" s="231"/>
      <c r="V15" s="231"/>
      <c r="W15" s="231"/>
      <c r="X15" s="231"/>
      <c r="Y15" s="231"/>
      <c r="Z15" s="231"/>
      <c r="AA15" s="231"/>
      <c r="AB15" s="231"/>
      <c r="AC15" s="231"/>
      <c r="AD15" s="231"/>
      <c r="AE15" s="231"/>
      <c r="AF15" s="231"/>
      <c r="AG15" s="231"/>
      <c r="AH15" s="231"/>
      <c r="AI15" s="231"/>
      <c r="AJ15" s="231"/>
      <c r="AK15" s="231"/>
      <c r="AL15" s="231"/>
      <c r="AM15" s="231"/>
      <c r="AN15" s="231"/>
      <c r="AO15" s="231"/>
      <c r="AP15" s="231"/>
      <c r="AQ15" s="231"/>
      <c r="AR15" s="231"/>
      <c r="AS15" s="231"/>
      <c r="AT15" s="231"/>
      <c r="AU15" s="231"/>
      <c r="AV15" s="231"/>
      <c r="AW15" s="231"/>
      <c r="AX15" s="231"/>
      <c r="AY15" s="231"/>
      <c r="AZ15" s="231"/>
      <c r="BA15" s="231"/>
      <c r="BB15" s="231"/>
      <c r="BC15" s="231"/>
      <c r="BD15" s="231"/>
      <c r="BE15" s="231"/>
      <c r="BF15" s="231"/>
      <c r="BG15" s="231"/>
      <c r="BH15" s="231"/>
      <c r="BI15" s="231"/>
      <c r="BJ15" s="231"/>
      <c r="BK15" s="231"/>
      <c r="BL15" s="231"/>
      <c r="BM15" s="231"/>
      <c r="BN15" s="231"/>
      <c r="BO15" s="231"/>
      <c r="BP15" s="231"/>
      <c r="BQ15" s="231"/>
      <c r="BR15" s="231"/>
      <c r="BS15" s="231"/>
      <c r="BT15" s="231"/>
      <c r="BU15" s="231"/>
      <c r="BV15" s="231"/>
    </row>
    <row r="16" spans="1:74" s="135" customFormat="1" ht="15.75" customHeight="1">
      <c r="A16" s="748" t="s">
        <v>174</v>
      </c>
      <c r="B16" s="749"/>
      <c r="C16" s="252" t="s">
        <v>47</v>
      </c>
      <c r="D16" s="662" t="s">
        <v>12</v>
      </c>
      <c r="E16" s="663"/>
      <c r="F16" s="664"/>
      <c r="G16" s="662" t="s">
        <v>53</v>
      </c>
      <c r="H16" s="663"/>
      <c r="I16" s="664"/>
      <c r="J16" s="254" t="s">
        <v>54</v>
      </c>
      <c r="K16" s="254" t="s">
        <v>55</v>
      </c>
      <c r="L16" s="254" t="s">
        <v>56</v>
      </c>
      <c r="M16" s="254" t="s">
        <v>11</v>
      </c>
      <c r="N16" s="255" t="s">
        <v>312</v>
      </c>
      <c r="O16" s="757" t="s">
        <v>51</v>
      </c>
      <c r="P16" s="758"/>
      <c r="Q16" s="231"/>
      <c r="R16" s="210"/>
      <c r="S16" s="210"/>
      <c r="T16" s="231"/>
      <c r="U16" s="231"/>
      <c r="V16" s="231"/>
      <c r="W16" s="231"/>
      <c r="X16" s="231"/>
      <c r="Y16" s="231"/>
      <c r="Z16" s="231"/>
      <c r="AA16" s="231"/>
      <c r="AB16" s="231"/>
      <c r="AC16" s="231"/>
      <c r="AD16" s="231"/>
      <c r="AE16" s="231"/>
      <c r="AF16" s="231"/>
      <c r="AG16" s="231"/>
      <c r="AH16" s="231"/>
      <c r="AI16" s="231"/>
    </row>
    <row r="17" spans="1:35" s="135" customFormat="1" ht="20.100000000000001" customHeight="1">
      <c r="A17" s="792">
        <v>2</v>
      </c>
      <c r="B17" s="795" t="s">
        <v>196</v>
      </c>
      <c r="C17" s="256">
        <v>1</v>
      </c>
      <c r="D17" s="237"/>
      <c r="E17" s="238"/>
      <c r="F17" s="239"/>
      <c r="G17" s="237"/>
      <c r="H17" s="238"/>
      <c r="I17" s="239"/>
      <c r="J17" s="257"/>
      <c r="K17" s="258"/>
      <c r="L17" s="257"/>
      <c r="M17" s="259">
        <f t="shared" ref="M17:M21" si="1">L17*J17</f>
        <v>0</v>
      </c>
      <c r="N17" s="260"/>
      <c r="O17" s="759"/>
      <c r="P17" s="760"/>
      <c r="Q17" s="231"/>
      <c r="R17" s="261"/>
      <c r="S17" s="261"/>
      <c r="T17" s="231"/>
      <c r="U17" s="231"/>
      <c r="V17" s="231"/>
      <c r="W17" s="231"/>
      <c r="X17" s="231"/>
      <c r="Y17" s="231"/>
      <c r="Z17" s="231"/>
      <c r="AA17" s="231"/>
      <c r="AB17" s="231"/>
      <c r="AC17" s="231"/>
      <c r="AD17" s="231"/>
      <c r="AE17" s="231"/>
      <c r="AF17" s="231"/>
      <c r="AG17" s="231"/>
      <c r="AH17" s="231"/>
      <c r="AI17" s="231"/>
    </row>
    <row r="18" spans="1:35" s="135" customFormat="1" ht="20.100000000000001" customHeight="1">
      <c r="A18" s="793"/>
      <c r="B18" s="796"/>
      <c r="C18" s="256">
        <v>2</v>
      </c>
      <c r="D18" s="237"/>
      <c r="E18" s="238"/>
      <c r="F18" s="239"/>
      <c r="G18" s="237"/>
      <c r="H18" s="238"/>
      <c r="I18" s="239"/>
      <c r="J18" s="257"/>
      <c r="K18" s="258"/>
      <c r="L18" s="257"/>
      <c r="M18" s="259">
        <f t="shared" si="1"/>
        <v>0</v>
      </c>
      <c r="N18" s="260"/>
      <c r="O18" s="759"/>
      <c r="P18" s="760"/>
      <c r="Q18" s="231"/>
      <c r="R18" s="210"/>
      <c r="S18" s="210"/>
      <c r="T18" s="231"/>
      <c r="U18" s="231"/>
      <c r="V18" s="231"/>
      <c r="W18" s="231"/>
      <c r="X18" s="231"/>
      <c r="Y18" s="231"/>
      <c r="Z18" s="231"/>
      <c r="AA18" s="231"/>
      <c r="AB18" s="231"/>
      <c r="AC18" s="231"/>
      <c r="AD18" s="231"/>
      <c r="AE18" s="231"/>
      <c r="AF18" s="231"/>
      <c r="AG18" s="231"/>
      <c r="AH18" s="231"/>
      <c r="AI18" s="231"/>
    </row>
    <row r="19" spans="1:35" s="135" customFormat="1" ht="20.100000000000001" customHeight="1">
      <c r="A19" s="793"/>
      <c r="B19" s="796"/>
      <c r="C19" s="256">
        <v>3</v>
      </c>
      <c r="D19" s="237"/>
      <c r="E19" s="238"/>
      <c r="F19" s="239"/>
      <c r="G19" s="237"/>
      <c r="H19" s="238"/>
      <c r="I19" s="268"/>
      <c r="J19" s="257"/>
      <c r="K19" s="258"/>
      <c r="L19" s="257"/>
      <c r="M19" s="259">
        <f t="shared" si="1"/>
        <v>0</v>
      </c>
      <c r="N19" s="260"/>
      <c r="O19" s="759"/>
      <c r="P19" s="760"/>
      <c r="Q19" s="231"/>
      <c r="R19" s="261"/>
      <c r="S19" s="261"/>
      <c r="T19" s="231"/>
      <c r="U19" s="231"/>
      <c r="V19" s="231"/>
      <c r="W19" s="231"/>
      <c r="X19" s="231"/>
      <c r="Y19" s="231"/>
      <c r="Z19" s="231"/>
      <c r="AA19" s="231"/>
      <c r="AB19" s="231"/>
      <c r="AC19" s="231"/>
      <c r="AD19" s="231"/>
      <c r="AE19" s="231"/>
      <c r="AF19" s="231"/>
      <c r="AG19" s="231"/>
    </row>
    <row r="20" spans="1:35" s="135" customFormat="1" ht="20.100000000000001" customHeight="1">
      <c r="A20" s="793"/>
      <c r="B20" s="796"/>
      <c r="C20" s="256">
        <v>4</v>
      </c>
      <c r="D20" s="237"/>
      <c r="E20" s="238"/>
      <c r="F20" s="239"/>
      <c r="G20" s="237"/>
      <c r="H20" s="238"/>
      <c r="I20" s="239"/>
      <c r="J20" s="257"/>
      <c r="K20" s="258"/>
      <c r="L20" s="257"/>
      <c r="M20" s="259">
        <f t="shared" si="1"/>
        <v>0</v>
      </c>
      <c r="N20" s="260"/>
      <c r="O20" s="759"/>
      <c r="P20" s="760"/>
      <c r="Q20" s="231"/>
      <c r="R20" s="210"/>
      <c r="S20" s="210"/>
      <c r="T20" s="231"/>
      <c r="U20" s="231"/>
      <c r="V20" s="231"/>
      <c r="W20" s="231"/>
      <c r="X20" s="231"/>
      <c r="Y20" s="231"/>
      <c r="Z20" s="231"/>
      <c r="AA20" s="231"/>
      <c r="AB20" s="231"/>
      <c r="AC20" s="231"/>
      <c r="AD20" s="231"/>
      <c r="AE20" s="231"/>
      <c r="AF20" s="231"/>
      <c r="AG20" s="231"/>
    </row>
    <row r="21" spans="1:35" s="135" customFormat="1" ht="20.100000000000001" customHeight="1" thickBot="1">
      <c r="A21" s="793"/>
      <c r="B21" s="796"/>
      <c r="C21" s="262">
        <v>5</v>
      </c>
      <c r="D21" s="244"/>
      <c r="E21" s="245"/>
      <c r="F21" s="246"/>
      <c r="G21" s="237"/>
      <c r="H21" s="238"/>
      <c r="I21" s="239"/>
      <c r="J21" s="263"/>
      <c r="K21" s="264"/>
      <c r="L21" s="263"/>
      <c r="M21" s="265">
        <f t="shared" si="1"/>
        <v>0</v>
      </c>
      <c r="N21" s="266"/>
      <c r="O21" s="759"/>
      <c r="P21" s="760"/>
      <c r="Q21" s="231"/>
      <c r="R21" s="231"/>
      <c r="S21" s="231"/>
      <c r="T21" s="231"/>
      <c r="U21" s="231"/>
      <c r="V21" s="231"/>
      <c r="W21" s="231"/>
      <c r="X21" s="231"/>
      <c r="Y21" s="231"/>
      <c r="Z21" s="231"/>
      <c r="AA21" s="231"/>
      <c r="AB21" s="231"/>
      <c r="AC21" s="231"/>
      <c r="AD21" s="231"/>
      <c r="AE21" s="231"/>
      <c r="AF21" s="231"/>
      <c r="AG21" s="231"/>
    </row>
    <row r="22" spans="1:35" s="135" customFormat="1" ht="15.75" customHeight="1" thickTop="1">
      <c r="A22" s="794"/>
      <c r="B22" s="797"/>
      <c r="C22" s="665"/>
      <c r="D22" s="666"/>
      <c r="E22" s="666"/>
      <c r="F22" s="666"/>
      <c r="G22" s="666"/>
      <c r="H22" s="666"/>
      <c r="I22" s="800"/>
      <c r="J22" s="249" t="s">
        <v>58</v>
      </c>
      <c r="K22" s="212">
        <f>M22/'生產管理報表 7-1 (週)'!$B$9</f>
        <v>0</v>
      </c>
      <c r="L22" s="249" t="s">
        <v>59</v>
      </c>
      <c r="M22" s="250">
        <f>SUM(M17:M21)</f>
        <v>0</v>
      </c>
      <c r="N22" s="761"/>
      <c r="O22" s="762"/>
      <c r="P22" s="763"/>
      <c r="Q22" s="231"/>
      <c r="R22" s="231"/>
      <c r="S22" s="231"/>
      <c r="T22" s="231"/>
      <c r="U22" s="231"/>
      <c r="V22" s="231"/>
      <c r="W22" s="231"/>
      <c r="X22" s="231"/>
      <c r="Y22" s="231"/>
      <c r="Z22" s="231"/>
      <c r="AA22" s="231"/>
      <c r="AB22" s="231"/>
      <c r="AC22" s="231"/>
      <c r="AD22" s="231"/>
      <c r="AE22" s="231"/>
      <c r="AF22" s="231"/>
      <c r="AG22" s="231"/>
    </row>
    <row r="23" spans="1:35" s="135" customFormat="1" ht="15.75" customHeight="1">
      <c r="B23" s="232"/>
      <c r="C23" s="233"/>
      <c r="D23" s="233"/>
      <c r="E23" s="233"/>
      <c r="F23" s="233"/>
      <c r="G23" s="233"/>
      <c r="H23" s="233"/>
      <c r="I23" s="233"/>
      <c r="J23" s="233"/>
      <c r="K23" s="233"/>
      <c r="L23" s="233"/>
      <c r="M23" s="233"/>
      <c r="N23" s="267"/>
      <c r="O23" s="267"/>
      <c r="P23" s="267"/>
      <c r="Q23" s="231"/>
      <c r="R23" s="231"/>
      <c r="S23" s="231"/>
      <c r="T23" s="231"/>
      <c r="U23" s="231"/>
      <c r="V23" s="231"/>
      <c r="W23" s="231"/>
      <c r="X23" s="231"/>
      <c r="Y23" s="231"/>
      <c r="Z23" s="231"/>
      <c r="AA23" s="231"/>
      <c r="AB23" s="231"/>
      <c r="AC23" s="231"/>
      <c r="AD23" s="231"/>
      <c r="AE23" s="231"/>
      <c r="AF23" s="231"/>
      <c r="AG23" s="231"/>
    </row>
    <row r="24" spans="1:35" s="135" customFormat="1" ht="15.75" customHeight="1">
      <c r="A24" s="748" t="s">
        <v>174</v>
      </c>
      <c r="B24" s="749"/>
      <c r="C24" s="252" t="s">
        <v>47</v>
      </c>
      <c r="D24" s="662" t="s">
        <v>12</v>
      </c>
      <c r="E24" s="663"/>
      <c r="F24" s="664"/>
      <c r="G24" s="662" t="s">
        <v>53</v>
      </c>
      <c r="H24" s="663"/>
      <c r="I24" s="791"/>
      <c r="J24" s="253" t="s">
        <v>54</v>
      </c>
      <c r="K24" s="254" t="s">
        <v>55</v>
      </c>
      <c r="L24" s="254" t="s">
        <v>56</v>
      </c>
      <c r="M24" s="254" t="s">
        <v>11</v>
      </c>
      <c r="N24" s="255" t="s">
        <v>312</v>
      </c>
      <c r="O24" s="755" t="s">
        <v>51</v>
      </c>
      <c r="P24" s="756"/>
      <c r="Q24" s="231"/>
      <c r="R24" s="231"/>
      <c r="S24" s="231"/>
      <c r="T24" s="231"/>
      <c r="U24" s="231"/>
      <c r="V24" s="231"/>
      <c r="W24" s="231"/>
      <c r="X24" s="231"/>
      <c r="Y24" s="231"/>
      <c r="Z24" s="231"/>
      <c r="AA24" s="231"/>
      <c r="AB24" s="231"/>
      <c r="AC24" s="231"/>
      <c r="AD24" s="231"/>
      <c r="AE24" s="231"/>
      <c r="AF24" s="231"/>
      <c r="AG24" s="231"/>
      <c r="AH24" s="231"/>
      <c r="AI24" s="231"/>
    </row>
    <row r="25" spans="1:35" s="135" customFormat="1" ht="50.1" customHeight="1">
      <c r="A25" s="792">
        <v>3</v>
      </c>
      <c r="B25" s="795" t="s">
        <v>400</v>
      </c>
      <c r="C25" s="256">
        <v>1</v>
      </c>
      <c r="D25" s="237" t="s">
        <v>319</v>
      </c>
      <c r="E25" s="238"/>
      <c r="F25" s="239"/>
      <c r="G25" s="246" t="s">
        <v>423</v>
      </c>
      <c r="H25" s="245"/>
      <c r="I25" s="246"/>
      <c r="J25" s="257">
        <v>2.4499999999999997</v>
      </c>
      <c r="K25" s="258">
        <v>5.7056489703381829E-3</v>
      </c>
      <c r="L25" s="257">
        <v>755</v>
      </c>
      <c r="M25" s="325">
        <f t="shared" ref="M25:M29" si="2">L25*J25</f>
        <v>1849.7499999999998</v>
      </c>
      <c r="N25" s="270"/>
      <c r="O25" s="798" t="s">
        <v>433</v>
      </c>
      <c r="P25" s="799"/>
      <c r="Q25" s="231"/>
      <c r="R25" s="387"/>
      <c r="S25" s="387"/>
      <c r="T25" s="231"/>
      <c r="U25" s="231"/>
      <c r="V25" s="231"/>
      <c r="W25" s="231"/>
      <c r="X25" s="231"/>
      <c r="Y25" s="231"/>
      <c r="Z25" s="231"/>
      <c r="AA25" s="231"/>
      <c r="AB25" s="231"/>
      <c r="AC25" s="231"/>
      <c r="AD25" s="231"/>
      <c r="AE25" s="231"/>
      <c r="AF25" s="231"/>
      <c r="AG25" s="231"/>
      <c r="AH25" s="231"/>
      <c r="AI25" s="231"/>
    </row>
    <row r="26" spans="1:35" s="135" customFormat="1" ht="50.1" customHeight="1">
      <c r="A26" s="793"/>
      <c r="B26" s="796"/>
      <c r="C26" s="256">
        <v>2</v>
      </c>
      <c r="D26" s="237" t="s">
        <v>319</v>
      </c>
      <c r="E26" s="238"/>
      <c r="F26" s="239"/>
      <c r="G26" s="246" t="s">
        <v>422</v>
      </c>
      <c r="H26" s="245"/>
      <c r="I26" s="246"/>
      <c r="J26" s="257">
        <v>1.17</v>
      </c>
      <c r="K26" s="258">
        <v>7.0824681103530112E-3</v>
      </c>
      <c r="L26" s="257">
        <v>1528</v>
      </c>
      <c r="M26" s="325">
        <f t="shared" si="2"/>
        <v>1787.76</v>
      </c>
      <c r="N26" s="270"/>
      <c r="O26" s="750" t="s">
        <v>489</v>
      </c>
      <c r="P26" s="751"/>
      <c r="Q26" s="231"/>
      <c r="R26" s="387"/>
      <c r="S26" s="393"/>
      <c r="T26" s="231"/>
      <c r="U26" s="231"/>
      <c r="V26" s="231"/>
      <c r="W26" s="231"/>
      <c r="X26" s="231"/>
      <c r="Y26" s="231"/>
      <c r="Z26" s="231"/>
      <c r="AA26" s="231"/>
      <c r="AB26" s="231"/>
      <c r="AC26" s="231"/>
      <c r="AD26" s="231"/>
      <c r="AE26" s="231"/>
      <c r="AF26" s="231"/>
      <c r="AG26" s="231"/>
      <c r="AH26" s="231"/>
      <c r="AI26" s="231"/>
    </row>
    <row r="27" spans="1:35" s="135" customFormat="1" ht="50.1" customHeight="1">
      <c r="A27" s="793"/>
      <c r="B27" s="796"/>
      <c r="C27" s="256">
        <v>3</v>
      </c>
      <c r="D27" s="237" t="s">
        <v>562</v>
      </c>
      <c r="E27" s="238"/>
      <c r="F27" s="239"/>
      <c r="G27" s="246" t="s">
        <v>561</v>
      </c>
      <c r="H27" s="245"/>
      <c r="I27" s="246"/>
      <c r="J27" s="257">
        <v>625.93999999999994</v>
      </c>
      <c r="K27" s="258">
        <v>1.841341708382489E-3</v>
      </c>
      <c r="L27" s="257">
        <v>2.31</v>
      </c>
      <c r="M27" s="325">
        <f t="shared" si="2"/>
        <v>1445.9213999999999</v>
      </c>
      <c r="N27" s="270"/>
      <c r="O27" s="750" t="s">
        <v>528</v>
      </c>
      <c r="P27" s="751"/>
      <c r="Q27" s="387"/>
      <c r="R27" s="387"/>
      <c r="S27" s="393"/>
      <c r="T27" s="231"/>
      <c r="U27" s="231"/>
      <c r="V27" s="231"/>
      <c r="W27" s="231"/>
      <c r="X27" s="231"/>
      <c r="Y27" s="231"/>
      <c r="Z27" s="231"/>
      <c r="AA27" s="231"/>
      <c r="AB27" s="231"/>
      <c r="AC27" s="231"/>
      <c r="AD27" s="231"/>
      <c r="AE27" s="231"/>
      <c r="AF27" s="231"/>
      <c r="AG27" s="231"/>
      <c r="AH27" s="231"/>
      <c r="AI27" s="231"/>
    </row>
    <row r="28" spans="1:35" s="135" customFormat="1" ht="50.1" customHeight="1">
      <c r="A28" s="793"/>
      <c r="B28" s="796"/>
      <c r="C28" s="256">
        <v>4</v>
      </c>
      <c r="D28" s="237" t="s">
        <v>436</v>
      </c>
      <c r="E28" s="238"/>
      <c r="F28" s="239"/>
      <c r="G28" s="375" t="s">
        <v>434</v>
      </c>
      <c r="H28" s="359"/>
      <c r="I28" s="375"/>
      <c r="J28" s="269">
        <v>407.74000000000007</v>
      </c>
      <c r="K28" s="258">
        <v>2.8234402387607182E-3</v>
      </c>
      <c r="L28" s="257">
        <v>2.98</v>
      </c>
      <c r="M28" s="325">
        <f t="shared" si="2"/>
        <v>1215.0652000000002</v>
      </c>
      <c r="N28" s="270"/>
      <c r="O28" s="750" t="s">
        <v>606</v>
      </c>
      <c r="P28" s="751"/>
      <c r="Q28" s="231"/>
      <c r="R28" s="231"/>
      <c r="S28"/>
      <c r="T28" s="231"/>
      <c r="U28" s="231"/>
      <c r="V28" s="231"/>
      <c r="W28" s="231"/>
      <c r="X28" s="231"/>
      <c r="Y28" s="231"/>
      <c r="Z28" s="231"/>
      <c r="AA28" s="231"/>
      <c r="AB28" s="231"/>
      <c r="AC28" s="231"/>
      <c r="AD28" s="231"/>
      <c r="AE28" s="231"/>
      <c r="AF28" s="231"/>
      <c r="AG28" s="231"/>
      <c r="AH28" s="231"/>
      <c r="AI28" s="231"/>
    </row>
    <row r="29" spans="1:35" s="135" customFormat="1" ht="50.1" customHeight="1" thickBot="1">
      <c r="A29" s="793"/>
      <c r="B29" s="796"/>
      <c r="C29" s="262">
        <v>5</v>
      </c>
      <c r="D29" s="244" t="s">
        <v>525</v>
      </c>
      <c r="E29" s="245"/>
      <c r="F29" s="246"/>
      <c r="G29" s="271" t="s">
        <v>526</v>
      </c>
      <c r="H29" s="245"/>
      <c r="I29" s="271"/>
      <c r="J29" s="272">
        <v>24.240000000000002</v>
      </c>
      <c r="K29" s="264">
        <v>1.918819188191882E-3</v>
      </c>
      <c r="L29" s="273">
        <v>39</v>
      </c>
      <c r="M29" s="325">
        <f t="shared" si="2"/>
        <v>945.36000000000013</v>
      </c>
      <c r="N29" s="270"/>
      <c r="O29" s="750" t="s">
        <v>669</v>
      </c>
      <c r="P29" s="751"/>
      <c r="Q29" s="231"/>
      <c r="R29" s="231"/>
      <c r="S29"/>
      <c r="T29" s="231"/>
      <c r="U29" s="231"/>
      <c r="V29" s="231"/>
      <c r="W29" s="231"/>
      <c r="X29" s="231"/>
      <c r="Y29" s="231"/>
      <c r="Z29" s="231"/>
      <c r="AA29" s="231"/>
      <c r="AB29" s="231"/>
      <c r="AC29" s="231"/>
      <c r="AD29" s="231"/>
      <c r="AE29" s="231"/>
      <c r="AF29" s="231"/>
      <c r="AG29" s="231"/>
      <c r="AH29" s="231"/>
      <c r="AI29" s="231"/>
    </row>
    <row r="30" spans="1:35" s="135" customFormat="1" ht="15.75" customHeight="1" thickTop="1">
      <c r="A30" s="794"/>
      <c r="B30" s="797"/>
      <c r="C30" s="665"/>
      <c r="D30" s="666"/>
      <c r="E30" s="666"/>
      <c r="F30" s="666"/>
      <c r="G30" s="666"/>
      <c r="H30" s="666"/>
      <c r="I30" s="800"/>
      <c r="J30" s="274" t="s">
        <v>58</v>
      </c>
      <c r="K30" s="212">
        <f>M30/'生產管理報表 7-1 (週)'!$B$9</f>
        <v>8.5140750395806236E-2</v>
      </c>
      <c r="L30" s="274" t="s">
        <v>59</v>
      </c>
      <c r="M30" s="326">
        <f>SUM(M25:M29)</f>
        <v>7243.8565999999992</v>
      </c>
      <c r="N30" s="752"/>
      <c r="O30" s="753"/>
      <c r="P30" s="754"/>
      <c r="Q30" s="231"/>
      <c r="R30" s="231"/>
      <c r="S30"/>
      <c r="T30" s="231"/>
      <c r="U30" s="231"/>
      <c r="V30" s="231"/>
      <c r="W30" s="231"/>
      <c r="X30" s="231"/>
      <c r="Y30" s="231"/>
      <c r="Z30" s="231"/>
      <c r="AA30" s="231"/>
      <c r="AB30" s="231"/>
      <c r="AC30" s="231"/>
      <c r="AD30" s="231"/>
      <c r="AE30" s="231"/>
      <c r="AF30" s="231"/>
      <c r="AG30" s="231"/>
      <c r="AH30" s="231"/>
      <c r="AI30" s="231"/>
    </row>
    <row r="31" spans="1:35" s="135" customFormat="1" ht="15.75" customHeight="1">
      <c r="A31" s="809" t="s">
        <v>640</v>
      </c>
      <c r="B31" s="809"/>
      <c r="C31" s="809"/>
      <c r="D31" s="809"/>
      <c r="E31" s="809"/>
      <c r="F31" s="809"/>
      <c r="G31" s="809"/>
      <c r="H31" s="809"/>
      <c r="I31" s="809"/>
      <c r="J31" s="809"/>
      <c r="K31" s="809"/>
      <c r="L31" s="809"/>
      <c r="M31" s="809"/>
      <c r="Q31" s="231"/>
      <c r="R31" s="231"/>
      <c r="S31" s="231"/>
      <c r="T31" s="231"/>
    </row>
    <row r="32" spans="1:35" s="136" customFormat="1" ht="15.75" customHeight="1">
      <c r="A32" s="745"/>
      <c r="B32" s="745"/>
      <c r="C32" s="745"/>
      <c r="D32" s="745"/>
      <c r="E32" s="745"/>
      <c r="F32" s="745"/>
      <c r="G32" s="745"/>
      <c r="H32" s="745"/>
      <c r="I32" s="745"/>
      <c r="J32" s="745"/>
      <c r="K32" s="745"/>
      <c r="L32" s="745"/>
      <c r="M32" s="745"/>
    </row>
    <row r="33" spans="1:74" s="135" customFormat="1" ht="15.75" customHeight="1">
      <c r="A33" s="746" t="s">
        <v>174</v>
      </c>
      <c r="B33" s="739">
        <v>1</v>
      </c>
      <c r="C33" s="740"/>
      <c r="D33" s="739">
        <v>2</v>
      </c>
      <c r="E33" s="740"/>
      <c r="F33" s="739">
        <v>3</v>
      </c>
      <c r="G33" s="740"/>
      <c r="H33" s="748">
        <v>4</v>
      </c>
      <c r="I33" s="749"/>
      <c r="J33" s="748">
        <v>5</v>
      </c>
      <c r="K33" s="749"/>
      <c r="L33" s="748">
        <v>6</v>
      </c>
      <c r="M33" s="749"/>
      <c r="N33" s="748">
        <v>7</v>
      </c>
      <c r="O33" s="749"/>
      <c r="P33" s="352">
        <v>8</v>
      </c>
      <c r="Q33" s="231"/>
      <c r="R33" s="231"/>
      <c r="S33" s="231"/>
      <c r="T33" s="231"/>
    </row>
    <row r="34" spans="1:74" s="135" customFormat="1" ht="15.75" customHeight="1">
      <c r="A34" s="747"/>
      <c r="B34" s="741" t="s">
        <v>427</v>
      </c>
      <c r="C34" s="742"/>
      <c r="D34" s="741" t="s">
        <v>195</v>
      </c>
      <c r="E34" s="742"/>
      <c r="F34" s="741" t="s">
        <v>166</v>
      </c>
      <c r="G34" s="742"/>
      <c r="H34" s="743" t="s">
        <v>406</v>
      </c>
      <c r="I34" s="744"/>
      <c r="J34" s="743" t="s">
        <v>172</v>
      </c>
      <c r="K34" s="744"/>
      <c r="L34" s="743" t="s">
        <v>167</v>
      </c>
      <c r="M34" s="744"/>
      <c r="N34" s="743" t="s">
        <v>173</v>
      </c>
      <c r="O34" s="744"/>
      <c r="P34" s="353" t="s">
        <v>200</v>
      </c>
      <c r="Q34" s="231"/>
      <c r="R34" s="231"/>
      <c r="S34" s="231"/>
      <c r="T34" s="231"/>
    </row>
    <row r="35" spans="1:74" s="135" customFormat="1" ht="15.75" customHeight="1">
      <c r="B35" s="232"/>
      <c r="C35" s="233"/>
      <c r="Q35" s="231"/>
      <c r="R35" s="231"/>
      <c r="S35" s="231"/>
      <c r="T35" s="231"/>
    </row>
    <row r="36" spans="1:74" s="235" customFormat="1" ht="15.75" customHeight="1">
      <c r="A36" s="748" t="s">
        <v>174</v>
      </c>
      <c r="B36" s="749"/>
      <c r="C36" s="234" t="s">
        <v>47</v>
      </c>
      <c r="D36" s="801" t="s">
        <v>12</v>
      </c>
      <c r="E36" s="663"/>
      <c r="F36" s="791"/>
      <c r="G36" s="802" t="s">
        <v>53</v>
      </c>
      <c r="H36" s="803"/>
      <c r="I36" s="804"/>
      <c r="J36" s="234" t="s">
        <v>54</v>
      </c>
      <c r="K36" s="234" t="s">
        <v>55</v>
      </c>
      <c r="L36" s="234" t="s">
        <v>56</v>
      </c>
      <c r="M36" s="234" t="s">
        <v>11</v>
      </c>
      <c r="N36" s="234" t="s">
        <v>312</v>
      </c>
      <c r="O36" s="805" t="s">
        <v>51</v>
      </c>
      <c r="P36" s="806"/>
    </row>
    <row r="37" spans="1:74" s="135" customFormat="1" ht="71.25" customHeight="1">
      <c r="A37" s="792">
        <v>1</v>
      </c>
      <c r="B37" s="795" t="s">
        <v>428</v>
      </c>
      <c r="C37" s="236">
        <v>1</v>
      </c>
      <c r="D37" s="237" t="s">
        <v>319</v>
      </c>
      <c r="E37" s="238"/>
      <c r="F37" s="238"/>
      <c r="G37" s="357" t="s">
        <v>364</v>
      </c>
      <c r="H37" s="305"/>
      <c r="I37" s="306"/>
      <c r="J37" s="236">
        <v>127.84000000000002</v>
      </c>
      <c r="K37" s="242">
        <v>2.4967808799974873E-3</v>
      </c>
      <c r="L37" s="236">
        <v>7.9499999999999993</v>
      </c>
      <c r="M37" s="322">
        <f>L37*J37</f>
        <v>1016.3280000000001</v>
      </c>
      <c r="N37" s="243"/>
      <c r="O37" s="730" t="s">
        <v>608</v>
      </c>
      <c r="P37" s="731"/>
      <c r="Q37" s="231"/>
      <c r="R37" s="385"/>
      <c r="S37" s="261"/>
      <c r="T37" s="231"/>
    </row>
    <row r="38" spans="1:74" s="135" customFormat="1" ht="50.1" customHeight="1">
      <c r="A38" s="793"/>
      <c r="B38" s="796"/>
      <c r="C38" s="236">
        <v>2</v>
      </c>
      <c r="D38" s="237" t="s">
        <v>319</v>
      </c>
      <c r="E38" s="238"/>
      <c r="F38" s="238"/>
      <c r="G38" s="357" t="s">
        <v>547</v>
      </c>
      <c r="H38" s="305"/>
      <c r="I38" s="306"/>
      <c r="J38" s="236">
        <v>144.79999999999998</v>
      </c>
      <c r="K38" s="242">
        <v>3.3888274768588307E-3</v>
      </c>
      <c r="L38" s="236">
        <v>6.07</v>
      </c>
      <c r="M38" s="322">
        <f t="shared" ref="M38:M41" si="3">L38*J38</f>
        <v>878.93599999999992</v>
      </c>
      <c r="N38" s="243"/>
      <c r="O38" s="807" t="s">
        <v>707</v>
      </c>
      <c r="P38" s="799"/>
      <c r="Q38" s="231"/>
      <c r="R38" s="386"/>
      <c r="S38" s="386"/>
      <c r="T38" s="231"/>
      <c r="U38" s="231"/>
      <c r="V38" s="231"/>
      <c r="W38" s="231"/>
      <c r="X38" s="231"/>
      <c r="Y38" s="231"/>
      <c r="Z38" s="231"/>
      <c r="AA38" s="231"/>
      <c r="AB38" s="231"/>
      <c r="AC38" s="231"/>
      <c r="AD38" s="231"/>
      <c r="AE38" s="231"/>
      <c r="AF38" s="231"/>
      <c r="AG38" s="231"/>
      <c r="AH38" s="231"/>
      <c r="AI38" s="231"/>
      <c r="AJ38" s="231"/>
      <c r="AK38" s="231"/>
      <c r="AL38" s="231"/>
      <c r="AM38" s="231"/>
      <c r="AN38" s="231"/>
      <c r="AO38" s="231"/>
      <c r="AP38" s="231"/>
      <c r="AQ38" s="231"/>
      <c r="AR38" s="231"/>
      <c r="AS38" s="231"/>
      <c r="AT38" s="231"/>
      <c r="AU38" s="231"/>
      <c r="AV38" s="231"/>
      <c r="AW38" s="231"/>
      <c r="AX38" s="231"/>
      <c r="AY38" s="231"/>
      <c r="AZ38" s="231"/>
      <c r="BA38" s="231"/>
      <c r="BB38" s="231"/>
      <c r="BC38" s="231"/>
      <c r="BD38" s="231"/>
      <c r="BE38" s="231"/>
      <c r="BF38" s="231"/>
      <c r="BG38" s="231"/>
      <c r="BH38" s="231"/>
      <c r="BI38" s="231"/>
      <c r="BJ38" s="231"/>
      <c r="BK38" s="231"/>
      <c r="BL38" s="231"/>
      <c r="BM38" s="231"/>
      <c r="BN38" s="231"/>
      <c r="BO38" s="231"/>
      <c r="BP38" s="231"/>
      <c r="BQ38" s="231"/>
      <c r="BR38" s="231"/>
      <c r="BS38" s="231"/>
      <c r="BT38" s="231"/>
      <c r="BU38" s="231"/>
      <c r="BV38" s="231"/>
    </row>
    <row r="39" spans="1:74" s="135" customFormat="1" ht="50.1" customHeight="1">
      <c r="A39" s="793"/>
      <c r="B39" s="796"/>
      <c r="C39" s="236">
        <v>3</v>
      </c>
      <c r="D39" s="237" t="s">
        <v>554</v>
      </c>
      <c r="E39" s="238"/>
      <c r="F39" s="238"/>
      <c r="G39" s="357" t="s">
        <v>692</v>
      </c>
      <c r="H39" s="305"/>
      <c r="I39" s="306"/>
      <c r="J39" s="236">
        <v>351.42</v>
      </c>
      <c r="K39" s="242">
        <v>9.2659127869596462E-3</v>
      </c>
      <c r="L39" s="236">
        <v>2.4500000000000002</v>
      </c>
      <c r="M39" s="322">
        <f t="shared" si="3"/>
        <v>860.97900000000016</v>
      </c>
      <c r="N39" s="243"/>
      <c r="O39" s="808" t="s">
        <v>708</v>
      </c>
      <c r="P39" s="751"/>
      <c r="Q39" s="231"/>
      <c r="R39" s="385"/>
      <c r="S39" s="385"/>
      <c r="T39" s="231"/>
      <c r="U39" s="231"/>
      <c r="V39" s="231"/>
      <c r="W39" s="231"/>
      <c r="X39" s="231"/>
      <c r="Y39" s="231"/>
      <c r="Z39" s="231"/>
      <c r="AA39" s="231"/>
      <c r="AB39" s="231"/>
      <c r="AC39" s="231"/>
      <c r="AD39" s="231"/>
      <c r="AE39" s="231"/>
      <c r="AF39" s="231"/>
      <c r="AG39" s="231"/>
      <c r="AH39" s="231"/>
      <c r="AI39" s="231"/>
      <c r="AJ39" s="231"/>
      <c r="AK39" s="231"/>
      <c r="AL39" s="231"/>
      <c r="AM39" s="231"/>
      <c r="AN39" s="231"/>
      <c r="AO39" s="231"/>
      <c r="AP39" s="231"/>
      <c r="AQ39" s="231"/>
      <c r="AR39" s="231"/>
      <c r="AS39" s="231"/>
      <c r="AT39" s="231"/>
      <c r="AU39" s="231"/>
      <c r="AV39" s="231"/>
      <c r="AW39" s="231"/>
      <c r="AX39" s="231"/>
      <c r="AY39" s="231"/>
      <c r="AZ39" s="231"/>
      <c r="BA39" s="231"/>
      <c r="BB39" s="231"/>
      <c r="BC39" s="231"/>
      <c r="BD39" s="231"/>
      <c r="BE39" s="231"/>
      <c r="BF39" s="231"/>
      <c r="BG39" s="231"/>
      <c r="BH39" s="231"/>
      <c r="BI39" s="231"/>
      <c r="BJ39" s="231"/>
      <c r="BK39" s="231"/>
      <c r="BL39" s="231"/>
      <c r="BM39" s="231"/>
      <c r="BN39" s="231"/>
      <c r="BO39" s="231"/>
      <c r="BP39" s="231"/>
      <c r="BQ39" s="231"/>
      <c r="BR39" s="231"/>
      <c r="BS39" s="231"/>
      <c r="BT39" s="231"/>
      <c r="BU39" s="231"/>
      <c r="BV39" s="231"/>
    </row>
    <row r="40" spans="1:74" s="135" customFormat="1" ht="50.1" customHeight="1">
      <c r="A40" s="793"/>
      <c r="B40" s="796"/>
      <c r="C40" s="236">
        <v>4</v>
      </c>
      <c r="D40" s="237" t="s">
        <v>564</v>
      </c>
      <c r="E40" s="238"/>
      <c r="F40" s="238"/>
      <c r="G40" s="357" t="s">
        <v>566</v>
      </c>
      <c r="H40" s="305"/>
      <c r="I40" s="306"/>
      <c r="J40" s="236">
        <v>91.13</v>
      </c>
      <c r="K40" s="242">
        <v>8.5980305049607568E-3</v>
      </c>
      <c r="L40" s="236">
        <v>9.2899999999999991</v>
      </c>
      <c r="M40" s="322">
        <f t="shared" si="3"/>
        <v>846.59769999999992</v>
      </c>
      <c r="N40" s="243"/>
      <c r="O40" s="808" t="s">
        <v>521</v>
      </c>
      <c r="P40" s="751"/>
      <c r="Q40" s="231"/>
      <c r="R40" s="386"/>
      <c r="S40" s="386"/>
      <c r="T40" s="231"/>
      <c r="U40" s="231"/>
      <c r="V40" s="231"/>
      <c r="W40" s="231"/>
      <c r="X40" s="231"/>
      <c r="Y40" s="231"/>
      <c r="Z40" s="231"/>
      <c r="AA40" s="231"/>
      <c r="AB40" s="231"/>
      <c r="AC40" s="231"/>
      <c r="AD40" s="231"/>
      <c r="AE40" s="231"/>
      <c r="AF40" s="231"/>
      <c r="AG40" s="231"/>
      <c r="AH40" s="231"/>
      <c r="AI40" s="231"/>
      <c r="AJ40" s="231"/>
      <c r="AK40" s="231"/>
      <c r="AL40" s="231"/>
      <c r="AM40" s="231"/>
      <c r="AN40" s="231"/>
      <c r="AO40" s="231"/>
      <c r="AP40" s="231"/>
      <c r="AQ40" s="231"/>
      <c r="AR40" s="231"/>
      <c r="AS40" s="231"/>
      <c r="AT40" s="231"/>
      <c r="AU40" s="231"/>
      <c r="AV40" s="231"/>
      <c r="AW40" s="231"/>
      <c r="AX40" s="231"/>
      <c r="AY40" s="231"/>
      <c r="AZ40" s="231"/>
      <c r="BA40" s="231"/>
      <c r="BB40" s="231"/>
      <c r="BC40" s="231"/>
      <c r="BD40" s="231"/>
      <c r="BE40" s="231"/>
      <c r="BF40" s="231"/>
      <c r="BG40" s="231"/>
      <c r="BH40" s="231"/>
      <c r="BI40" s="231"/>
      <c r="BJ40" s="231"/>
      <c r="BK40" s="231"/>
      <c r="BL40" s="231"/>
      <c r="BM40" s="231"/>
      <c r="BN40" s="231"/>
      <c r="BO40" s="231"/>
      <c r="BP40" s="231"/>
      <c r="BQ40" s="231"/>
      <c r="BR40" s="231"/>
      <c r="BS40" s="231"/>
      <c r="BT40" s="231"/>
      <c r="BU40" s="231"/>
      <c r="BV40" s="231"/>
    </row>
    <row r="41" spans="1:74" s="135" customFormat="1" ht="50.1" customHeight="1" thickBot="1">
      <c r="A41" s="793"/>
      <c r="B41" s="796"/>
      <c r="C41" s="236">
        <v>5</v>
      </c>
      <c r="D41" s="244" t="s">
        <v>538</v>
      </c>
      <c r="E41" s="245"/>
      <c r="F41" s="245"/>
      <c r="G41" s="357" t="s">
        <v>549</v>
      </c>
      <c r="H41" s="305"/>
      <c r="I41" s="306"/>
      <c r="J41" s="247">
        <v>49.82</v>
      </c>
      <c r="K41" s="248">
        <v>6.6732477788746291E-3</v>
      </c>
      <c r="L41" s="247">
        <v>16.899999999999999</v>
      </c>
      <c r="M41" s="323">
        <f t="shared" si="3"/>
        <v>841.95799999999997</v>
      </c>
      <c r="N41" s="243"/>
      <c r="O41" s="808" t="s">
        <v>521</v>
      </c>
      <c r="P41" s="751"/>
      <c r="Q41" s="231"/>
      <c r="R41" s="385"/>
      <c r="S41" s="385"/>
      <c r="T41" s="231"/>
      <c r="U41" s="387"/>
      <c r="V41" s="231"/>
      <c r="W41" s="231"/>
      <c r="X41" s="231"/>
      <c r="Y41" s="231"/>
      <c r="Z41" s="231"/>
      <c r="AA41" s="231"/>
      <c r="AB41" s="231"/>
      <c r="AC41" s="231"/>
      <c r="AD41" s="231"/>
      <c r="AE41" s="231"/>
      <c r="AF41" s="231"/>
      <c r="AG41" s="231"/>
      <c r="AH41" s="231"/>
      <c r="AI41" s="231"/>
      <c r="AJ41" s="231"/>
      <c r="AK41" s="231"/>
      <c r="AL41" s="231"/>
      <c r="AM41" s="231"/>
      <c r="AN41" s="231"/>
      <c r="AO41" s="231"/>
      <c r="AP41" s="231"/>
      <c r="AQ41" s="231"/>
      <c r="AR41" s="231"/>
      <c r="AS41" s="231"/>
      <c r="AT41" s="231"/>
      <c r="AU41" s="231"/>
      <c r="AV41" s="231"/>
      <c r="AW41" s="231"/>
      <c r="AX41" s="231"/>
      <c r="AY41" s="231"/>
      <c r="AZ41" s="231"/>
      <c r="BA41" s="231"/>
      <c r="BB41" s="231"/>
      <c r="BC41" s="231"/>
      <c r="BD41" s="231"/>
      <c r="BE41" s="231"/>
      <c r="BF41" s="231"/>
      <c r="BG41" s="231"/>
      <c r="BH41" s="231"/>
      <c r="BI41" s="231"/>
      <c r="BJ41" s="231"/>
      <c r="BK41" s="231"/>
      <c r="BL41" s="231"/>
      <c r="BM41" s="231"/>
      <c r="BN41" s="231"/>
      <c r="BO41" s="231"/>
      <c r="BP41" s="231"/>
      <c r="BQ41" s="231"/>
      <c r="BR41" s="231"/>
      <c r="BS41" s="231"/>
      <c r="BT41" s="231"/>
      <c r="BU41" s="231"/>
      <c r="BV41" s="231"/>
    </row>
    <row r="42" spans="1:74" s="135" customFormat="1" ht="15.75" customHeight="1" thickTop="1">
      <c r="A42" s="794"/>
      <c r="B42" s="797"/>
      <c r="C42" s="665"/>
      <c r="D42" s="666"/>
      <c r="E42" s="666"/>
      <c r="F42" s="666"/>
      <c r="G42" s="666"/>
      <c r="H42" s="666"/>
      <c r="I42" s="800"/>
      <c r="J42" s="249" t="s">
        <v>58</v>
      </c>
      <c r="K42" s="212">
        <f>M42/'生產管理報表 7-1 (週)'!$B$20</f>
        <v>5.2990086561444265E-2</v>
      </c>
      <c r="L42" s="249" t="s">
        <v>59</v>
      </c>
      <c r="M42" s="324">
        <f>SUM(M37:M41)</f>
        <v>4444.7987000000003</v>
      </c>
      <c r="N42" s="766"/>
      <c r="O42" s="767"/>
      <c r="P42" s="768"/>
      <c r="Q42" s="231"/>
      <c r="R42" s="210"/>
      <c r="S42" s="210"/>
      <c r="T42" s="231"/>
      <c r="U42" s="231"/>
      <c r="V42" s="231"/>
      <c r="W42" s="231"/>
      <c r="X42" s="231"/>
      <c r="Y42" s="231"/>
      <c r="Z42" s="231"/>
      <c r="AA42" s="231"/>
      <c r="AB42" s="231"/>
      <c r="AC42" s="231"/>
      <c r="AD42" s="231"/>
      <c r="AE42" s="231"/>
      <c r="AF42" s="231"/>
      <c r="AG42" s="231"/>
      <c r="AH42" s="231"/>
      <c r="AI42" s="231"/>
      <c r="AJ42" s="231"/>
      <c r="AK42" s="231"/>
      <c r="AL42" s="231"/>
      <c r="AM42" s="231"/>
      <c r="AN42" s="231"/>
      <c r="AO42" s="231"/>
      <c r="AP42" s="231"/>
      <c r="AQ42" s="231"/>
      <c r="AR42" s="231"/>
      <c r="AS42" s="231"/>
      <c r="AT42" s="231"/>
      <c r="AU42" s="231"/>
      <c r="AV42" s="231"/>
      <c r="AW42" s="231"/>
      <c r="AX42" s="231"/>
      <c r="AY42" s="231"/>
      <c r="AZ42" s="231"/>
      <c r="BA42" s="231"/>
      <c r="BB42" s="231"/>
      <c r="BC42" s="231"/>
      <c r="BD42" s="231"/>
      <c r="BE42" s="231"/>
      <c r="BF42" s="231"/>
      <c r="BG42" s="231"/>
      <c r="BH42" s="231"/>
      <c r="BI42" s="231"/>
      <c r="BJ42" s="231"/>
      <c r="BK42" s="231"/>
      <c r="BL42" s="231"/>
      <c r="BM42" s="231"/>
      <c r="BN42" s="231"/>
      <c r="BO42" s="231"/>
      <c r="BP42" s="231"/>
      <c r="BQ42" s="231"/>
      <c r="BR42" s="231"/>
      <c r="BS42" s="231"/>
      <c r="BT42" s="231"/>
      <c r="BU42" s="231"/>
      <c r="BV42" s="231"/>
    </row>
    <row r="43" spans="1:74" s="135" customFormat="1" ht="15.75" customHeight="1">
      <c r="B43" s="232"/>
      <c r="C43" s="233"/>
      <c r="D43" s="233"/>
      <c r="E43" s="233"/>
      <c r="F43" s="233"/>
      <c r="G43" s="233"/>
      <c r="H43" s="233"/>
      <c r="I43" s="233"/>
      <c r="J43" s="233"/>
      <c r="K43" s="233"/>
      <c r="L43" s="233"/>
      <c r="M43" s="233"/>
      <c r="N43" s="251"/>
      <c r="O43" s="251"/>
      <c r="P43" s="251"/>
      <c r="Q43" s="231"/>
      <c r="R43" s="261"/>
      <c r="S43" s="261"/>
      <c r="T43" s="231"/>
      <c r="U43" s="231"/>
      <c r="V43" s="231"/>
      <c r="W43" s="231"/>
      <c r="X43" s="231"/>
      <c r="Y43" s="231"/>
      <c r="Z43" s="231"/>
      <c r="AA43" s="231"/>
      <c r="AB43" s="231"/>
      <c r="AC43" s="231"/>
      <c r="AD43" s="231"/>
      <c r="AE43" s="231"/>
      <c r="AF43" s="231"/>
      <c r="AG43" s="231"/>
      <c r="AH43" s="231"/>
      <c r="AI43" s="231"/>
      <c r="AJ43" s="231"/>
      <c r="AK43" s="231"/>
      <c r="AL43" s="231"/>
      <c r="AM43" s="231"/>
      <c r="AN43" s="231"/>
      <c r="AO43" s="231"/>
      <c r="AP43" s="231"/>
      <c r="AQ43" s="231"/>
      <c r="AR43" s="231"/>
      <c r="AS43" s="231"/>
      <c r="AT43" s="231"/>
      <c r="AU43" s="231"/>
      <c r="AV43" s="231"/>
      <c r="AW43" s="231"/>
      <c r="AX43" s="231"/>
      <c r="AY43" s="231"/>
      <c r="AZ43" s="231"/>
      <c r="BA43" s="231"/>
      <c r="BB43" s="231"/>
      <c r="BC43" s="231"/>
      <c r="BD43" s="231"/>
      <c r="BE43" s="231"/>
      <c r="BF43" s="231"/>
      <c r="BG43" s="231"/>
      <c r="BH43" s="231"/>
      <c r="BI43" s="231"/>
      <c r="BJ43" s="231"/>
      <c r="BK43" s="231"/>
      <c r="BL43" s="231"/>
      <c r="BM43" s="231"/>
      <c r="BN43" s="231"/>
      <c r="BO43" s="231"/>
      <c r="BP43" s="231"/>
      <c r="BQ43" s="231"/>
      <c r="BR43" s="231"/>
      <c r="BS43" s="231"/>
      <c r="BT43" s="231"/>
      <c r="BU43" s="231"/>
      <c r="BV43" s="231"/>
    </row>
    <row r="44" spans="1:74" s="135" customFormat="1" ht="15.75" customHeight="1">
      <c r="A44" s="748" t="s">
        <v>174</v>
      </c>
      <c r="B44" s="749"/>
      <c r="C44" s="252" t="s">
        <v>47</v>
      </c>
      <c r="D44" s="662" t="s">
        <v>12</v>
      </c>
      <c r="E44" s="663"/>
      <c r="F44" s="664"/>
      <c r="G44" s="662" t="s">
        <v>53</v>
      </c>
      <c r="H44" s="663"/>
      <c r="I44" s="664"/>
      <c r="J44" s="254" t="s">
        <v>54</v>
      </c>
      <c r="K44" s="254" t="s">
        <v>55</v>
      </c>
      <c r="L44" s="254" t="s">
        <v>56</v>
      </c>
      <c r="M44" s="254" t="s">
        <v>11</v>
      </c>
      <c r="N44" s="255" t="s">
        <v>312</v>
      </c>
      <c r="O44" s="757" t="s">
        <v>51</v>
      </c>
      <c r="P44" s="758"/>
      <c r="Q44" s="231"/>
      <c r="R44" s="210"/>
      <c r="S44" s="210"/>
      <c r="T44" s="231"/>
      <c r="U44" s="231"/>
      <c r="V44" s="231"/>
      <c r="W44" s="231"/>
      <c r="X44" s="231"/>
      <c r="Y44" s="231"/>
      <c r="Z44" s="231"/>
      <c r="AA44" s="231"/>
      <c r="AB44" s="231"/>
      <c r="AC44" s="231"/>
      <c r="AD44" s="231"/>
      <c r="AE44" s="231"/>
      <c r="AF44" s="231"/>
      <c r="AG44" s="231"/>
      <c r="AH44" s="231"/>
      <c r="AI44" s="231"/>
    </row>
    <row r="45" spans="1:74" s="135" customFormat="1" ht="20.100000000000001" customHeight="1">
      <c r="A45" s="792">
        <v>2</v>
      </c>
      <c r="B45" s="795" t="s">
        <v>196</v>
      </c>
      <c r="C45" s="256">
        <v>1</v>
      </c>
      <c r="D45" s="237"/>
      <c r="E45" s="238"/>
      <c r="F45" s="239"/>
      <c r="G45" s="237"/>
      <c r="H45" s="238"/>
      <c r="I45" s="239"/>
      <c r="J45" s="257"/>
      <c r="K45" s="258"/>
      <c r="L45" s="257"/>
      <c r="M45" s="259">
        <f t="shared" ref="M45:M49" si="4">L45*J45</f>
        <v>0</v>
      </c>
      <c r="N45" s="260"/>
      <c r="O45" s="759"/>
      <c r="P45" s="760"/>
      <c r="Q45" s="231"/>
      <c r="R45" s="261"/>
      <c r="S45" s="261"/>
      <c r="T45" s="231"/>
      <c r="U45" s="231"/>
      <c r="V45" s="231"/>
      <c r="W45" s="231"/>
      <c r="X45" s="231"/>
      <c r="Y45" s="231"/>
      <c r="Z45" s="231"/>
      <c r="AA45" s="231"/>
      <c r="AB45" s="231"/>
      <c r="AC45" s="231"/>
      <c r="AD45" s="231"/>
      <c r="AE45" s="231"/>
      <c r="AF45" s="231"/>
      <c r="AG45" s="231"/>
      <c r="AH45" s="231"/>
      <c r="AI45" s="231"/>
    </row>
    <row r="46" spans="1:74" s="135" customFormat="1" ht="20.100000000000001" customHeight="1">
      <c r="A46" s="793"/>
      <c r="B46" s="796"/>
      <c r="C46" s="256">
        <v>2</v>
      </c>
      <c r="D46" s="237"/>
      <c r="E46" s="238"/>
      <c r="F46" s="239"/>
      <c r="G46" s="237"/>
      <c r="H46" s="238"/>
      <c r="I46" s="239"/>
      <c r="J46" s="257"/>
      <c r="K46" s="258"/>
      <c r="L46" s="257"/>
      <c r="M46" s="259">
        <f t="shared" si="4"/>
        <v>0</v>
      </c>
      <c r="N46" s="260"/>
      <c r="O46" s="759"/>
      <c r="P46" s="760"/>
      <c r="Q46" s="231"/>
      <c r="R46" s="210"/>
      <c r="S46" s="210"/>
      <c r="T46" s="231"/>
      <c r="U46" s="231"/>
      <c r="V46" s="231"/>
      <c r="W46" s="231"/>
      <c r="X46" s="231"/>
      <c r="Y46" s="231"/>
      <c r="Z46" s="231"/>
      <c r="AA46" s="231"/>
      <c r="AB46" s="231"/>
      <c r="AC46" s="231"/>
      <c r="AD46" s="231"/>
      <c r="AE46" s="231"/>
      <c r="AF46" s="231"/>
      <c r="AG46" s="231"/>
      <c r="AH46" s="231"/>
      <c r="AI46" s="231"/>
    </row>
    <row r="47" spans="1:74" s="135" customFormat="1" ht="20.100000000000001" customHeight="1">
      <c r="A47" s="793"/>
      <c r="B47" s="796"/>
      <c r="C47" s="256">
        <v>3</v>
      </c>
      <c r="D47" s="237"/>
      <c r="E47" s="238"/>
      <c r="F47" s="239"/>
      <c r="G47" s="237"/>
      <c r="H47" s="238"/>
      <c r="I47" s="268"/>
      <c r="J47" s="257"/>
      <c r="K47" s="258"/>
      <c r="L47" s="257"/>
      <c r="M47" s="259">
        <f t="shared" si="4"/>
        <v>0</v>
      </c>
      <c r="N47" s="260"/>
      <c r="O47" s="759"/>
      <c r="P47" s="760"/>
      <c r="Q47" s="231"/>
      <c r="R47" s="261"/>
      <c r="S47" s="261"/>
      <c r="T47" s="231"/>
      <c r="U47" s="231"/>
      <c r="V47" s="231"/>
      <c r="W47" s="231"/>
      <c r="X47" s="231"/>
      <c r="Y47" s="231"/>
      <c r="Z47" s="231"/>
      <c r="AA47" s="231"/>
      <c r="AB47" s="231"/>
      <c r="AC47" s="231"/>
      <c r="AD47" s="231"/>
      <c r="AE47" s="231"/>
      <c r="AF47" s="231"/>
      <c r="AG47" s="231"/>
    </row>
    <row r="48" spans="1:74" s="135" customFormat="1" ht="20.100000000000001" customHeight="1">
      <c r="A48" s="793"/>
      <c r="B48" s="796"/>
      <c r="C48" s="256">
        <v>4</v>
      </c>
      <c r="D48" s="237"/>
      <c r="E48" s="238"/>
      <c r="F48" s="239"/>
      <c r="G48" s="237"/>
      <c r="H48" s="238"/>
      <c r="I48" s="239"/>
      <c r="J48" s="257"/>
      <c r="K48" s="258"/>
      <c r="L48" s="257"/>
      <c r="M48" s="259">
        <f t="shared" si="4"/>
        <v>0</v>
      </c>
      <c r="N48" s="260"/>
      <c r="O48" s="759"/>
      <c r="P48" s="760"/>
      <c r="Q48" s="231"/>
      <c r="R48" s="210"/>
      <c r="S48" s="210"/>
      <c r="T48" s="231"/>
      <c r="U48" s="231"/>
      <c r="V48" s="231"/>
      <c r="W48" s="231"/>
      <c r="X48" s="231"/>
      <c r="Y48" s="231"/>
      <c r="Z48" s="231"/>
      <c r="AA48" s="231"/>
      <c r="AB48" s="231"/>
      <c r="AC48" s="231"/>
      <c r="AD48" s="231"/>
      <c r="AE48" s="231"/>
      <c r="AF48" s="231"/>
      <c r="AG48" s="231"/>
    </row>
    <row r="49" spans="1:35" s="135" customFormat="1" ht="20.100000000000001" customHeight="1" thickBot="1">
      <c r="A49" s="793"/>
      <c r="B49" s="796"/>
      <c r="C49" s="262">
        <v>5</v>
      </c>
      <c r="D49" s="244"/>
      <c r="E49" s="245"/>
      <c r="F49" s="246"/>
      <c r="G49" s="237"/>
      <c r="H49" s="238"/>
      <c r="I49" s="239"/>
      <c r="J49" s="263"/>
      <c r="K49" s="264"/>
      <c r="L49" s="263"/>
      <c r="M49" s="265">
        <f t="shared" si="4"/>
        <v>0</v>
      </c>
      <c r="N49" s="266"/>
      <c r="O49" s="759"/>
      <c r="P49" s="760"/>
      <c r="Q49" s="231"/>
      <c r="R49" s="231"/>
      <c r="S49" s="231"/>
      <c r="T49" s="231"/>
      <c r="U49" s="231"/>
      <c r="V49" s="231"/>
      <c r="W49" s="231"/>
      <c r="X49" s="231"/>
      <c r="Y49" s="231"/>
      <c r="Z49" s="231"/>
      <c r="AA49" s="231"/>
      <c r="AB49" s="231"/>
      <c r="AC49" s="231"/>
      <c r="AD49" s="231"/>
      <c r="AE49" s="231"/>
      <c r="AF49" s="231"/>
      <c r="AG49" s="231"/>
    </row>
    <row r="50" spans="1:35" s="135" customFormat="1" ht="15.75" customHeight="1" thickTop="1">
      <c r="A50" s="794"/>
      <c r="B50" s="797"/>
      <c r="C50" s="665"/>
      <c r="D50" s="666"/>
      <c r="E50" s="666"/>
      <c r="F50" s="666"/>
      <c r="G50" s="666"/>
      <c r="H50" s="666"/>
      <c r="I50" s="800"/>
      <c r="J50" s="249" t="s">
        <v>58</v>
      </c>
      <c r="K50" s="212">
        <f>M50/'生產管理報表 7-1 (週)'!$B$20</f>
        <v>0</v>
      </c>
      <c r="L50" s="249" t="s">
        <v>59</v>
      </c>
      <c r="M50" s="250">
        <f>SUM(M45:M49)</f>
        <v>0</v>
      </c>
      <c r="N50" s="761"/>
      <c r="O50" s="762"/>
      <c r="P50" s="763"/>
      <c r="Q50" s="231"/>
      <c r="R50" s="231"/>
      <c r="S50" s="231"/>
      <c r="T50" s="231"/>
      <c r="U50" s="231"/>
      <c r="V50" s="231"/>
      <c r="W50" s="231"/>
      <c r="X50" s="231"/>
      <c r="Y50" s="231"/>
      <c r="Z50" s="231"/>
      <c r="AA50" s="231"/>
      <c r="AB50" s="231"/>
      <c r="AC50" s="231"/>
      <c r="AD50" s="231"/>
      <c r="AE50" s="231"/>
      <c r="AF50" s="231"/>
      <c r="AG50" s="231"/>
    </row>
    <row r="51" spans="1:35" s="135" customFormat="1" ht="15.75" customHeight="1">
      <c r="B51" s="232"/>
      <c r="C51" s="233"/>
      <c r="D51" s="233"/>
      <c r="E51" s="233"/>
      <c r="F51" s="233"/>
      <c r="G51" s="233"/>
      <c r="H51" s="233"/>
      <c r="I51" s="233"/>
      <c r="J51" s="233"/>
      <c r="K51" s="233"/>
      <c r="L51" s="233"/>
      <c r="M51" s="233"/>
      <c r="N51" s="267"/>
      <c r="O51" s="267"/>
      <c r="P51" s="267"/>
      <c r="Q51" s="231"/>
      <c r="R51" s="231"/>
      <c r="S51" s="231"/>
      <c r="T51" s="231"/>
      <c r="U51" s="231"/>
      <c r="V51" s="231"/>
      <c r="W51" s="231"/>
      <c r="X51" s="231"/>
      <c r="Y51" s="231"/>
      <c r="Z51" s="231"/>
      <c r="AA51" s="231"/>
      <c r="AB51" s="231"/>
      <c r="AC51" s="231"/>
      <c r="AD51" s="231"/>
      <c r="AE51" s="231"/>
      <c r="AF51" s="231"/>
      <c r="AG51" s="231"/>
    </row>
    <row r="52" spans="1:35" s="135" customFormat="1" ht="15.75" customHeight="1">
      <c r="A52" s="748" t="s">
        <v>174</v>
      </c>
      <c r="B52" s="749"/>
      <c r="C52" s="252" t="s">
        <v>47</v>
      </c>
      <c r="D52" s="662" t="s">
        <v>12</v>
      </c>
      <c r="E52" s="663"/>
      <c r="F52" s="664"/>
      <c r="G52" s="662" t="s">
        <v>53</v>
      </c>
      <c r="H52" s="663"/>
      <c r="I52" s="791"/>
      <c r="J52" s="253" t="s">
        <v>54</v>
      </c>
      <c r="K52" s="254" t="s">
        <v>55</v>
      </c>
      <c r="L52" s="254" t="s">
        <v>56</v>
      </c>
      <c r="M52" s="254" t="s">
        <v>11</v>
      </c>
      <c r="N52" s="255" t="s">
        <v>312</v>
      </c>
      <c r="O52" s="755" t="s">
        <v>51</v>
      </c>
      <c r="P52" s="756"/>
      <c r="Q52" s="231"/>
      <c r="R52" s="231"/>
      <c r="S52" s="231"/>
      <c r="T52" s="231"/>
      <c r="U52" s="231"/>
      <c r="V52" s="231"/>
      <c r="W52" s="231"/>
      <c r="X52" s="231"/>
      <c r="Y52" s="231"/>
      <c r="Z52" s="231"/>
      <c r="AA52" s="231"/>
      <c r="AB52" s="231"/>
      <c r="AC52" s="231"/>
      <c r="AD52" s="231"/>
      <c r="AE52" s="231"/>
      <c r="AF52" s="231"/>
      <c r="AG52" s="231"/>
      <c r="AH52" s="231"/>
      <c r="AI52" s="231"/>
    </row>
    <row r="53" spans="1:35" s="135" customFormat="1" ht="50.1" customHeight="1">
      <c r="A53" s="792">
        <v>3</v>
      </c>
      <c r="B53" s="795" t="s">
        <v>400</v>
      </c>
      <c r="C53" s="256">
        <v>1</v>
      </c>
      <c r="D53" s="237" t="s">
        <v>485</v>
      </c>
      <c r="E53" s="238"/>
      <c r="F53" s="239"/>
      <c r="G53" s="246" t="s">
        <v>314</v>
      </c>
      <c r="H53" s="245"/>
      <c r="I53" s="246"/>
      <c r="J53" s="257">
        <v>15.450000000000001</v>
      </c>
      <c r="K53" s="258">
        <v>2.1700940374082879E-3</v>
      </c>
      <c r="L53" s="257">
        <v>126</v>
      </c>
      <c r="M53" s="325">
        <f t="shared" ref="M53:M57" si="5">L53*J53</f>
        <v>1946.7</v>
      </c>
      <c r="N53" s="270"/>
      <c r="O53" s="798" t="s">
        <v>706</v>
      </c>
      <c r="P53" s="799"/>
      <c r="Q53" s="231"/>
      <c r="R53" s="387"/>
      <c r="S53" s="387"/>
      <c r="T53" s="231"/>
      <c r="U53" s="231"/>
      <c r="V53" s="231"/>
      <c r="W53" s="231"/>
      <c r="X53" s="231"/>
      <c r="Y53" s="231"/>
      <c r="Z53" s="231"/>
      <c r="AA53" s="231"/>
      <c r="AB53" s="231"/>
      <c r="AC53" s="231"/>
      <c r="AD53" s="231"/>
      <c r="AE53" s="231"/>
      <c r="AF53" s="231"/>
      <c r="AG53" s="231"/>
      <c r="AH53" s="231"/>
      <c r="AI53" s="231"/>
    </row>
    <row r="54" spans="1:35" s="135" customFormat="1" ht="50.1" customHeight="1">
      <c r="A54" s="793"/>
      <c r="B54" s="796"/>
      <c r="C54" s="256">
        <v>2</v>
      </c>
      <c r="D54" s="237" t="s">
        <v>319</v>
      </c>
      <c r="E54" s="238"/>
      <c r="F54" s="239"/>
      <c r="G54" s="246" t="s">
        <v>423</v>
      </c>
      <c r="H54" s="245"/>
      <c r="I54" s="246"/>
      <c r="J54" s="257">
        <v>2.4499999999999997</v>
      </c>
      <c r="K54" s="258">
        <v>7.367690171269866E-3</v>
      </c>
      <c r="L54" s="257">
        <v>764</v>
      </c>
      <c r="M54" s="325">
        <f t="shared" si="5"/>
        <v>1871.7999999999997</v>
      </c>
      <c r="N54" s="270"/>
      <c r="O54" s="750" t="s">
        <v>433</v>
      </c>
      <c r="P54" s="751"/>
      <c r="Q54" s="231"/>
      <c r="R54" s="387"/>
      <c r="S54" s="393"/>
      <c r="T54" s="231"/>
      <c r="U54" s="231"/>
      <c r="V54" s="231"/>
      <c r="W54" s="231"/>
      <c r="X54" s="231"/>
      <c r="Y54" s="231"/>
      <c r="Z54" s="231"/>
      <c r="AA54" s="231"/>
      <c r="AB54" s="231"/>
      <c r="AC54" s="231"/>
      <c r="AD54" s="231"/>
      <c r="AE54" s="231"/>
      <c r="AF54" s="231"/>
      <c r="AG54" s="231"/>
      <c r="AH54" s="231"/>
      <c r="AI54" s="231"/>
    </row>
    <row r="55" spans="1:35" s="135" customFormat="1" ht="50.1" customHeight="1">
      <c r="A55" s="793"/>
      <c r="B55" s="796"/>
      <c r="C55" s="256">
        <v>3</v>
      </c>
      <c r="D55" s="237" t="s">
        <v>319</v>
      </c>
      <c r="E55" s="238"/>
      <c r="F55" s="239"/>
      <c r="G55" s="246" t="s">
        <v>422</v>
      </c>
      <c r="H55" s="245"/>
      <c r="I55" s="246"/>
      <c r="J55" s="257">
        <v>1.17</v>
      </c>
      <c r="K55" s="258">
        <v>6.2465867187817348E-3</v>
      </c>
      <c r="L55" s="257">
        <v>1384</v>
      </c>
      <c r="M55" s="325">
        <f t="shared" si="5"/>
        <v>1619.28</v>
      </c>
      <c r="N55" s="270"/>
      <c r="O55" s="750" t="s">
        <v>489</v>
      </c>
      <c r="P55" s="751"/>
      <c r="Q55" s="387"/>
      <c r="R55" s="387"/>
      <c r="S55" s="393"/>
      <c r="T55" s="231"/>
      <c r="U55" s="231"/>
      <c r="V55" s="231"/>
      <c r="W55" s="231"/>
      <c r="X55" s="231"/>
      <c r="Y55" s="231"/>
      <c r="Z55" s="231"/>
      <c r="AA55" s="231"/>
      <c r="AB55" s="231"/>
      <c r="AC55" s="231"/>
      <c r="AD55" s="231"/>
      <c r="AE55" s="231"/>
      <c r="AF55" s="231"/>
      <c r="AG55" s="231"/>
      <c r="AH55" s="231"/>
      <c r="AI55" s="231"/>
    </row>
    <row r="56" spans="1:35" s="135" customFormat="1" ht="50.1" customHeight="1">
      <c r="A56" s="793"/>
      <c r="B56" s="796"/>
      <c r="C56" s="256">
        <v>4</v>
      </c>
      <c r="D56" s="237" t="s">
        <v>562</v>
      </c>
      <c r="E56" s="238"/>
      <c r="F56" s="239"/>
      <c r="G56" s="375" t="s">
        <v>561</v>
      </c>
      <c r="H56" s="359"/>
      <c r="I56" s="375"/>
      <c r="J56" s="269">
        <v>625.93999999999994</v>
      </c>
      <c r="K56" s="258">
        <v>1.6049918522097297E-3</v>
      </c>
      <c r="L56" s="257">
        <v>1.96</v>
      </c>
      <c r="M56" s="325">
        <f t="shared" si="5"/>
        <v>1226.8423999999998</v>
      </c>
      <c r="N56" s="270"/>
      <c r="O56" s="750" t="s">
        <v>528</v>
      </c>
      <c r="P56" s="751"/>
      <c r="Q56" s="231"/>
      <c r="R56" s="231"/>
      <c r="S56"/>
      <c r="T56" s="231"/>
      <c r="U56" s="231"/>
      <c r="V56" s="231"/>
      <c r="W56" s="231"/>
      <c r="X56" s="231"/>
      <c r="Y56" s="231"/>
      <c r="Z56" s="231"/>
      <c r="AA56" s="231"/>
      <c r="AB56" s="231"/>
      <c r="AC56" s="231"/>
      <c r="AD56" s="231"/>
      <c r="AE56" s="231"/>
      <c r="AF56" s="231"/>
      <c r="AG56" s="231"/>
      <c r="AH56" s="231"/>
      <c r="AI56" s="231"/>
    </row>
    <row r="57" spans="1:35" s="135" customFormat="1" ht="50.1" customHeight="1" thickBot="1">
      <c r="A57" s="793"/>
      <c r="B57" s="796"/>
      <c r="C57" s="262">
        <v>5</v>
      </c>
      <c r="D57" s="244" t="s">
        <v>436</v>
      </c>
      <c r="E57" s="245"/>
      <c r="F57" s="246"/>
      <c r="G57" s="271" t="s">
        <v>434</v>
      </c>
      <c r="H57" s="245"/>
      <c r="I57" s="271"/>
      <c r="J57" s="272">
        <v>407.74000000000007</v>
      </c>
      <c r="K57" s="264">
        <v>2.3447517860413986E-3</v>
      </c>
      <c r="L57" s="273">
        <v>2.5599999999999996</v>
      </c>
      <c r="M57" s="325">
        <f t="shared" si="5"/>
        <v>1043.8144</v>
      </c>
      <c r="N57" s="270"/>
      <c r="O57" s="750" t="s">
        <v>606</v>
      </c>
      <c r="P57" s="751"/>
      <c r="Q57" s="231"/>
      <c r="R57" s="231"/>
      <c r="S57"/>
      <c r="T57" s="231"/>
      <c r="U57" s="231"/>
      <c r="V57" s="231"/>
      <c r="W57" s="231"/>
      <c r="X57" s="231"/>
      <c r="Y57" s="231"/>
      <c r="Z57" s="231"/>
      <c r="AA57" s="231"/>
      <c r="AB57" s="231"/>
      <c r="AC57" s="231"/>
      <c r="AD57" s="231"/>
      <c r="AE57" s="231"/>
      <c r="AF57" s="231"/>
      <c r="AG57" s="231"/>
      <c r="AH57" s="231"/>
      <c r="AI57" s="231"/>
    </row>
    <row r="58" spans="1:35" s="135" customFormat="1" ht="15.75" customHeight="1" thickTop="1">
      <c r="A58" s="794"/>
      <c r="B58" s="797"/>
      <c r="C58" s="665"/>
      <c r="D58" s="666"/>
      <c r="E58" s="666"/>
      <c r="F58" s="666"/>
      <c r="G58" s="666"/>
      <c r="H58" s="666"/>
      <c r="I58" s="800"/>
      <c r="J58" s="274" t="s">
        <v>58</v>
      </c>
      <c r="K58" s="212">
        <f>M58/'生產管理報表 7-1 (週)'!$B$20</f>
        <v>9.1898589982359016E-2</v>
      </c>
      <c r="L58" s="274" t="s">
        <v>59</v>
      </c>
      <c r="M58" s="326">
        <f>SUM(M53:M57)</f>
        <v>7708.4367999999995</v>
      </c>
      <c r="N58" s="752"/>
      <c r="O58" s="753"/>
      <c r="P58" s="754"/>
      <c r="Q58" s="231"/>
      <c r="R58" s="231"/>
      <c r="S58"/>
      <c r="T58" s="231"/>
      <c r="U58" s="231"/>
      <c r="V58" s="231"/>
      <c r="W58" s="231"/>
      <c r="X58" s="231"/>
      <c r="Y58" s="231"/>
      <c r="Z58" s="231"/>
      <c r="AA58" s="231"/>
      <c r="AB58" s="231"/>
      <c r="AC58" s="231"/>
      <c r="AD58" s="231"/>
      <c r="AE58" s="231"/>
      <c r="AF58" s="231"/>
      <c r="AG58" s="231"/>
      <c r="AH58" s="231"/>
      <c r="AI58" s="231"/>
    </row>
    <row r="59" spans="1:35" s="135" customFormat="1" ht="15.75" customHeight="1">
      <c r="A59" s="809" t="s">
        <v>705</v>
      </c>
      <c r="B59" s="809"/>
      <c r="C59" s="809"/>
      <c r="D59" s="809"/>
      <c r="E59" s="809"/>
      <c r="F59" s="809"/>
      <c r="G59" s="809"/>
      <c r="H59" s="809"/>
      <c r="I59" s="809"/>
      <c r="J59" s="809"/>
      <c r="K59" s="809"/>
      <c r="L59" s="809"/>
      <c r="M59" s="809"/>
      <c r="Q59" s="231"/>
      <c r="R59" s="231"/>
      <c r="S59" s="231"/>
      <c r="T59" s="231"/>
    </row>
    <row r="60" spans="1:35" s="136" customFormat="1" ht="15.75" customHeight="1">
      <c r="A60" s="745"/>
      <c r="B60" s="745"/>
      <c r="C60" s="745"/>
      <c r="D60" s="745"/>
      <c r="E60" s="745"/>
      <c r="F60" s="745"/>
      <c r="G60" s="745"/>
      <c r="H60" s="745"/>
      <c r="I60" s="745"/>
      <c r="J60" s="745"/>
      <c r="K60" s="745"/>
      <c r="L60" s="745"/>
      <c r="M60" s="745"/>
    </row>
    <row r="61" spans="1:35" s="135" customFormat="1" ht="15.75" customHeight="1">
      <c r="A61" s="746" t="s">
        <v>174</v>
      </c>
      <c r="B61" s="739">
        <v>1</v>
      </c>
      <c r="C61" s="740"/>
      <c r="D61" s="739">
        <v>2</v>
      </c>
      <c r="E61" s="740"/>
      <c r="F61" s="739">
        <v>3</v>
      </c>
      <c r="G61" s="740"/>
      <c r="H61" s="748">
        <v>4</v>
      </c>
      <c r="I61" s="749"/>
      <c r="J61" s="748">
        <v>5</v>
      </c>
      <c r="K61" s="749"/>
      <c r="L61" s="748">
        <v>6</v>
      </c>
      <c r="M61" s="749"/>
      <c r="N61" s="748">
        <v>7</v>
      </c>
      <c r="O61" s="749"/>
      <c r="P61" s="352">
        <v>8</v>
      </c>
      <c r="Q61" s="231"/>
      <c r="R61" s="231"/>
      <c r="S61" s="231"/>
      <c r="T61" s="231"/>
    </row>
    <row r="62" spans="1:35" s="135" customFormat="1" ht="15.75" customHeight="1">
      <c r="A62" s="747"/>
      <c r="B62" s="741" t="s">
        <v>427</v>
      </c>
      <c r="C62" s="742"/>
      <c r="D62" s="741" t="s">
        <v>195</v>
      </c>
      <c r="E62" s="742"/>
      <c r="F62" s="741" t="s">
        <v>166</v>
      </c>
      <c r="G62" s="742"/>
      <c r="H62" s="743" t="s">
        <v>406</v>
      </c>
      <c r="I62" s="744"/>
      <c r="J62" s="743" t="s">
        <v>172</v>
      </c>
      <c r="K62" s="744"/>
      <c r="L62" s="743" t="s">
        <v>167</v>
      </c>
      <c r="M62" s="744"/>
      <c r="N62" s="743" t="s">
        <v>173</v>
      </c>
      <c r="O62" s="744"/>
      <c r="P62" s="353" t="s">
        <v>200</v>
      </c>
      <c r="Q62" s="231"/>
      <c r="R62" s="231"/>
      <c r="S62" s="231"/>
      <c r="T62" s="231"/>
    </row>
    <row r="63" spans="1:35" s="135" customFormat="1" ht="15.75" customHeight="1">
      <c r="B63" s="232"/>
      <c r="C63" s="233"/>
      <c r="Q63" s="231"/>
      <c r="R63" s="231"/>
      <c r="S63" s="231"/>
      <c r="T63" s="231"/>
    </row>
    <row r="64" spans="1:35" s="235" customFormat="1" ht="15.75" customHeight="1">
      <c r="A64" s="748" t="s">
        <v>174</v>
      </c>
      <c r="B64" s="749"/>
      <c r="C64" s="234" t="s">
        <v>47</v>
      </c>
      <c r="D64" s="801" t="s">
        <v>12</v>
      </c>
      <c r="E64" s="663"/>
      <c r="F64" s="791"/>
      <c r="G64" s="802" t="s">
        <v>53</v>
      </c>
      <c r="H64" s="803"/>
      <c r="I64" s="804"/>
      <c r="J64" s="234" t="s">
        <v>54</v>
      </c>
      <c r="K64" s="234" t="s">
        <v>55</v>
      </c>
      <c r="L64" s="234" t="s">
        <v>56</v>
      </c>
      <c r="M64" s="234" t="s">
        <v>11</v>
      </c>
      <c r="N64" s="234" t="s">
        <v>312</v>
      </c>
      <c r="O64" s="805" t="s">
        <v>51</v>
      </c>
      <c r="P64" s="806"/>
    </row>
    <row r="65" spans="1:74" s="135" customFormat="1" ht="50.1" customHeight="1">
      <c r="A65" s="792">
        <v>1</v>
      </c>
      <c r="B65" s="795" t="s">
        <v>428</v>
      </c>
      <c r="C65" s="236">
        <v>1</v>
      </c>
      <c r="D65" s="237"/>
      <c r="E65" s="238"/>
      <c r="F65" s="238"/>
      <c r="G65" s="357"/>
      <c r="H65" s="305"/>
      <c r="I65" s="306"/>
      <c r="J65" s="236"/>
      <c r="K65" s="242"/>
      <c r="L65" s="236"/>
      <c r="M65" s="322">
        <f>L65*J65</f>
        <v>0</v>
      </c>
      <c r="N65" s="243"/>
      <c r="O65" s="730"/>
      <c r="P65" s="731"/>
      <c r="Q65" s="231"/>
      <c r="R65" s="385"/>
      <c r="S65" s="261"/>
      <c r="T65" s="231"/>
    </row>
    <row r="66" spans="1:74" s="135" customFormat="1" ht="50.1" customHeight="1">
      <c r="A66" s="793"/>
      <c r="B66" s="796"/>
      <c r="C66" s="236">
        <v>2</v>
      </c>
      <c r="D66" s="237"/>
      <c r="E66" s="238"/>
      <c r="F66" s="238"/>
      <c r="G66" s="357"/>
      <c r="H66" s="305"/>
      <c r="I66" s="306"/>
      <c r="J66" s="236"/>
      <c r="K66" s="242"/>
      <c r="L66" s="236"/>
      <c r="M66" s="322">
        <f t="shared" ref="M66:M69" si="6">L66*J66</f>
        <v>0</v>
      </c>
      <c r="N66" s="243"/>
      <c r="O66" s="807"/>
      <c r="P66" s="799"/>
      <c r="Q66" s="231"/>
      <c r="R66" s="386"/>
      <c r="S66" s="386"/>
      <c r="T66" s="231"/>
      <c r="U66" s="231"/>
      <c r="V66" s="231"/>
      <c r="W66" s="231"/>
      <c r="X66" s="231"/>
      <c r="Y66" s="231"/>
      <c r="Z66" s="231"/>
      <c r="AA66" s="231"/>
      <c r="AB66" s="231"/>
      <c r="AC66" s="231"/>
      <c r="AD66" s="231"/>
      <c r="AE66" s="231"/>
      <c r="AF66" s="231"/>
      <c r="AG66" s="231"/>
      <c r="AH66" s="231"/>
      <c r="AI66" s="231"/>
      <c r="AJ66" s="231"/>
      <c r="AK66" s="231"/>
      <c r="AL66" s="231"/>
      <c r="AM66" s="231"/>
      <c r="AN66" s="231"/>
      <c r="AO66" s="231"/>
      <c r="AP66" s="231"/>
      <c r="AQ66" s="231"/>
      <c r="AR66" s="231"/>
      <c r="AS66" s="231"/>
      <c r="AT66" s="231"/>
      <c r="AU66" s="231"/>
      <c r="AV66" s="231"/>
      <c r="AW66" s="231"/>
      <c r="AX66" s="231"/>
      <c r="AY66" s="231"/>
      <c r="AZ66" s="231"/>
      <c r="BA66" s="231"/>
      <c r="BB66" s="231"/>
      <c r="BC66" s="231"/>
      <c r="BD66" s="231"/>
      <c r="BE66" s="231"/>
      <c r="BF66" s="231"/>
      <c r="BG66" s="231"/>
      <c r="BH66" s="231"/>
      <c r="BI66" s="231"/>
      <c r="BJ66" s="231"/>
      <c r="BK66" s="231"/>
      <c r="BL66" s="231"/>
      <c r="BM66" s="231"/>
      <c r="BN66" s="231"/>
      <c r="BO66" s="231"/>
      <c r="BP66" s="231"/>
      <c r="BQ66" s="231"/>
      <c r="BR66" s="231"/>
      <c r="BS66" s="231"/>
      <c r="BT66" s="231"/>
      <c r="BU66" s="231"/>
      <c r="BV66" s="231"/>
    </row>
    <row r="67" spans="1:74" s="135" customFormat="1" ht="50.1" customHeight="1">
      <c r="A67" s="793"/>
      <c r="B67" s="796"/>
      <c r="C67" s="236">
        <v>3</v>
      </c>
      <c r="D67" s="237"/>
      <c r="E67" s="238"/>
      <c r="F67" s="238"/>
      <c r="G67" s="357"/>
      <c r="H67" s="305"/>
      <c r="I67" s="306"/>
      <c r="J67" s="236"/>
      <c r="K67" s="242"/>
      <c r="L67" s="236"/>
      <c r="M67" s="322">
        <f t="shared" si="6"/>
        <v>0</v>
      </c>
      <c r="N67" s="243"/>
      <c r="O67" s="808"/>
      <c r="P67" s="751"/>
      <c r="Q67" s="231"/>
      <c r="R67" s="385"/>
      <c r="S67" s="385"/>
      <c r="T67" s="231"/>
      <c r="U67" s="231"/>
      <c r="V67" s="231"/>
      <c r="W67" s="231"/>
      <c r="X67" s="231"/>
      <c r="Y67" s="231"/>
      <c r="Z67" s="231"/>
      <c r="AA67" s="231"/>
      <c r="AB67" s="231"/>
      <c r="AC67" s="231"/>
      <c r="AD67" s="231"/>
      <c r="AE67" s="231"/>
      <c r="AF67" s="231"/>
      <c r="AG67" s="231"/>
      <c r="AH67" s="231"/>
      <c r="AI67" s="231"/>
      <c r="AJ67" s="231"/>
      <c r="AK67" s="231"/>
      <c r="AL67" s="231"/>
      <c r="AM67" s="231"/>
      <c r="AN67" s="231"/>
      <c r="AO67" s="231"/>
      <c r="AP67" s="231"/>
      <c r="AQ67" s="231"/>
      <c r="AR67" s="231"/>
      <c r="AS67" s="231"/>
      <c r="AT67" s="231"/>
      <c r="AU67" s="231"/>
      <c r="AV67" s="231"/>
      <c r="AW67" s="231"/>
      <c r="AX67" s="231"/>
      <c r="AY67" s="231"/>
      <c r="AZ67" s="231"/>
      <c r="BA67" s="231"/>
      <c r="BB67" s="231"/>
      <c r="BC67" s="231"/>
      <c r="BD67" s="231"/>
      <c r="BE67" s="231"/>
      <c r="BF67" s="231"/>
      <c r="BG67" s="231"/>
      <c r="BH67" s="231"/>
      <c r="BI67" s="231"/>
      <c r="BJ67" s="231"/>
      <c r="BK67" s="231"/>
      <c r="BL67" s="231"/>
      <c r="BM67" s="231"/>
      <c r="BN67" s="231"/>
      <c r="BO67" s="231"/>
      <c r="BP67" s="231"/>
      <c r="BQ67" s="231"/>
      <c r="BR67" s="231"/>
      <c r="BS67" s="231"/>
      <c r="BT67" s="231"/>
      <c r="BU67" s="231"/>
      <c r="BV67" s="231"/>
    </row>
    <row r="68" spans="1:74" s="135" customFormat="1" ht="50.1" customHeight="1">
      <c r="A68" s="793"/>
      <c r="B68" s="796"/>
      <c r="C68" s="236">
        <v>4</v>
      </c>
      <c r="D68" s="237"/>
      <c r="E68" s="238"/>
      <c r="F68" s="238"/>
      <c r="G68" s="357"/>
      <c r="H68" s="305"/>
      <c r="I68" s="306"/>
      <c r="J68" s="236"/>
      <c r="K68" s="242"/>
      <c r="L68" s="236"/>
      <c r="M68" s="322">
        <f t="shared" si="6"/>
        <v>0</v>
      </c>
      <c r="N68" s="243"/>
      <c r="O68" s="808"/>
      <c r="P68" s="751"/>
      <c r="Q68" s="231"/>
      <c r="R68" s="386"/>
      <c r="S68" s="386"/>
      <c r="T68" s="231"/>
      <c r="U68" s="231"/>
      <c r="V68" s="231"/>
      <c r="W68" s="231"/>
      <c r="X68" s="231"/>
      <c r="Y68" s="231"/>
      <c r="Z68" s="231"/>
      <c r="AA68" s="231"/>
      <c r="AB68" s="231"/>
      <c r="AC68" s="231"/>
      <c r="AD68" s="231"/>
      <c r="AE68" s="231"/>
      <c r="AF68" s="231"/>
      <c r="AG68" s="231"/>
      <c r="AH68" s="231"/>
      <c r="AI68" s="231"/>
      <c r="AJ68" s="231"/>
      <c r="AK68" s="231"/>
      <c r="AL68" s="231"/>
      <c r="AM68" s="231"/>
      <c r="AN68" s="231"/>
      <c r="AO68" s="231"/>
      <c r="AP68" s="231"/>
      <c r="AQ68" s="231"/>
      <c r="AR68" s="231"/>
      <c r="AS68" s="231"/>
      <c r="AT68" s="231"/>
      <c r="AU68" s="231"/>
      <c r="AV68" s="231"/>
      <c r="AW68" s="231"/>
      <c r="AX68" s="231"/>
      <c r="AY68" s="231"/>
      <c r="AZ68" s="231"/>
      <c r="BA68" s="231"/>
      <c r="BB68" s="231"/>
      <c r="BC68" s="231"/>
      <c r="BD68" s="231"/>
      <c r="BE68" s="231"/>
      <c r="BF68" s="231"/>
      <c r="BG68" s="231"/>
      <c r="BH68" s="231"/>
      <c r="BI68" s="231"/>
      <c r="BJ68" s="231"/>
      <c r="BK68" s="231"/>
      <c r="BL68" s="231"/>
      <c r="BM68" s="231"/>
      <c r="BN68" s="231"/>
      <c r="BO68" s="231"/>
      <c r="BP68" s="231"/>
      <c r="BQ68" s="231"/>
      <c r="BR68" s="231"/>
      <c r="BS68" s="231"/>
      <c r="BT68" s="231"/>
      <c r="BU68" s="231"/>
      <c r="BV68" s="231"/>
    </row>
    <row r="69" spans="1:74" s="135" customFormat="1" ht="50.1" customHeight="1" thickBot="1">
      <c r="A69" s="793"/>
      <c r="B69" s="796"/>
      <c r="C69" s="236">
        <v>5</v>
      </c>
      <c r="D69" s="244"/>
      <c r="E69" s="245"/>
      <c r="F69" s="245"/>
      <c r="G69" s="357"/>
      <c r="H69" s="305"/>
      <c r="I69" s="306"/>
      <c r="J69" s="247"/>
      <c r="K69" s="248"/>
      <c r="L69" s="247"/>
      <c r="M69" s="323">
        <f t="shared" si="6"/>
        <v>0</v>
      </c>
      <c r="N69" s="243"/>
      <c r="O69" s="808"/>
      <c r="P69" s="751"/>
      <c r="Q69" s="231"/>
      <c r="R69" s="385"/>
      <c r="S69" s="385"/>
      <c r="T69" s="231"/>
      <c r="U69" s="387"/>
      <c r="V69" s="231"/>
      <c r="W69" s="231"/>
      <c r="X69" s="231"/>
      <c r="Y69" s="231"/>
      <c r="Z69" s="231"/>
      <c r="AA69" s="231"/>
      <c r="AB69" s="231"/>
      <c r="AC69" s="231"/>
      <c r="AD69" s="231"/>
      <c r="AE69" s="231"/>
      <c r="AF69" s="231"/>
      <c r="AG69" s="231"/>
      <c r="AH69" s="231"/>
      <c r="AI69" s="231"/>
      <c r="AJ69" s="231"/>
      <c r="AK69" s="231"/>
      <c r="AL69" s="231"/>
      <c r="AM69" s="231"/>
      <c r="AN69" s="231"/>
      <c r="AO69" s="231"/>
      <c r="AP69" s="231"/>
      <c r="AQ69" s="231"/>
      <c r="AR69" s="231"/>
      <c r="AS69" s="231"/>
      <c r="AT69" s="231"/>
      <c r="AU69" s="231"/>
      <c r="AV69" s="231"/>
      <c r="AW69" s="231"/>
      <c r="AX69" s="231"/>
      <c r="AY69" s="231"/>
      <c r="AZ69" s="231"/>
      <c r="BA69" s="231"/>
      <c r="BB69" s="231"/>
      <c r="BC69" s="231"/>
      <c r="BD69" s="231"/>
      <c r="BE69" s="231"/>
      <c r="BF69" s="231"/>
      <c r="BG69" s="231"/>
      <c r="BH69" s="231"/>
      <c r="BI69" s="231"/>
      <c r="BJ69" s="231"/>
      <c r="BK69" s="231"/>
      <c r="BL69" s="231"/>
      <c r="BM69" s="231"/>
      <c r="BN69" s="231"/>
      <c r="BO69" s="231"/>
      <c r="BP69" s="231"/>
      <c r="BQ69" s="231"/>
      <c r="BR69" s="231"/>
      <c r="BS69" s="231"/>
      <c r="BT69" s="231"/>
      <c r="BU69" s="231"/>
      <c r="BV69" s="231"/>
    </row>
    <row r="70" spans="1:74" s="135" customFormat="1" ht="15.75" customHeight="1" thickTop="1">
      <c r="A70" s="794"/>
      <c r="B70" s="797"/>
      <c r="C70" s="665"/>
      <c r="D70" s="666"/>
      <c r="E70" s="666"/>
      <c r="F70" s="666"/>
      <c r="G70" s="666"/>
      <c r="H70" s="666"/>
      <c r="I70" s="800"/>
      <c r="J70" s="249" t="s">
        <v>58</v>
      </c>
      <c r="K70" s="212">
        <f>M70/'生產管理報表 7-1 (週)'!$B$31</f>
        <v>0</v>
      </c>
      <c r="L70" s="249" t="s">
        <v>59</v>
      </c>
      <c r="M70" s="324">
        <f>SUM(M65:M69)</f>
        <v>0</v>
      </c>
      <c r="N70" s="766"/>
      <c r="O70" s="767"/>
      <c r="P70" s="768"/>
      <c r="Q70" s="231"/>
      <c r="R70" s="210"/>
      <c r="S70" s="210"/>
      <c r="T70" s="231"/>
      <c r="U70" s="231"/>
      <c r="V70" s="231"/>
      <c r="W70" s="231"/>
      <c r="X70" s="231"/>
      <c r="Y70" s="231"/>
      <c r="Z70" s="231"/>
      <c r="AA70" s="231"/>
      <c r="AB70" s="231"/>
      <c r="AC70" s="231"/>
      <c r="AD70" s="231"/>
      <c r="AE70" s="231"/>
      <c r="AF70" s="231"/>
      <c r="AG70" s="231"/>
      <c r="AH70" s="231"/>
      <c r="AI70" s="231"/>
      <c r="AJ70" s="231"/>
      <c r="AK70" s="231"/>
      <c r="AL70" s="231"/>
      <c r="AM70" s="231"/>
      <c r="AN70" s="231"/>
      <c r="AO70" s="231"/>
      <c r="AP70" s="231"/>
      <c r="AQ70" s="231"/>
      <c r="AR70" s="231"/>
      <c r="AS70" s="231"/>
      <c r="AT70" s="231"/>
      <c r="AU70" s="231"/>
      <c r="AV70" s="231"/>
      <c r="AW70" s="231"/>
      <c r="AX70" s="231"/>
      <c r="AY70" s="231"/>
      <c r="AZ70" s="231"/>
      <c r="BA70" s="231"/>
      <c r="BB70" s="231"/>
      <c r="BC70" s="231"/>
      <c r="BD70" s="231"/>
      <c r="BE70" s="231"/>
      <c r="BF70" s="231"/>
      <c r="BG70" s="231"/>
      <c r="BH70" s="231"/>
      <c r="BI70" s="231"/>
      <c r="BJ70" s="231"/>
      <c r="BK70" s="231"/>
      <c r="BL70" s="231"/>
      <c r="BM70" s="231"/>
      <c r="BN70" s="231"/>
      <c r="BO70" s="231"/>
      <c r="BP70" s="231"/>
      <c r="BQ70" s="231"/>
      <c r="BR70" s="231"/>
      <c r="BS70" s="231"/>
      <c r="BT70" s="231"/>
      <c r="BU70" s="231"/>
      <c r="BV70" s="231"/>
    </row>
    <row r="71" spans="1:74" s="135" customFormat="1" ht="15.75" customHeight="1">
      <c r="B71" s="232"/>
      <c r="C71" s="233"/>
      <c r="D71" s="233"/>
      <c r="E71" s="233"/>
      <c r="F71" s="233"/>
      <c r="G71" s="233"/>
      <c r="H71" s="233"/>
      <c r="I71" s="233"/>
      <c r="J71" s="233"/>
      <c r="K71" s="233"/>
      <c r="L71" s="233"/>
      <c r="M71" s="233"/>
      <c r="N71" s="251"/>
      <c r="O71" s="251"/>
      <c r="P71" s="251"/>
      <c r="Q71" s="231"/>
      <c r="R71" s="261"/>
      <c r="S71" s="261"/>
      <c r="T71" s="231"/>
      <c r="U71" s="231"/>
      <c r="V71" s="231"/>
      <c r="W71" s="231"/>
      <c r="X71" s="231"/>
      <c r="Y71" s="231"/>
      <c r="Z71" s="231"/>
      <c r="AA71" s="231"/>
      <c r="AB71" s="231"/>
      <c r="AC71" s="231"/>
      <c r="AD71" s="231"/>
      <c r="AE71" s="231"/>
      <c r="AF71" s="231"/>
      <c r="AG71" s="231"/>
      <c r="AH71" s="231"/>
      <c r="AI71" s="231"/>
      <c r="AJ71" s="231"/>
      <c r="AK71" s="231"/>
      <c r="AL71" s="231"/>
      <c r="AM71" s="231"/>
      <c r="AN71" s="231"/>
      <c r="AO71" s="231"/>
      <c r="AP71" s="231"/>
      <c r="AQ71" s="231"/>
      <c r="AR71" s="231"/>
      <c r="AS71" s="231"/>
      <c r="AT71" s="231"/>
      <c r="AU71" s="231"/>
      <c r="AV71" s="231"/>
      <c r="AW71" s="231"/>
      <c r="AX71" s="231"/>
      <c r="AY71" s="231"/>
      <c r="AZ71" s="231"/>
      <c r="BA71" s="231"/>
      <c r="BB71" s="231"/>
      <c r="BC71" s="231"/>
      <c r="BD71" s="231"/>
      <c r="BE71" s="231"/>
      <c r="BF71" s="231"/>
      <c r="BG71" s="231"/>
      <c r="BH71" s="231"/>
      <c r="BI71" s="231"/>
      <c r="BJ71" s="231"/>
      <c r="BK71" s="231"/>
      <c r="BL71" s="231"/>
      <c r="BM71" s="231"/>
      <c r="BN71" s="231"/>
      <c r="BO71" s="231"/>
      <c r="BP71" s="231"/>
      <c r="BQ71" s="231"/>
      <c r="BR71" s="231"/>
      <c r="BS71" s="231"/>
      <c r="BT71" s="231"/>
      <c r="BU71" s="231"/>
      <c r="BV71" s="231"/>
    </row>
    <row r="72" spans="1:74" s="135" customFormat="1" ht="15.75" customHeight="1">
      <c r="A72" s="748" t="s">
        <v>174</v>
      </c>
      <c r="B72" s="749"/>
      <c r="C72" s="252" t="s">
        <v>47</v>
      </c>
      <c r="D72" s="662" t="s">
        <v>12</v>
      </c>
      <c r="E72" s="663"/>
      <c r="F72" s="664"/>
      <c r="G72" s="662" t="s">
        <v>53</v>
      </c>
      <c r="H72" s="663"/>
      <c r="I72" s="664"/>
      <c r="J72" s="254" t="s">
        <v>54</v>
      </c>
      <c r="K72" s="254" t="s">
        <v>55</v>
      </c>
      <c r="L72" s="254" t="s">
        <v>56</v>
      </c>
      <c r="M72" s="254" t="s">
        <v>11</v>
      </c>
      <c r="N72" s="255" t="s">
        <v>312</v>
      </c>
      <c r="O72" s="757" t="s">
        <v>51</v>
      </c>
      <c r="P72" s="758"/>
      <c r="Q72" s="231"/>
      <c r="R72" s="210"/>
      <c r="S72" s="210"/>
      <c r="T72" s="231"/>
      <c r="U72" s="231"/>
      <c r="V72" s="231"/>
      <c r="W72" s="231"/>
      <c r="X72" s="231"/>
      <c r="Y72" s="231"/>
      <c r="Z72" s="231"/>
      <c r="AA72" s="231"/>
      <c r="AB72" s="231"/>
      <c r="AC72" s="231"/>
      <c r="AD72" s="231"/>
      <c r="AE72" s="231"/>
      <c r="AF72" s="231"/>
      <c r="AG72" s="231"/>
      <c r="AH72" s="231"/>
      <c r="AI72" s="231"/>
    </row>
    <row r="73" spans="1:74" s="135" customFormat="1" ht="20.100000000000001" customHeight="1">
      <c r="A73" s="792">
        <v>2</v>
      </c>
      <c r="B73" s="795" t="s">
        <v>196</v>
      </c>
      <c r="C73" s="256">
        <v>1</v>
      </c>
      <c r="D73" s="237"/>
      <c r="E73" s="238"/>
      <c r="F73" s="239"/>
      <c r="G73" s="237"/>
      <c r="H73" s="238"/>
      <c r="I73" s="239"/>
      <c r="J73" s="257"/>
      <c r="K73" s="258"/>
      <c r="L73" s="257"/>
      <c r="M73" s="259">
        <f t="shared" ref="M73:M77" si="7">L73*J73</f>
        <v>0</v>
      </c>
      <c r="N73" s="260"/>
      <c r="O73" s="759"/>
      <c r="P73" s="760"/>
      <c r="Q73" s="231"/>
      <c r="R73" s="261"/>
      <c r="S73" s="261"/>
      <c r="T73" s="231"/>
      <c r="U73" s="231"/>
      <c r="V73" s="231"/>
      <c r="W73" s="231"/>
      <c r="X73" s="231"/>
      <c r="Y73" s="231"/>
      <c r="Z73" s="231"/>
      <c r="AA73" s="231"/>
      <c r="AB73" s="231"/>
      <c r="AC73" s="231"/>
      <c r="AD73" s="231"/>
      <c r="AE73" s="231"/>
      <c r="AF73" s="231"/>
      <c r="AG73" s="231"/>
      <c r="AH73" s="231"/>
      <c r="AI73" s="231"/>
    </row>
    <row r="74" spans="1:74" s="135" customFormat="1" ht="20.100000000000001" customHeight="1">
      <c r="A74" s="793"/>
      <c r="B74" s="796"/>
      <c r="C74" s="256">
        <v>2</v>
      </c>
      <c r="D74" s="237"/>
      <c r="E74" s="238"/>
      <c r="F74" s="239"/>
      <c r="G74" s="237"/>
      <c r="H74" s="238"/>
      <c r="I74" s="239"/>
      <c r="J74" s="257"/>
      <c r="K74" s="258"/>
      <c r="L74" s="257"/>
      <c r="M74" s="259">
        <f t="shared" si="7"/>
        <v>0</v>
      </c>
      <c r="N74" s="260"/>
      <c r="O74" s="759"/>
      <c r="P74" s="760"/>
      <c r="Q74" s="231"/>
      <c r="R74" s="210"/>
      <c r="S74" s="210"/>
      <c r="T74" s="231"/>
      <c r="U74" s="231"/>
      <c r="V74" s="231"/>
      <c r="W74" s="231"/>
      <c r="X74" s="231"/>
      <c r="Y74" s="231"/>
      <c r="Z74" s="231"/>
      <c r="AA74" s="231"/>
      <c r="AB74" s="231"/>
      <c r="AC74" s="231"/>
      <c r="AD74" s="231"/>
      <c r="AE74" s="231"/>
      <c r="AF74" s="231"/>
      <c r="AG74" s="231"/>
      <c r="AH74" s="231"/>
      <c r="AI74" s="231"/>
    </row>
    <row r="75" spans="1:74" s="135" customFormat="1" ht="20.100000000000001" customHeight="1">
      <c r="A75" s="793"/>
      <c r="B75" s="796"/>
      <c r="C75" s="256">
        <v>3</v>
      </c>
      <c r="D75" s="237"/>
      <c r="E75" s="238"/>
      <c r="F75" s="239"/>
      <c r="G75" s="237"/>
      <c r="H75" s="238"/>
      <c r="I75" s="268"/>
      <c r="J75" s="257"/>
      <c r="K75" s="258"/>
      <c r="L75" s="257"/>
      <c r="M75" s="259">
        <f t="shared" si="7"/>
        <v>0</v>
      </c>
      <c r="N75" s="260"/>
      <c r="O75" s="759"/>
      <c r="P75" s="760"/>
      <c r="Q75" s="231"/>
      <c r="R75" s="261"/>
      <c r="S75" s="261"/>
      <c r="T75" s="231"/>
      <c r="U75" s="231"/>
      <c r="V75" s="231"/>
      <c r="W75" s="231"/>
      <c r="X75" s="231"/>
      <c r="Y75" s="231"/>
      <c r="Z75" s="231"/>
      <c r="AA75" s="231"/>
      <c r="AB75" s="231"/>
      <c r="AC75" s="231"/>
      <c r="AD75" s="231"/>
      <c r="AE75" s="231"/>
      <c r="AF75" s="231"/>
      <c r="AG75" s="231"/>
    </row>
    <row r="76" spans="1:74" s="135" customFormat="1" ht="20.100000000000001" customHeight="1">
      <c r="A76" s="793"/>
      <c r="B76" s="796"/>
      <c r="C76" s="256">
        <v>4</v>
      </c>
      <c r="D76" s="237"/>
      <c r="E76" s="238"/>
      <c r="F76" s="239"/>
      <c r="G76" s="237"/>
      <c r="H76" s="238"/>
      <c r="I76" s="239"/>
      <c r="J76" s="257"/>
      <c r="K76" s="258"/>
      <c r="L76" s="257"/>
      <c r="M76" s="259">
        <f t="shared" si="7"/>
        <v>0</v>
      </c>
      <c r="N76" s="260"/>
      <c r="O76" s="759"/>
      <c r="P76" s="760"/>
      <c r="Q76" s="231"/>
      <c r="R76" s="210"/>
      <c r="S76" s="210"/>
      <c r="T76" s="231"/>
      <c r="U76" s="231"/>
      <c r="V76" s="231"/>
      <c r="W76" s="231"/>
      <c r="X76" s="231"/>
      <c r="Y76" s="231"/>
      <c r="Z76" s="231"/>
      <c r="AA76" s="231"/>
      <c r="AB76" s="231"/>
      <c r="AC76" s="231"/>
      <c r="AD76" s="231"/>
      <c r="AE76" s="231"/>
      <c r="AF76" s="231"/>
      <c r="AG76" s="231"/>
    </row>
    <row r="77" spans="1:74" s="135" customFormat="1" ht="20.100000000000001" customHeight="1" thickBot="1">
      <c r="A77" s="793"/>
      <c r="B77" s="796"/>
      <c r="C77" s="262">
        <v>5</v>
      </c>
      <c r="D77" s="244"/>
      <c r="E77" s="245"/>
      <c r="F77" s="246"/>
      <c r="G77" s="237"/>
      <c r="H77" s="238"/>
      <c r="I77" s="239"/>
      <c r="J77" s="263"/>
      <c r="K77" s="264"/>
      <c r="L77" s="263"/>
      <c r="M77" s="265">
        <f t="shared" si="7"/>
        <v>0</v>
      </c>
      <c r="N77" s="266"/>
      <c r="O77" s="759"/>
      <c r="P77" s="760"/>
      <c r="Q77" s="231"/>
      <c r="R77" s="231"/>
      <c r="S77" s="231"/>
      <c r="T77" s="231"/>
      <c r="U77" s="231"/>
      <c r="V77" s="231"/>
      <c r="W77" s="231"/>
      <c r="X77" s="231"/>
      <c r="Y77" s="231"/>
      <c r="Z77" s="231"/>
      <c r="AA77" s="231"/>
      <c r="AB77" s="231"/>
      <c r="AC77" s="231"/>
      <c r="AD77" s="231"/>
      <c r="AE77" s="231"/>
      <c r="AF77" s="231"/>
      <c r="AG77" s="231"/>
    </row>
    <row r="78" spans="1:74" s="135" customFormat="1" ht="15.75" customHeight="1" thickTop="1">
      <c r="A78" s="794"/>
      <c r="B78" s="797"/>
      <c r="C78" s="665"/>
      <c r="D78" s="666"/>
      <c r="E78" s="666"/>
      <c r="F78" s="666"/>
      <c r="G78" s="666"/>
      <c r="H78" s="666"/>
      <c r="I78" s="800"/>
      <c r="J78" s="249" t="s">
        <v>58</v>
      </c>
      <c r="K78" s="212">
        <f>M78/'生產管理報表 7-1 (週)'!$B$31</f>
        <v>0</v>
      </c>
      <c r="L78" s="249" t="s">
        <v>59</v>
      </c>
      <c r="M78" s="250">
        <f>SUM(M73:M77)</f>
        <v>0</v>
      </c>
      <c r="N78" s="761"/>
      <c r="O78" s="762"/>
      <c r="P78" s="763"/>
      <c r="Q78" s="231"/>
      <c r="R78" s="231"/>
      <c r="S78" s="231"/>
      <c r="T78" s="231"/>
      <c r="U78" s="231"/>
      <c r="V78" s="231"/>
      <c r="W78" s="231"/>
      <c r="X78" s="231"/>
      <c r="Y78" s="231"/>
      <c r="Z78" s="231"/>
      <c r="AA78" s="231"/>
      <c r="AB78" s="231"/>
      <c r="AC78" s="231"/>
      <c r="AD78" s="231"/>
      <c r="AE78" s="231"/>
      <c r="AF78" s="231"/>
      <c r="AG78" s="231"/>
    </row>
    <row r="79" spans="1:74" s="135" customFormat="1" ht="15.75" customHeight="1">
      <c r="B79" s="232"/>
      <c r="C79" s="233"/>
      <c r="D79" s="233"/>
      <c r="E79" s="233"/>
      <c r="F79" s="233"/>
      <c r="G79" s="233"/>
      <c r="H79" s="233"/>
      <c r="I79" s="233"/>
      <c r="J79" s="233"/>
      <c r="K79" s="233"/>
      <c r="L79" s="233"/>
      <c r="M79" s="233"/>
      <c r="N79" s="267"/>
      <c r="O79" s="267"/>
      <c r="P79" s="267"/>
      <c r="Q79" s="231"/>
      <c r="R79" s="231"/>
      <c r="S79" s="231"/>
      <c r="T79" s="231"/>
      <c r="U79" s="231"/>
      <c r="V79" s="231"/>
      <c r="W79" s="231"/>
      <c r="X79" s="231"/>
      <c r="Y79" s="231"/>
      <c r="Z79" s="231"/>
      <c r="AA79" s="231"/>
      <c r="AB79" s="231"/>
      <c r="AC79" s="231"/>
      <c r="AD79" s="231"/>
      <c r="AE79" s="231"/>
      <c r="AF79" s="231"/>
      <c r="AG79" s="231"/>
    </row>
    <row r="80" spans="1:74" s="135" customFormat="1" ht="15.75" customHeight="1">
      <c r="A80" s="748" t="s">
        <v>174</v>
      </c>
      <c r="B80" s="749"/>
      <c r="C80" s="252" t="s">
        <v>47</v>
      </c>
      <c r="D80" s="662" t="s">
        <v>12</v>
      </c>
      <c r="E80" s="663"/>
      <c r="F80" s="664"/>
      <c r="G80" s="662" t="s">
        <v>53</v>
      </c>
      <c r="H80" s="663"/>
      <c r="I80" s="791"/>
      <c r="J80" s="253" t="s">
        <v>54</v>
      </c>
      <c r="K80" s="254" t="s">
        <v>55</v>
      </c>
      <c r="L80" s="254" t="s">
        <v>56</v>
      </c>
      <c r="M80" s="254" t="s">
        <v>11</v>
      </c>
      <c r="N80" s="255" t="s">
        <v>312</v>
      </c>
      <c r="O80" s="755" t="s">
        <v>51</v>
      </c>
      <c r="P80" s="756"/>
      <c r="Q80" s="231"/>
      <c r="R80" s="231"/>
      <c r="S80" s="231"/>
      <c r="T80" s="231"/>
      <c r="U80" s="231"/>
      <c r="V80" s="231"/>
      <c r="W80" s="231"/>
      <c r="X80" s="231"/>
      <c r="Y80" s="231"/>
      <c r="Z80" s="231"/>
      <c r="AA80" s="231"/>
      <c r="AB80" s="231"/>
      <c r="AC80" s="231"/>
      <c r="AD80" s="231"/>
      <c r="AE80" s="231"/>
      <c r="AF80" s="231"/>
      <c r="AG80" s="231"/>
      <c r="AH80" s="231"/>
      <c r="AI80" s="231"/>
    </row>
    <row r="81" spans="1:35" s="135" customFormat="1" ht="50.1" customHeight="1">
      <c r="A81" s="792">
        <v>3</v>
      </c>
      <c r="B81" s="795" t="s">
        <v>400</v>
      </c>
      <c r="C81" s="256">
        <v>1</v>
      </c>
      <c r="D81" s="237"/>
      <c r="E81" s="238"/>
      <c r="F81" s="239"/>
      <c r="G81" s="246"/>
      <c r="H81" s="245"/>
      <c r="I81" s="246"/>
      <c r="J81" s="257"/>
      <c r="K81" s="258"/>
      <c r="L81" s="257"/>
      <c r="M81" s="325">
        <f t="shared" ref="M81:M85" si="8">L81*J81</f>
        <v>0</v>
      </c>
      <c r="N81" s="270"/>
      <c r="O81" s="798"/>
      <c r="P81" s="799"/>
      <c r="Q81" s="231"/>
      <c r="R81" s="387"/>
      <c r="S81" s="387"/>
      <c r="T81" s="231"/>
      <c r="U81" s="231"/>
      <c r="V81" s="231"/>
      <c r="W81" s="231"/>
      <c r="X81" s="231"/>
      <c r="Y81" s="231"/>
      <c r="Z81" s="231"/>
      <c r="AA81" s="231"/>
      <c r="AB81" s="231"/>
      <c r="AC81" s="231"/>
      <c r="AD81" s="231"/>
      <c r="AE81" s="231"/>
      <c r="AF81" s="231"/>
      <c r="AG81" s="231"/>
      <c r="AH81" s="231"/>
      <c r="AI81" s="231"/>
    </row>
    <row r="82" spans="1:35" s="135" customFormat="1" ht="50.1" customHeight="1">
      <c r="A82" s="793"/>
      <c r="B82" s="796"/>
      <c r="C82" s="256">
        <v>2</v>
      </c>
      <c r="D82" s="237"/>
      <c r="E82" s="238"/>
      <c r="F82" s="239"/>
      <c r="G82" s="246"/>
      <c r="H82" s="245"/>
      <c r="I82" s="246"/>
      <c r="J82" s="257"/>
      <c r="K82" s="258"/>
      <c r="L82" s="257"/>
      <c r="M82" s="325">
        <f t="shared" si="8"/>
        <v>0</v>
      </c>
      <c r="N82" s="270"/>
      <c r="O82" s="750"/>
      <c r="P82" s="751"/>
      <c r="Q82" s="231"/>
      <c r="R82" s="387"/>
      <c r="S82" s="393"/>
      <c r="T82" s="231"/>
      <c r="U82" s="231"/>
      <c r="V82" s="231"/>
      <c r="W82" s="231"/>
      <c r="X82" s="231"/>
      <c r="Y82" s="231"/>
      <c r="Z82" s="231"/>
      <c r="AA82" s="231"/>
      <c r="AB82" s="231"/>
      <c r="AC82" s="231"/>
      <c r="AD82" s="231"/>
      <c r="AE82" s="231"/>
      <c r="AF82" s="231"/>
      <c r="AG82" s="231"/>
      <c r="AH82" s="231"/>
      <c r="AI82" s="231"/>
    </row>
    <row r="83" spans="1:35" s="135" customFormat="1" ht="50.1" customHeight="1">
      <c r="A83" s="793"/>
      <c r="B83" s="796"/>
      <c r="C83" s="256">
        <v>3</v>
      </c>
      <c r="D83" s="237"/>
      <c r="E83" s="238"/>
      <c r="F83" s="239"/>
      <c r="G83" s="246"/>
      <c r="H83" s="245"/>
      <c r="I83" s="246"/>
      <c r="J83" s="257"/>
      <c r="K83" s="258"/>
      <c r="L83" s="257"/>
      <c r="M83" s="325">
        <f t="shared" si="8"/>
        <v>0</v>
      </c>
      <c r="N83" s="270"/>
      <c r="O83" s="750"/>
      <c r="P83" s="751"/>
      <c r="Q83" s="387"/>
      <c r="R83" s="387"/>
      <c r="S83" s="393"/>
      <c r="T83" s="231"/>
      <c r="U83" s="231"/>
      <c r="V83" s="231"/>
      <c r="W83" s="231"/>
      <c r="X83" s="231"/>
      <c r="Y83" s="231"/>
      <c r="Z83" s="231"/>
      <c r="AA83" s="231"/>
      <c r="AB83" s="231"/>
      <c r="AC83" s="231"/>
      <c r="AD83" s="231"/>
      <c r="AE83" s="231"/>
      <c r="AF83" s="231"/>
      <c r="AG83" s="231"/>
      <c r="AH83" s="231"/>
      <c r="AI83" s="231"/>
    </row>
    <row r="84" spans="1:35" s="135" customFormat="1" ht="50.1" customHeight="1">
      <c r="A84" s="793"/>
      <c r="B84" s="796"/>
      <c r="C84" s="256">
        <v>4</v>
      </c>
      <c r="D84" s="237"/>
      <c r="E84" s="238"/>
      <c r="F84" s="239"/>
      <c r="G84" s="358"/>
      <c r="H84" s="359"/>
      <c r="I84" s="375"/>
      <c r="J84" s="269"/>
      <c r="K84" s="258"/>
      <c r="L84" s="257"/>
      <c r="M84" s="325">
        <f t="shared" si="8"/>
        <v>0</v>
      </c>
      <c r="N84" s="270"/>
      <c r="O84" s="750"/>
      <c r="P84" s="751"/>
      <c r="Q84" s="231"/>
      <c r="R84" s="231"/>
      <c r="S84"/>
      <c r="T84" s="231"/>
      <c r="U84" s="231"/>
      <c r="V84" s="231"/>
      <c r="W84" s="231"/>
      <c r="X84" s="231"/>
      <c r="Y84" s="231"/>
      <c r="Z84" s="231"/>
      <c r="AA84" s="231"/>
      <c r="AB84" s="231"/>
      <c r="AC84" s="231"/>
      <c r="AD84" s="231"/>
      <c r="AE84" s="231"/>
      <c r="AF84" s="231"/>
      <c r="AG84" s="231"/>
      <c r="AH84" s="231"/>
      <c r="AI84" s="231"/>
    </row>
    <row r="85" spans="1:35" s="135" customFormat="1" ht="50.1" customHeight="1" thickBot="1">
      <c r="A85" s="793"/>
      <c r="B85" s="796"/>
      <c r="C85" s="262">
        <v>5</v>
      </c>
      <c r="D85" s="244"/>
      <c r="E85" s="245"/>
      <c r="F85" s="246"/>
      <c r="G85" s="244"/>
      <c r="H85" s="245"/>
      <c r="I85" s="271"/>
      <c r="J85" s="272"/>
      <c r="K85" s="264"/>
      <c r="L85" s="273"/>
      <c r="M85" s="325">
        <f t="shared" si="8"/>
        <v>0</v>
      </c>
      <c r="N85" s="270"/>
      <c r="O85" s="750"/>
      <c r="P85" s="751"/>
      <c r="Q85" s="231"/>
      <c r="R85" s="231"/>
      <c r="S85"/>
      <c r="T85" s="231"/>
      <c r="U85" s="231"/>
      <c r="V85" s="231"/>
      <c r="W85" s="231"/>
      <c r="X85" s="231"/>
      <c r="Y85" s="231"/>
      <c r="Z85" s="231"/>
      <c r="AA85" s="231"/>
      <c r="AB85" s="231"/>
      <c r="AC85" s="231"/>
      <c r="AD85" s="231"/>
      <c r="AE85" s="231"/>
      <c r="AF85" s="231"/>
      <c r="AG85" s="231"/>
      <c r="AH85" s="231"/>
      <c r="AI85" s="231"/>
    </row>
    <row r="86" spans="1:35" s="135" customFormat="1" ht="15.75" customHeight="1" thickTop="1">
      <c r="A86" s="794"/>
      <c r="B86" s="797"/>
      <c r="C86" s="665"/>
      <c r="D86" s="666"/>
      <c r="E86" s="666"/>
      <c r="F86" s="666"/>
      <c r="G86" s="666"/>
      <c r="H86" s="666"/>
      <c r="I86" s="800"/>
      <c r="J86" s="274" t="s">
        <v>58</v>
      </c>
      <c r="K86" s="212">
        <f>M86/'生產管理報表 7-1 (週)'!$B$31</f>
        <v>0</v>
      </c>
      <c r="L86" s="274" t="s">
        <v>59</v>
      </c>
      <c r="M86" s="326">
        <f>SUM(M81:M85)</f>
        <v>0</v>
      </c>
      <c r="N86" s="752"/>
      <c r="O86" s="753"/>
      <c r="P86" s="754"/>
      <c r="Q86" s="231"/>
      <c r="R86" s="231"/>
      <c r="S86"/>
      <c r="T86" s="231"/>
      <c r="U86" s="231"/>
      <c r="V86" s="231"/>
      <c r="W86" s="231"/>
      <c r="X86" s="231"/>
      <c r="Y86" s="231"/>
      <c r="Z86" s="231"/>
      <c r="AA86" s="231"/>
      <c r="AB86" s="231"/>
      <c r="AC86" s="231"/>
      <c r="AD86" s="231"/>
      <c r="AE86" s="231"/>
      <c r="AF86" s="231"/>
      <c r="AG86" s="231"/>
      <c r="AH86" s="231"/>
      <c r="AI86" s="231"/>
    </row>
  </sheetData>
  <mergeCells count="166"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L5:M5"/>
    <mergeCell ref="N5:O5"/>
    <mergeCell ref="B6:C6"/>
    <mergeCell ref="D6:E6"/>
    <mergeCell ref="F6:G6"/>
    <mergeCell ref="H6:I6"/>
    <mergeCell ref="J6:K6"/>
    <mergeCell ref="L6:M6"/>
    <mergeCell ref="N6:O6"/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O84:P84"/>
    <mergeCell ref="O85:P85"/>
    <mergeCell ref="C86:I86"/>
    <mergeCell ref="N86:P86"/>
    <mergeCell ref="A72:B72"/>
    <mergeCell ref="D72:F72"/>
    <mergeCell ref="G72:I72"/>
    <mergeCell ref="O72:P72"/>
    <mergeCell ref="A73:A78"/>
    <mergeCell ref="B73:B78"/>
    <mergeCell ref="O73:P73"/>
    <mergeCell ref="O74:P74"/>
    <mergeCell ref="O75:P75"/>
    <mergeCell ref="O76:P76"/>
    <mergeCell ref="O77:P77"/>
    <mergeCell ref="C78:I78"/>
    <mergeCell ref="N78:P78"/>
    <mergeCell ref="A64:B64"/>
    <mergeCell ref="D64:F64"/>
    <mergeCell ref="G64:I64"/>
    <mergeCell ref="O64:P64"/>
    <mergeCell ref="A65:A70"/>
    <mergeCell ref="B65:B70"/>
    <mergeCell ref="O65:P65"/>
    <mergeCell ref="O66:P66"/>
    <mergeCell ref="O67:P67"/>
    <mergeCell ref="O68:P68"/>
    <mergeCell ref="O69:P69"/>
    <mergeCell ref="C70:I70"/>
    <mergeCell ref="N70:P70"/>
    <mergeCell ref="A1:P2"/>
    <mergeCell ref="B62:C62"/>
    <mergeCell ref="D62:E62"/>
    <mergeCell ref="F62:G62"/>
    <mergeCell ref="H62:I62"/>
    <mergeCell ref="J62:K62"/>
    <mergeCell ref="L62:M62"/>
    <mergeCell ref="N62:O62"/>
    <mergeCell ref="A59:M60"/>
    <mergeCell ref="A61:A62"/>
    <mergeCell ref="B61:C61"/>
    <mergeCell ref="D61:E61"/>
    <mergeCell ref="F61:G61"/>
    <mergeCell ref="H61:I61"/>
    <mergeCell ref="J61:K61"/>
    <mergeCell ref="L61:M61"/>
    <mergeCell ref="N61:O61"/>
    <mergeCell ref="A3:M4"/>
    <mergeCell ref="A5:A6"/>
    <mergeCell ref="B5:C5"/>
    <mergeCell ref="D5:E5"/>
    <mergeCell ref="F5:G5"/>
    <mergeCell ref="H5:I5"/>
    <mergeCell ref="J5:K5"/>
    <mergeCell ref="A31:M32"/>
    <mergeCell ref="A33:A34"/>
    <mergeCell ref="B33:C33"/>
    <mergeCell ref="D33:E33"/>
    <mergeCell ref="F33:G33"/>
    <mergeCell ref="H33:I33"/>
    <mergeCell ref="J33:K33"/>
    <mergeCell ref="L33:M33"/>
    <mergeCell ref="N33:O33"/>
    <mergeCell ref="B34:C34"/>
    <mergeCell ref="D34:E34"/>
    <mergeCell ref="F34:G34"/>
    <mergeCell ref="H34:I34"/>
    <mergeCell ref="J34:K34"/>
    <mergeCell ref="L34:M34"/>
    <mergeCell ref="N34:O34"/>
    <mergeCell ref="A36:B36"/>
    <mergeCell ref="D36:F36"/>
    <mergeCell ref="G36:I36"/>
    <mergeCell ref="O36:P36"/>
    <mergeCell ref="A37:A42"/>
    <mergeCell ref="B37:B42"/>
    <mergeCell ref="O37:P37"/>
    <mergeCell ref="O38:P38"/>
    <mergeCell ref="O39:P39"/>
    <mergeCell ref="O40:P40"/>
    <mergeCell ref="O41:P41"/>
    <mergeCell ref="C42:I42"/>
    <mergeCell ref="N42:P42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O48:P48"/>
    <mergeCell ref="O49:P49"/>
    <mergeCell ref="C50:I50"/>
    <mergeCell ref="N50:P50"/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O56:P56"/>
    <mergeCell ref="O57:P57"/>
    <mergeCell ref="C58:I58"/>
    <mergeCell ref="N58:P58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47" fitToWidth="0" fitToHeight="0" pageOrder="overThenDown" orientation="landscape" cellComments="atEnd" r:id="rId1"/>
  <rowBreaks count="1" manualBreakCount="1">
    <brk id="30" max="15" man="1"/>
  </row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9">
    <tabColor rgb="FF92D050"/>
    <outlinePr summaryBelow="0" summaryRight="0"/>
  </sheetPr>
  <dimension ref="A1:T111"/>
  <sheetViews>
    <sheetView view="pageBreakPreview" topLeftCell="A61" zoomScale="91" zoomScaleNormal="60" zoomScaleSheetLayoutView="91" workbookViewId="0">
      <selection activeCell="O64" sqref="O64:P64"/>
    </sheetView>
  </sheetViews>
  <sheetFormatPr defaultColWidth="12.5703125" defaultRowHeight="15.75" customHeight="1"/>
  <cols>
    <col min="1" max="1" width="5.42578125" style="2" customWidth="1"/>
    <col min="2" max="2" width="11.42578125" style="97" customWidth="1"/>
    <col min="3" max="3" width="4" style="96" customWidth="1"/>
    <col min="4" max="4" width="9.5703125" style="2" customWidth="1"/>
    <col min="5" max="5" width="10.28515625" style="2" customWidth="1"/>
    <col min="6" max="15" width="9.5703125" style="2" customWidth="1"/>
    <col min="16" max="16" width="51.42578125" style="2" customWidth="1"/>
    <col min="17" max="16384" width="12.5703125" style="2"/>
  </cols>
  <sheetData>
    <row r="1" spans="1:20" s="98" customFormat="1" ht="15.75" customHeight="1">
      <c r="A1" s="526" t="s">
        <v>339</v>
      </c>
      <c r="B1" s="526"/>
      <c r="C1" s="526"/>
      <c r="D1" s="526"/>
      <c r="E1" s="526"/>
      <c r="F1" s="526"/>
      <c r="G1" s="526"/>
      <c r="H1" s="526"/>
      <c r="I1" s="526"/>
      <c r="J1" s="526"/>
      <c r="K1" s="526"/>
      <c r="L1" s="526"/>
      <c r="M1" s="526"/>
      <c r="N1" s="526"/>
      <c r="O1" s="526"/>
      <c r="P1" s="526"/>
    </row>
    <row r="2" spans="1:20" s="99" customFormat="1" ht="15.75" customHeight="1">
      <c r="A2" s="526"/>
      <c r="B2" s="526"/>
      <c r="C2" s="526"/>
      <c r="D2" s="526"/>
      <c r="E2" s="526"/>
      <c r="F2" s="526"/>
      <c r="G2" s="526"/>
      <c r="H2" s="526"/>
      <c r="I2" s="526"/>
      <c r="J2" s="526"/>
      <c r="K2" s="526"/>
      <c r="L2" s="526"/>
      <c r="M2" s="526"/>
      <c r="N2" s="526"/>
      <c r="O2" s="526"/>
      <c r="P2" s="526"/>
    </row>
    <row r="3" spans="1:20" s="135" customFormat="1" ht="15.75" customHeight="1">
      <c r="A3" s="809" t="s">
        <v>623</v>
      </c>
      <c r="B3" s="809"/>
      <c r="C3" s="809"/>
      <c r="D3" s="809"/>
      <c r="E3" s="809"/>
      <c r="F3" s="809"/>
      <c r="G3" s="809"/>
      <c r="H3" s="809"/>
      <c r="I3" s="809"/>
      <c r="J3" s="809"/>
      <c r="K3" s="809"/>
      <c r="L3" s="809"/>
      <c r="M3" s="809"/>
      <c r="Q3" s="231"/>
      <c r="R3" s="231"/>
      <c r="S3" s="231"/>
      <c r="T3" s="231"/>
    </row>
    <row r="4" spans="1:20" s="136" customFormat="1" ht="15.75" customHeight="1">
      <c r="A4" s="745"/>
      <c r="B4" s="745"/>
      <c r="C4" s="745"/>
      <c r="D4" s="745"/>
      <c r="E4" s="745"/>
      <c r="F4" s="745"/>
      <c r="G4" s="745"/>
      <c r="H4" s="745"/>
      <c r="I4" s="745"/>
      <c r="J4" s="745"/>
      <c r="K4" s="745"/>
      <c r="L4" s="745"/>
      <c r="M4" s="745"/>
    </row>
    <row r="5" spans="1:20" s="135" customFormat="1" ht="12">
      <c r="A5" s="746" t="s">
        <v>174</v>
      </c>
      <c r="B5" s="748">
        <v>1</v>
      </c>
      <c r="C5" s="749"/>
      <c r="D5" s="748">
        <v>2</v>
      </c>
      <c r="E5" s="749"/>
      <c r="F5" s="748">
        <v>3</v>
      </c>
      <c r="G5" s="749"/>
      <c r="H5" s="739">
        <v>4</v>
      </c>
      <c r="I5" s="740"/>
      <c r="J5" s="739">
        <v>5</v>
      </c>
      <c r="K5" s="740"/>
      <c r="L5" s="739">
        <v>6</v>
      </c>
      <c r="M5" s="740"/>
      <c r="N5" s="739">
        <v>7</v>
      </c>
      <c r="O5" s="740"/>
      <c r="P5" s="352">
        <v>8</v>
      </c>
    </row>
    <row r="6" spans="1:20" s="135" customFormat="1">
      <c r="A6" s="747"/>
      <c r="B6" s="743" t="s">
        <v>427</v>
      </c>
      <c r="C6" s="744"/>
      <c r="D6" s="743" t="s">
        <v>195</v>
      </c>
      <c r="E6" s="744"/>
      <c r="F6" s="743" t="s">
        <v>166</v>
      </c>
      <c r="G6" s="744"/>
      <c r="H6" s="741" t="s">
        <v>406</v>
      </c>
      <c r="I6" s="742"/>
      <c r="J6" s="741" t="s">
        <v>172</v>
      </c>
      <c r="K6" s="742"/>
      <c r="L6" s="741" t="s">
        <v>167</v>
      </c>
      <c r="M6" s="742"/>
      <c r="N6" s="741" t="s">
        <v>173</v>
      </c>
      <c r="O6" s="742"/>
      <c r="P6" s="353" t="s">
        <v>200</v>
      </c>
    </row>
    <row r="7" spans="1:20" s="135" customFormat="1" ht="15.75" customHeight="1">
      <c r="B7" s="232"/>
      <c r="C7" s="233"/>
    </row>
    <row r="8" spans="1:20" s="278" customFormat="1">
      <c r="A8" s="683" t="s">
        <v>174</v>
      </c>
      <c r="B8" s="684"/>
      <c r="C8" s="275" t="s">
        <v>47</v>
      </c>
      <c r="D8" s="713" t="s">
        <v>12</v>
      </c>
      <c r="E8" s="714"/>
      <c r="F8" s="715"/>
      <c r="G8" s="716" t="s">
        <v>53</v>
      </c>
      <c r="H8" s="717"/>
      <c r="I8" s="718"/>
      <c r="J8" s="276" t="s">
        <v>54</v>
      </c>
      <c r="K8" s="276" t="s">
        <v>55</v>
      </c>
      <c r="L8" s="276" t="s">
        <v>56</v>
      </c>
      <c r="M8" s="277" t="s">
        <v>11</v>
      </c>
      <c r="N8" s="277" t="s">
        <v>312</v>
      </c>
      <c r="O8" s="691" t="s">
        <v>51</v>
      </c>
      <c r="P8" s="692"/>
      <c r="R8" s="210"/>
      <c r="S8" s="261"/>
    </row>
    <row r="9" spans="1:20" s="298" customFormat="1" ht="20.100000000000001" customHeight="1">
      <c r="A9" s="693">
        <v>4</v>
      </c>
      <c r="B9" s="727" t="s">
        <v>406</v>
      </c>
      <c r="C9" s="279">
        <v>1</v>
      </c>
      <c r="D9" s="237"/>
      <c r="E9" s="238"/>
      <c r="F9" s="239"/>
      <c r="G9" s="350"/>
      <c r="H9" s="305"/>
      <c r="I9" s="306"/>
      <c r="J9" s="312"/>
      <c r="K9" s="313"/>
      <c r="L9" s="314"/>
      <c r="M9" s="322">
        <f t="shared" ref="M9:M13" si="0">L9*J9</f>
        <v>0</v>
      </c>
      <c r="N9" s="314"/>
      <c r="O9" s="798"/>
      <c r="P9" s="799"/>
      <c r="R9" s="315"/>
      <c r="S9" s="261"/>
    </row>
    <row r="10" spans="1:20" s="298" customFormat="1" ht="20.100000000000001" customHeight="1">
      <c r="A10" s="694"/>
      <c r="B10" s="728"/>
      <c r="C10" s="279">
        <v>2</v>
      </c>
      <c r="D10" s="237"/>
      <c r="E10" s="238"/>
      <c r="F10" s="239"/>
      <c r="G10" s="350"/>
      <c r="H10" s="305"/>
      <c r="I10" s="306"/>
      <c r="J10" s="312"/>
      <c r="K10" s="313"/>
      <c r="L10" s="314"/>
      <c r="M10" s="322">
        <f t="shared" si="0"/>
        <v>0</v>
      </c>
      <c r="N10" s="314"/>
      <c r="O10" s="723"/>
      <c r="P10" s="724"/>
      <c r="R10" s="315"/>
      <c r="S10" s="210"/>
      <c r="T10" s="335"/>
    </row>
    <row r="11" spans="1:20" s="298" customFormat="1" ht="20.100000000000001" customHeight="1">
      <c r="A11" s="694"/>
      <c r="B11" s="728"/>
      <c r="C11" s="279">
        <v>3</v>
      </c>
      <c r="D11" s="237"/>
      <c r="E11" s="238"/>
      <c r="F11" s="239"/>
      <c r="G11" s="350"/>
      <c r="H11" s="305"/>
      <c r="I11" s="306"/>
      <c r="J11" s="312"/>
      <c r="K11" s="313"/>
      <c r="L11" s="314"/>
      <c r="M11" s="322">
        <f t="shared" si="0"/>
        <v>0</v>
      </c>
      <c r="N11" s="314"/>
      <c r="O11" s="798"/>
      <c r="P11" s="799"/>
      <c r="R11" s="315"/>
      <c r="S11" s="261"/>
    </row>
    <row r="12" spans="1:20" s="298" customFormat="1" ht="20.100000000000001" customHeight="1">
      <c r="A12" s="694"/>
      <c r="B12" s="728"/>
      <c r="C12" s="279">
        <v>4</v>
      </c>
      <c r="D12" s="237"/>
      <c r="E12" s="238"/>
      <c r="F12" s="239"/>
      <c r="G12" s="350"/>
      <c r="H12" s="305"/>
      <c r="I12" s="306"/>
      <c r="J12" s="312"/>
      <c r="K12" s="313"/>
      <c r="L12" s="314"/>
      <c r="M12" s="322">
        <f t="shared" si="0"/>
        <v>0</v>
      </c>
      <c r="N12" s="314"/>
      <c r="O12" s="798"/>
      <c r="P12" s="799"/>
      <c r="R12" s="315"/>
      <c r="S12" s="210"/>
      <c r="T12" s="335"/>
    </row>
    <row r="13" spans="1:20" s="298" customFormat="1" ht="20.100000000000001" customHeight="1" thickBot="1">
      <c r="A13" s="694"/>
      <c r="B13" s="728"/>
      <c r="C13" s="279">
        <v>5</v>
      </c>
      <c r="D13" s="237"/>
      <c r="E13" s="245"/>
      <c r="F13" s="246"/>
      <c r="G13" s="350"/>
      <c r="H13" s="305"/>
      <c r="I13" s="306"/>
      <c r="J13" s="383"/>
      <c r="K13" s="379"/>
      <c r="L13" s="317"/>
      <c r="M13" s="322">
        <f t="shared" si="0"/>
        <v>0</v>
      </c>
      <c r="N13" s="314"/>
      <c r="O13" s="798"/>
      <c r="P13" s="799"/>
      <c r="R13" s="318"/>
      <c r="S13" s="261"/>
      <c r="T13" s="289"/>
    </row>
    <row r="14" spans="1:20" s="289" customFormat="1" thickTop="1" thickBot="1">
      <c r="A14" s="695"/>
      <c r="B14" s="729"/>
      <c r="C14" s="736"/>
      <c r="D14" s="737"/>
      <c r="E14" s="737"/>
      <c r="F14" s="737"/>
      <c r="G14" s="737"/>
      <c r="H14" s="737"/>
      <c r="I14" s="738"/>
      <c r="J14" s="347" t="s">
        <v>58</v>
      </c>
      <c r="K14" s="212">
        <f>M14/'生產管理報表 7-1 (週)'!$B$9</f>
        <v>0</v>
      </c>
      <c r="L14" s="348" t="s">
        <v>59</v>
      </c>
      <c r="M14" s="384">
        <f>SUM(M9:M13)</f>
        <v>0</v>
      </c>
      <c r="N14" s="680"/>
      <c r="O14" s="681"/>
      <c r="P14" s="682"/>
      <c r="R14" s="210"/>
      <c r="S14" s="210"/>
    </row>
    <row r="15" spans="1:20" s="289" customFormat="1" ht="15.75" customHeight="1" thickTop="1">
      <c r="B15" s="297"/>
      <c r="C15" s="298"/>
      <c r="M15" s="329"/>
      <c r="S15" s="261"/>
    </row>
    <row r="16" spans="1:20" s="289" customFormat="1" ht="14.25">
      <c r="A16" s="683" t="s">
        <v>174</v>
      </c>
      <c r="B16" s="684"/>
      <c r="C16" s="275" t="s">
        <v>47</v>
      </c>
      <c r="D16" s="713" t="s">
        <v>12</v>
      </c>
      <c r="E16" s="714"/>
      <c r="F16" s="715"/>
      <c r="G16" s="716" t="s">
        <v>53</v>
      </c>
      <c r="H16" s="717"/>
      <c r="I16" s="718"/>
      <c r="J16" s="276" t="s">
        <v>54</v>
      </c>
      <c r="K16" s="276" t="s">
        <v>55</v>
      </c>
      <c r="L16" s="276" t="s">
        <v>56</v>
      </c>
      <c r="M16" s="330" t="s">
        <v>11</v>
      </c>
      <c r="N16" s="277" t="s">
        <v>312</v>
      </c>
      <c r="O16" s="691" t="s">
        <v>51</v>
      </c>
      <c r="P16" s="692"/>
      <c r="S16" s="210"/>
      <c r="T16" s="335"/>
    </row>
    <row r="17" spans="1:20" s="298" customFormat="1" ht="59.25" customHeight="1">
      <c r="A17" s="693">
        <v>5</v>
      </c>
      <c r="B17" s="706" t="s">
        <v>198</v>
      </c>
      <c r="C17" s="279">
        <v>1</v>
      </c>
      <c r="D17" s="237" t="s">
        <v>319</v>
      </c>
      <c r="E17" s="238"/>
      <c r="F17" s="239"/>
      <c r="G17" s="306" t="s">
        <v>315</v>
      </c>
      <c r="H17" s="305"/>
      <c r="I17" s="306"/>
      <c r="J17" s="312">
        <v>147.43000000000004</v>
      </c>
      <c r="K17" s="313">
        <v>2.5899921086177942E-3</v>
      </c>
      <c r="L17" s="314">
        <v>10.24</v>
      </c>
      <c r="M17" s="322">
        <f>L17*J17</f>
        <v>1509.6832000000004</v>
      </c>
      <c r="N17" s="314"/>
      <c r="O17" s="723" t="s">
        <v>624</v>
      </c>
      <c r="P17" s="724"/>
      <c r="R17" s="335"/>
      <c r="S17" s="385"/>
    </row>
    <row r="18" spans="1:20" s="298" customFormat="1" ht="20.100000000000001" customHeight="1">
      <c r="A18" s="694"/>
      <c r="B18" s="707"/>
      <c r="C18" s="279">
        <v>2</v>
      </c>
      <c r="D18" s="237"/>
      <c r="E18" s="238"/>
      <c r="F18" s="239"/>
      <c r="G18" s="350"/>
      <c r="H18" s="305"/>
      <c r="I18" s="306"/>
      <c r="J18" s="312"/>
      <c r="K18" s="313"/>
      <c r="L18" s="314"/>
      <c r="M18" s="322">
        <f t="shared" ref="M18:M21" si="1">L18*J18</f>
        <v>0</v>
      </c>
      <c r="N18" s="314"/>
      <c r="O18" s="723"/>
      <c r="P18" s="724"/>
      <c r="S18" s="210"/>
      <c r="T18" s="336"/>
    </row>
    <row r="19" spans="1:20" s="289" customFormat="1" ht="20.100000000000001" customHeight="1">
      <c r="A19" s="694"/>
      <c r="B19" s="707"/>
      <c r="C19" s="279">
        <v>3</v>
      </c>
      <c r="D19" s="237"/>
      <c r="E19" s="281"/>
      <c r="F19" s="282"/>
      <c r="G19" s="350"/>
      <c r="H19" s="305"/>
      <c r="I19" s="306"/>
      <c r="J19" s="312"/>
      <c r="K19" s="313"/>
      <c r="L19" s="314"/>
      <c r="M19" s="322">
        <f t="shared" si="1"/>
        <v>0</v>
      </c>
      <c r="N19" s="288"/>
      <c r="O19" s="711"/>
      <c r="P19" s="712"/>
    </row>
    <row r="20" spans="1:20" s="289" customFormat="1" ht="20.100000000000001" customHeight="1">
      <c r="A20" s="694"/>
      <c r="B20" s="707"/>
      <c r="C20" s="279">
        <v>4</v>
      </c>
      <c r="D20" s="237"/>
      <c r="E20" s="281"/>
      <c r="F20" s="282"/>
      <c r="G20" s="350"/>
      <c r="H20" s="305"/>
      <c r="I20" s="306"/>
      <c r="J20" s="312"/>
      <c r="K20" s="313"/>
      <c r="L20" s="314"/>
      <c r="M20" s="322">
        <f t="shared" si="1"/>
        <v>0</v>
      </c>
      <c r="N20" s="288"/>
      <c r="O20" s="723"/>
      <c r="P20" s="724"/>
    </row>
    <row r="21" spans="1:20" s="289" customFormat="1" ht="20.100000000000001" customHeight="1" thickBot="1">
      <c r="A21" s="694"/>
      <c r="B21" s="707"/>
      <c r="C21" s="279">
        <v>5</v>
      </c>
      <c r="D21" s="244"/>
      <c r="E21" s="291"/>
      <c r="F21" s="292"/>
      <c r="G21" s="350"/>
      <c r="H21" s="305"/>
      <c r="I21" s="306"/>
      <c r="J21" s="383"/>
      <c r="K21" s="379"/>
      <c r="L21" s="317"/>
      <c r="M21" s="322">
        <f t="shared" si="1"/>
        <v>0</v>
      </c>
      <c r="N21" s="288"/>
      <c r="O21" s="812"/>
      <c r="P21" s="813"/>
      <c r="R21" s="211"/>
    </row>
    <row r="22" spans="1:20" s="289" customFormat="1" thickTop="1" thickBot="1">
      <c r="A22" s="695"/>
      <c r="B22" s="708"/>
      <c r="C22" s="703"/>
      <c r="D22" s="704"/>
      <c r="E22" s="704"/>
      <c r="F22" s="704"/>
      <c r="G22" s="704"/>
      <c r="H22" s="704"/>
      <c r="I22" s="705"/>
      <c r="J22" s="347"/>
      <c r="K22" s="212">
        <f>M22/'生產管理報表 7-1 (週)'!$B$9</f>
        <v>1.7744078548979293E-2</v>
      </c>
      <c r="L22" s="348" t="s">
        <v>59</v>
      </c>
      <c r="M22" s="384">
        <f>SUM(M17:M21)</f>
        <v>1509.6832000000004</v>
      </c>
      <c r="N22" s="680"/>
      <c r="O22" s="681"/>
      <c r="P22" s="682"/>
      <c r="R22" s="210"/>
    </row>
    <row r="23" spans="1:20" s="289" customFormat="1" ht="15.75" customHeight="1" thickTop="1">
      <c r="B23" s="297"/>
      <c r="C23" s="298"/>
      <c r="M23" s="329"/>
      <c r="R23" s="210"/>
    </row>
    <row r="24" spans="1:20" s="289" customFormat="1" ht="14.25">
      <c r="A24" s="683" t="s">
        <v>174</v>
      </c>
      <c r="B24" s="684"/>
      <c r="C24" s="303" t="s">
        <v>47</v>
      </c>
      <c r="D24" s="685" t="s">
        <v>12</v>
      </c>
      <c r="E24" s="686"/>
      <c r="F24" s="687"/>
      <c r="G24" s="688" t="s">
        <v>53</v>
      </c>
      <c r="H24" s="689"/>
      <c r="I24" s="690"/>
      <c r="J24" s="304" t="s">
        <v>54</v>
      </c>
      <c r="K24" s="276" t="s">
        <v>55</v>
      </c>
      <c r="L24" s="276" t="s">
        <v>56</v>
      </c>
      <c r="M24" s="330" t="s">
        <v>11</v>
      </c>
      <c r="N24" s="277" t="s">
        <v>312</v>
      </c>
      <c r="O24" s="691" t="s">
        <v>51</v>
      </c>
      <c r="P24" s="692"/>
      <c r="R24" s="210"/>
      <c r="S24" s="2"/>
    </row>
    <row r="25" spans="1:20" s="289" customFormat="1" ht="39.950000000000003" customHeight="1">
      <c r="A25" s="693">
        <v>6</v>
      </c>
      <c r="B25" s="706" t="s">
        <v>199</v>
      </c>
      <c r="C25" s="279">
        <v>1</v>
      </c>
      <c r="D25" s="337" t="s">
        <v>485</v>
      </c>
      <c r="E25" s="281"/>
      <c r="F25" s="282"/>
      <c r="G25" s="240" t="s">
        <v>314</v>
      </c>
      <c r="H25" s="305"/>
      <c r="I25" s="240"/>
      <c r="J25" s="312">
        <v>15.450000000000001</v>
      </c>
      <c r="K25" s="313">
        <v>2.3055746730901582E-3</v>
      </c>
      <c r="L25" s="314">
        <v>134</v>
      </c>
      <c r="M25" s="322">
        <f t="shared" ref="M25:M29" si="2">L25*J25</f>
        <v>2070.3000000000002</v>
      </c>
      <c r="N25" s="288"/>
      <c r="O25" s="711" t="s">
        <v>520</v>
      </c>
      <c r="P25" s="712"/>
      <c r="R25" s="336"/>
      <c r="S25" s="392"/>
    </row>
    <row r="26" spans="1:20" s="298" customFormat="1" ht="39.950000000000003" customHeight="1">
      <c r="A26" s="694"/>
      <c r="B26" s="707"/>
      <c r="C26" s="279">
        <v>2</v>
      </c>
      <c r="D26" s="237" t="s">
        <v>319</v>
      </c>
      <c r="E26" s="238"/>
      <c r="F26" s="239"/>
      <c r="G26" s="240" t="s">
        <v>495</v>
      </c>
      <c r="H26" s="305"/>
      <c r="I26" s="240"/>
      <c r="J26" s="312">
        <v>39.389999999999993</v>
      </c>
      <c r="K26" s="313">
        <v>1.1486035649604424E-3</v>
      </c>
      <c r="L26" s="314">
        <v>28.92</v>
      </c>
      <c r="M26" s="322">
        <f t="shared" si="2"/>
        <v>1139.1587999999999</v>
      </c>
      <c r="N26" s="314"/>
      <c r="O26" s="810" t="s">
        <v>607</v>
      </c>
      <c r="P26" s="811"/>
      <c r="S26" s="96"/>
    </row>
    <row r="27" spans="1:20" s="289" customFormat="1" ht="39.950000000000003" customHeight="1">
      <c r="A27" s="694"/>
      <c r="B27" s="707"/>
      <c r="C27" s="279">
        <v>3</v>
      </c>
      <c r="D27" s="237" t="s">
        <v>614</v>
      </c>
      <c r="E27" s="281"/>
      <c r="F27" s="282"/>
      <c r="G27" s="240" t="s">
        <v>499</v>
      </c>
      <c r="H27" s="305"/>
      <c r="I27" s="285"/>
      <c r="J27" s="312">
        <v>62.43</v>
      </c>
      <c r="K27" s="313">
        <v>4.4446148411248741E-3</v>
      </c>
      <c r="L27" s="314">
        <v>16.23</v>
      </c>
      <c r="M27" s="322">
        <f t="shared" si="2"/>
        <v>1013.2389000000001</v>
      </c>
      <c r="N27" s="288"/>
      <c r="O27" s="810" t="s">
        <v>607</v>
      </c>
      <c r="P27" s="811"/>
      <c r="S27" s="2"/>
    </row>
    <row r="28" spans="1:20" s="289" customFormat="1" ht="39.950000000000003" customHeight="1">
      <c r="A28" s="694"/>
      <c r="B28" s="707"/>
      <c r="C28" s="279">
        <v>4</v>
      </c>
      <c r="D28" s="237" t="s">
        <v>544</v>
      </c>
      <c r="E28" s="281"/>
      <c r="F28" s="282"/>
      <c r="G28" s="240" t="s">
        <v>545</v>
      </c>
      <c r="H28" s="305"/>
      <c r="I28" s="285"/>
      <c r="J28" s="312">
        <v>43.889999999999993</v>
      </c>
      <c r="K28" s="313">
        <v>8.9743010518620134E-3</v>
      </c>
      <c r="L28" s="314">
        <v>21.85</v>
      </c>
      <c r="M28" s="322">
        <f t="shared" si="2"/>
        <v>958.99649999999997</v>
      </c>
      <c r="N28" s="288"/>
      <c r="O28" s="810" t="s">
        <v>607</v>
      </c>
      <c r="P28" s="811"/>
      <c r="R28" s="2"/>
      <c r="S28" s="2"/>
    </row>
    <row r="29" spans="1:20" s="289" customFormat="1" ht="39.950000000000003" customHeight="1" thickBot="1">
      <c r="A29" s="694"/>
      <c r="B29" s="707"/>
      <c r="C29" s="279">
        <v>5</v>
      </c>
      <c r="D29" s="244" t="s">
        <v>581</v>
      </c>
      <c r="E29" s="291"/>
      <c r="F29" s="292"/>
      <c r="G29" s="240" t="s">
        <v>592</v>
      </c>
      <c r="H29" s="305"/>
      <c r="I29" s="285"/>
      <c r="J29" s="383">
        <v>52.26</v>
      </c>
      <c r="K29" s="379">
        <v>3.4922658249618098E-3</v>
      </c>
      <c r="L29" s="317">
        <v>17.259999999999998</v>
      </c>
      <c r="M29" s="322">
        <f t="shared" si="2"/>
        <v>902.00759999999991</v>
      </c>
      <c r="N29" s="288"/>
      <c r="O29" s="810" t="s">
        <v>607</v>
      </c>
      <c r="P29" s="811"/>
      <c r="R29" s="2"/>
      <c r="S29" s="2"/>
    </row>
    <row r="30" spans="1:20" s="289" customFormat="1" thickTop="1" thickBot="1">
      <c r="A30" s="695"/>
      <c r="B30" s="708"/>
      <c r="C30" s="703"/>
      <c r="D30" s="704"/>
      <c r="E30" s="704"/>
      <c r="F30" s="704"/>
      <c r="G30" s="704"/>
      <c r="H30" s="704"/>
      <c r="I30" s="705"/>
      <c r="J30" s="347" t="s">
        <v>58</v>
      </c>
      <c r="K30" s="212">
        <f>M30/'生產管理報表 7-1 (週)'!$B$9</f>
        <v>7.150485784551798E-2</v>
      </c>
      <c r="L30" s="348" t="s">
        <v>59</v>
      </c>
      <c r="M30" s="384">
        <f>SUM(M25:M29)</f>
        <v>6083.7018000000007</v>
      </c>
      <c r="N30" s="680"/>
      <c r="O30" s="681"/>
      <c r="P30" s="682"/>
      <c r="R30" s="2"/>
      <c r="S30" s="2"/>
    </row>
    <row r="31" spans="1:20" s="289" customFormat="1" ht="15.75" customHeight="1" thickTop="1">
      <c r="B31" s="297"/>
      <c r="C31" s="298"/>
      <c r="M31" s="329"/>
      <c r="R31" s="2"/>
      <c r="S31" s="2"/>
    </row>
    <row r="32" spans="1:20" s="289" customFormat="1" ht="14.25">
      <c r="A32" s="683" t="s">
        <v>174</v>
      </c>
      <c r="B32" s="684"/>
      <c r="C32" s="303" t="s">
        <v>47</v>
      </c>
      <c r="D32" s="685" t="s">
        <v>12</v>
      </c>
      <c r="E32" s="686"/>
      <c r="F32" s="687"/>
      <c r="G32" s="688" t="s">
        <v>53</v>
      </c>
      <c r="H32" s="689"/>
      <c r="I32" s="690"/>
      <c r="J32" s="304" t="s">
        <v>54</v>
      </c>
      <c r="K32" s="276" t="s">
        <v>55</v>
      </c>
      <c r="L32" s="276" t="s">
        <v>56</v>
      </c>
      <c r="M32" s="330" t="s">
        <v>11</v>
      </c>
      <c r="N32" s="277" t="s">
        <v>312</v>
      </c>
      <c r="O32" s="691" t="s">
        <v>51</v>
      </c>
      <c r="P32" s="692"/>
      <c r="R32" s="2"/>
      <c r="S32" s="2"/>
    </row>
    <row r="33" spans="1:20" s="289" customFormat="1" ht="20.100000000000001" customHeight="1">
      <c r="A33" s="693">
        <v>7</v>
      </c>
      <c r="B33" s="696" t="s">
        <v>231</v>
      </c>
      <c r="C33" s="279">
        <v>1</v>
      </c>
      <c r="D33" s="280"/>
      <c r="E33" s="281"/>
      <c r="F33" s="282"/>
      <c r="G33" s="283"/>
      <c r="H33" s="284"/>
      <c r="I33" s="285"/>
      <c r="J33" s="286"/>
      <c r="K33" s="287"/>
      <c r="L33" s="288"/>
      <c r="M33" s="331">
        <f t="shared" ref="M33:M35" si="3">L33*J33</f>
        <v>0</v>
      </c>
      <c r="N33" s="288"/>
      <c r="O33" s="699"/>
      <c r="P33" s="700"/>
      <c r="R33" s="2"/>
      <c r="S33" s="2"/>
    </row>
    <row r="34" spans="1:20" s="289" customFormat="1" ht="20.100000000000001" customHeight="1">
      <c r="A34" s="694"/>
      <c r="B34" s="697"/>
      <c r="C34" s="279">
        <v>2</v>
      </c>
      <c r="D34" s="280"/>
      <c r="E34" s="281"/>
      <c r="F34" s="282"/>
      <c r="G34" s="283"/>
      <c r="H34" s="284"/>
      <c r="I34" s="285"/>
      <c r="J34" s="286"/>
      <c r="K34" s="287"/>
      <c r="L34" s="288"/>
      <c r="M34" s="331">
        <f t="shared" si="3"/>
        <v>0</v>
      </c>
      <c r="N34" s="288"/>
      <c r="O34" s="701"/>
      <c r="P34" s="702"/>
      <c r="R34" s="2"/>
      <c r="S34" s="2"/>
    </row>
    <row r="35" spans="1:20" s="289" customFormat="1" ht="20.100000000000001" customHeight="1">
      <c r="A35" s="694"/>
      <c r="B35" s="697"/>
      <c r="C35" s="279">
        <v>3</v>
      </c>
      <c r="D35" s="280"/>
      <c r="E35" s="281"/>
      <c r="F35" s="282"/>
      <c r="G35" s="283"/>
      <c r="H35" s="284"/>
      <c r="I35" s="285"/>
      <c r="J35" s="286"/>
      <c r="K35" s="287"/>
      <c r="L35" s="288"/>
      <c r="M35" s="331">
        <f t="shared" si="3"/>
        <v>0</v>
      </c>
      <c r="N35" s="288"/>
      <c r="O35" s="701"/>
      <c r="P35" s="702"/>
      <c r="R35" s="2"/>
      <c r="S35" s="2"/>
    </row>
    <row r="36" spans="1:20" s="289" customFormat="1" ht="20.100000000000001" customHeight="1">
      <c r="A36" s="694"/>
      <c r="B36" s="697"/>
      <c r="C36" s="279">
        <v>4</v>
      </c>
      <c r="D36" s="280"/>
      <c r="E36" s="281"/>
      <c r="F36" s="282"/>
      <c r="G36" s="283"/>
      <c r="H36" s="284"/>
      <c r="I36" s="285"/>
      <c r="J36" s="286"/>
      <c r="K36" s="287"/>
      <c r="L36" s="288"/>
      <c r="M36" s="332">
        <v>0</v>
      </c>
      <c r="N36" s="288"/>
      <c r="O36" s="299"/>
      <c r="P36" s="300"/>
      <c r="R36" s="2"/>
      <c r="S36" s="2"/>
    </row>
    <row r="37" spans="1:20" s="289" customFormat="1" ht="20.100000000000001" customHeight="1" thickBot="1">
      <c r="A37" s="694"/>
      <c r="B37" s="697"/>
      <c r="C37" s="279">
        <v>5</v>
      </c>
      <c r="D37" s="290"/>
      <c r="E37" s="291"/>
      <c r="F37" s="292"/>
      <c r="G37" s="283"/>
      <c r="H37" s="284"/>
      <c r="I37" s="285"/>
      <c r="J37" s="383"/>
      <c r="K37" s="379"/>
      <c r="L37" s="317"/>
      <c r="M37" s="333">
        <v>0</v>
      </c>
      <c r="N37" s="288"/>
      <c r="O37" s="301"/>
      <c r="P37" s="302"/>
      <c r="R37" s="2"/>
      <c r="S37" s="2"/>
    </row>
    <row r="38" spans="1:20" s="289" customFormat="1" thickTop="1" thickBot="1">
      <c r="A38" s="695"/>
      <c r="B38" s="698"/>
      <c r="C38" s="703"/>
      <c r="D38" s="704"/>
      <c r="E38" s="704"/>
      <c r="F38" s="704"/>
      <c r="G38" s="704"/>
      <c r="H38" s="704"/>
      <c r="I38" s="705"/>
      <c r="J38" s="347" t="s">
        <v>58</v>
      </c>
      <c r="K38" s="212">
        <f>M38/'生產管理報表 7-1 (週)'!$B$9</f>
        <v>0</v>
      </c>
      <c r="L38" s="348" t="s">
        <v>59</v>
      </c>
      <c r="M38" s="384">
        <f>SUM(M33:M37)</f>
        <v>0</v>
      </c>
      <c r="N38" s="680"/>
      <c r="O38" s="681"/>
      <c r="P38" s="682"/>
      <c r="R38" s="2"/>
      <c r="S38" s="2"/>
      <c r="T38" s="2"/>
    </row>
    <row r="39" spans="1:20" s="135" customFormat="1" ht="15.75" customHeight="1" thickTop="1">
      <c r="A39" s="809" t="s">
        <v>640</v>
      </c>
      <c r="B39" s="809"/>
      <c r="C39" s="809"/>
      <c r="D39" s="809"/>
      <c r="E39" s="809"/>
      <c r="F39" s="809"/>
      <c r="G39" s="809"/>
      <c r="H39" s="809"/>
      <c r="I39" s="809"/>
      <c r="J39" s="809"/>
      <c r="K39" s="809"/>
      <c r="L39" s="809"/>
      <c r="M39" s="809"/>
      <c r="Q39" s="231"/>
      <c r="R39" s="231"/>
      <c r="S39" s="231"/>
      <c r="T39" s="231"/>
    </row>
    <row r="40" spans="1:20" s="136" customFormat="1" ht="15.75" customHeight="1">
      <c r="A40" s="745"/>
      <c r="B40" s="745"/>
      <c r="C40" s="745"/>
      <c r="D40" s="745"/>
      <c r="E40" s="745"/>
      <c r="F40" s="745"/>
      <c r="G40" s="745"/>
      <c r="H40" s="745"/>
      <c r="I40" s="745"/>
      <c r="J40" s="745"/>
      <c r="K40" s="745"/>
      <c r="L40" s="745"/>
      <c r="M40" s="745"/>
    </row>
    <row r="41" spans="1:20" s="135" customFormat="1" ht="12">
      <c r="A41" s="746" t="s">
        <v>174</v>
      </c>
      <c r="B41" s="748">
        <v>1</v>
      </c>
      <c r="C41" s="749"/>
      <c r="D41" s="748">
        <v>2</v>
      </c>
      <c r="E41" s="749"/>
      <c r="F41" s="748">
        <v>3</v>
      </c>
      <c r="G41" s="749"/>
      <c r="H41" s="739">
        <v>4</v>
      </c>
      <c r="I41" s="740"/>
      <c r="J41" s="739">
        <v>5</v>
      </c>
      <c r="K41" s="740"/>
      <c r="L41" s="739">
        <v>6</v>
      </c>
      <c r="M41" s="740"/>
      <c r="N41" s="739">
        <v>7</v>
      </c>
      <c r="O41" s="740"/>
      <c r="P41" s="352">
        <v>8</v>
      </c>
    </row>
    <row r="42" spans="1:20" s="135" customFormat="1">
      <c r="A42" s="747"/>
      <c r="B42" s="743" t="s">
        <v>427</v>
      </c>
      <c r="C42" s="744"/>
      <c r="D42" s="743" t="s">
        <v>195</v>
      </c>
      <c r="E42" s="744"/>
      <c r="F42" s="743" t="s">
        <v>166</v>
      </c>
      <c r="G42" s="744"/>
      <c r="H42" s="741" t="s">
        <v>406</v>
      </c>
      <c r="I42" s="742"/>
      <c r="J42" s="741" t="s">
        <v>172</v>
      </c>
      <c r="K42" s="742"/>
      <c r="L42" s="741" t="s">
        <v>167</v>
      </c>
      <c r="M42" s="742"/>
      <c r="N42" s="741" t="s">
        <v>173</v>
      </c>
      <c r="O42" s="742"/>
      <c r="P42" s="353" t="s">
        <v>200</v>
      </c>
    </row>
    <row r="43" spans="1:20" s="135" customFormat="1" ht="15.75" customHeight="1">
      <c r="B43" s="232"/>
      <c r="C43" s="233"/>
    </row>
    <row r="44" spans="1:20" s="278" customFormat="1">
      <c r="A44" s="683" t="s">
        <v>174</v>
      </c>
      <c r="B44" s="684"/>
      <c r="C44" s="275" t="s">
        <v>47</v>
      </c>
      <c r="D44" s="713" t="s">
        <v>12</v>
      </c>
      <c r="E44" s="714"/>
      <c r="F44" s="715"/>
      <c r="G44" s="716" t="s">
        <v>53</v>
      </c>
      <c r="H44" s="717"/>
      <c r="I44" s="718"/>
      <c r="J44" s="276" t="s">
        <v>54</v>
      </c>
      <c r="K44" s="276" t="s">
        <v>55</v>
      </c>
      <c r="L44" s="276" t="s">
        <v>56</v>
      </c>
      <c r="M44" s="277" t="s">
        <v>11</v>
      </c>
      <c r="N44" s="277" t="s">
        <v>312</v>
      </c>
      <c r="O44" s="691" t="s">
        <v>51</v>
      </c>
      <c r="P44" s="692"/>
      <c r="R44" s="210"/>
      <c r="S44" s="261"/>
    </row>
    <row r="45" spans="1:20" s="298" customFormat="1" ht="20.100000000000001" customHeight="1">
      <c r="A45" s="693">
        <v>4</v>
      </c>
      <c r="B45" s="727" t="s">
        <v>406</v>
      </c>
      <c r="C45" s="279">
        <v>1</v>
      </c>
      <c r="D45" s="237"/>
      <c r="E45" s="238"/>
      <c r="F45" s="239"/>
      <c r="G45" s="350"/>
      <c r="H45" s="305"/>
      <c r="I45" s="306"/>
      <c r="J45" s="312"/>
      <c r="K45" s="313"/>
      <c r="L45" s="314"/>
      <c r="M45" s="322">
        <f t="shared" ref="M45:M49" si="4">L45*J45</f>
        <v>0</v>
      </c>
      <c r="N45" s="314"/>
      <c r="O45" s="798"/>
      <c r="P45" s="799"/>
      <c r="R45" s="315"/>
      <c r="S45" s="261"/>
    </row>
    <row r="46" spans="1:20" s="298" customFormat="1" ht="20.100000000000001" customHeight="1">
      <c r="A46" s="694"/>
      <c r="B46" s="728"/>
      <c r="C46" s="279">
        <v>2</v>
      </c>
      <c r="D46" s="237"/>
      <c r="E46" s="238"/>
      <c r="F46" s="239"/>
      <c r="G46" s="350"/>
      <c r="H46" s="305"/>
      <c r="I46" s="306"/>
      <c r="J46" s="312"/>
      <c r="K46" s="313"/>
      <c r="L46" s="314"/>
      <c r="M46" s="322">
        <f t="shared" si="4"/>
        <v>0</v>
      </c>
      <c r="N46" s="314"/>
      <c r="O46" s="723"/>
      <c r="P46" s="724"/>
      <c r="R46" s="315"/>
      <c r="S46" s="210"/>
      <c r="T46" s="335"/>
    </row>
    <row r="47" spans="1:20" s="298" customFormat="1" ht="20.100000000000001" customHeight="1">
      <c r="A47" s="694"/>
      <c r="B47" s="728"/>
      <c r="C47" s="279">
        <v>3</v>
      </c>
      <c r="D47" s="237"/>
      <c r="E47" s="238"/>
      <c r="F47" s="239"/>
      <c r="G47" s="350"/>
      <c r="H47" s="305"/>
      <c r="I47" s="306"/>
      <c r="J47" s="312"/>
      <c r="K47" s="313"/>
      <c r="L47" s="314"/>
      <c r="M47" s="322">
        <f t="shared" si="4"/>
        <v>0</v>
      </c>
      <c r="N47" s="314"/>
      <c r="O47" s="798"/>
      <c r="P47" s="799"/>
      <c r="R47" s="315"/>
      <c r="S47" s="261"/>
    </row>
    <row r="48" spans="1:20" s="298" customFormat="1" ht="20.100000000000001" customHeight="1">
      <c r="A48" s="694"/>
      <c r="B48" s="728"/>
      <c r="C48" s="279">
        <v>4</v>
      </c>
      <c r="D48" s="237"/>
      <c r="E48" s="238"/>
      <c r="F48" s="239"/>
      <c r="G48" s="350"/>
      <c r="H48" s="305"/>
      <c r="I48" s="306"/>
      <c r="J48" s="312"/>
      <c r="K48" s="313"/>
      <c r="L48" s="314"/>
      <c r="M48" s="322">
        <f t="shared" si="4"/>
        <v>0</v>
      </c>
      <c r="N48" s="314"/>
      <c r="O48" s="798"/>
      <c r="P48" s="799"/>
      <c r="R48" s="315"/>
      <c r="S48" s="210"/>
      <c r="T48" s="335"/>
    </row>
    <row r="49" spans="1:20" s="298" customFormat="1" ht="20.100000000000001" customHeight="1" thickBot="1">
      <c r="A49" s="694"/>
      <c r="B49" s="728"/>
      <c r="C49" s="279">
        <v>5</v>
      </c>
      <c r="D49" s="237"/>
      <c r="E49" s="245"/>
      <c r="F49" s="246"/>
      <c r="G49" s="350"/>
      <c r="H49" s="305"/>
      <c r="I49" s="306"/>
      <c r="J49" s="383"/>
      <c r="K49" s="379"/>
      <c r="L49" s="317"/>
      <c r="M49" s="322">
        <f t="shared" si="4"/>
        <v>0</v>
      </c>
      <c r="N49" s="314"/>
      <c r="O49" s="798"/>
      <c r="P49" s="799"/>
      <c r="R49" s="318"/>
      <c r="S49" s="261"/>
      <c r="T49" s="289"/>
    </row>
    <row r="50" spans="1:20" s="289" customFormat="1" thickTop="1" thickBot="1">
      <c r="A50" s="695"/>
      <c r="B50" s="729"/>
      <c r="C50" s="736"/>
      <c r="D50" s="737"/>
      <c r="E50" s="737"/>
      <c r="F50" s="737"/>
      <c r="G50" s="737"/>
      <c r="H50" s="737"/>
      <c r="I50" s="738"/>
      <c r="J50" s="347" t="s">
        <v>58</v>
      </c>
      <c r="K50" s="212">
        <f>M50/'生產管理報表 7-1 (週)'!$B$20</f>
        <v>0</v>
      </c>
      <c r="L50" s="348" t="s">
        <v>59</v>
      </c>
      <c r="M50" s="384">
        <f>SUM(M45:M49)</f>
        <v>0</v>
      </c>
      <c r="N50" s="680"/>
      <c r="O50" s="681"/>
      <c r="P50" s="682"/>
      <c r="R50" s="210"/>
      <c r="S50" s="210"/>
    </row>
    <row r="51" spans="1:20" s="289" customFormat="1" ht="15.75" customHeight="1" thickTop="1">
      <c r="B51" s="297"/>
      <c r="C51" s="298"/>
      <c r="M51" s="329"/>
      <c r="S51" s="261"/>
    </row>
    <row r="52" spans="1:20" s="289" customFormat="1" ht="14.25">
      <c r="A52" s="683" t="s">
        <v>174</v>
      </c>
      <c r="B52" s="684"/>
      <c r="C52" s="275" t="s">
        <v>47</v>
      </c>
      <c r="D52" s="713" t="s">
        <v>12</v>
      </c>
      <c r="E52" s="714"/>
      <c r="F52" s="715"/>
      <c r="G52" s="716" t="s">
        <v>53</v>
      </c>
      <c r="H52" s="717"/>
      <c r="I52" s="718"/>
      <c r="J52" s="276" t="s">
        <v>54</v>
      </c>
      <c r="K52" s="276" t="s">
        <v>55</v>
      </c>
      <c r="L52" s="276" t="s">
        <v>56</v>
      </c>
      <c r="M52" s="330" t="s">
        <v>11</v>
      </c>
      <c r="N52" s="277" t="s">
        <v>312</v>
      </c>
      <c r="O52" s="691" t="s">
        <v>51</v>
      </c>
      <c r="P52" s="692"/>
      <c r="S52" s="210"/>
      <c r="T52" s="335"/>
    </row>
    <row r="53" spans="1:20" s="298" customFormat="1" ht="50.1" customHeight="1">
      <c r="A53" s="693">
        <v>5</v>
      </c>
      <c r="B53" s="706" t="s">
        <v>198</v>
      </c>
      <c r="C53" s="279">
        <v>1</v>
      </c>
      <c r="D53" s="237" t="s">
        <v>319</v>
      </c>
      <c r="E53" s="238"/>
      <c r="F53" s="239"/>
      <c r="G53" s="306" t="s">
        <v>315</v>
      </c>
      <c r="H53" s="305"/>
      <c r="I53" s="306"/>
      <c r="J53" s="312">
        <v>147.43000000000004</v>
      </c>
      <c r="K53" s="313">
        <v>2.4776643357432714E-3</v>
      </c>
      <c r="L53" s="314">
        <v>8.7800000000000011</v>
      </c>
      <c r="M53" s="322">
        <f>L53*J53</f>
        <v>1294.4354000000005</v>
      </c>
      <c r="N53" s="314"/>
      <c r="O53" s="723" t="s">
        <v>624</v>
      </c>
      <c r="P53" s="724"/>
      <c r="R53" s="335"/>
      <c r="S53" s="385"/>
    </row>
    <row r="54" spans="1:20" s="298" customFormat="1" ht="20.100000000000001" customHeight="1">
      <c r="A54" s="694"/>
      <c r="B54" s="707"/>
      <c r="C54" s="279">
        <v>2</v>
      </c>
      <c r="D54" s="237"/>
      <c r="E54" s="238"/>
      <c r="F54" s="239"/>
      <c r="G54" s="350"/>
      <c r="H54" s="305"/>
      <c r="I54" s="306"/>
      <c r="J54" s="312"/>
      <c r="K54" s="313"/>
      <c r="L54" s="314"/>
      <c r="M54" s="322">
        <f t="shared" ref="M54:M57" si="5">L54*J54</f>
        <v>0</v>
      </c>
      <c r="N54" s="314"/>
      <c r="O54" s="723"/>
      <c r="P54" s="724"/>
      <c r="S54" s="210"/>
      <c r="T54" s="336"/>
    </row>
    <row r="55" spans="1:20" s="289" customFormat="1" ht="20.100000000000001" customHeight="1">
      <c r="A55" s="694"/>
      <c r="B55" s="707"/>
      <c r="C55" s="279">
        <v>3</v>
      </c>
      <c r="D55" s="237"/>
      <c r="E55" s="281"/>
      <c r="F55" s="282"/>
      <c r="G55" s="350"/>
      <c r="H55" s="305"/>
      <c r="I55" s="306"/>
      <c r="J55" s="312"/>
      <c r="K55" s="313"/>
      <c r="L55" s="314"/>
      <c r="M55" s="322">
        <f t="shared" si="5"/>
        <v>0</v>
      </c>
      <c r="N55" s="288"/>
      <c r="O55" s="711"/>
      <c r="P55" s="712"/>
    </row>
    <row r="56" spans="1:20" s="289" customFormat="1" ht="20.100000000000001" customHeight="1">
      <c r="A56" s="694"/>
      <c r="B56" s="707"/>
      <c r="C56" s="279">
        <v>4</v>
      </c>
      <c r="D56" s="237"/>
      <c r="E56" s="281"/>
      <c r="F56" s="282"/>
      <c r="G56" s="350"/>
      <c r="H56" s="305"/>
      <c r="I56" s="306"/>
      <c r="J56" s="312"/>
      <c r="K56" s="313"/>
      <c r="L56" s="314"/>
      <c r="M56" s="322">
        <f t="shared" si="5"/>
        <v>0</v>
      </c>
      <c r="N56" s="288"/>
      <c r="O56" s="723"/>
      <c r="P56" s="724"/>
    </row>
    <row r="57" spans="1:20" s="289" customFormat="1" ht="20.100000000000001" customHeight="1" thickBot="1">
      <c r="A57" s="694"/>
      <c r="B57" s="707"/>
      <c r="C57" s="279">
        <v>5</v>
      </c>
      <c r="D57" s="244"/>
      <c r="E57" s="291"/>
      <c r="F57" s="292"/>
      <c r="G57" s="350"/>
      <c r="H57" s="305"/>
      <c r="I57" s="306"/>
      <c r="J57" s="383"/>
      <c r="K57" s="379"/>
      <c r="L57" s="317"/>
      <c r="M57" s="322">
        <f t="shared" si="5"/>
        <v>0</v>
      </c>
      <c r="N57" s="288"/>
      <c r="O57" s="812"/>
      <c r="P57" s="813"/>
      <c r="R57" s="211"/>
    </row>
    <row r="58" spans="1:20" s="289" customFormat="1" thickTop="1" thickBot="1">
      <c r="A58" s="695"/>
      <c r="B58" s="708"/>
      <c r="C58" s="703"/>
      <c r="D58" s="704"/>
      <c r="E58" s="704"/>
      <c r="F58" s="704"/>
      <c r="G58" s="704"/>
      <c r="H58" s="704"/>
      <c r="I58" s="705"/>
      <c r="J58" s="347" t="s">
        <v>58</v>
      </c>
      <c r="K58" s="212">
        <f>M58/'生產管理報表 7-1 (週)'!$B$20</f>
        <v>1.5432024828075512E-2</v>
      </c>
      <c r="L58" s="348" t="s">
        <v>59</v>
      </c>
      <c r="M58" s="384">
        <f>SUM(M53:M57)</f>
        <v>1294.4354000000005</v>
      </c>
      <c r="N58" s="680"/>
      <c r="O58" s="681"/>
      <c r="P58" s="682"/>
      <c r="R58" s="210"/>
    </row>
    <row r="59" spans="1:20" s="289" customFormat="1" ht="15.75" customHeight="1" thickTop="1">
      <c r="B59" s="297"/>
      <c r="C59" s="298"/>
      <c r="M59" s="329"/>
      <c r="R59" s="210"/>
    </row>
    <row r="60" spans="1:20" s="289" customFormat="1" ht="14.25">
      <c r="A60" s="683" t="s">
        <v>174</v>
      </c>
      <c r="B60" s="684"/>
      <c r="C60" s="303" t="s">
        <v>47</v>
      </c>
      <c r="D60" s="685" t="s">
        <v>12</v>
      </c>
      <c r="E60" s="686"/>
      <c r="F60" s="687"/>
      <c r="G60" s="688" t="s">
        <v>53</v>
      </c>
      <c r="H60" s="689"/>
      <c r="I60" s="690"/>
      <c r="J60" s="304" t="s">
        <v>54</v>
      </c>
      <c r="K60" s="276" t="s">
        <v>55</v>
      </c>
      <c r="L60" s="276" t="s">
        <v>56</v>
      </c>
      <c r="M60" s="330" t="s">
        <v>11</v>
      </c>
      <c r="N60" s="277" t="s">
        <v>312</v>
      </c>
      <c r="O60" s="691" t="s">
        <v>51</v>
      </c>
      <c r="P60" s="692"/>
      <c r="R60" s="210"/>
      <c r="S60" s="2"/>
    </row>
    <row r="61" spans="1:20" s="289" customFormat="1" ht="39.950000000000003" customHeight="1">
      <c r="A61" s="693">
        <v>6</v>
      </c>
      <c r="B61" s="706" t="s">
        <v>199</v>
      </c>
      <c r="C61" s="279">
        <v>1</v>
      </c>
      <c r="D61" s="337" t="s">
        <v>319</v>
      </c>
      <c r="E61" s="281"/>
      <c r="F61" s="282"/>
      <c r="G61" s="240" t="s">
        <v>495</v>
      </c>
      <c r="H61" s="305"/>
      <c r="I61" s="240"/>
      <c r="J61" s="312">
        <v>39.389999999999993</v>
      </c>
      <c r="K61" s="313">
        <v>1.0358547516692582E-3</v>
      </c>
      <c r="L61" s="314">
        <v>27.18</v>
      </c>
      <c r="M61" s="322">
        <f t="shared" ref="M61:M65" si="6">L61*J61</f>
        <v>1070.6201999999998</v>
      </c>
      <c r="N61" s="288"/>
      <c r="O61" s="711" t="s">
        <v>607</v>
      </c>
      <c r="P61" s="712"/>
      <c r="R61" s="336"/>
      <c r="S61" s="392"/>
    </row>
    <row r="62" spans="1:20" s="298" customFormat="1" ht="39.950000000000003" customHeight="1">
      <c r="A62" s="694"/>
      <c r="B62" s="707"/>
      <c r="C62" s="279">
        <v>2</v>
      </c>
      <c r="D62" s="237" t="s">
        <v>690</v>
      </c>
      <c r="E62" s="238"/>
      <c r="F62" s="239"/>
      <c r="G62" s="240" t="s">
        <v>691</v>
      </c>
      <c r="H62" s="305"/>
      <c r="I62" s="240"/>
      <c r="J62" s="312">
        <v>48.920000000000009</v>
      </c>
      <c r="K62" s="313">
        <v>4.1059099793298356E-3</v>
      </c>
      <c r="L62" s="314">
        <v>20.439999999999998</v>
      </c>
      <c r="M62" s="322">
        <f t="shared" si="6"/>
        <v>999.92480000000012</v>
      </c>
      <c r="N62" s="314"/>
      <c r="O62" s="810" t="s">
        <v>607</v>
      </c>
      <c r="P62" s="811"/>
      <c r="S62" s="96"/>
    </row>
    <row r="63" spans="1:20" s="289" customFormat="1" ht="39.950000000000003" customHeight="1">
      <c r="A63" s="694"/>
      <c r="B63" s="707"/>
      <c r="C63" s="279">
        <v>3</v>
      </c>
      <c r="D63" s="237" t="s">
        <v>581</v>
      </c>
      <c r="E63" s="281"/>
      <c r="F63" s="282"/>
      <c r="G63" s="240" t="s">
        <v>592</v>
      </c>
      <c r="H63" s="305"/>
      <c r="I63" s="285"/>
      <c r="J63" s="312">
        <v>52.26</v>
      </c>
      <c r="K63" s="313">
        <v>3.5377291419016149E-3</v>
      </c>
      <c r="L63" s="314">
        <v>18.66</v>
      </c>
      <c r="M63" s="322">
        <f t="shared" si="6"/>
        <v>975.17160000000001</v>
      </c>
      <c r="N63" s="288"/>
      <c r="O63" s="810" t="s">
        <v>607</v>
      </c>
      <c r="P63" s="811"/>
      <c r="S63" s="2"/>
    </row>
    <row r="64" spans="1:20" s="289" customFormat="1" ht="39.950000000000003" customHeight="1">
      <c r="A64" s="694"/>
      <c r="B64" s="707"/>
      <c r="C64" s="279">
        <v>4</v>
      </c>
      <c r="D64" s="237"/>
      <c r="E64" s="281"/>
      <c r="F64" s="282"/>
      <c r="G64" s="350"/>
      <c r="H64" s="305"/>
      <c r="I64" s="306"/>
      <c r="J64" s="312"/>
      <c r="K64" s="313"/>
      <c r="L64" s="314"/>
      <c r="M64" s="322">
        <f t="shared" si="6"/>
        <v>0</v>
      </c>
      <c r="N64" s="288"/>
      <c r="O64" s="810"/>
      <c r="P64" s="811"/>
      <c r="R64" s="2"/>
      <c r="S64" s="2"/>
    </row>
    <row r="65" spans="1:20" s="289" customFormat="1" ht="39.950000000000003" customHeight="1" thickBot="1">
      <c r="A65" s="694"/>
      <c r="B65" s="707"/>
      <c r="C65" s="279">
        <v>5</v>
      </c>
      <c r="D65" s="244"/>
      <c r="E65" s="291"/>
      <c r="F65" s="292"/>
      <c r="G65" s="350"/>
      <c r="H65" s="305"/>
      <c r="I65" s="306"/>
      <c r="J65" s="383"/>
      <c r="K65" s="379"/>
      <c r="L65" s="317"/>
      <c r="M65" s="322">
        <f t="shared" si="6"/>
        <v>0</v>
      </c>
      <c r="N65" s="288"/>
      <c r="O65" s="810"/>
      <c r="P65" s="811"/>
      <c r="R65" s="2"/>
      <c r="S65" s="2"/>
    </row>
    <row r="66" spans="1:20" s="289" customFormat="1" thickTop="1" thickBot="1">
      <c r="A66" s="695"/>
      <c r="B66" s="708"/>
      <c r="C66" s="703"/>
      <c r="D66" s="704"/>
      <c r="E66" s="704"/>
      <c r="F66" s="704"/>
      <c r="G66" s="704"/>
      <c r="H66" s="704"/>
      <c r="I66" s="705"/>
      <c r="J66" s="347" t="s">
        <v>58</v>
      </c>
      <c r="K66" s="212">
        <f>M66/'生產管理報表 7-1 (週)'!$B$20</f>
        <v>3.631048269421689E-2</v>
      </c>
      <c r="L66" s="348" t="s">
        <v>59</v>
      </c>
      <c r="M66" s="384">
        <f>SUM(M61:M65)</f>
        <v>3045.7166000000002</v>
      </c>
      <c r="N66" s="680"/>
      <c r="O66" s="681"/>
      <c r="P66" s="682"/>
      <c r="R66" s="2"/>
      <c r="S66" s="2"/>
    </row>
    <row r="67" spans="1:20" s="289" customFormat="1" ht="15.75" customHeight="1" thickTop="1">
      <c r="B67" s="297"/>
      <c r="C67" s="298"/>
      <c r="M67" s="329"/>
      <c r="R67" s="2"/>
      <c r="S67" s="2"/>
    </row>
    <row r="68" spans="1:20" s="289" customFormat="1" ht="14.25">
      <c r="A68" s="683" t="s">
        <v>174</v>
      </c>
      <c r="B68" s="684"/>
      <c r="C68" s="303" t="s">
        <v>47</v>
      </c>
      <c r="D68" s="685" t="s">
        <v>12</v>
      </c>
      <c r="E68" s="686"/>
      <c r="F68" s="687"/>
      <c r="G68" s="688" t="s">
        <v>53</v>
      </c>
      <c r="H68" s="689"/>
      <c r="I68" s="690"/>
      <c r="J68" s="304" t="s">
        <v>54</v>
      </c>
      <c r="K68" s="276" t="s">
        <v>55</v>
      </c>
      <c r="L68" s="276" t="s">
        <v>56</v>
      </c>
      <c r="M68" s="330" t="s">
        <v>11</v>
      </c>
      <c r="N68" s="277" t="s">
        <v>312</v>
      </c>
      <c r="O68" s="691" t="s">
        <v>51</v>
      </c>
      <c r="P68" s="692"/>
      <c r="R68" s="2"/>
      <c r="S68" s="2"/>
    </row>
    <row r="69" spans="1:20" s="289" customFormat="1" ht="20.100000000000001" customHeight="1">
      <c r="A69" s="693">
        <v>7</v>
      </c>
      <c r="B69" s="696" t="s">
        <v>231</v>
      </c>
      <c r="C69" s="279">
        <v>1</v>
      </c>
      <c r="D69" s="280"/>
      <c r="E69" s="281"/>
      <c r="F69" s="282"/>
      <c r="G69" s="283"/>
      <c r="H69" s="284"/>
      <c r="I69" s="285"/>
      <c r="J69" s="286"/>
      <c r="K69" s="287"/>
      <c r="L69" s="288"/>
      <c r="M69" s="331">
        <f t="shared" ref="M69:M71" si="7">L69*J69</f>
        <v>0</v>
      </c>
      <c r="N69" s="288"/>
      <c r="O69" s="699"/>
      <c r="P69" s="700"/>
      <c r="R69" s="2"/>
      <c r="S69" s="2"/>
    </row>
    <row r="70" spans="1:20" s="289" customFormat="1" ht="20.100000000000001" customHeight="1">
      <c r="A70" s="694"/>
      <c r="B70" s="697"/>
      <c r="C70" s="279">
        <v>2</v>
      </c>
      <c r="D70" s="280"/>
      <c r="E70" s="281"/>
      <c r="F70" s="282"/>
      <c r="G70" s="283"/>
      <c r="H70" s="284"/>
      <c r="I70" s="285"/>
      <c r="J70" s="286"/>
      <c r="K70" s="287"/>
      <c r="L70" s="288"/>
      <c r="M70" s="331">
        <f t="shared" si="7"/>
        <v>0</v>
      </c>
      <c r="N70" s="288"/>
      <c r="O70" s="701"/>
      <c r="P70" s="702"/>
      <c r="R70" s="2"/>
      <c r="S70" s="2"/>
    </row>
    <row r="71" spans="1:20" s="289" customFormat="1" ht="20.100000000000001" customHeight="1">
      <c r="A71" s="694"/>
      <c r="B71" s="697"/>
      <c r="C71" s="279">
        <v>3</v>
      </c>
      <c r="D71" s="280"/>
      <c r="E71" s="281"/>
      <c r="F71" s="282"/>
      <c r="G71" s="283"/>
      <c r="H71" s="284"/>
      <c r="I71" s="285"/>
      <c r="J71" s="286"/>
      <c r="K71" s="287"/>
      <c r="L71" s="288"/>
      <c r="M71" s="331">
        <f t="shared" si="7"/>
        <v>0</v>
      </c>
      <c r="N71" s="288"/>
      <c r="O71" s="701"/>
      <c r="P71" s="702"/>
      <c r="R71" s="2"/>
      <c r="S71" s="2"/>
    </row>
    <row r="72" spans="1:20" s="289" customFormat="1" ht="20.100000000000001" customHeight="1">
      <c r="A72" s="694"/>
      <c r="B72" s="697"/>
      <c r="C72" s="279">
        <v>4</v>
      </c>
      <c r="D72" s="280"/>
      <c r="E72" s="281"/>
      <c r="F72" s="282"/>
      <c r="G72" s="283"/>
      <c r="H72" s="284"/>
      <c r="I72" s="285"/>
      <c r="J72" s="286"/>
      <c r="K72" s="287"/>
      <c r="L72" s="288"/>
      <c r="M72" s="332">
        <v>0</v>
      </c>
      <c r="N72" s="288"/>
      <c r="O72" s="299"/>
      <c r="P72" s="300"/>
      <c r="R72" s="2"/>
      <c r="S72" s="2"/>
    </row>
    <row r="73" spans="1:20" s="289" customFormat="1" ht="20.100000000000001" customHeight="1" thickBot="1">
      <c r="A73" s="694"/>
      <c r="B73" s="697"/>
      <c r="C73" s="279">
        <v>5</v>
      </c>
      <c r="D73" s="290"/>
      <c r="E73" s="291"/>
      <c r="F73" s="292"/>
      <c r="G73" s="283"/>
      <c r="H73" s="284"/>
      <c r="I73" s="285"/>
      <c r="J73" s="383"/>
      <c r="K73" s="379"/>
      <c r="L73" s="317"/>
      <c r="M73" s="333">
        <v>0</v>
      </c>
      <c r="N73" s="288"/>
      <c r="O73" s="301"/>
      <c r="P73" s="302"/>
      <c r="R73" s="2"/>
      <c r="S73" s="2"/>
    </row>
    <row r="74" spans="1:20" s="289" customFormat="1" thickTop="1" thickBot="1">
      <c r="A74" s="695"/>
      <c r="B74" s="698"/>
      <c r="C74" s="703"/>
      <c r="D74" s="704"/>
      <c r="E74" s="704"/>
      <c r="F74" s="704"/>
      <c r="G74" s="704"/>
      <c r="H74" s="704"/>
      <c r="I74" s="705"/>
      <c r="J74" s="347" t="s">
        <v>58</v>
      </c>
      <c r="K74" s="212">
        <f>M74/'生產管理報表 7-1 (週)'!$B$20</f>
        <v>0</v>
      </c>
      <c r="L74" s="348" t="s">
        <v>59</v>
      </c>
      <c r="M74" s="384">
        <f>SUM(M69:M73)</f>
        <v>0</v>
      </c>
      <c r="N74" s="680"/>
      <c r="O74" s="681"/>
      <c r="P74" s="682"/>
      <c r="R74" s="2"/>
      <c r="S74" s="2"/>
      <c r="T74" s="2"/>
    </row>
    <row r="75" spans="1:20" s="135" customFormat="1" ht="15.75" customHeight="1" thickTop="1">
      <c r="A75" s="809" t="s">
        <v>705</v>
      </c>
      <c r="B75" s="809"/>
      <c r="C75" s="809"/>
      <c r="D75" s="809"/>
      <c r="E75" s="809"/>
      <c r="F75" s="809"/>
      <c r="G75" s="809"/>
      <c r="H75" s="809"/>
      <c r="I75" s="809"/>
      <c r="J75" s="809"/>
      <c r="K75" s="809"/>
      <c r="L75" s="809"/>
      <c r="M75" s="809"/>
      <c r="Q75" s="231"/>
      <c r="R75" s="231"/>
      <c r="S75" s="231"/>
      <c r="T75" s="231"/>
    </row>
    <row r="76" spans="1:20" s="136" customFormat="1" ht="15.75" customHeight="1">
      <c r="A76" s="745"/>
      <c r="B76" s="745"/>
      <c r="C76" s="745"/>
      <c r="D76" s="745"/>
      <c r="E76" s="745"/>
      <c r="F76" s="745"/>
      <c r="G76" s="745"/>
      <c r="H76" s="745"/>
      <c r="I76" s="745"/>
      <c r="J76" s="745"/>
      <c r="K76" s="745"/>
      <c r="L76" s="745"/>
      <c r="M76" s="745"/>
    </row>
    <row r="77" spans="1:20" s="135" customFormat="1" ht="12">
      <c r="A77" s="746" t="s">
        <v>174</v>
      </c>
      <c r="B77" s="748">
        <v>1</v>
      </c>
      <c r="C77" s="749"/>
      <c r="D77" s="748">
        <v>2</v>
      </c>
      <c r="E77" s="749"/>
      <c r="F77" s="748">
        <v>3</v>
      </c>
      <c r="G77" s="749"/>
      <c r="H77" s="739">
        <v>4</v>
      </c>
      <c r="I77" s="740"/>
      <c r="J77" s="739">
        <v>5</v>
      </c>
      <c r="K77" s="740"/>
      <c r="L77" s="739">
        <v>6</v>
      </c>
      <c r="M77" s="740"/>
      <c r="N77" s="739">
        <v>7</v>
      </c>
      <c r="O77" s="740"/>
      <c r="P77" s="352">
        <v>8</v>
      </c>
    </row>
    <row r="78" spans="1:20" s="135" customFormat="1">
      <c r="A78" s="747"/>
      <c r="B78" s="743" t="s">
        <v>427</v>
      </c>
      <c r="C78" s="744"/>
      <c r="D78" s="743" t="s">
        <v>195</v>
      </c>
      <c r="E78" s="744"/>
      <c r="F78" s="743" t="s">
        <v>166</v>
      </c>
      <c r="G78" s="744"/>
      <c r="H78" s="741" t="s">
        <v>406</v>
      </c>
      <c r="I78" s="742"/>
      <c r="J78" s="741" t="s">
        <v>172</v>
      </c>
      <c r="K78" s="742"/>
      <c r="L78" s="741" t="s">
        <v>167</v>
      </c>
      <c r="M78" s="742"/>
      <c r="N78" s="741" t="s">
        <v>173</v>
      </c>
      <c r="O78" s="742"/>
      <c r="P78" s="353" t="s">
        <v>200</v>
      </c>
    </row>
    <row r="79" spans="1:20" s="135" customFormat="1" ht="15.75" customHeight="1">
      <c r="B79" s="232"/>
      <c r="C79" s="233"/>
    </row>
    <row r="80" spans="1:20" s="278" customFormat="1">
      <c r="A80" s="683" t="s">
        <v>174</v>
      </c>
      <c r="B80" s="684"/>
      <c r="C80" s="275" t="s">
        <v>47</v>
      </c>
      <c r="D80" s="713" t="s">
        <v>12</v>
      </c>
      <c r="E80" s="714"/>
      <c r="F80" s="715"/>
      <c r="G80" s="716" t="s">
        <v>53</v>
      </c>
      <c r="H80" s="717"/>
      <c r="I80" s="718"/>
      <c r="J80" s="276" t="s">
        <v>54</v>
      </c>
      <c r="K80" s="276" t="s">
        <v>55</v>
      </c>
      <c r="L80" s="276" t="s">
        <v>56</v>
      </c>
      <c r="M80" s="277" t="s">
        <v>11</v>
      </c>
      <c r="N80" s="277" t="s">
        <v>312</v>
      </c>
      <c r="O80" s="691" t="s">
        <v>51</v>
      </c>
      <c r="P80" s="692"/>
      <c r="R80" s="210"/>
      <c r="S80" s="261"/>
    </row>
    <row r="81" spans="1:20" s="298" customFormat="1" ht="20.100000000000001" customHeight="1">
      <c r="A81" s="693">
        <v>4</v>
      </c>
      <c r="B81" s="727" t="s">
        <v>406</v>
      </c>
      <c r="C81" s="279">
        <v>1</v>
      </c>
      <c r="D81" s="237"/>
      <c r="E81" s="238"/>
      <c r="F81" s="239"/>
      <c r="G81" s="350"/>
      <c r="H81" s="305"/>
      <c r="I81" s="306"/>
      <c r="J81" s="312"/>
      <c r="K81" s="313"/>
      <c r="L81" s="314"/>
      <c r="M81" s="322">
        <f t="shared" ref="M81:M85" si="8">L81*J81</f>
        <v>0</v>
      </c>
      <c r="N81" s="314"/>
      <c r="O81" s="798"/>
      <c r="P81" s="799"/>
      <c r="R81" s="315"/>
      <c r="S81" s="261"/>
    </row>
    <row r="82" spans="1:20" s="298" customFormat="1" ht="20.100000000000001" customHeight="1">
      <c r="A82" s="694"/>
      <c r="B82" s="728"/>
      <c r="C82" s="279">
        <v>2</v>
      </c>
      <c r="D82" s="237"/>
      <c r="E82" s="238"/>
      <c r="F82" s="239"/>
      <c r="G82" s="350"/>
      <c r="H82" s="305"/>
      <c r="I82" s="306"/>
      <c r="J82" s="312"/>
      <c r="K82" s="313"/>
      <c r="L82" s="314"/>
      <c r="M82" s="322">
        <f t="shared" si="8"/>
        <v>0</v>
      </c>
      <c r="N82" s="314"/>
      <c r="O82" s="723"/>
      <c r="P82" s="724"/>
      <c r="R82" s="315"/>
      <c r="S82" s="210"/>
      <c r="T82" s="335"/>
    </row>
    <row r="83" spans="1:20" s="298" customFormat="1" ht="20.100000000000001" customHeight="1">
      <c r="A83" s="694"/>
      <c r="B83" s="728"/>
      <c r="C83" s="279">
        <v>3</v>
      </c>
      <c r="D83" s="237"/>
      <c r="E83" s="238"/>
      <c r="F83" s="239"/>
      <c r="G83" s="350"/>
      <c r="H83" s="305"/>
      <c r="I83" s="306"/>
      <c r="J83" s="312"/>
      <c r="K83" s="313"/>
      <c r="L83" s="314"/>
      <c r="M83" s="322">
        <f t="shared" si="8"/>
        <v>0</v>
      </c>
      <c r="N83" s="314"/>
      <c r="O83" s="798"/>
      <c r="P83" s="799"/>
      <c r="R83" s="315"/>
      <c r="S83" s="261"/>
    </row>
    <row r="84" spans="1:20" s="298" customFormat="1" ht="20.100000000000001" customHeight="1">
      <c r="A84" s="694"/>
      <c r="B84" s="728"/>
      <c r="C84" s="279">
        <v>4</v>
      </c>
      <c r="D84" s="237"/>
      <c r="E84" s="238"/>
      <c r="F84" s="239"/>
      <c r="G84" s="350"/>
      <c r="H84" s="305"/>
      <c r="I84" s="306"/>
      <c r="J84" s="312"/>
      <c r="K84" s="313"/>
      <c r="L84" s="314"/>
      <c r="M84" s="322">
        <f t="shared" si="8"/>
        <v>0</v>
      </c>
      <c r="N84" s="314"/>
      <c r="O84" s="798"/>
      <c r="P84" s="799"/>
      <c r="R84" s="315"/>
      <c r="S84" s="210"/>
      <c r="T84" s="335"/>
    </row>
    <row r="85" spans="1:20" s="298" customFormat="1" ht="20.100000000000001" customHeight="1" thickBot="1">
      <c r="A85" s="694"/>
      <c r="B85" s="728"/>
      <c r="C85" s="279">
        <v>5</v>
      </c>
      <c r="D85" s="237"/>
      <c r="E85" s="245"/>
      <c r="F85" s="246"/>
      <c r="G85" s="350"/>
      <c r="H85" s="305"/>
      <c r="I85" s="306"/>
      <c r="J85" s="383"/>
      <c r="K85" s="379"/>
      <c r="L85" s="317"/>
      <c r="M85" s="322">
        <f t="shared" si="8"/>
        <v>0</v>
      </c>
      <c r="N85" s="314"/>
      <c r="O85" s="798"/>
      <c r="P85" s="799"/>
      <c r="R85" s="318"/>
      <c r="S85" s="261"/>
      <c r="T85" s="289"/>
    </row>
    <row r="86" spans="1:20" s="289" customFormat="1" thickTop="1" thickBot="1">
      <c r="A86" s="695"/>
      <c r="B86" s="729"/>
      <c r="C86" s="736"/>
      <c r="D86" s="737"/>
      <c r="E86" s="737"/>
      <c r="F86" s="737"/>
      <c r="G86" s="737"/>
      <c r="H86" s="737"/>
      <c r="I86" s="738"/>
      <c r="J86" s="347" t="s">
        <v>58</v>
      </c>
      <c r="K86" s="212">
        <f>M86/'生產管理報表 7-1 (週)'!$B$31</f>
        <v>0</v>
      </c>
      <c r="L86" s="348" t="s">
        <v>59</v>
      </c>
      <c r="M86" s="384">
        <f>SUM(M81:M85)</f>
        <v>0</v>
      </c>
      <c r="N86" s="680"/>
      <c r="O86" s="681"/>
      <c r="P86" s="682"/>
      <c r="R86" s="210"/>
      <c r="S86" s="210"/>
    </row>
    <row r="87" spans="1:20" s="289" customFormat="1" ht="15.75" customHeight="1" thickTop="1">
      <c r="B87" s="297"/>
      <c r="C87" s="298"/>
      <c r="M87" s="329"/>
      <c r="S87" s="261"/>
    </row>
    <row r="88" spans="1:20" s="289" customFormat="1" ht="14.25">
      <c r="A88" s="683" t="s">
        <v>174</v>
      </c>
      <c r="B88" s="684"/>
      <c r="C88" s="275" t="s">
        <v>47</v>
      </c>
      <c r="D88" s="713" t="s">
        <v>12</v>
      </c>
      <c r="E88" s="714"/>
      <c r="F88" s="715"/>
      <c r="G88" s="716" t="s">
        <v>53</v>
      </c>
      <c r="H88" s="717"/>
      <c r="I88" s="718"/>
      <c r="J88" s="276" t="s">
        <v>54</v>
      </c>
      <c r="K88" s="276" t="s">
        <v>55</v>
      </c>
      <c r="L88" s="276" t="s">
        <v>56</v>
      </c>
      <c r="M88" s="330" t="s">
        <v>11</v>
      </c>
      <c r="N88" s="277" t="s">
        <v>312</v>
      </c>
      <c r="O88" s="691" t="s">
        <v>51</v>
      </c>
      <c r="P88" s="692"/>
      <c r="S88" s="210"/>
      <c r="T88" s="335"/>
    </row>
    <row r="89" spans="1:20" s="298" customFormat="1" ht="20.100000000000001" customHeight="1">
      <c r="A89" s="693">
        <v>5</v>
      </c>
      <c r="B89" s="706" t="s">
        <v>198</v>
      </c>
      <c r="C89" s="279">
        <v>1</v>
      </c>
      <c r="D89" s="237"/>
      <c r="E89" s="238"/>
      <c r="F89" s="239"/>
      <c r="G89" s="350"/>
      <c r="H89" s="305"/>
      <c r="I89" s="306"/>
      <c r="J89" s="312"/>
      <c r="K89" s="313"/>
      <c r="L89" s="314"/>
      <c r="M89" s="322">
        <f>L89*J89</f>
        <v>0</v>
      </c>
      <c r="N89" s="314"/>
      <c r="O89" s="723"/>
      <c r="P89" s="724"/>
      <c r="R89" s="335"/>
      <c r="S89" s="385"/>
    </row>
    <row r="90" spans="1:20" s="298" customFormat="1" ht="20.100000000000001" customHeight="1">
      <c r="A90" s="694"/>
      <c r="B90" s="707"/>
      <c r="C90" s="279">
        <v>2</v>
      </c>
      <c r="D90" s="237"/>
      <c r="E90" s="238"/>
      <c r="F90" s="239"/>
      <c r="G90" s="350"/>
      <c r="H90" s="305"/>
      <c r="I90" s="306"/>
      <c r="J90" s="312"/>
      <c r="K90" s="313"/>
      <c r="L90" s="314"/>
      <c r="M90" s="322">
        <f t="shared" ref="M90:M93" si="9">L90*J90</f>
        <v>0</v>
      </c>
      <c r="N90" s="314"/>
      <c r="O90" s="723"/>
      <c r="P90" s="724"/>
      <c r="S90" s="210"/>
      <c r="T90" s="336"/>
    </row>
    <row r="91" spans="1:20" s="289" customFormat="1" ht="20.100000000000001" customHeight="1">
      <c r="A91" s="694"/>
      <c r="B91" s="707"/>
      <c r="C91" s="279">
        <v>3</v>
      </c>
      <c r="D91" s="237"/>
      <c r="E91" s="281"/>
      <c r="F91" s="282"/>
      <c r="G91" s="350"/>
      <c r="H91" s="305"/>
      <c r="I91" s="306"/>
      <c r="J91" s="312"/>
      <c r="K91" s="313"/>
      <c r="L91" s="314"/>
      <c r="M91" s="322">
        <f t="shared" si="9"/>
        <v>0</v>
      </c>
      <c r="N91" s="288"/>
      <c r="O91" s="711"/>
      <c r="P91" s="712"/>
    </row>
    <row r="92" spans="1:20" s="289" customFormat="1" ht="20.100000000000001" customHeight="1">
      <c r="A92" s="694"/>
      <c r="B92" s="707"/>
      <c r="C92" s="279">
        <v>4</v>
      </c>
      <c r="D92" s="237"/>
      <c r="E92" s="281"/>
      <c r="F92" s="282"/>
      <c r="G92" s="350"/>
      <c r="H92" s="305"/>
      <c r="I92" s="306"/>
      <c r="J92" s="312"/>
      <c r="K92" s="313"/>
      <c r="L92" s="314"/>
      <c r="M92" s="322">
        <f t="shared" si="9"/>
        <v>0</v>
      </c>
      <c r="N92" s="288"/>
      <c r="O92" s="723"/>
      <c r="P92" s="724"/>
    </row>
    <row r="93" spans="1:20" s="289" customFormat="1" ht="20.100000000000001" customHeight="1" thickBot="1">
      <c r="A93" s="694"/>
      <c r="B93" s="707"/>
      <c r="C93" s="279">
        <v>5</v>
      </c>
      <c r="D93" s="244"/>
      <c r="E93" s="291"/>
      <c r="F93" s="292"/>
      <c r="G93" s="350"/>
      <c r="H93" s="305"/>
      <c r="I93" s="306"/>
      <c r="J93" s="383"/>
      <c r="K93" s="379"/>
      <c r="L93" s="317"/>
      <c r="M93" s="322">
        <f t="shared" si="9"/>
        <v>0</v>
      </c>
      <c r="N93" s="288"/>
      <c r="O93" s="812"/>
      <c r="P93" s="813"/>
      <c r="R93" s="211"/>
    </row>
    <row r="94" spans="1:20" s="289" customFormat="1" thickTop="1" thickBot="1">
      <c r="A94" s="695"/>
      <c r="B94" s="708"/>
      <c r="C94" s="703"/>
      <c r="D94" s="704"/>
      <c r="E94" s="704"/>
      <c r="F94" s="704"/>
      <c r="G94" s="704"/>
      <c r="H94" s="704"/>
      <c r="I94" s="705"/>
      <c r="J94" s="347" t="s">
        <v>58</v>
      </c>
      <c r="K94" s="212">
        <f>M94/'生產管理報表 7-1 (週)'!$B$31</f>
        <v>0</v>
      </c>
      <c r="L94" s="348" t="s">
        <v>59</v>
      </c>
      <c r="M94" s="384">
        <f>SUM(M89:M93)</f>
        <v>0</v>
      </c>
      <c r="N94" s="680"/>
      <c r="O94" s="681"/>
      <c r="P94" s="682"/>
      <c r="R94" s="210"/>
    </row>
    <row r="95" spans="1:20" s="289" customFormat="1" ht="15.75" customHeight="1" thickTop="1">
      <c r="B95" s="297"/>
      <c r="C95" s="298"/>
      <c r="M95" s="329"/>
      <c r="R95" s="210"/>
    </row>
    <row r="96" spans="1:20" s="289" customFormat="1" ht="14.25">
      <c r="A96" s="683" t="s">
        <v>174</v>
      </c>
      <c r="B96" s="684"/>
      <c r="C96" s="303" t="s">
        <v>47</v>
      </c>
      <c r="D96" s="685" t="s">
        <v>12</v>
      </c>
      <c r="E96" s="686"/>
      <c r="F96" s="687"/>
      <c r="G96" s="688" t="s">
        <v>53</v>
      </c>
      <c r="H96" s="689"/>
      <c r="I96" s="690"/>
      <c r="J96" s="304" t="s">
        <v>54</v>
      </c>
      <c r="K96" s="276" t="s">
        <v>55</v>
      </c>
      <c r="L96" s="276" t="s">
        <v>56</v>
      </c>
      <c r="M96" s="330" t="s">
        <v>11</v>
      </c>
      <c r="N96" s="277" t="s">
        <v>312</v>
      </c>
      <c r="O96" s="691" t="s">
        <v>51</v>
      </c>
      <c r="P96" s="692"/>
      <c r="R96" s="210"/>
      <c r="S96" s="2"/>
    </row>
    <row r="97" spans="1:20" s="289" customFormat="1" ht="39.950000000000003" customHeight="1">
      <c r="A97" s="693">
        <v>6</v>
      </c>
      <c r="B97" s="706" t="s">
        <v>199</v>
      </c>
      <c r="C97" s="279">
        <v>1</v>
      </c>
      <c r="D97" s="337"/>
      <c r="E97" s="281"/>
      <c r="F97" s="282"/>
      <c r="G97" s="306"/>
      <c r="H97" s="305"/>
      <c r="I97" s="240"/>
      <c r="J97" s="312"/>
      <c r="K97" s="313"/>
      <c r="L97" s="314"/>
      <c r="M97" s="322">
        <f t="shared" ref="M97:M101" si="10">L97*J97</f>
        <v>0</v>
      </c>
      <c r="N97" s="288"/>
      <c r="O97" s="711"/>
      <c r="P97" s="712"/>
      <c r="R97" s="336"/>
      <c r="S97" s="392"/>
    </row>
    <row r="98" spans="1:20" s="298" customFormat="1" ht="39.950000000000003" customHeight="1">
      <c r="A98" s="694"/>
      <c r="B98" s="707"/>
      <c r="C98" s="279">
        <v>2</v>
      </c>
      <c r="D98" s="237"/>
      <c r="E98" s="238"/>
      <c r="F98" s="239"/>
      <c r="G98" s="306"/>
      <c r="H98" s="305"/>
      <c r="I98" s="240"/>
      <c r="J98" s="312"/>
      <c r="K98" s="313"/>
      <c r="L98" s="314"/>
      <c r="M98" s="322">
        <f t="shared" si="10"/>
        <v>0</v>
      </c>
      <c r="N98" s="314"/>
      <c r="O98" s="810"/>
      <c r="P98" s="811"/>
      <c r="S98" s="96"/>
    </row>
    <row r="99" spans="1:20" s="289" customFormat="1" ht="39.950000000000003" customHeight="1">
      <c r="A99" s="694"/>
      <c r="B99" s="707"/>
      <c r="C99" s="279">
        <v>3</v>
      </c>
      <c r="D99" s="237"/>
      <c r="E99" s="281"/>
      <c r="F99" s="282"/>
      <c r="G99" s="306"/>
      <c r="H99" s="305"/>
      <c r="I99" s="285"/>
      <c r="J99" s="312"/>
      <c r="K99" s="313"/>
      <c r="L99" s="314"/>
      <c r="M99" s="322">
        <f t="shared" si="10"/>
        <v>0</v>
      </c>
      <c r="N99" s="288"/>
      <c r="O99" s="810"/>
      <c r="P99" s="811"/>
      <c r="S99" s="2"/>
    </row>
    <row r="100" spans="1:20" s="289" customFormat="1" ht="39.950000000000003" customHeight="1">
      <c r="A100" s="694"/>
      <c r="B100" s="707"/>
      <c r="C100" s="279">
        <v>4</v>
      </c>
      <c r="D100" s="237"/>
      <c r="E100" s="281"/>
      <c r="F100" s="282"/>
      <c r="G100" s="306"/>
      <c r="H100" s="305"/>
      <c r="I100" s="285"/>
      <c r="J100" s="312"/>
      <c r="K100" s="313"/>
      <c r="L100" s="314"/>
      <c r="M100" s="322">
        <f t="shared" si="10"/>
        <v>0</v>
      </c>
      <c r="N100" s="288"/>
      <c r="O100" s="810"/>
      <c r="P100" s="811"/>
      <c r="R100" s="2"/>
      <c r="S100" s="2"/>
    </row>
    <row r="101" spans="1:20" s="289" customFormat="1" ht="39.950000000000003" customHeight="1" thickBot="1">
      <c r="A101" s="694"/>
      <c r="B101" s="707"/>
      <c r="C101" s="279">
        <v>5</v>
      </c>
      <c r="D101" s="244"/>
      <c r="E101" s="291"/>
      <c r="F101" s="292"/>
      <c r="G101" s="306"/>
      <c r="H101" s="305"/>
      <c r="I101" s="285"/>
      <c r="J101" s="383"/>
      <c r="K101" s="379"/>
      <c r="L101" s="317"/>
      <c r="M101" s="322">
        <f t="shared" si="10"/>
        <v>0</v>
      </c>
      <c r="N101" s="288"/>
      <c r="O101" s="810"/>
      <c r="P101" s="811"/>
      <c r="R101" s="2"/>
      <c r="S101" s="2"/>
    </row>
    <row r="102" spans="1:20" s="289" customFormat="1" thickTop="1" thickBot="1">
      <c r="A102" s="695"/>
      <c r="B102" s="708"/>
      <c r="C102" s="703"/>
      <c r="D102" s="704"/>
      <c r="E102" s="704"/>
      <c r="F102" s="704"/>
      <c r="G102" s="704"/>
      <c r="H102" s="704"/>
      <c r="I102" s="705"/>
      <c r="J102" s="347" t="s">
        <v>58</v>
      </c>
      <c r="K102" s="212">
        <f>M102/'生產管理報表 7-1 (週)'!$B$31</f>
        <v>0</v>
      </c>
      <c r="L102" s="348" t="s">
        <v>59</v>
      </c>
      <c r="M102" s="384">
        <f>SUM(M97:M101)</f>
        <v>0</v>
      </c>
      <c r="N102" s="680"/>
      <c r="O102" s="681"/>
      <c r="P102" s="682"/>
      <c r="R102" s="2"/>
      <c r="S102" s="2"/>
    </row>
    <row r="103" spans="1:20" s="289" customFormat="1" ht="15.75" customHeight="1" thickTop="1">
      <c r="B103" s="297"/>
      <c r="C103" s="298"/>
      <c r="M103" s="329"/>
      <c r="R103" s="2"/>
      <c r="S103" s="2"/>
    </row>
    <row r="104" spans="1:20" s="289" customFormat="1" ht="14.25">
      <c r="A104" s="683" t="s">
        <v>174</v>
      </c>
      <c r="B104" s="684"/>
      <c r="C104" s="303" t="s">
        <v>47</v>
      </c>
      <c r="D104" s="685" t="s">
        <v>12</v>
      </c>
      <c r="E104" s="686"/>
      <c r="F104" s="687"/>
      <c r="G104" s="688" t="s">
        <v>53</v>
      </c>
      <c r="H104" s="689"/>
      <c r="I104" s="690"/>
      <c r="J104" s="304" t="s">
        <v>54</v>
      </c>
      <c r="K104" s="276" t="s">
        <v>55</v>
      </c>
      <c r="L104" s="276" t="s">
        <v>56</v>
      </c>
      <c r="M104" s="330" t="s">
        <v>11</v>
      </c>
      <c r="N104" s="277" t="s">
        <v>312</v>
      </c>
      <c r="O104" s="691" t="s">
        <v>51</v>
      </c>
      <c r="P104" s="692"/>
      <c r="R104" s="2"/>
      <c r="S104" s="2"/>
    </row>
    <row r="105" spans="1:20" s="289" customFormat="1" ht="20.100000000000001" customHeight="1">
      <c r="A105" s="693">
        <v>7</v>
      </c>
      <c r="B105" s="696" t="s">
        <v>231</v>
      </c>
      <c r="C105" s="279">
        <v>1</v>
      </c>
      <c r="D105" s="280"/>
      <c r="E105" s="281"/>
      <c r="F105" s="282"/>
      <c r="G105" s="283"/>
      <c r="H105" s="284"/>
      <c r="I105" s="285"/>
      <c r="J105" s="286"/>
      <c r="K105" s="287"/>
      <c r="L105" s="288"/>
      <c r="M105" s="331">
        <f t="shared" ref="M105:M107" si="11">L105*J105</f>
        <v>0</v>
      </c>
      <c r="N105" s="288"/>
      <c r="O105" s="699"/>
      <c r="P105" s="700"/>
      <c r="R105" s="2"/>
      <c r="S105" s="2"/>
    </row>
    <row r="106" spans="1:20" s="289" customFormat="1" ht="20.100000000000001" customHeight="1">
      <c r="A106" s="694"/>
      <c r="B106" s="697"/>
      <c r="C106" s="279">
        <v>2</v>
      </c>
      <c r="D106" s="280"/>
      <c r="E106" s="281"/>
      <c r="F106" s="282"/>
      <c r="G106" s="283"/>
      <c r="H106" s="284"/>
      <c r="I106" s="285"/>
      <c r="J106" s="286"/>
      <c r="K106" s="287"/>
      <c r="L106" s="288"/>
      <c r="M106" s="331">
        <f t="shared" si="11"/>
        <v>0</v>
      </c>
      <c r="N106" s="288"/>
      <c r="O106" s="701"/>
      <c r="P106" s="702"/>
      <c r="R106" s="2"/>
      <c r="S106" s="2"/>
    </row>
    <row r="107" spans="1:20" s="289" customFormat="1" ht="20.100000000000001" customHeight="1">
      <c r="A107" s="694"/>
      <c r="B107" s="697"/>
      <c r="C107" s="279">
        <v>3</v>
      </c>
      <c r="D107" s="280"/>
      <c r="E107" s="281"/>
      <c r="F107" s="282"/>
      <c r="G107" s="283"/>
      <c r="H107" s="284"/>
      <c r="I107" s="285"/>
      <c r="J107" s="286"/>
      <c r="K107" s="287"/>
      <c r="L107" s="288"/>
      <c r="M107" s="331">
        <f t="shared" si="11"/>
        <v>0</v>
      </c>
      <c r="N107" s="288"/>
      <c r="O107" s="701"/>
      <c r="P107" s="702"/>
      <c r="R107" s="2"/>
      <c r="S107" s="2"/>
    </row>
    <row r="108" spans="1:20" s="289" customFormat="1" ht="20.100000000000001" customHeight="1">
      <c r="A108" s="694"/>
      <c r="B108" s="697"/>
      <c r="C108" s="279">
        <v>4</v>
      </c>
      <c r="D108" s="280"/>
      <c r="E108" s="281"/>
      <c r="F108" s="282"/>
      <c r="G108" s="283"/>
      <c r="H108" s="284"/>
      <c r="I108" s="285"/>
      <c r="J108" s="286"/>
      <c r="K108" s="287"/>
      <c r="L108" s="288"/>
      <c r="M108" s="332">
        <v>0</v>
      </c>
      <c r="N108" s="288"/>
      <c r="O108" s="299"/>
      <c r="P108" s="300"/>
      <c r="R108" s="2"/>
      <c r="S108" s="2"/>
    </row>
    <row r="109" spans="1:20" s="289" customFormat="1" ht="20.100000000000001" customHeight="1" thickBot="1">
      <c r="A109" s="694"/>
      <c r="B109" s="697"/>
      <c r="C109" s="279">
        <v>5</v>
      </c>
      <c r="D109" s="290"/>
      <c r="E109" s="291"/>
      <c r="F109" s="292"/>
      <c r="G109" s="283"/>
      <c r="H109" s="284"/>
      <c r="I109" s="285"/>
      <c r="J109" s="383"/>
      <c r="K109" s="379"/>
      <c r="L109" s="317"/>
      <c r="M109" s="333">
        <v>0</v>
      </c>
      <c r="N109" s="288"/>
      <c r="O109" s="301"/>
      <c r="P109" s="302"/>
      <c r="R109" s="2"/>
      <c r="S109" s="2"/>
    </row>
    <row r="110" spans="1:20" s="289" customFormat="1" thickTop="1" thickBot="1">
      <c r="A110" s="695"/>
      <c r="B110" s="698"/>
      <c r="C110" s="703"/>
      <c r="D110" s="704"/>
      <c r="E110" s="704"/>
      <c r="F110" s="704"/>
      <c r="G110" s="704"/>
      <c r="H110" s="704"/>
      <c r="I110" s="705"/>
      <c r="J110" s="347" t="s">
        <v>58</v>
      </c>
      <c r="K110" s="212">
        <f>M110/'生產管理報表 7-1 (週)'!$B$31</f>
        <v>0</v>
      </c>
      <c r="L110" s="348" t="s">
        <v>59</v>
      </c>
      <c r="M110" s="384">
        <f>SUM(M105:M109)</f>
        <v>0</v>
      </c>
      <c r="N110" s="680"/>
      <c r="O110" s="681"/>
      <c r="P110" s="682"/>
      <c r="R110" s="2"/>
      <c r="S110" s="2"/>
      <c r="T110" s="2"/>
    </row>
    <row r="111" spans="1:20" ht="15.75" customHeight="1" thickTop="1"/>
  </sheetData>
  <mergeCells count="199"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  <mergeCell ref="N38:P38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:P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B6:C6"/>
    <mergeCell ref="D6:E6"/>
    <mergeCell ref="F6:G6"/>
    <mergeCell ref="H6:I6"/>
    <mergeCell ref="J6:K6"/>
    <mergeCell ref="L6:M6"/>
    <mergeCell ref="N6:O6"/>
    <mergeCell ref="A75:M76"/>
    <mergeCell ref="A77:A78"/>
    <mergeCell ref="B77:C77"/>
    <mergeCell ref="D77:E77"/>
    <mergeCell ref="F77:G77"/>
    <mergeCell ref="H77:I77"/>
    <mergeCell ref="J77:K77"/>
    <mergeCell ref="L77:M77"/>
    <mergeCell ref="N77:O77"/>
    <mergeCell ref="B78:C78"/>
    <mergeCell ref="D78:E78"/>
    <mergeCell ref="F78:G78"/>
    <mergeCell ref="H78:I78"/>
    <mergeCell ref="J78:K78"/>
    <mergeCell ref="L78:M78"/>
    <mergeCell ref="N78:O78"/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O84:P84"/>
    <mergeCell ref="O85:P85"/>
    <mergeCell ref="C86:I86"/>
    <mergeCell ref="N86:P86"/>
    <mergeCell ref="A88:B88"/>
    <mergeCell ref="D88:F88"/>
    <mergeCell ref="G88:I88"/>
    <mergeCell ref="O88:P88"/>
    <mergeCell ref="A89:A94"/>
    <mergeCell ref="B89:B94"/>
    <mergeCell ref="O89:P89"/>
    <mergeCell ref="O90:P90"/>
    <mergeCell ref="O91:P91"/>
    <mergeCell ref="O92:P92"/>
    <mergeCell ref="O93:P93"/>
    <mergeCell ref="C94:I94"/>
    <mergeCell ref="N94:P94"/>
    <mergeCell ref="A96:B96"/>
    <mergeCell ref="D96:F96"/>
    <mergeCell ref="G96:I96"/>
    <mergeCell ref="O96:P96"/>
    <mergeCell ref="A97:A102"/>
    <mergeCell ref="B97:B102"/>
    <mergeCell ref="O97:P97"/>
    <mergeCell ref="C102:I102"/>
    <mergeCell ref="N102:P102"/>
    <mergeCell ref="O98:P98"/>
    <mergeCell ref="O99:P99"/>
    <mergeCell ref="O100:P100"/>
    <mergeCell ref="O101:P101"/>
    <mergeCell ref="A104:B104"/>
    <mergeCell ref="D104:F104"/>
    <mergeCell ref="G104:I104"/>
    <mergeCell ref="O104:P104"/>
    <mergeCell ref="A105:A110"/>
    <mergeCell ref="B105:B110"/>
    <mergeCell ref="O105:P105"/>
    <mergeCell ref="O106:P106"/>
    <mergeCell ref="O107:P107"/>
    <mergeCell ref="C110:I110"/>
    <mergeCell ref="N110:P110"/>
    <mergeCell ref="A39:M40"/>
    <mergeCell ref="A41:A42"/>
    <mergeCell ref="B41:C41"/>
    <mergeCell ref="D41:E41"/>
    <mergeCell ref="F41:G41"/>
    <mergeCell ref="H41:I41"/>
    <mergeCell ref="J41:K41"/>
    <mergeCell ref="L41:M41"/>
    <mergeCell ref="N41:O41"/>
    <mergeCell ref="B42:C42"/>
    <mergeCell ref="D42:E42"/>
    <mergeCell ref="F42:G42"/>
    <mergeCell ref="H42:I42"/>
    <mergeCell ref="J42:K42"/>
    <mergeCell ref="L42:M42"/>
    <mergeCell ref="N42:O42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O48:P48"/>
    <mergeCell ref="O49:P49"/>
    <mergeCell ref="C50:I50"/>
    <mergeCell ref="N50:P50"/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O56:P56"/>
    <mergeCell ref="O57:P57"/>
    <mergeCell ref="C58:I58"/>
    <mergeCell ref="N58:P58"/>
    <mergeCell ref="A60:B60"/>
    <mergeCell ref="D60:F60"/>
    <mergeCell ref="G60:I60"/>
    <mergeCell ref="O60:P60"/>
    <mergeCell ref="A61:A66"/>
    <mergeCell ref="B61:B66"/>
    <mergeCell ref="O61:P61"/>
    <mergeCell ref="O62:P62"/>
    <mergeCell ref="O63:P63"/>
    <mergeCell ref="O64:P64"/>
    <mergeCell ref="O65:P65"/>
    <mergeCell ref="C66:I66"/>
    <mergeCell ref="N66:P66"/>
    <mergeCell ref="A68:B68"/>
    <mergeCell ref="D68:F68"/>
    <mergeCell ref="G68:I68"/>
    <mergeCell ref="O68:P68"/>
    <mergeCell ref="A69:A74"/>
    <mergeCell ref="B69:B74"/>
    <mergeCell ref="O69:P69"/>
    <mergeCell ref="O70:P70"/>
    <mergeCell ref="O71:P71"/>
    <mergeCell ref="C74:I74"/>
    <mergeCell ref="N74:P74"/>
  </mergeCells>
  <phoneticPr fontId="10"/>
  <printOptions horizontalCentered="1" gridLines="1"/>
  <pageMargins left="0.39370078740157483" right="0.39370078740157483" top="0.39370078740157483" bottom="0.39370078740157483" header="0" footer="0"/>
  <pageSetup paperSize="9" scale="50" fitToWidth="0" fitToHeight="0" pageOrder="overThenDown" orientation="landscape" cellComments="atEnd" r:id="rId1"/>
  <rowBreaks count="1" manualBreakCount="1">
    <brk id="38" max="15" man="1"/>
  </row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0">
    <tabColor rgb="FF92D050"/>
    <outlinePr summaryBelow="0" summaryRight="0"/>
  </sheetPr>
  <dimension ref="A1:BW31"/>
  <sheetViews>
    <sheetView view="pageBreakPreview" zoomScaleNormal="60" zoomScaleSheetLayoutView="100" workbookViewId="0">
      <selection activeCell="K14" sqref="K14"/>
    </sheetView>
  </sheetViews>
  <sheetFormatPr defaultColWidth="12.5703125" defaultRowHeight="15.75" customHeight="1"/>
  <cols>
    <col min="1" max="1" width="5.42578125" style="135" customWidth="1"/>
    <col min="2" max="2" width="11.42578125" style="232" customWidth="1"/>
    <col min="3" max="3" width="4" style="233" customWidth="1"/>
    <col min="4" max="15" width="9.5703125" style="135" customWidth="1"/>
    <col min="16" max="16" width="47.85546875" style="135" customWidth="1"/>
    <col min="17" max="17" width="9.5703125" style="135" customWidth="1"/>
    <col min="18" max="21" width="12.5703125" style="231"/>
    <col min="22" max="22" width="24.42578125" style="135" bestFit="1" customWidth="1"/>
    <col min="23" max="23" width="19.42578125" style="135" bestFit="1" customWidth="1"/>
    <col min="24" max="24" width="23" style="135" bestFit="1" customWidth="1"/>
    <col min="25" max="25" width="11.7109375" style="135" bestFit="1" customWidth="1"/>
    <col min="26" max="26" width="15.85546875" style="135" bestFit="1" customWidth="1"/>
    <col min="27" max="27" width="23.5703125" style="135" bestFit="1" customWidth="1"/>
    <col min="28" max="28" width="23" style="135" bestFit="1" customWidth="1"/>
    <col min="29" max="29" width="11.7109375" style="135" bestFit="1" customWidth="1"/>
    <col min="30" max="30" width="20.5703125" style="135" bestFit="1" customWidth="1"/>
    <col min="31" max="31" width="15" style="135" bestFit="1" customWidth="1"/>
    <col min="32" max="32" width="23" style="135" bestFit="1" customWidth="1"/>
    <col min="33" max="33" width="11.7109375" style="135" bestFit="1" customWidth="1"/>
    <col min="34" max="34" width="15.85546875" style="135" bestFit="1" customWidth="1"/>
    <col min="35" max="35" width="15" style="135" bestFit="1" customWidth="1"/>
    <col min="36" max="36" width="23" style="135" bestFit="1" customWidth="1"/>
    <col min="37" max="37" width="15" style="135" bestFit="1" customWidth="1"/>
    <col min="38" max="38" width="23" style="135" bestFit="1" customWidth="1"/>
    <col min="39" max="39" width="11.7109375" style="135" bestFit="1" customWidth="1"/>
    <col min="40" max="40" width="13.85546875" style="135" bestFit="1" customWidth="1"/>
    <col min="41" max="41" width="27.85546875" style="135" bestFit="1" customWidth="1"/>
    <col min="42" max="42" width="23" style="135" bestFit="1" customWidth="1"/>
    <col min="43" max="43" width="8" style="135" bestFit="1" customWidth="1"/>
    <col min="44" max="44" width="30.7109375" style="135" bestFit="1" customWidth="1"/>
    <col min="45" max="45" width="25.7109375" style="135" bestFit="1" customWidth="1"/>
    <col min="46" max="46" width="23" style="135" bestFit="1" customWidth="1"/>
    <col min="47" max="47" width="15" style="135" bestFit="1" customWidth="1"/>
    <col min="48" max="48" width="23" style="135" bestFit="1" customWidth="1"/>
    <col min="49" max="49" width="11.7109375" style="135" bestFit="1" customWidth="1"/>
    <col min="50" max="50" width="20.140625" style="135" bestFit="1" customWidth="1"/>
    <col min="51" max="51" width="23.5703125" style="135" bestFit="1" customWidth="1"/>
    <col min="52" max="52" width="23" style="135" bestFit="1" customWidth="1"/>
    <col min="53" max="53" width="11.7109375" style="135" bestFit="1" customWidth="1"/>
    <col min="54" max="54" width="21.42578125" style="135" bestFit="1" customWidth="1"/>
    <col min="55" max="55" width="15" style="135" bestFit="1" customWidth="1"/>
    <col min="56" max="56" width="23" style="135" bestFit="1" customWidth="1"/>
    <col min="57" max="57" width="11.7109375" style="135" bestFit="1" customWidth="1"/>
    <col min="58" max="58" width="13.85546875" style="135" bestFit="1" customWidth="1"/>
    <col min="59" max="59" width="22" style="135" bestFit="1" customWidth="1"/>
    <col min="60" max="60" width="23" style="135" bestFit="1" customWidth="1"/>
    <col min="61" max="61" width="15" style="135" bestFit="1" customWidth="1"/>
    <col min="62" max="62" width="23" style="135" bestFit="1" customWidth="1"/>
    <col min="63" max="63" width="11.7109375" style="135" bestFit="1" customWidth="1"/>
    <col min="64" max="64" width="24.7109375" style="135" bestFit="1" customWidth="1"/>
    <col min="65" max="65" width="18.7109375" style="135" bestFit="1" customWidth="1"/>
    <col min="66" max="66" width="23" style="135" bestFit="1" customWidth="1"/>
    <col min="67" max="67" width="15" style="135" bestFit="1" customWidth="1"/>
    <col min="68" max="68" width="23" style="135" bestFit="1" customWidth="1"/>
    <col min="69" max="69" width="15" style="135" bestFit="1" customWidth="1"/>
    <col min="70" max="70" width="23" style="135" bestFit="1" customWidth="1"/>
    <col min="71" max="71" width="15" style="135" bestFit="1" customWidth="1"/>
    <col min="72" max="72" width="21.85546875" style="135" bestFit="1" customWidth="1"/>
    <col min="73" max="73" width="10.5703125" style="135" bestFit="1" customWidth="1"/>
    <col min="74" max="74" width="21.42578125" style="135" bestFit="1" customWidth="1"/>
    <col min="75" max="75" width="5.42578125" style="135" bestFit="1" customWidth="1"/>
    <col min="76" max="16384" width="12.5703125" style="135"/>
  </cols>
  <sheetData>
    <row r="1" spans="1:75" ht="15.75" customHeight="1">
      <c r="A1" s="647" t="s">
        <v>339</v>
      </c>
      <c r="B1" s="647"/>
      <c r="C1" s="647"/>
      <c r="D1" s="647"/>
      <c r="E1" s="647"/>
      <c r="F1" s="647"/>
      <c r="G1" s="647"/>
      <c r="H1" s="647"/>
      <c r="I1" s="647"/>
      <c r="J1" s="647"/>
      <c r="K1" s="647"/>
      <c r="L1" s="647"/>
      <c r="M1" s="647"/>
      <c r="N1" s="647"/>
      <c r="O1" s="647"/>
      <c r="P1" s="647"/>
      <c r="Q1" s="647"/>
    </row>
    <row r="2" spans="1:75" s="136" customFormat="1" ht="15.75" customHeight="1">
      <c r="A2" s="647"/>
      <c r="B2" s="647"/>
      <c r="C2" s="647"/>
      <c r="D2" s="647"/>
      <c r="E2" s="647"/>
      <c r="F2" s="647"/>
      <c r="G2" s="647"/>
      <c r="H2" s="647"/>
      <c r="I2" s="647"/>
      <c r="J2" s="647"/>
      <c r="K2" s="647"/>
      <c r="L2" s="647"/>
      <c r="M2" s="647"/>
      <c r="N2" s="647"/>
      <c r="O2" s="647"/>
      <c r="P2" s="647"/>
      <c r="Q2" s="647"/>
    </row>
    <row r="3" spans="1:75" ht="15.75" customHeight="1">
      <c r="A3" s="648" t="s">
        <v>409</v>
      </c>
      <c r="B3" s="648"/>
      <c r="C3" s="648"/>
      <c r="D3" s="648"/>
      <c r="E3" s="648"/>
      <c r="F3" s="648"/>
      <c r="G3" s="648"/>
      <c r="H3" s="648"/>
      <c r="I3" s="648"/>
      <c r="J3" s="648"/>
      <c r="K3" s="648"/>
      <c r="L3" s="648"/>
      <c r="M3" s="648"/>
    </row>
    <row r="4" spans="1:75" s="136" customFormat="1" ht="15.75" customHeight="1">
      <c r="A4" s="648"/>
      <c r="B4" s="648"/>
      <c r="C4" s="648"/>
      <c r="D4" s="648"/>
      <c r="E4" s="648"/>
      <c r="F4" s="648"/>
      <c r="G4" s="648"/>
      <c r="H4" s="648"/>
      <c r="I4" s="648"/>
      <c r="J4" s="648"/>
      <c r="K4" s="648"/>
      <c r="L4" s="648"/>
      <c r="M4" s="648"/>
    </row>
    <row r="5" spans="1:75" ht="15.75" customHeight="1">
      <c r="A5" s="650" t="s">
        <v>174</v>
      </c>
      <c r="B5" s="677">
        <v>1</v>
      </c>
      <c r="C5" s="677"/>
      <c r="D5" s="677">
        <v>2</v>
      </c>
      <c r="E5" s="677"/>
      <c r="F5" s="677">
        <v>3</v>
      </c>
      <c r="G5" s="677"/>
      <c r="H5" s="653">
        <v>4</v>
      </c>
      <c r="I5" s="653"/>
      <c r="J5" s="653">
        <v>5</v>
      </c>
      <c r="K5" s="653"/>
      <c r="L5" s="653">
        <v>6</v>
      </c>
      <c r="M5" s="653"/>
      <c r="N5" s="653">
        <v>7</v>
      </c>
      <c r="O5" s="653"/>
      <c r="P5" s="653">
        <v>8</v>
      </c>
      <c r="Q5" s="653"/>
    </row>
    <row r="6" spans="1:75" ht="15.75" customHeight="1">
      <c r="A6" s="650"/>
      <c r="B6" s="678" t="s">
        <v>427</v>
      </c>
      <c r="C6" s="678"/>
      <c r="D6" s="678" t="s">
        <v>195</v>
      </c>
      <c r="E6" s="678"/>
      <c r="F6" s="678" t="s">
        <v>166</v>
      </c>
      <c r="G6" s="678"/>
      <c r="H6" s="650" t="s">
        <v>406</v>
      </c>
      <c r="I6" s="650"/>
      <c r="J6" s="650" t="s">
        <v>172</v>
      </c>
      <c r="K6" s="650"/>
      <c r="L6" s="650" t="s">
        <v>167</v>
      </c>
      <c r="M6" s="650"/>
      <c r="N6" s="650" t="s">
        <v>173</v>
      </c>
      <c r="O6" s="650"/>
      <c r="P6" s="769" t="s">
        <v>200</v>
      </c>
      <c r="Q6" s="769"/>
    </row>
    <row r="8" spans="1:75" s="235" customFormat="1" ht="15.75" customHeight="1">
      <c r="A8" s="748" t="s">
        <v>174</v>
      </c>
      <c r="B8" s="749"/>
      <c r="C8" s="234" t="s">
        <v>47</v>
      </c>
      <c r="D8" s="801" t="s">
        <v>12</v>
      </c>
      <c r="E8" s="663"/>
      <c r="F8" s="791"/>
      <c r="G8" s="802" t="s">
        <v>53</v>
      </c>
      <c r="H8" s="803"/>
      <c r="I8" s="804"/>
      <c r="J8" s="234" t="s">
        <v>54</v>
      </c>
      <c r="K8" s="234" t="s">
        <v>55</v>
      </c>
      <c r="L8" s="234" t="s">
        <v>56</v>
      </c>
      <c r="M8" s="234" t="s">
        <v>11</v>
      </c>
      <c r="N8" s="234" t="s">
        <v>312</v>
      </c>
      <c r="O8" s="805" t="s">
        <v>51</v>
      </c>
      <c r="P8" s="806"/>
    </row>
    <row r="9" spans="1:75" ht="20.100000000000001" customHeight="1">
      <c r="A9" s="792">
        <v>1</v>
      </c>
      <c r="B9" s="795" t="s">
        <v>428</v>
      </c>
      <c r="C9" s="236">
        <v>1</v>
      </c>
      <c r="D9" s="237"/>
      <c r="E9" s="238"/>
      <c r="F9" s="238"/>
      <c r="G9" s="237"/>
      <c r="H9" s="238"/>
      <c r="I9" s="239"/>
      <c r="J9" s="236"/>
      <c r="K9" s="242"/>
      <c r="L9" s="236"/>
      <c r="M9" s="322">
        <f>L9*J9</f>
        <v>0</v>
      </c>
      <c r="N9" s="243"/>
      <c r="O9" s="730"/>
      <c r="P9" s="731"/>
      <c r="S9" s="340"/>
      <c r="T9" s="339"/>
    </row>
    <row r="10" spans="1:75" ht="20.100000000000001" customHeight="1">
      <c r="A10" s="793"/>
      <c r="B10" s="796"/>
      <c r="C10" s="236">
        <v>2</v>
      </c>
      <c r="D10" s="237"/>
      <c r="E10" s="238"/>
      <c r="F10" s="239"/>
      <c r="G10" s="237"/>
      <c r="H10" s="238"/>
      <c r="I10" s="239"/>
      <c r="J10" s="236"/>
      <c r="K10" s="242"/>
      <c r="L10" s="236"/>
      <c r="M10" s="322">
        <f t="shared" ref="M10:M13" si="0">L10*J10</f>
        <v>0</v>
      </c>
      <c r="N10" s="243"/>
      <c r="O10" s="808"/>
      <c r="P10" s="751"/>
      <c r="S10" s="339"/>
      <c r="T10" s="339"/>
      <c r="V10" s="231"/>
      <c r="W10" s="231"/>
      <c r="X10" s="231"/>
      <c r="Y10" s="231"/>
      <c r="Z10" s="231"/>
      <c r="AA10" s="231"/>
      <c r="AB10" s="231"/>
      <c r="AC10" s="231"/>
      <c r="AD10" s="231"/>
      <c r="AE10" s="231"/>
      <c r="AF10" s="231"/>
      <c r="AG10" s="231"/>
      <c r="AH10" s="231"/>
      <c r="AI10" s="231"/>
      <c r="AJ10" s="231"/>
      <c r="AK10" s="231"/>
      <c r="AL10" s="231"/>
      <c r="AM10" s="231"/>
      <c r="AN10" s="231"/>
      <c r="AO10" s="231"/>
      <c r="AP10" s="231"/>
      <c r="AQ10" s="231"/>
      <c r="AR10" s="231"/>
      <c r="AS10" s="231"/>
      <c r="AT10" s="231"/>
      <c r="AU10" s="231"/>
      <c r="AV10" s="231"/>
      <c r="AW10" s="231"/>
      <c r="AX10" s="231"/>
      <c r="AY10" s="231"/>
      <c r="AZ10" s="231"/>
      <c r="BA10" s="231"/>
      <c r="BB10" s="231"/>
      <c r="BC10" s="231"/>
      <c r="BD10" s="231"/>
      <c r="BE10" s="231"/>
      <c r="BF10" s="231"/>
      <c r="BG10" s="231"/>
      <c r="BH10" s="231"/>
      <c r="BI10" s="231"/>
      <c r="BJ10" s="231"/>
      <c r="BK10" s="231"/>
      <c r="BL10" s="231"/>
      <c r="BM10" s="231"/>
      <c r="BN10" s="231"/>
      <c r="BO10" s="231"/>
      <c r="BP10" s="231"/>
      <c r="BQ10" s="231"/>
      <c r="BR10" s="231"/>
      <c r="BS10" s="231"/>
      <c r="BT10" s="231"/>
      <c r="BU10" s="231"/>
      <c r="BV10" s="231"/>
      <c r="BW10" s="231"/>
    </row>
    <row r="11" spans="1:75" ht="20.100000000000001" customHeight="1">
      <c r="A11" s="793"/>
      <c r="B11" s="796"/>
      <c r="C11" s="236">
        <v>3</v>
      </c>
      <c r="D11" s="237"/>
      <c r="E11" s="238"/>
      <c r="F11" s="239"/>
      <c r="G11" s="237"/>
      <c r="H11" s="238"/>
      <c r="I11" s="239"/>
      <c r="J11" s="236"/>
      <c r="K11" s="242"/>
      <c r="L11" s="236"/>
      <c r="M11" s="322">
        <f t="shared" si="0"/>
        <v>0</v>
      </c>
      <c r="N11" s="243"/>
      <c r="O11" s="808"/>
      <c r="P11" s="751"/>
      <c r="S11" s="340"/>
      <c r="T11" s="339"/>
      <c r="V11" s="231"/>
      <c r="W11" s="231"/>
      <c r="X11" s="231"/>
      <c r="Y11" s="231"/>
      <c r="Z11" s="231"/>
      <c r="AA11" s="231"/>
      <c r="AB11" s="231"/>
      <c r="AC11" s="231"/>
      <c r="AD11" s="231"/>
      <c r="AE11" s="231"/>
      <c r="AF11" s="231"/>
      <c r="AG11" s="231"/>
      <c r="AH11" s="231"/>
      <c r="AI11" s="231"/>
      <c r="AJ11" s="231"/>
      <c r="AK11" s="231"/>
      <c r="AL11" s="231"/>
      <c r="AM11" s="231"/>
      <c r="AN11" s="231"/>
      <c r="AO11" s="231"/>
      <c r="AP11" s="231"/>
      <c r="AQ11" s="231"/>
      <c r="AR11" s="231"/>
      <c r="AS11" s="231"/>
      <c r="AT11" s="231"/>
      <c r="AU11" s="231"/>
      <c r="AV11" s="231"/>
      <c r="AW11" s="231"/>
      <c r="AX11" s="231"/>
      <c r="AY11" s="231"/>
      <c r="AZ11" s="231"/>
      <c r="BA11" s="231"/>
      <c r="BB11" s="231"/>
      <c r="BC11" s="231"/>
      <c r="BD11" s="231"/>
      <c r="BE11" s="231"/>
      <c r="BF11" s="231"/>
      <c r="BG11" s="231"/>
      <c r="BH11" s="231"/>
      <c r="BI11" s="231"/>
      <c r="BJ11" s="231"/>
      <c r="BK11" s="231"/>
      <c r="BL11" s="231"/>
      <c r="BM11" s="231"/>
      <c r="BN11" s="231"/>
      <c r="BO11" s="231"/>
      <c r="BP11" s="231"/>
      <c r="BQ11" s="231"/>
      <c r="BR11" s="231"/>
      <c r="BS11" s="231"/>
      <c r="BT11" s="231"/>
      <c r="BU11" s="231"/>
      <c r="BV11" s="231"/>
      <c r="BW11" s="231"/>
    </row>
    <row r="12" spans="1:75" ht="20.100000000000001" customHeight="1">
      <c r="A12" s="793"/>
      <c r="B12" s="796"/>
      <c r="C12" s="236">
        <v>4</v>
      </c>
      <c r="D12" s="237"/>
      <c r="E12" s="238"/>
      <c r="F12" s="239"/>
      <c r="G12" s="237"/>
      <c r="H12" s="238"/>
      <c r="I12" s="239"/>
      <c r="J12" s="236"/>
      <c r="K12" s="242"/>
      <c r="L12" s="236"/>
      <c r="M12" s="322">
        <f t="shared" si="0"/>
        <v>0</v>
      </c>
      <c r="N12" s="243"/>
      <c r="O12" s="808"/>
      <c r="P12" s="751"/>
      <c r="S12" s="339"/>
      <c r="T12" s="339"/>
      <c r="V12" s="231"/>
      <c r="W12" s="231"/>
      <c r="X12" s="231"/>
      <c r="Y12" s="231"/>
      <c r="Z12" s="231"/>
      <c r="AA12" s="231"/>
      <c r="AB12" s="231"/>
      <c r="AC12" s="231"/>
      <c r="AD12" s="231"/>
      <c r="AE12" s="231"/>
      <c r="AF12" s="231"/>
      <c r="AG12" s="231"/>
      <c r="AH12" s="231"/>
      <c r="AI12" s="231"/>
      <c r="AJ12" s="231"/>
      <c r="AK12" s="231"/>
      <c r="AL12" s="231"/>
      <c r="AM12" s="231"/>
      <c r="AN12" s="231"/>
      <c r="AO12" s="231"/>
      <c r="AP12" s="231"/>
      <c r="AQ12" s="231"/>
      <c r="AR12" s="231"/>
      <c r="AS12" s="231"/>
      <c r="AT12" s="231"/>
      <c r="AU12" s="231"/>
      <c r="AV12" s="231"/>
      <c r="AW12" s="231"/>
      <c r="AX12" s="231"/>
      <c r="AY12" s="231"/>
      <c r="AZ12" s="231"/>
      <c r="BA12" s="231"/>
      <c r="BB12" s="231"/>
      <c r="BC12" s="231"/>
      <c r="BD12" s="231"/>
      <c r="BE12" s="231"/>
      <c r="BF12" s="231"/>
      <c r="BG12" s="231"/>
      <c r="BH12" s="231"/>
      <c r="BI12" s="231"/>
      <c r="BJ12" s="231"/>
      <c r="BK12" s="231"/>
      <c r="BL12" s="231"/>
      <c r="BM12" s="231"/>
      <c r="BN12" s="231"/>
      <c r="BO12" s="231"/>
      <c r="BP12" s="231"/>
      <c r="BQ12" s="231"/>
      <c r="BR12" s="231"/>
      <c r="BS12" s="231"/>
      <c r="BT12" s="231"/>
      <c r="BU12" s="231"/>
      <c r="BV12" s="231"/>
      <c r="BW12" s="231"/>
    </row>
    <row r="13" spans="1:75" ht="20.100000000000001" customHeight="1" thickBot="1">
      <c r="A13" s="793"/>
      <c r="B13" s="796"/>
      <c r="C13" s="236">
        <v>5</v>
      </c>
      <c r="D13" s="244"/>
      <c r="E13" s="245"/>
      <c r="F13" s="246"/>
      <c r="G13" s="237"/>
      <c r="H13" s="238"/>
      <c r="I13" s="268"/>
      <c r="J13" s="247"/>
      <c r="K13" s="248"/>
      <c r="L13" s="247"/>
      <c r="M13" s="323">
        <f t="shared" si="0"/>
        <v>0</v>
      </c>
      <c r="N13" s="243"/>
      <c r="O13" s="808"/>
      <c r="P13" s="751"/>
      <c r="S13" s="340"/>
      <c r="T13" s="339"/>
      <c r="V13" s="231"/>
      <c r="W13" s="231"/>
      <c r="X13" s="231"/>
      <c r="Y13" s="231"/>
      <c r="Z13" s="231"/>
      <c r="AA13" s="231"/>
      <c r="AB13" s="231"/>
      <c r="AC13" s="231"/>
      <c r="AD13" s="231"/>
      <c r="AE13" s="231"/>
      <c r="AF13" s="231"/>
      <c r="AG13" s="231"/>
      <c r="AH13" s="231"/>
      <c r="AI13" s="231"/>
      <c r="AJ13" s="231"/>
      <c r="AK13" s="231"/>
      <c r="AL13" s="231"/>
      <c r="AM13" s="231"/>
      <c r="AN13" s="231"/>
      <c r="AO13" s="231"/>
      <c r="AP13" s="231"/>
      <c r="AQ13" s="231"/>
      <c r="AR13" s="231"/>
      <c r="AS13" s="231"/>
      <c r="AT13" s="231"/>
      <c r="AU13" s="231"/>
      <c r="AV13" s="231"/>
      <c r="AW13" s="231"/>
      <c r="AX13" s="231"/>
      <c r="AY13" s="231"/>
      <c r="AZ13" s="231"/>
      <c r="BA13" s="231"/>
      <c r="BB13" s="231"/>
      <c r="BC13" s="231"/>
      <c r="BD13" s="231"/>
      <c r="BE13" s="231"/>
      <c r="BF13" s="231"/>
      <c r="BG13" s="231"/>
      <c r="BH13" s="231"/>
      <c r="BI13" s="231"/>
      <c r="BJ13" s="231"/>
      <c r="BK13" s="231"/>
      <c r="BL13" s="231"/>
      <c r="BM13" s="231"/>
      <c r="BN13" s="231"/>
      <c r="BO13" s="231"/>
      <c r="BP13" s="231"/>
      <c r="BQ13" s="231"/>
      <c r="BR13" s="231"/>
      <c r="BS13" s="231"/>
      <c r="BT13" s="231"/>
      <c r="BU13" s="231"/>
      <c r="BV13" s="231"/>
      <c r="BW13" s="231"/>
    </row>
    <row r="14" spans="1:75" ht="15.75" customHeight="1" thickTop="1" thickBot="1">
      <c r="A14" s="794"/>
      <c r="B14" s="797"/>
      <c r="C14" s="665"/>
      <c r="D14" s="666"/>
      <c r="E14" s="666"/>
      <c r="F14" s="666"/>
      <c r="G14" s="666"/>
      <c r="H14" s="666"/>
      <c r="I14" s="800"/>
      <c r="J14" s="344" t="s">
        <v>58</v>
      </c>
      <c r="K14" s="345">
        <v>0</v>
      </c>
      <c r="L14" s="344" t="s">
        <v>59</v>
      </c>
      <c r="M14" s="324">
        <f>SUM(M9:M13)</f>
        <v>0</v>
      </c>
      <c r="N14" s="766"/>
      <c r="O14" s="767"/>
      <c r="P14" s="768"/>
      <c r="S14" s="339"/>
      <c r="V14" s="231"/>
      <c r="W14" s="231"/>
      <c r="X14" s="231"/>
      <c r="Y14" s="231"/>
      <c r="Z14" s="231"/>
      <c r="AA14" s="231"/>
      <c r="AB14" s="231"/>
      <c r="AC14" s="231"/>
      <c r="AD14" s="231"/>
      <c r="AE14" s="231"/>
      <c r="AF14" s="231"/>
      <c r="AG14" s="231"/>
      <c r="AH14" s="231"/>
      <c r="AI14" s="231"/>
      <c r="AJ14" s="231"/>
      <c r="AK14" s="231"/>
      <c r="AL14" s="231"/>
      <c r="AM14" s="231"/>
      <c r="AN14" s="231"/>
      <c r="AO14" s="231"/>
      <c r="AP14" s="231"/>
      <c r="AQ14" s="231"/>
      <c r="AR14" s="231"/>
      <c r="AS14" s="231"/>
      <c r="AT14" s="231"/>
      <c r="AU14" s="231"/>
      <c r="AV14" s="231"/>
      <c r="AW14" s="231"/>
      <c r="AX14" s="231"/>
      <c r="AY14" s="231"/>
      <c r="AZ14" s="231"/>
      <c r="BA14" s="231"/>
      <c r="BB14" s="231"/>
      <c r="BC14" s="231"/>
      <c r="BD14" s="231"/>
      <c r="BE14" s="231"/>
      <c r="BF14" s="231"/>
      <c r="BG14" s="231"/>
      <c r="BH14" s="231"/>
      <c r="BI14" s="231"/>
      <c r="BJ14" s="231"/>
      <c r="BK14" s="231"/>
      <c r="BL14" s="231"/>
      <c r="BM14" s="231"/>
      <c r="BN14" s="231"/>
      <c r="BO14" s="231"/>
      <c r="BP14" s="231"/>
      <c r="BQ14" s="231"/>
      <c r="BR14" s="231"/>
      <c r="BS14" s="231"/>
      <c r="BT14" s="231"/>
      <c r="BU14" s="231"/>
      <c r="BV14" s="231"/>
      <c r="BW14" s="231"/>
    </row>
    <row r="15" spans="1:75" ht="15.75" customHeight="1" thickTop="1">
      <c r="D15" s="233"/>
      <c r="E15" s="233"/>
      <c r="F15" s="233"/>
      <c r="G15" s="233"/>
      <c r="H15" s="233"/>
      <c r="I15" s="233"/>
      <c r="J15" s="233"/>
      <c r="K15" s="233"/>
      <c r="L15" s="233"/>
      <c r="M15" s="233"/>
      <c r="N15" s="251"/>
      <c r="O15" s="251"/>
      <c r="P15" s="251"/>
      <c r="S15" s="340"/>
      <c r="V15" s="231"/>
      <c r="W15" s="231"/>
      <c r="X15" s="231"/>
      <c r="Y15" s="231"/>
      <c r="Z15" s="231"/>
      <c r="AA15" s="231"/>
      <c r="AB15" s="231"/>
      <c r="AC15" s="231"/>
      <c r="AD15" s="231"/>
      <c r="AE15" s="231"/>
      <c r="AF15" s="231"/>
      <c r="AG15" s="231"/>
      <c r="AH15" s="231"/>
      <c r="AI15" s="231"/>
      <c r="AJ15" s="231"/>
      <c r="AK15" s="231"/>
      <c r="AL15" s="231"/>
      <c r="AM15" s="231"/>
      <c r="AN15" s="231"/>
      <c r="AO15" s="231"/>
      <c r="AP15" s="231"/>
      <c r="AQ15" s="231"/>
      <c r="AR15" s="231"/>
      <c r="AS15" s="231"/>
      <c r="AT15" s="231"/>
      <c r="AU15" s="231"/>
      <c r="AV15" s="231"/>
      <c r="AW15" s="231"/>
      <c r="AX15" s="231"/>
      <c r="AY15" s="231"/>
      <c r="AZ15" s="231"/>
      <c r="BA15" s="231"/>
      <c r="BB15" s="231"/>
      <c r="BC15" s="231"/>
      <c r="BD15" s="231"/>
      <c r="BE15" s="231"/>
      <c r="BF15" s="231"/>
      <c r="BG15" s="231"/>
      <c r="BH15" s="231"/>
      <c r="BI15" s="231"/>
      <c r="BJ15" s="231"/>
      <c r="BK15" s="231"/>
      <c r="BL15" s="231"/>
      <c r="BM15" s="231"/>
      <c r="BN15" s="231"/>
      <c r="BO15" s="231"/>
      <c r="BP15" s="231"/>
      <c r="BQ15" s="231"/>
      <c r="BR15" s="231"/>
      <c r="BS15" s="231"/>
      <c r="BT15" s="231"/>
      <c r="BU15" s="231"/>
      <c r="BV15" s="231"/>
      <c r="BW15" s="231"/>
    </row>
    <row r="16" spans="1:75" ht="15.75" customHeight="1">
      <c r="A16" s="748" t="s">
        <v>174</v>
      </c>
      <c r="B16" s="749"/>
      <c r="C16" s="252" t="s">
        <v>47</v>
      </c>
      <c r="D16" s="662" t="s">
        <v>12</v>
      </c>
      <c r="E16" s="663"/>
      <c r="F16" s="664"/>
      <c r="G16" s="662" t="s">
        <v>53</v>
      </c>
      <c r="H16" s="663"/>
      <c r="I16" s="664"/>
      <c r="J16" s="254" t="s">
        <v>54</v>
      </c>
      <c r="K16" s="254" t="s">
        <v>55</v>
      </c>
      <c r="L16" s="254" t="s">
        <v>56</v>
      </c>
      <c r="M16" s="254" t="s">
        <v>11</v>
      </c>
      <c r="N16" s="255" t="s">
        <v>312</v>
      </c>
      <c r="O16" s="757" t="s">
        <v>51</v>
      </c>
      <c r="P16" s="758"/>
      <c r="S16" s="339"/>
      <c r="V16" s="231"/>
      <c r="W16" s="231"/>
      <c r="X16" s="231"/>
      <c r="Y16" s="231"/>
      <c r="Z16" s="231"/>
      <c r="AA16" s="231"/>
      <c r="AB16" s="231"/>
      <c r="AC16" s="231"/>
      <c r="AD16" s="231"/>
      <c r="AE16" s="231"/>
      <c r="AF16" s="231"/>
      <c r="AG16" s="231"/>
      <c r="AH16" s="231"/>
      <c r="AI16" s="231"/>
      <c r="AJ16" s="231"/>
    </row>
    <row r="17" spans="1:36" ht="20.100000000000001" customHeight="1">
      <c r="A17" s="792">
        <v>2</v>
      </c>
      <c r="B17" s="795" t="s">
        <v>196</v>
      </c>
      <c r="C17" s="256">
        <v>1</v>
      </c>
      <c r="D17" s="237"/>
      <c r="E17" s="238"/>
      <c r="F17" s="239"/>
      <c r="G17" s="237"/>
      <c r="H17" s="238"/>
      <c r="I17" s="239"/>
      <c r="J17" s="257"/>
      <c r="K17" s="258"/>
      <c r="L17" s="257"/>
      <c r="M17" s="259">
        <f t="shared" ref="M17:M21" si="1">L17*J17</f>
        <v>0</v>
      </c>
      <c r="N17" s="260"/>
      <c r="O17" s="759"/>
      <c r="P17" s="760"/>
      <c r="S17" s="340"/>
      <c r="V17" s="231"/>
      <c r="W17" s="231"/>
      <c r="X17" s="231"/>
      <c r="Y17" s="231"/>
      <c r="Z17" s="231"/>
      <c r="AA17" s="231"/>
      <c r="AB17" s="231"/>
      <c r="AC17" s="231"/>
      <c r="AD17" s="231"/>
      <c r="AE17" s="231"/>
      <c r="AF17" s="231"/>
      <c r="AG17" s="231"/>
      <c r="AH17" s="231"/>
      <c r="AI17" s="231"/>
      <c r="AJ17" s="231"/>
    </row>
    <row r="18" spans="1:36" ht="20.100000000000001" customHeight="1">
      <c r="A18" s="793"/>
      <c r="B18" s="796"/>
      <c r="C18" s="256">
        <v>2</v>
      </c>
      <c r="D18" s="237"/>
      <c r="E18" s="238"/>
      <c r="F18" s="239"/>
      <c r="G18" s="237"/>
      <c r="H18" s="238"/>
      <c r="I18" s="239"/>
      <c r="J18" s="257"/>
      <c r="K18" s="258"/>
      <c r="L18" s="257"/>
      <c r="M18" s="259">
        <f t="shared" si="1"/>
        <v>0</v>
      </c>
      <c r="N18" s="260"/>
      <c r="O18" s="759"/>
      <c r="P18" s="760"/>
      <c r="S18" s="339"/>
      <c r="V18" s="231"/>
      <c r="W18" s="231"/>
      <c r="X18" s="231"/>
      <c r="Y18" s="231"/>
      <c r="Z18" s="231"/>
      <c r="AA18" s="231"/>
      <c r="AB18" s="231"/>
      <c r="AC18" s="231"/>
      <c r="AD18" s="231"/>
      <c r="AE18" s="231"/>
      <c r="AF18" s="231"/>
      <c r="AG18" s="231"/>
      <c r="AH18" s="231"/>
      <c r="AI18" s="231"/>
      <c r="AJ18" s="231"/>
    </row>
    <row r="19" spans="1:36" ht="20.100000000000001" customHeight="1">
      <c r="A19" s="793"/>
      <c r="B19" s="796"/>
      <c r="C19" s="256">
        <v>3</v>
      </c>
      <c r="D19" s="237"/>
      <c r="E19" s="238"/>
      <c r="F19" s="239"/>
      <c r="G19" s="237"/>
      <c r="H19" s="238"/>
      <c r="I19" s="239"/>
      <c r="J19" s="257"/>
      <c r="K19" s="258"/>
      <c r="L19" s="257"/>
      <c r="M19" s="259">
        <f t="shared" si="1"/>
        <v>0</v>
      </c>
      <c r="N19" s="260"/>
      <c r="O19" s="759"/>
      <c r="P19" s="760"/>
      <c r="S19" s="340"/>
      <c r="V19" s="231"/>
      <c r="W19" s="231"/>
      <c r="X19" s="231"/>
      <c r="Y19" s="231"/>
      <c r="Z19" s="231"/>
      <c r="AA19" s="231"/>
      <c r="AB19" s="231"/>
      <c r="AC19" s="231"/>
      <c r="AD19" s="231"/>
      <c r="AE19" s="231"/>
      <c r="AF19" s="231"/>
      <c r="AG19" s="231"/>
      <c r="AH19" s="231"/>
    </row>
    <row r="20" spans="1:36" ht="20.100000000000001" customHeight="1">
      <c r="A20" s="793"/>
      <c r="B20" s="796"/>
      <c r="C20" s="256">
        <v>4</v>
      </c>
      <c r="D20" s="237"/>
      <c r="E20" s="238"/>
      <c r="F20" s="239"/>
      <c r="G20" s="237"/>
      <c r="H20" s="238"/>
      <c r="I20" s="239"/>
      <c r="J20" s="257"/>
      <c r="K20" s="258"/>
      <c r="L20" s="257"/>
      <c r="M20" s="259">
        <f t="shared" si="1"/>
        <v>0</v>
      </c>
      <c r="N20" s="260"/>
      <c r="O20" s="759"/>
      <c r="P20" s="760"/>
      <c r="S20" s="339"/>
      <c r="V20" s="231"/>
      <c r="W20" s="231"/>
      <c r="X20" s="231"/>
      <c r="Y20" s="231"/>
      <c r="Z20" s="231"/>
      <c r="AA20" s="231"/>
      <c r="AB20" s="231"/>
      <c r="AC20" s="231"/>
      <c r="AD20" s="231"/>
      <c r="AE20" s="231"/>
      <c r="AF20" s="231"/>
      <c r="AG20" s="231"/>
      <c r="AH20" s="231"/>
    </row>
    <row r="21" spans="1:36" ht="20.100000000000001" customHeight="1" thickBot="1">
      <c r="A21" s="793"/>
      <c r="B21" s="796"/>
      <c r="C21" s="262">
        <v>5</v>
      </c>
      <c r="D21" s="244"/>
      <c r="E21" s="245"/>
      <c r="F21" s="246"/>
      <c r="G21" s="244"/>
      <c r="H21" s="245"/>
      <c r="I21" s="246"/>
      <c r="J21" s="263"/>
      <c r="K21" s="264"/>
      <c r="L21" s="263"/>
      <c r="M21" s="265">
        <f t="shared" si="1"/>
        <v>0</v>
      </c>
      <c r="N21" s="266"/>
      <c r="O21" s="759"/>
      <c r="P21" s="760"/>
      <c r="V21" s="231"/>
      <c r="W21" s="231"/>
      <c r="X21" s="231"/>
      <c r="Y21" s="231"/>
      <c r="Z21" s="231"/>
      <c r="AA21" s="231"/>
      <c r="AB21" s="231"/>
      <c r="AC21" s="231"/>
      <c r="AD21" s="231"/>
      <c r="AE21" s="231"/>
      <c r="AF21" s="231"/>
      <c r="AG21" s="231"/>
      <c r="AH21" s="231"/>
    </row>
    <row r="22" spans="1:36" ht="15.75" customHeight="1" thickTop="1" thickBot="1">
      <c r="A22" s="794"/>
      <c r="B22" s="797"/>
      <c r="C22" s="665"/>
      <c r="D22" s="666"/>
      <c r="E22" s="666"/>
      <c r="F22" s="666"/>
      <c r="G22" s="666"/>
      <c r="H22" s="666"/>
      <c r="I22" s="800"/>
      <c r="J22" s="344" t="s">
        <v>58</v>
      </c>
      <c r="K22" s="345">
        <v>0</v>
      </c>
      <c r="L22" s="344" t="s">
        <v>59</v>
      </c>
      <c r="M22" s="250">
        <f>SUM(M17:M21)</f>
        <v>0</v>
      </c>
      <c r="N22" s="761"/>
      <c r="O22" s="762"/>
      <c r="P22" s="763"/>
      <c r="V22" s="231"/>
      <c r="W22" s="231"/>
      <c r="X22" s="231"/>
      <c r="Y22" s="231"/>
      <c r="Z22" s="231"/>
      <c r="AA22" s="231"/>
      <c r="AB22" s="231"/>
      <c r="AC22" s="231"/>
      <c r="AD22" s="231"/>
      <c r="AE22" s="231"/>
      <c r="AF22" s="231"/>
      <c r="AG22" s="231"/>
      <c r="AH22" s="231"/>
    </row>
    <row r="23" spans="1:36" ht="15.75" customHeight="1" thickTop="1">
      <c r="D23" s="233"/>
      <c r="E23" s="233"/>
      <c r="F23" s="233"/>
      <c r="G23" s="233"/>
      <c r="H23" s="233"/>
      <c r="I23" s="233"/>
      <c r="J23" s="233"/>
      <c r="K23" s="233"/>
      <c r="L23" s="233"/>
      <c r="M23" s="233"/>
      <c r="N23" s="267"/>
      <c r="O23" s="267"/>
      <c r="P23" s="267"/>
      <c r="V23" s="231"/>
      <c r="W23" s="231"/>
      <c r="X23" s="231"/>
      <c r="Y23" s="231"/>
      <c r="Z23" s="231"/>
      <c r="AA23" s="231"/>
      <c r="AB23" s="231"/>
      <c r="AC23" s="231"/>
      <c r="AD23" s="231"/>
      <c r="AE23" s="231"/>
      <c r="AF23" s="231"/>
      <c r="AG23" s="231"/>
      <c r="AH23" s="231"/>
    </row>
    <row r="24" spans="1:36" ht="15.75" customHeight="1">
      <c r="A24" s="748" t="s">
        <v>174</v>
      </c>
      <c r="B24" s="749"/>
      <c r="C24" s="252" t="s">
        <v>47</v>
      </c>
      <c r="D24" s="662" t="s">
        <v>12</v>
      </c>
      <c r="E24" s="663"/>
      <c r="F24" s="664"/>
      <c r="G24" s="662" t="s">
        <v>53</v>
      </c>
      <c r="H24" s="663"/>
      <c r="I24" s="791"/>
      <c r="J24" s="253" t="s">
        <v>54</v>
      </c>
      <c r="K24" s="254" t="s">
        <v>55</v>
      </c>
      <c r="L24" s="254" t="s">
        <v>56</v>
      </c>
      <c r="M24" s="254" t="s">
        <v>11</v>
      </c>
      <c r="N24" s="255" t="s">
        <v>312</v>
      </c>
      <c r="O24" s="755" t="s">
        <v>51</v>
      </c>
      <c r="P24" s="756"/>
      <c r="V24" s="231"/>
      <c r="W24" s="231"/>
      <c r="X24" s="231"/>
      <c r="Y24" s="231"/>
      <c r="Z24" s="231"/>
      <c r="AA24" s="231"/>
      <c r="AB24" s="231"/>
      <c r="AC24" s="231"/>
      <c r="AD24" s="231"/>
      <c r="AE24" s="231"/>
      <c r="AF24" s="231"/>
      <c r="AG24" s="231"/>
      <c r="AH24" s="231"/>
      <c r="AI24" s="231"/>
      <c r="AJ24" s="231"/>
    </row>
    <row r="25" spans="1:36" ht="20.100000000000001" customHeight="1">
      <c r="A25" s="792">
        <v>3</v>
      </c>
      <c r="B25" s="795" t="s">
        <v>400</v>
      </c>
      <c r="C25" s="256">
        <v>1</v>
      </c>
      <c r="D25" s="237"/>
      <c r="E25" s="238"/>
      <c r="F25" s="239"/>
      <c r="G25" s="237"/>
      <c r="H25" s="238"/>
      <c r="I25" s="239"/>
      <c r="J25" s="257"/>
      <c r="K25" s="258"/>
      <c r="L25" s="257"/>
      <c r="M25" s="325">
        <f t="shared" ref="M25:M29" si="2">L25*J25</f>
        <v>0</v>
      </c>
      <c r="N25" s="270"/>
      <c r="O25" s="750"/>
      <c r="P25" s="751"/>
      <c r="V25" s="231"/>
      <c r="W25" s="231"/>
      <c r="X25" s="231"/>
      <c r="Y25" s="231"/>
      <c r="Z25" s="231"/>
      <c r="AA25" s="231"/>
      <c r="AB25" s="231"/>
      <c r="AC25" s="231"/>
      <c r="AD25" s="231"/>
      <c r="AE25" s="231"/>
      <c r="AF25" s="231"/>
      <c r="AG25" s="231"/>
      <c r="AH25" s="231"/>
      <c r="AI25" s="231"/>
      <c r="AJ25" s="231"/>
    </row>
    <row r="26" spans="1:36" ht="20.100000000000001" customHeight="1">
      <c r="A26" s="793"/>
      <c r="B26" s="796"/>
      <c r="C26" s="256">
        <v>2</v>
      </c>
      <c r="D26" s="237"/>
      <c r="E26" s="238"/>
      <c r="F26" s="239"/>
      <c r="G26" s="237"/>
      <c r="H26" s="238"/>
      <c r="I26" s="239"/>
      <c r="J26" s="257"/>
      <c r="K26" s="258"/>
      <c r="L26" s="257"/>
      <c r="M26" s="325">
        <f t="shared" si="2"/>
        <v>0</v>
      </c>
      <c r="N26" s="270"/>
      <c r="O26" s="750"/>
      <c r="P26" s="751"/>
      <c r="V26" s="231"/>
      <c r="W26" s="231"/>
      <c r="X26" s="231"/>
      <c r="Y26" s="231"/>
      <c r="Z26" s="231"/>
      <c r="AA26" s="231"/>
      <c r="AB26" s="231"/>
      <c r="AC26" s="231"/>
      <c r="AD26" s="231"/>
      <c r="AE26" s="231"/>
      <c r="AF26" s="231"/>
      <c r="AG26" s="231"/>
      <c r="AH26" s="231"/>
      <c r="AI26" s="231"/>
      <c r="AJ26" s="231"/>
    </row>
    <row r="27" spans="1:36" ht="20.100000000000001" customHeight="1">
      <c r="A27" s="793"/>
      <c r="B27" s="796"/>
      <c r="C27" s="256">
        <v>3</v>
      </c>
      <c r="D27" s="237"/>
      <c r="E27" s="238"/>
      <c r="F27" s="239"/>
      <c r="G27" s="237"/>
      <c r="H27" s="238"/>
      <c r="I27" s="239"/>
      <c r="J27" s="257"/>
      <c r="K27" s="258"/>
      <c r="L27" s="257"/>
      <c r="M27" s="325">
        <f t="shared" si="2"/>
        <v>0</v>
      </c>
      <c r="N27" s="270"/>
      <c r="O27" s="750"/>
      <c r="P27" s="751"/>
      <c r="V27" s="231"/>
      <c r="W27" s="231"/>
      <c r="X27" s="231"/>
      <c r="Y27" s="231"/>
      <c r="Z27" s="231"/>
      <c r="AA27" s="231"/>
      <c r="AB27" s="231"/>
      <c r="AC27" s="231"/>
      <c r="AD27" s="231"/>
      <c r="AE27" s="231"/>
      <c r="AF27" s="231"/>
      <c r="AG27" s="231"/>
      <c r="AH27" s="231"/>
      <c r="AI27" s="231"/>
      <c r="AJ27" s="231"/>
    </row>
    <row r="28" spans="1:36" ht="20.100000000000001" customHeight="1">
      <c r="A28" s="793"/>
      <c r="B28" s="796"/>
      <c r="C28" s="256">
        <v>4</v>
      </c>
      <c r="D28" s="237"/>
      <c r="E28" s="238"/>
      <c r="F28" s="239"/>
      <c r="G28" s="237"/>
      <c r="H28" s="238"/>
      <c r="I28" s="268"/>
      <c r="J28" s="269"/>
      <c r="K28" s="258"/>
      <c r="L28" s="257"/>
      <c r="M28" s="325">
        <f t="shared" si="2"/>
        <v>0</v>
      </c>
      <c r="N28" s="270"/>
      <c r="O28" s="750"/>
      <c r="P28" s="751"/>
      <c r="V28" s="231"/>
      <c r="W28" s="231"/>
      <c r="X28" s="231"/>
      <c r="Y28" s="231"/>
      <c r="Z28" s="231"/>
      <c r="AA28" s="231"/>
      <c r="AB28" s="231"/>
      <c r="AC28" s="231"/>
      <c r="AD28" s="231"/>
      <c r="AE28" s="231"/>
      <c r="AF28" s="231"/>
      <c r="AG28" s="231"/>
      <c r="AH28" s="231"/>
      <c r="AI28" s="231"/>
      <c r="AJ28" s="231"/>
    </row>
    <row r="29" spans="1:36" ht="20.100000000000001" customHeight="1" thickBot="1">
      <c r="A29" s="793"/>
      <c r="B29" s="796"/>
      <c r="C29" s="262">
        <v>5</v>
      </c>
      <c r="D29" s="244"/>
      <c r="E29" s="245"/>
      <c r="F29" s="246"/>
      <c r="G29" s="244"/>
      <c r="H29" s="245"/>
      <c r="I29" s="271"/>
      <c r="J29" s="272"/>
      <c r="K29" s="264"/>
      <c r="L29" s="273"/>
      <c r="M29" s="325">
        <f t="shared" si="2"/>
        <v>0</v>
      </c>
      <c r="N29" s="270"/>
      <c r="O29" s="750"/>
      <c r="P29" s="751"/>
      <c r="V29" s="231"/>
      <c r="W29" s="231"/>
      <c r="X29" s="231"/>
      <c r="Y29" s="231"/>
      <c r="Z29" s="231"/>
      <c r="AA29" s="231"/>
      <c r="AB29" s="231"/>
      <c r="AC29" s="231"/>
      <c r="AD29" s="231"/>
      <c r="AE29" s="231"/>
      <c r="AF29" s="231"/>
      <c r="AG29" s="231"/>
      <c r="AH29" s="231"/>
      <c r="AI29" s="231"/>
      <c r="AJ29" s="231"/>
    </row>
    <row r="30" spans="1:36" ht="15.75" customHeight="1" thickTop="1" thickBot="1">
      <c r="A30" s="794"/>
      <c r="B30" s="797"/>
      <c r="C30" s="665"/>
      <c r="D30" s="666"/>
      <c r="E30" s="666"/>
      <c r="F30" s="666"/>
      <c r="G30" s="666"/>
      <c r="H30" s="666"/>
      <c r="I30" s="800"/>
      <c r="J30" s="346" t="s">
        <v>58</v>
      </c>
      <c r="K30" s="345">
        <v>0</v>
      </c>
      <c r="L30" s="346" t="s">
        <v>59</v>
      </c>
      <c r="M30" s="326">
        <f>SUM(M25:M29)</f>
        <v>0</v>
      </c>
      <c r="N30" s="752"/>
      <c r="O30" s="753"/>
      <c r="P30" s="754"/>
      <c r="V30" s="231"/>
      <c r="W30" s="231"/>
      <c r="X30" s="231"/>
      <c r="Y30" s="231"/>
      <c r="Z30" s="231"/>
      <c r="AA30" s="231"/>
      <c r="AB30" s="231"/>
      <c r="AC30" s="231"/>
      <c r="AD30" s="231"/>
      <c r="AE30" s="231"/>
      <c r="AF30" s="231"/>
      <c r="AG30" s="231"/>
      <c r="AH30" s="231"/>
      <c r="AI30" s="231"/>
      <c r="AJ30" s="231"/>
    </row>
    <row r="31" spans="1:36" ht="15.75" customHeight="1" thickTop="1"/>
  </sheetData>
  <mergeCells count="58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1">
    <tabColor rgb="FF92D050"/>
    <outlinePr summaryBelow="0" summaryRight="0"/>
  </sheetPr>
  <dimension ref="A1:T87"/>
  <sheetViews>
    <sheetView view="pageBreakPreview" topLeftCell="A37" zoomScaleNormal="60" zoomScaleSheetLayoutView="100" workbookViewId="0">
      <selection activeCell="O8" sqref="O8:P8"/>
    </sheetView>
  </sheetViews>
  <sheetFormatPr defaultColWidth="12.5703125" defaultRowHeight="15.75" customHeight="1"/>
  <cols>
    <col min="1" max="1" width="5.42578125" style="289" customWidth="1"/>
    <col min="2" max="2" width="11.42578125" style="297" customWidth="1"/>
    <col min="3" max="3" width="4" style="298" customWidth="1"/>
    <col min="4" max="4" width="9.5703125" style="289" customWidth="1"/>
    <col min="5" max="5" width="10.28515625" style="289" customWidth="1"/>
    <col min="6" max="15" width="9.5703125" style="289" customWidth="1"/>
    <col min="16" max="16" width="35.42578125" style="289" customWidth="1"/>
    <col min="17" max="17" width="12.5703125" style="289"/>
    <col min="18" max="18" width="27.42578125" style="289" bestFit="1" customWidth="1"/>
    <col min="19" max="16384" width="12.5703125" style="289"/>
  </cols>
  <sheetData>
    <row r="1" spans="1:20" s="135" customFormat="1" ht="15.75" customHeight="1">
      <c r="A1" s="835" t="s">
        <v>339</v>
      </c>
      <c r="B1" s="836"/>
      <c r="C1" s="836"/>
      <c r="D1" s="836"/>
      <c r="E1" s="836"/>
      <c r="F1" s="836"/>
      <c r="G1" s="836"/>
      <c r="H1" s="836"/>
      <c r="I1" s="836"/>
      <c r="J1" s="836"/>
      <c r="K1" s="836"/>
      <c r="L1" s="836"/>
      <c r="M1" s="836"/>
      <c r="N1" s="836"/>
      <c r="O1" s="836"/>
      <c r="P1" s="837"/>
    </row>
    <row r="2" spans="1:20" s="136" customFormat="1" ht="15.75" customHeight="1">
      <c r="A2" s="838"/>
      <c r="B2" s="647"/>
      <c r="C2" s="647"/>
      <c r="D2" s="647"/>
      <c r="E2" s="647"/>
      <c r="F2" s="647"/>
      <c r="G2" s="647"/>
      <c r="H2" s="647"/>
      <c r="I2" s="647"/>
      <c r="J2" s="647"/>
      <c r="K2" s="647"/>
      <c r="L2" s="647"/>
      <c r="M2" s="647"/>
      <c r="N2" s="647"/>
      <c r="O2" s="647"/>
      <c r="P2" s="839"/>
    </row>
    <row r="3" spans="1:20" s="135" customFormat="1" ht="15.75" customHeight="1">
      <c r="A3" s="809" t="s">
        <v>623</v>
      </c>
      <c r="B3" s="809"/>
      <c r="C3" s="809"/>
      <c r="D3" s="809"/>
      <c r="E3" s="809"/>
      <c r="F3" s="809"/>
      <c r="G3" s="809"/>
      <c r="H3" s="809"/>
      <c r="I3" s="809"/>
      <c r="J3" s="809"/>
      <c r="K3" s="809"/>
      <c r="L3" s="809"/>
      <c r="M3" s="809"/>
      <c r="Q3" s="231"/>
      <c r="R3" s="231"/>
      <c r="S3" s="231"/>
      <c r="T3" s="231"/>
    </row>
    <row r="4" spans="1:20" s="136" customFormat="1" ht="15.75" customHeight="1">
      <c r="A4" s="745"/>
      <c r="B4" s="745"/>
      <c r="C4" s="745"/>
      <c r="D4" s="745"/>
      <c r="E4" s="745"/>
      <c r="F4" s="745"/>
      <c r="G4" s="745"/>
      <c r="H4" s="745"/>
      <c r="I4" s="745"/>
      <c r="J4" s="745"/>
      <c r="K4" s="745"/>
      <c r="L4" s="745"/>
      <c r="M4" s="745"/>
    </row>
    <row r="5" spans="1:20" s="135" customFormat="1" ht="15.75" customHeight="1">
      <c r="A5" s="746" t="s">
        <v>174</v>
      </c>
      <c r="B5" s="748">
        <v>1</v>
      </c>
      <c r="C5" s="749"/>
      <c r="D5" s="748">
        <v>2</v>
      </c>
      <c r="E5" s="749"/>
      <c r="F5" s="748">
        <v>3</v>
      </c>
      <c r="G5" s="749"/>
      <c r="H5" s="739">
        <v>4</v>
      </c>
      <c r="I5" s="740"/>
      <c r="J5" s="739">
        <v>5</v>
      </c>
      <c r="K5" s="740"/>
      <c r="L5" s="739">
        <v>6</v>
      </c>
      <c r="M5" s="740"/>
      <c r="N5" s="739">
        <v>7</v>
      </c>
      <c r="O5" s="740"/>
      <c r="P5" s="352">
        <v>8</v>
      </c>
    </row>
    <row r="6" spans="1:20" s="135" customFormat="1" ht="15.75" customHeight="1">
      <c r="A6" s="747"/>
      <c r="B6" s="743" t="s">
        <v>427</v>
      </c>
      <c r="C6" s="744"/>
      <c r="D6" s="743" t="s">
        <v>195</v>
      </c>
      <c r="E6" s="744"/>
      <c r="F6" s="743" t="s">
        <v>166</v>
      </c>
      <c r="G6" s="744"/>
      <c r="H6" s="741" t="s">
        <v>406</v>
      </c>
      <c r="I6" s="742"/>
      <c r="J6" s="741" t="s">
        <v>172</v>
      </c>
      <c r="K6" s="742"/>
      <c r="L6" s="741" t="s">
        <v>167</v>
      </c>
      <c r="M6" s="742"/>
      <c r="N6" s="741" t="s">
        <v>173</v>
      </c>
      <c r="O6" s="742"/>
      <c r="P6" s="353" t="s">
        <v>200</v>
      </c>
    </row>
    <row r="7" spans="1:20" s="135" customFormat="1" ht="15.75" customHeight="1">
      <c r="A7" s="482"/>
      <c r="B7" s="483"/>
      <c r="C7" s="484"/>
      <c r="D7" s="485"/>
      <c r="E7" s="485"/>
      <c r="F7" s="485"/>
      <c r="G7" s="485"/>
      <c r="H7" s="485"/>
      <c r="I7" s="485"/>
      <c r="J7" s="485"/>
      <c r="K7" s="485"/>
      <c r="L7" s="485"/>
      <c r="M7" s="485"/>
      <c r="N7" s="485"/>
      <c r="O7" s="485"/>
      <c r="P7" s="486"/>
    </row>
    <row r="8" spans="1:20" s="278" customFormat="1" ht="15.75" customHeight="1">
      <c r="A8" s="823" t="s">
        <v>174</v>
      </c>
      <c r="B8" s="824"/>
      <c r="C8" s="479" t="s">
        <v>47</v>
      </c>
      <c r="D8" s="825" t="s">
        <v>12</v>
      </c>
      <c r="E8" s="826"/>
      <c r="F8" s="827"/>
      <c r="G8" s="828" t="s">
        <v>53</v>
      </c>
      <c r="H8" s="829"/>
      <c r="I8" s="830"/>
      <c r="J8" s="480" t="s">
        <v>54</v>
      </c>
      <c r="K8" s="480" t="s">
        <v>55</v>
      </c>
      <c r="L8" s="480" t="s">
        <v>56</v>
      </c>
      <c r="M8" s="481" t="s">
        <v>11</v>
      </c>
      <c r="N8" s="481" t="s">
        <v>312</v>
      </c>
      <c r="O8" s="831" t="s">
        <v>51</v>
      </c>
      <c r="P8" s="832"/>
      <c r="R8" s="339"/>
      <c r="S8" s="340"/>
    </row>
    <row r="9" spans="1:20" s="298" customFormat="1" ht="60" customHeight="1">
      <c r="A9" s="693">
        <v>4</v>
      </c>
      <c r="B9" s="727" t="s">
        <v>406</v>
      </c>
      <c r="C9" s="279">
        <v>1</v>
      </c>
      <c r="D9" s="237" t="s">
        <v>319</v>
      </c>
      <c r="E9" s="238"/>
      <c r="F9" s="239"/>
      <c r="G9" s="306" t="s">
        <v>364</v>
      </c>
      <c r="H9" s="305"/>
      <c r="I9" s="306"/>
      <c r="J9" s="312">
        <v>127.84000000000002</v>
      </c>
      <c r="K9" s="313">
        <v>2.5210495398472685E-3</v>
      </c>
      <c r="L9" s="314">
        <v>49.900000000000091</v>
      </c>
      <c r="M9" s="322">
        <f t="shared" ref="M9:M13" si="0">L9*J9</f>
        <v>6379.2160000000122</v>
      </c>
      <c r="N9" s="314"/>
      <c r="O9" s="723" t="s">
        <v>611</v>
      </c>
      <c r="P9" s="833"/>
      <c r="R9" s="388"/>
      <c r="S9" s="390"/>
    </row>
    <row r="10" spans="1:20" s="298" customFormat="1" ht="60" customHeight="1">
      <c r="A10" s="694"/>
      <c r="B10" s="728"/>
      <c r="C10" s="279">
        <v>2</v>
      </c>
      <c r="D10" s="237" t="s">
        <v>319</v>
      </c>
      <c r="E10" s="238"/>
      <c r="F10" s="239"/>
      <c r="G10" s="306" t="s">
        <v>547</v>
      </c>
      <c r="H10" s="305"/>
      <c r="I10" s="306"/>
      <c r="J10" s="312">
        <v>144.79999999999998</v>
      </c>
      <c r="K10" s="313">
        <v>3.2707328118797485E-3</v>
      </c>
      <c r="L10" s="314">
        <v>30.559999999999945</v>
      </c>
      <c r="M10" s="322">
        <f t="shared" si="0"/>
        <v>4425.0879999999916</v>
      </c>
      <c r="N10" s="314"/>
      <c r="O10" s="723" t="s">
        <v>534</v>
      </c>
      <c r="P10" s="833"/>
      <c r="R10" s="388"/>
      <c r="S10" s="389"/>
      <c r="T10" s="335"/>
    </row>
    <row r="11" spans="1:20" s="298" customFormat="1" ht="60" customHeight="1">
      <c r="A11" s="694"/>
      <c r="B11" s="728"/>
      <c r="C11" s="279">
        <v>3</v>
      </c>
      <c r="D11" s="237" t="s">
        <v>319</v>
      </c>
      <c r="E11" s="238"/>
      <c r="F11" s="239"/>
      <c r="G11" s="306" t="s">
        <v>398</v>
      </c>
      <c r="H11" s="305"/>
      <c r="I11" s="306"/>
      <c r="J11" s="312">
        <v>157.87000000000003</v>
      </c>
      <c r="K11" s="313">
        <v>2.9264700182177602E-3</v>
      </c>
      <c r="L11" s="314">
        <v>26.799999999999955</v>
      </c>
      <c r="M11" s="322">
        <f t="shared" si="0"/>
        <v>4230.9159999999938</v>
      </c>
      <c r="N11" s="314"/>
      <c r="O11" s="732" t="s">
        <v>670</v>
      </c>
      <c r="P11" s="834"/>
      <c r="R11" s="388"/>
      <c r="S11" s="390"/>
    </row>
    <row r="12" spans="1:20" s="298" customFormat="1" ht="60" customHeight="1">
      <c r="A12" s="694"/>
      <c r="B12" s="728"/>
      <c r="C12" s="279">
        <v>4</v>
      </c>
      <c r="D12" s="237" t="s">
        <v>336</v>
      </c>
      <c r="E12" s="238"/>
      <c r="F12" s="239"/>
      <c r="G12" s="306" t="s">
        <v>565</v>
      </c>
      <c r="H12" s="305"/>
      <c r="I12" s="306"/>
      <c r="J12" s="312">
        <v>426.69</v>
      </c>
      <c r="K12" s="313">
        <v>2.6496792784040098E-3</v>
      </c>
      <c r="L12" s="314">
        <v>9.82000000000005</v>
      </c>
      <c r="M12" s="322">
        <f t="shared" si="0"/>
        <v>4190.095800000021</v>
      </c>
      <c r="N12" s="314"/>
      <c r="O12" s="732" t="s">
        <v>534</v>
      </c>
      <c r="P12" s="834"/>
      <c r="R12" s="388"/>
      <c r="S12" s="389"/>
      <c r="T12" s="335"/>
    </row>
    <row r="13" spans="1:20" s="298" customFormat="1" ht="60" customHeight="1" thickBot="1">
      <c r="A13" s="694"/>
      <c r="B13" s="728"/>
      <c r="C13" s="279">
        <v>5</v>
      </c>
      <c r="D13" s="237" t="s">
        <v>442</v>
      </c>
      <c r="E13" s="245"/>
      <c r="F13" s="246"/>
      <c r="G13" s="306" t="s">
        <v>441</v>
      </c>
      <c r="H13" s="305"/>
      <c r="I13" s="306"/>
      <c r="J13" s="316">
        <v>266.27999999999997</v>
      </c>
      <c r="K13" s="248">
        <v>2.4648287892002577E-3</v>
      </c>
      <c r="L13" s="317">
        <v>15.420000000000073</v>
      </c>
      <c r="M13" s="322">
        <f t="shared" si="0"/>
        <v>4106.0376000000188</v>
      </c>
      <c r="N13" s="314"/>
      <c r="O13" s="732" t="s">
        <v>671</v>
      </c>
      <c r="P13" s="834"/>
      <c r="R13" s="391"/>
      <c r="S13" s="390"/>
      <c r="T13" s="289"/>
    </row>
    <row r="14" spans="1:20" ht="15.75" customHeight="1" thickTop="1" thickBot="1">
      <c r="A14" s="695"/>
      <c r="B14" s="729"/>
      <c r="C14" s="736"/>
      <c r="D14" s="737"/>
      <c r="E14" s="737"/>
      <c r="F14" s="737"/>
      <c r="G14" s="737"/>
      <c r="H14" s="737"/>
      <c r="I14" s="738"/>
      <c r="J14" s="347" t="s">
        <v>58</v>
      </c>
      <c r="K14" s="345">
        <f>M14/'生產管理報表 7-1 (週)'!$B$10</f>
        <v>9.1384880160930673E-2</v>
      </c>
      <c r="L14" s="348" t="s">
        <v>59</v>
      </c>
      <c r="M14" s="349">
        <f>SUM(M9:M13)</f>
        <v>23331.353400000036</v>
      </c>
      <c r="N14" s="680"/>
      <c r="O14" s="681"/>
      <c r="P14" s="822"/>
      <c r="R14" s="339"/>
      <c r="S14" s="339"/>
    </row>
    <row r="15" spans="1:20" ht="15.75" customHeight="1" thickTop="1">
      <c r="A15" s="487"/>
      <c r="M15" s="329"/>
      <c r="P15" s="488"/>
      <c r="S15" s="340"/>
    </row>
    <row r="16" spans="1:20" ht="15.75" customHeight="1">
      <c r="A16" s="683" t="s">
        <v>174</v>
      </c>
      <c r="B16" s="684"/>
      <c r="C16" s="275" t="s">
        <v>47</v>
      </c>
      <c r="D16" s="713" t="s">
        <v>12</v>
      </c>
      <c r="E16" s="714"/>
      <c r="F16" s="715"/>
      <c r="G16" s="716" t="s">
        <v>53</v>
      </c>
      <c r="H16" s="717"/>
      <c r="I16" s="718"/>
      <c r="J16" s="374" t="s">
        <v>54</v>
      </c>
      <c r="K16" s="276" t="s">
        <v>55</v>
      </c>
      <c r="L16" s="276" t="s">
        <v>56</v>
      </c>
      <c r="M16" s="330" t="s">
        <v>11</v>
      </c>
      <c r="N16" s="277" t="s">
        <v>312</v>
      </c>
      <c r="O16" s="691" t="s">
        <v>51</v>
      </c>
      <c r="P16" s="814"/>
      <c r="S16" s="339"/>
      <c r="T16" s="335"/>
    </row>
    <row r="17" spans="1:20" s="298" customFormat="1" ht="60" customHeight="1">
      <c r="A17" s="693">
        <v>5</v>
      </c>
      <c r="B17" s="706" t="s">
        <v>198</v>
      </c>
      <c r="C17" s="279">
        <v>1</v>
      </c>
      <c r="D17" s="237" t="s">
        <v>319</v>
      </c>
      <c r="E17" s="238"/>
      <c r="F17" s="239"/>
      <c r="G17" s="306" t="s">
        <v>315</v>
      </c>
      <c r="H17" s="305"/>
      <c r="I17" s="306"/>
      <c r="J17" s="312">
        <v>147.43000000000004</v>
      </c>
      <c r="K17" s="313">
        <v>2.5899921086177942E-3</v>
      </c>
      <c r="L17" s="314">
        <v>65.550000000000182</v>
      </c>
      <c r="M17" s="322">
        <f>L17*J17</f>
        <v>9664.0365000000293</v>
      </c>
      <c r="N17" s="314"/>
      <c r="O17" s="774" t="s">
        <v>490</v>
      </c>
      <c r="P17" s="819"/>
      <c r="S17" s="390"/>
      <c r="T17" s="335"/>
    </row>
    <row r="18" spans="1:20" s="298" customFormat="1" ht="24.95" customHeight="1">
      <c r="A18" s="694"/>
      <c r="B18" s="707"/>
      <c r="C18" s="279">
        <v>2</v>
      </c>
      <c r="D18" s="237"/>
      <c r="E18" s="238"/>
      <c r="F18" s="239"/>
      <c r="G18" s="350"/>
      <c r="H18" s="305"/>
      <c r="I18" s="306"/>
      <c r="J18" s="312"/>
      <c r="K18" s="313"/>
      <c r="L18" s="314"/>
      <c r="M18" s="322">
        <f t="shared" ref="M18:M21" si="1">L18*J18</f>
        <v>0</v>
      </c>
      <c r="N18" s="314"/>
      <c r="O18" s="711"/>
      <c r="P18" s="820"/>
      <c r="S18" s="339"/>
      <c r="T18" s="336"/>
    </row>
    <row r="19" spans="1:20" ht="24.95" customHeight="1">
      <c r="A19" s="694"/>
      <c r="B19" s="707"/>
      <c r="C19" s="279">
        <v>3</v>
      </c>
      <c r="D19" s="237"/>
      <c r="E19" s="238"/>
      <c r="F19" s="239"/>
      <c r="G19" s="350"/>
      <c r="H19" s="305"/>
      <c r="I19" s="306"/>
      <c r="J19" s="312"/>
      <c r="K19" s="313"/>
      <c r="L19" s="314"/>
      <c r="M19" s="322">
        <f t="shared" si="1"/>
        <v>0</v>
      </c>
      <c r="N19" s="288"/>
      <c r="O19" s="701"/>
      <c r="P19" s="821"/>
    </row>
    <row r="20" spans="1:20" ht="24.95" customHeight="1">
      <c r="A20" s="694"/>
      <c r="B20" s="707"/>
      <c r="C20" s="279">
        <v>4</v>
      </c>
      <c r="D20" s="280"/>
      <c r="E20" s="281"/>
      <c r="F20" s="282"/>
      <c r="G20" s="350"/>
      <c r="H20" s="305"/>
      <c r="I20" s="306"/>
      <c r="J20" s="286"/>
      <c r="K20" s="287"/>
      <c r="L20" s="288"/>
      <c r="M20" s="322">
        <f t="shared" si="1"/>
        <v>0</v>
      </c>
      <c r="N20" s="288"/>
      <c r="O20" s="299"/>
      <c r="P20" s="489"/>
    </row>
    <row r="21" spans="1:20" ht="24.95" customHeight="1" thickBot="1">
      <c r="A21" s="694"/>
      <c r="B21" s="707"/>
      <c r="C21" s="279">
        <v>5</v>
      </c>
      <c r="D21" s="290"/>
      <c r="E21" s="291"/>
      <c r="F21" s="292"/>
      <c r="G21" s="350"/>
      <c r="H21" s="305"/>
      <c r="I21" s="306"/>
      <c r="J21" s="293"/>
      <c r="K21" s="248"/>
      <c r="L21" s="294"/>
      <c r="M21" s="322">
        <f t="shared" si="1"/>
        <v>0</v>
      </c>
      <c r="N21" s="288"/>
      <c r="O21" s="301"/>
      <c r="P21" s="490"/>
      <c r="R21" s="343"/>
    </row>
    <row r="22" spans="1:20" ht="15.75" customHeight="1" thickTop="1" thickBot="1">
      <c r="A22" s="695"/>
      <c r="B22" s="708"/>
      <c r="C22" s="703"/>
      <c r="D22" s="704"/>
      <c r="E22" s="704"/>
      <c r="F22" s="704"/>
      <c r="G22" s="704"/>
      <c r="H22" s="704"/>
      <c r="I22" s="705"/>
      <c r="J22" s="347" t="s">
        <v>58</v>
      </c>
      <c r="K22" s="345">
        <f>M22/'生產管理報表 7-1 (週)'!$B$10</f>
        <v>3.7852361253220793E-2</v>
      </c>
      <c r="L22" s="348" t="s">
        <v>59</v>
      </c>
      <c r="M22" s="349">
        <f>SUM(M17:M21)</f>
        <v>9664.0365000000293</v>
      </c>
      <c r="N22" s="680"/>
      <c r="O22" s="681"/>
      <c r="P22" s="822"/>
      <c r="R22" s="339"/>
    </row>
    <row r="23" spans="1:20" ht="15.75" customHeight="1" thickTop="1">
      <c r="A23" s="487"/>
      <c r="K23" s="289" t="s">
        <v>431</v>
      </c>
      <c r="M23" s="329"/>
      <c r="P23" s="488"/>
      <c r="R23" s="339"/>
    </row>
    <row r="24" spans="1:20" ht="24.95" customHeight="1">
      <c r="A24" s="683" t="s">
        <v>174</v>
      </c>
      <c r="B24" s="684"/>
      <c r="C24" s="303" t="s">
        <v>47</v>
      </c>
      <c r="D24" s="685" t="s">
        <v>12</v>
      </c>
      <c r="E24" s="686"/>
      <c r="F24" s="687"/>
      <c r="G24" s="688" t="s">
        <v>53</v>
      </c>
      <c r="H24" s="689"/>
      <c r="I24" s="690"/>
      <c r="J24" s="304" t="s">
        <v>54</v>
      </c>
      <c r="K24" s="276" t="s">
        <v>55</v>
      </c>
      <c r="L24" s="276" t="s">
        <v>56</v>
      </c>
      <c r="M24" s="330" t="s">
        <v>11</v>
      </c>
      <c r="N24" s="277" t="s">
        <v>312</v>
      </c>
      <c r="O24" s="691" t="s">
        <v>51</v>
      </c>
      <c r="P24" s="814"/>
      <c r="R24" s="339"/>
    </row>
    <row r="25" spans="1:20" ht="60" customHeight="1">
      <c r="A25" s="693">
        <v>6</v>
      </c>
      <c r="B25" s="706" t="s">
        <v>199</v>
      </c>
      <c r="C25" s="279">
        <v>1</v>
      </c>
      <c r="D25" s="491" t="s">
        <v>562</v>
      </c>
      <c r="E25" s="281"/>
      <c r="F25" s="282"/>
      <c r="G25" s="306" t="s">
        <v>561</v>
      </c>
      <c r="H25" s="305"/>
      <c r="I25" s="306"/>
      <c r="J25" s="312">
        <v>625.93999999999994</v>
      </c>
      <c r="K25" s="313">
        <v>1.841341708382489E-3</v>
      </c>
      <c r="L25" s="314">
        <v>10.940000000000055</v>
      </c>
      <c r="M25" s="322">
        <f t="shared" ref="M25:M29" si="2">L25*J25</f>
        <v>6847.7836000000334</v>
      </c>
      <c r="N25" s="288"/>
      <c r="O25" s="734" t="s">
        <v>625</v>
      </c>
      <c r="P25" s="815"/>
      <c r="R25" s="336"/>
      <c r="S25" s="336"/>
    </row>
    <row r="26" spans="1:20" ht="60" customHeight="1">
      <c r="A26" s="694"/>
      <c r="B26" s="707"/>
      <c r="C26" s="279">
        <v>2</v>
      </c>
      <c r="D26" s="237" t="s">
        <v>319</v>
      </c>
      <c r="E26" s="281"/>
      <c r="F26" s="282"/>
      <c r="G26" s="306" t="s">
        <v>495</v>
      </c>
      <c r="H26" s="305"/>
      <c r="I26" s="306"/>
      <c r="J26" s="312">
        <v>39.389999999999993</v>
      </c>
      <c r="K26" s="313">
        <v>1.1486035649604424E-3</v>
      </c>
      <c r="L26" s="314">
        <v>139.02999999999884</v>
      </c>
      <c r="M26" s="322">
        <f t="shared" si="2"/>
        <v>5476.3916999999528</v>
      </c>
      <c r="N26" s="288"/>
      <c r="O26" s="734" t="s">
        <v>610</v>
      </c>
      <c r="P26" s="815"/>
      <c r="R26" s="336"/>
      <c r="S26" s="336"/>
    </row>
    <row r="27" spans="1:20" ht="60" customHeight="1">
      <c r="A27" s="694"/>
      <c r="B27" s="707"/>
      <c r="C27" s="279">
        <v>3</v>
      </c>
      <c r="D27" s="237" t="s">
        <v>436</v>
      </c>
      <c r="E27" s="281"/>
      <c r="F27" s="282"/>
      <c r="G27" s="306" t="s">
        <v>434</v>
      </c>
      <c r="H27" s="305"/>
      <c r="I27" s="306"/>
      <c r="J27" s="312">
        <v>407.74000000000007</v>
      </c>
      <c r="K27" s="313">
        <v>2.8234402387607182E-3</v>
      </c>
      <c r="L27" s="314">
        <v>12.6400000000001</v>
      </c>
      <c r="M27" s="322">
        <f t="shared" si="2"/>
        <v>5153.8336000000418</v>
      </c>
      <c r="N27" s="288"/>
      <c r="O27" s="734" t="s">
        <v>609</v>
      </c>
      <c r="P27" s="815"/>
      <c r="R27" s="336"/>
    </row>
    <row r="28" spans="1:20" ht="60" customHeight="1">
      <c r="A28" s="694"/>
      <c r="B28" s="707"/>
      <c r="C28" s="279">
        <v>4</v>
      </c>
      <c r="D28" s="237" t="s">
        <v>581</v>
      </c>
      <c r="E28" s="281"/>
      <c r="F28" s="282"/>
      <c r="G28" s="306" t="s">
        <v>592</v>
      </c>
      <c r="H28" s="305"/>
      <c r="I28" s="306"/>
      <c r="J28" s="312">
        <v>52.26</v>
      </c>
      <c r="K28" s="313">
        <v>3.4922658249618098E-3</v>
      </c>
      <c r="L28" s="314">
        <v>81.989999999999782</v>
      </c>
      <c r="M28" s="322">
        <f t="shared" si="2"/>
        <v>4284.7973999999886</v>
      </c>
      <c r="N28" s="288"/>
      <c r="O28" s="734" t="s">
        <v>610</v>
      </c>
      <c r="P28" s="815"/>
      <c r="R28" s="336"/>
      <c r="S28" s="336"/>
    </row>
    <row r="29" spans="1:20" ht="60" customHeight="1" thickBot="1">
      <c r="A29" s="694"/>
      <c r="B29" s="707"/>
      <c r="C29" s="279">
        <v>5</v>
      </c>
      <c r="D29" s="244" t="s">
        <v>614</v>
      </c>
      <c r="E29" s="291"/>
      <c r="F29" s="292"/>
      <c r="G29" s="306" t="s">
        <v>499</v>
      </c>
      <c r="H29" s="305"/>
      <c r="I29" s="306"/>
      <c r="J29" s="316">
        <v>62.43</v>
      </c>
      <c r="K29" s="248">
        <v>4.4446148411248741E-3</v>
      </c>
      <c r="L29" s="317">
        <v>60.199999999999818</v>
      </c>
      <c r="M29" s="322">
        <f t="shared" si="2"/>
        <v>3758.2859999999887</v>
      </c>
      <c r="N29" s="288"/>
      <c r="O29" s="734" t="s">
        <v>610</v>
      </c>
      <c r="P29" s="815"/>
    </row>
    <row r="30" spans="1:20" ht="15.75" customHeight="1" thickTop="1" thickBot="1">
      <c r="A30" s="695"/>
      <c r="B30" s="708"/>
      <c r="C30" s="703"/>
      <c r="D30" s="704"/>
      <c r="E30" s="704"/>
      <c r="F30" s="704"/>
      <c r="G30" s="704"/>
      <c r="H30" s="704"/>
      <c r="I30" s="705"/>
      <c r="J30" s="492" t="s">
        <v>58</v>
      </c>
      <c r="K30" s="345">
        <f>M30/'生產管理報表 7-1 (週)'!$B$10</f>
        <v>9.9961709097061979E-2</v>
      </c>
      <c r="L30" s="493" t="s">
        <v>59</v>
      </c>
      <c r="M30" s="494">
        <f>SUM(M25:M29)</f>
        <v>25521.092300000008</v>
      </c>
      <c r="N30" s="816"/>
      <c r="O30" s="817"/>
      <c r="P30" s="818"/>
    </row>
    <row r="31" spans="1:20" s="135" customFormat="1" ht="15.75" customHeight="1" thickTop="1">
      <c r="A31" s="809" t="s">
        <v>640</v>
      </c>
      <c r="B31" s="809"/>
      <c r="C31" s="809"/>
      <c r="D31" s="809"/>
      <c r="E31" s="809"/>
      <c r="F31" s="809"/>
      <c r="G31" s="809"/>
      <c r="H31" s="809"/>
      <c r="I31" s="809"/>
      <c r="J31" s="809"/>
      <c r="K31" s="809"/>
      <c r="L31" s="809"/>
      <c r="M31" s="809"/>
      <c r="Q31" s="231"/>
      <c r="R31" s="231"/>
      <c r="S31" s="231"/>
      <c r="T31" s="231"/>
    </row>
    <row r="32" spans="1:20" s="136" customFormat="1" ht="15.75" customHeight="1">
      <c r="A32" s="745"/>
      <c r="B32" s="745"/>
      <c r="C32" s="745"/>
      <c r="D32" s="745"/>
      <c r="E32" s="745"/>
      <c r="F32" s="745"/>
      <c r="G32" s="745"/>
      <c r="H32" s="745"/>
      <c r="I32" s="745"/>
      <c r="J32" s="745"/>
      <c r="K32" s="745"/>
      <c r="L32" s="745"/>
      <c r="M32" s="745"/>
    </row>
    <row r="33" spans="1:20" s="135" customFormat="1" ht="15.75" customHeight="1">
      <c r="A33" s="746" t="s">
        <v>174</v>
      </c>
      <c r="B33" s="748">
        <v>1</v>
      </c>
      <c r="C33" s="749"/>
      <c r="D33" s="748">
        <v>2</v>
      </c>
      <c r="E33" s="749"/>
      <c r="F33" s="748">
        <v>3</v>
      </c>
      <c r="G33" s="749"/>
      <c r="H33" s="739">
        <v>4</v>
      </c>
      <c r="I33" s="740"/>
      <c r="J33" s="739">
        <v>5</v>
      </c>
      <c r="K33" s="740"/>
      <c r="L33" s="739">
        <v>6</v>
      </c>
      <c r="M33" s="740"/>
      <c r="N33" s="739">
        <v>7</v>
      </c>
      <c r="O33" s="740"/>
      <c r="P33" s="352">
        <v>8</v>
      </c>
    </row>
    <row r="34" spans="1:20" s="135" customFormat="1" ht="15.75" customHeight="1">
      <c r="A34" s="747"/>
      <c r="B34" s="743" t="s">
        <v>427</v>
      </c>
      <c r="C34" s="744"/>
      <c r="D34" s="743" t="s">
        <v>195</v>
      </c>
      <c r="E34" s="744"/>
      <c r="F34" s="743" t="s">
        <v>166</v>
      </c>
      <c r="G34" s="744"/>
      <c r="H34" s="741" t="s">
        <v>406</v>
      </c>
      <c r="I34" s="742"/>
      <c r="J34" s="741" t="s">
        <v>172</v>
      </c>
      <c r="K34" s="742"/>
      <c r="L34" s="741" t="s">
        <v>167</v>
      </c>
      <c r="M34" s="742"/>
      <c r="N34" s="741" t="s">
        <v>173</v>
      </c>
      <c r="O34" s="742"/>
      <c r="P34" s="353" t="s">
        <v>200</v>
      </c>
    </row>
    <row r="35" spans="1:20" s="135" customFormat="1" ht="15.75" customHeight="1">
      <c r="A35" s="482"/>
      <c r="B35" s="483"/>
      <c r="C35" s="484"/>
      <c r="D35" s="485"/>
      <c r="E35" s="485"/>
      <c r="F35" s="485"/>
      <c r="G35" s="485"/>
      <c r="H35" s="485"/>
      <c r="I35" s="485"/>
      <c r="J35" s="485"/>
      <c r="K35" s="485"/>
      <c r="L35" s="485"/>
      <c r="M35" s="485"/>
      <c r="N35" s="485"/>
      <c r="O35" s="485"/>
      <c r="P35" s="486"/>
    </row>
    <row r="36" spans="1:20" s="278" customFormat="1" ht="15.75" customHeight="1">
      <c r="A36" s="823" t="s">
        <v>174</v>
      </c>
      <c r="B36" s="824"/>
      <c r="C36" s="479" t="s">
        <v>47</v>
      </c>
      <c r="D36" s="825" t="s">
        <v>12</v>
      </c>
      <c r="E36" s="826"/>
      <c r="F36" s="827"/>
      <c r="G36" s="828" t="s">
        <v>53</v>
      </c>
      <c r="H36" s="829"/>
      <c r="I36" s="830"/>
      <c r="J36" s="480" t="s">
        <v>54</v>
      </c>
      <c r="K36" s="480" t="s">
        <v>55</v>
      </c>
      <c r="L36" s="480" t="s">
        <v>56</v>
      </c>
      <c r="M36" s="481" t="s">
        <v>11</v>
      </c>
      <c r="N36" s="481" t="s">
        <v>312</v>
      </c>
      <c r="O36" s="831" t="s">
        <v>51</v>
      </c>
      <c r="P36" s="832"/>
      <c r="R36" s="339"/>
      <c r="S36" s="340"/>
    </row>
    <row r="37" spans="1:20" s="298" customFormat="1" ht="81.75" customHeight="1">
      <c r="A37" s="693">
        <v>4</v>
      </c>
      <c r="B37" s="727" t="s">
        <v>406</v>
      </c>
      <c r="C37" s="279">
        <v>1</v>
      </c>
      <c r="D37" s="491" t="s">
        <v>562</v>
      </c>
      <c r="E37" s="281"/>
      <c r="F37" s="282"/>
      <c r="G37" s="306" t="s">
        <v>561</v>
      </c>
      <c r="H37" s="305"/>
      <c r="I37" s="306"/>
      <c r="J37" s="312">
        <v>625.93999999999994</v>
      </c>
      <c r="K37" s="313">
        <v>1.6049918522097297E-3</v>
      </c>
      <c r="L37" s="314">
        <v>10.700000000000045</v>
      </c>
      <c r="M37" s="322">
        <f t="shared" ref="M37" si="3">L37*J37</f>
        <v>6697.5580000000282</v>
      </c>
      <c r="N37" s="288"/>
      <c r="O37" s="734" t="s">
        <v>625</v>
      </c>
      <c r="P37" s="815"/>
      <c r="R37" s="388"/>
      <c r="S37" s="390"/>
    </row>
    <row r="38" spans="1:20" s="298" customFormat="1" ht="60" customHeight="1">
      <c r="A38" s="694"/>
      <c r="B38" s="728"/>
      <c r="C38" s="279">
        <v>2</v>
      </c>
      <c r="D38" s="237" t="s">
        <v>319</v>
      </c>
      <c r="E38" s="238"/>
      <c r="F38" s="239"/>
      <c r="G38" s="306" t="s">
        <v>364</v>
      </c>
      <c r="H38" s="305"/>
      <c r="I38" s="306"/>
      <c r="J38" s="312">
        <v>127.84000000000002</v>
      </c>
      <c r="K38" s="313">
        <v>2.4967808799974873E-3</v>
      </c>
      <c r="L38" s="314">
        <v>41.739999999999782</v>
      </c>
      <c r="M38" s="322">
        <f t="shared" ref="M38:M41" si="4">L38*J38</f>
        <v>5336.0415999999732</v>
      </c>
      <c r="N38" s="314"/>
      <c r="O38" s="734" t="s">
        <v>709</v>
      </c>
      <c r="P38" s="815"/>
      <c r="R38" s="388"/>
      <c r="S38" s="389"/>
      <c r="T38" s="335"/>
    </row>
    <row r="39" spans="1:20" s="298" customFormat="1" ht="60" customHeight="1">
      <c r="A39" s="694"/>
      <c r="B39" s="728"/>
      <c r="C39" s="279">
        <v>3</v>
      </c>
      <c r="D39" s="237" t="s">
        <v>319</v>
      </c>
      <c r="E39" s="238"/>
      <c r="F39" s="239"/>
      <c r="G39" s="306" t="s">
        <v>495</v>
      </c>
      <c r="H39" s="305"/>
      <c r="I39" s="306"/>
      <c r="J39" s="312">
        <v>39.389999999999993</v>
      </c>
      <c r="K39" s="313">
        <v>1.0358547516692582E-3</v>
      </c>
      <c r="L39" s="314">
        <v>125.45000000000073</v>
      </c>
      <c r="M39" s="322">
        <f t="shared" si="4"/>
        <v>4941.4755000000278</v>
      </c>
      <c r="N39" s="314"/>
      <c r="O39" s="734" t="s">
        <v>610</v>
      </c>
      <c r="P39" s="815"/>
      <c r="R39" s="388"/>
      <c r="S39" s="390"/>
    </row>
    <row r="40" spans="1:20" s="298" customFormat="1" ht="60" customHeight="1">
      <c r="A40" s="694"/>
      <c r="B40" s="728"/>
      <c r="C40" s="279">
        <v>4</v>
      </c>
      <c r="D40" s="237" t="s">
        <v>581</v>
      </c>
      <c r="E40" s="238"/>
      <c r="F40" s="239"/>
      <c r="G40" s="306" t="s">
        <v>592</v>
      </c>
      <c r="H40" s="305"/>
      <c r="I40" s="306"/>
      <c r="J40" s="312">
        <v>52.26</v>
      </c>
      <c r="K40" s="313">
        <v>3.5377291419016149E-3</v>
      </c>
      <c r="L40" s="314">
        <v>82.529999999999745</v>
      </c>
      <c r="M40" s="322">
        <f t="shared" si="4"/>
        <v>4313.0177999999869</v>
      </c>
      <c r="N40" s="314"/>
      <c r="O40" s="734" t="s">
        <v>610</v>
      </c>
      <c r="P40" s="815"/>
      <c r="R40" s="388"/>
      <c r="S40" s="389"/>
      <c r="T40" s="335"/>
    </row>
    <row r="41" spans="1:20" s="298" customFormat="1" ht="60" customHeight="1" thickBot="1">
      <c r="A41" s="694"/>
      <c r="B41" s="728"/>
      <c r="C41" s="279">
        <v>5</v>
      </c>
      <c r="D41" s="237" t="s">
        <v>319</v>
      </c>
      <c r="E41" s="238"/>
      <c r="F41" s="239"/>
      <c r="G41" s="306" t="s">
        <v>547</v>
      </c>
      <c r="H41" s="305"/>
      <c r="I41" s="306"/>
      <c r="J41" s="312">
        <v>144.79999999999998</v>
      </c>
      <c r="K41" s="313">
        <v>3.3888274768588307E-3</v>
      </c>
      <c r="L41" s="314">
        <v>27.910000000000082</v>
      </c>
      <c r="M41" s="322">
        <f t="shared" si="4"/>
        <v>4041.3680000000113</v>
      </c>
      <c r="N41" s="314"/>
      <c r="O41" s="734" t="s">
        <v>534</v>
      </c>
      <c r="P41" s="815"/>
      <c r="R41" s="391"/>
      <c r="S41" s="390"/>
      <c r="T41" s="289"/>
    </row>
    <row r="42" spans="1:20" ht="15.75" customHeight="1" thickTop="1" thickBot="1">
      <c r="A42" s="695"/>
      <c r="B42" s="729"/>
      <c r="C42" s="736"/>
      <c r="D42" s="737"/>
      <c r="E42" s="737"/>
      <c r="F42" s="737"/>
      <c r="G42" s="737"/>
      <c r="H42" s="737"/>
      <c r="I42" s="738"/>
      <c r="J42" s="347" t="s">
        <v>58</v>
      </c>
      <c r="K42" s="345">
        <f>M42/'生產管理報表 7-1 (週)'!$B$21</f>
        <v>0.10068211337788185</v>
      </c>
      <c r="L42" s="348" t="s">
        <v>59</v>
      </c>
      <c r="M42" s="349">
        <f>SUM(M37:M41)</f>
        <v>25329.460900000027</v>
      </c>
      <c r="N42" s="680"/>
      <c r="O42" s="681"/>
      <c r="P42" s="822"/>
      <c r="R42" s="339"/>
      <c r="S42" s="339"/>
    </row>
    <row r="43" spans="1:20" ht="15.75" customHeight="1" thickTop="1">
      <c r="A43" s="487"/>
      <c r="M43" s="329"/>
      <c r="P43" s="488"/>
      <c r="S43" s="340"/>
    </row>
    <row r="44" spans="1:20" ht="15.75" customHeight="1">
      <c r="A44" s="683" t="s">
        <v>174</v>
      </c>
      <c r="B44" s="684"/>
      <c r="C44" s="275" t="s">
        <v>47</v>
      </c>
      <c r="D44" s="713" t="s">
        <v>12</v>
      </c>
      <c r="E44" s="714"/>
      <c r="F44" s="715"/>
      <c r="G44" s="716" t="s">
        <v>53</v>
      </c>
      <c r="H44" s="717"/>
      <c r="I44" s="718"/>
      <c r="J44" s="374" t="s">
        <v>54</v>
      </c>
      <c r="K44" s="276" t="s">
        <v>55</v>
      </c>
      <c r="L44" s="276" t="s">
        <v>56</v>
      </c>
      <c r="M44" s="330" t="s">
        <v>11</v>
      </c>
      <c r="N44" s="277" t="s">
        <v>312</v>
      </c>
      <c r="O44" s="691" t="s">
        <v>51</v>
      </c>
      <c r="P44" s="814"/>
      <c r="S44" s="339"/>
      <c r="T44" s="335"/>
    </row>
    <row r="45" spans="1:20" s="298" customFormat="1" ht="60" customHeight="1">
      <c r="A45" s="693">
        <v>5</v>
      </c>
      <c r="B45" s="706" t="s">
        <v>198</v>
      </c>
      <c r="C45" s="279">
        <v>1</v>
      </c>
      <c r="D45" s="237" t="s">
        <v>319</v>
      </c>
      <c r="E45" s="238"/>
      <c r="F45" s="239"/>
      <c r="G45" s="306" t="s">
        <v>315</v>
      </c>
      <c r="H45" s="305"/>
      <c r="I45" s="306"/>
      <c r="J45" s="312">
        <v>147.43000000000004</v>
      </c>
      <c r="K45" s="313">
        <v>2.4776643357432714E-3</v>
      </c>
      <c r="L45" s="314">
        <v>59.369999999999891</v>
      </c>
      <c r="M45" s="322">
        <f>L45*J45</f>
        <v>8752.9190999999864</v>
      </c>
      <c r="N45" s="314"/>
      <c r="O45" s="774" t="s">
        <v>490</v>
      </c>
      <c r="P45" s="819"/>
      <c r="S45" s="390"/>
      <c r="T45" s="335"/>
    </row>
    <row r="46" spans="1:20" s="298" customFormat="1" ht="24.95" customHeight="1">
      <c r="A46" s="694"/>
      <c r="B46" s="707"/>
      <c r="C46" s="279">
        <v>2</v>
      </c>
      <c r="D46" s="237"/>
      <c r="E46" s="238"/>
      <c r="F46" s="239"/>
      <c r="G46" s="350"/>
      <c r="H46" s="305"/>
      <c r="I46" s="306"/>
      <c r="J46" s="312"/>
      <c r="K46" s="313"/>
      <c r="L46" s="314"/>
      <c r="M46" s="322">
        <f t="shared" ref="M46:M49" si="5">L46*J46</f>
        <v>0</v>
      </c>
      <c r="N46" s="314"/>
      <c r="O46" s="711"/>
      <c r="P46" s="820"/>
      <c r="S46" s="339"/>
      <c r="T46" s="336"/>
    </row>
    <row r="47" spans="1:20" ht="24.95" customHeight="1">
      <c r="A47" s="694"/>
      <c r="B47" s="707"/>
      <c r="C47" s="279">
        <v>3</v>
      </c>
      <c r="D47" s="237"/>
      <c r="E47" s="238"/>
      <c r="F47" s="239"/>
      <c r="G47" s="350"/>
      <c r="H47" s="305"/>
      <c r="I47" s="306"/>
      <c r="J47" s="312"/>
      <c r="K47" s="313"/>
      <c r="L47" s="314"/>
      <c r="M47" s="322">
        <f t="shared" si="5"/>
        <v>0</v>
      </c>
      <c r="N47" s="288"/>
      <c r="O47" s="701"/>
      <c r="P47" s="821"/>
    </row>
    <row r="48" spans="1:20" ht="24.95" customHeight="1">
      <c r="A48" s="694"/>
      <c r="B48" s="707"/>
      <c r="C48" s="279">
        <v>4</v>
      </c>
      <c r="D48" s="280"/>
      <c r="E48" s="281"/>
      <c r="F48" s="282"/>
      <c r="G48" s="350"/>
      <c r="H48" s="305"/>
      <c r="I48" s="306"/>
      <c r="J48" s="286"/>
      <c r="K48" s="287"/>
      <c r="L48" s="288"/>
      <c r="M48" s="322">
        <f t="shared" si="5"/>
        <v>0</v>
      </c>
      <c r="N48" s="288"/>
      <c r="O48" s="299"/>
      <c r="P48" s="489"/>
    </row>
    <row r="49" spans="1:20" ht="24.95" customHeight="1" thickBot="1">
      <c r="A49" s="694"/>
      <c r="B49" s="707"/>
      <c r="C49" s="279">
        <v>5</v>
      </c>
      <c r="D49" s="290"/>
      <c r="E49" s="291"/>
      <c r="F49" s="292"/>
      <c r="G49" s="350"/>
      <c r="H49" s="305"/>
      <c r="I49" s="306"/>
      <c r="J49" s="293"/>
      <c r="K49" s="248"/>
      <c r="L49" s="294"/>
      <c r="M49" s="322">
        <f t="shared" si="5"/>
        <v>0</v>
      </c>
      <c r="N49" s="288"/>
      <c r="O49" s="301"/>
      <c r="P49" s="490"/>
      <c r="R49" s="343"/>
    </row>
    <row r="50" spans="1:20" ht="15.75" customHeight="1" thickTop="1" thickBot="1">
      <c r="A50" s="695"/>
      <c r="B50" s="708"/>
      <c r="C50" s="703"/>
      <c r="D50" s="704"/>
      <c r="E50" s="704"/>
      <c r="F50" s="704"/>
      <c r="G50" s="704"/>
      <c r="H50" s="704"/>
      <c r="I50" s="705"/>
      <c r="J50" s="347" t="s">
        <v>58</v>
      </c>
      <c r="K50" s="345">
        <f>M50/'生產管理報表 7-1 (週)'!$B$21</f>
        <v>3.4791991692710099E-2</v>
      </c>
      <c r="L50" s="348" t="s">
        <v>59</v>
      </c>
      <c r="M50" s="349">
        <f>SUM(M45:M49)</f>
        <v>8752.9190999999864</v>
      </c>
      <c r="N50" s="680"/>
      <c r="O50" s="681"/>
      <c r="P50" s="822"/>
      <c r="R50" s="339"/>
    </row>
    <row r="51" spans="1:20" ht="15.75" customHeight="1" thickTop="1">
      <c r="A51" s="487"/>
      <c r="K51" s="289" t="s">
        <v>431</v>
      </c>
      <c r="M51" s="329"/>
      <c r="P51" s="488"/>
      <c r="R51" s="339"/>
    </row>
    <row r="52" spans="1:20" ht="24.95" customHeight="1">
      <c r="A52" s="683" t="s">
        <v>174</v>
      </c>
      <c r="B52" s="684"/>
      <c r="C52" s="303" t="s">
        <v>47</v>
      </c>
      <c r="D52" s="685" t="s">
        <v>12</v>
      </c>
      <c r="E52" s="686"/>
      <c r="F52" s="687"/>
      <c r="G52" s="688" t="s">
        <v>53</v>
      </c>
      <c r="H52" s="689"/>
      <c r="I52" s="690"/>
      <c r="J52" s="304" t="s">
        <v>54</v>
      </c>
      <c r="K52" s="276" t="s">
        <v>55</v>
      </c>
      <c r="L52" s="276" t="s">
        <v>56</v>
      </c>
      <c r="M52" s="330" t="s">
        <v>11</v>
      </c>
      <c r="N52" s="277" t="s">
        <v>312</v>
      </c>
      <c r="O52" s="691" t="s">
        <v>51</v>
      </c>
      <c r="P52" s="814"/>
      <c r="R52" s="339"/>
    </row>
    <row r="53" spans="1:20" ht="60" customHeight="1">
      <c r="A53" s="693">
        <v>6</v>
      </c>
      <c r="B53" s="706" t="s">
        <v>199</v>
      </c>
      <c r="C53" s="279">
        <v>1</v>
      </c>
      <c r="D53" s="237" t="s">
        <v>436</v>
      </c>
      <c r="E53" s="281"/>
      <c r="F53" s="282"/>
      <c r="G53" s="306" t="s">
        <v>721</v>
      </c>
      <c r="H53" s="305"/>
      <c r="I53" s="306"/>
      <c r="J53" s="312">
        <v>407.74000000000007</v>
      </c>
      <c r="K53" s="313">
        <v>2.3447517860413986E-3</v>
      </c>
      <c r="L53" s="314">
        <v>10.029999999999973</v>
      </c>
      <c r="M53" s="322">
        <f t="shared" ref="M53:M57" si="6">L53*J53</f>
        <v>4089.6321999999896</v>
      </c>
      <c r="N53" s="288"/>
      <c r="O53" s="734" t="s">
        <v>609</v>
      </c>
      <c r="P53" s="815"/>
      <c r="R53" s="336"/>
      <c r="S53" s="336"/>
    </row>
    <row r="54" spans="1:20" ht="60" customHeight="1">
      <c r="A54" s="694"/>
      <c r="B54" s="707"/>
      <c r="C54" s="279">
        <v>2</v>
      </c>
      <c r="D54" s="237"/>
      <c r="E54" s="281"/>
      <c r="F54" s="282"/>
      <c r="G54" s="306"/>
      <c r="H54" s="305"/>
      <c r="I54" s="306"/>
      <c r="J54" s="312"/>
      <c r="K54" s="313"/>
      <c r="L54" s="314"/>
      <c r="M54" s="322">
        <f t="shared" si="6"/>
        <v>0</v>
      </c>
      <c r="N54" s="288"/>
      <c r="O54" s="734"/>
      <c r="P54" s="815"/>
      <c r="R54" s="336"/>
      <c r="S54" s="336"/>
    </row>
    <row r="55" spans="1:20" ht="24.95" customHeight="1">
      <c r="A55" s="694"/>
      <c r="B55" s="707"/>
      <c r="C55" s="279">
        <v>3</v>
      </c>
      <c r="D55" s="237"/>
      <c r="E55" s="281"/>
      <c r="F55" s="282"/>
      <c r="G55" s="306"/>
      <c r="H55" s="305"/>
      <c r="I55" s="306"/>
      <c r="J55" s="312"/>
      <c r="K55" s="313"/>
      <c r="L55" s="314"/>
      <c r="M55" s="322">
        <f t="shared" si="6"/>
        <v>0</v>
      </c>
      <c r="N55" s="288"/>
      <c r="O55" s="734"/>
      <c r="P55" s="815"/>
      <c r="R55" s="336"/>
    </row>
    <row r="56" spans="1:20" ht="24.95" customHeight="1">
      <c r="A56" s="694"/>
      <c r="B56" s="707"/>
      <c r="C56" s="279">
        <v>4</v>
      </c>
      <c r="D56" s="237"/>
      <c r="E56" s="281"/>
      <c r="F56" s="282"/>
      <c r="G56" s="306"/>
      <c r="H56" s="305"/>
      <c r="I56" s="306"/>
      <c r="J56" s="312"/>
      <c r="K56" s="313"/>
      <c r="L56" s="314"/>
      <c r="M56" s="322">
        <f t="shared" si="6"/>
        <v>0</v>
      </c>
      <c r="N56" s="288"/>
      <c r="O56" s="734"/>
      <c r="P56" s="815"/>
      <c r="R56" s="336"/>
      <c r="S56" s="336"/>
    </row>
    <row r="57" spans="1:20" ht="24.95" customHeight="1" thickBot="1">
      <c r="A57" s="694"/>
      <c r="B57" s="707"/>
      <c r="C57" s="279">
        <v>5</v>
      </c>
      <c r="D57" s="244"/>
      <c r="E57" s="291"/>
      <c r="F57" s="292"/>
      <c r="G57" s="306"/>
      <c r="H57" s="305"/>
      <c r="I57" s="306"/>
      <c r="J57" s="316"/>
      <c r="K57" s="248"/>
      <c r="L57" s="317"/>
      <c r="M57" s="322">
        <f t="shared" si="6"/>
        <v>0</v>
      </c>
      <c r="N57" s="288"/>
      <c r="O57" s="734"/>
      <c r="P57" s="815"/>
    </row>
    <row r="58" spans="1:20" ht="15.75" customHeight="1" thickTop="1" thickBot="1">
      <c r="A58" s="695"/>
      <c r="B58" s="708"/>
      <c r="C58" s="703"/>
      <c r="D58" s="704"/>
      <c r="E58" s="704"/>
      <c r="F58" s="704"/>
      <c r="G58" s="704"/>
      <c r="H58" s="704"/>
      <c r="I58" s="705"/>
      <c r="J58" s="492" t="s">
        <v>58</v>
      </c>
      <c r="K58" s="345">
        <f>M58/'生產管理報表 7-1 (週)'!$B$21</f>
        <v>1.6255885368418359E-2</v>
      </c>
      <c r="L58" s="493" t="s">
        <v>59</v>
      </c>
      <c r="M58" s="494">
        <f>SUM(M53:M57)</f>
        <v>4089.6321999999896</v>
      </c>
      <c r="N58" s="816"/>
      <c r="O58" s="817"/>
      <c r="P58" s="818"/>
    </row>
    <row r="59" spans="1:20" s="135" customFormat="1" ht="15.75" customHeight="1" thickTop="1">
      <c r="A59" s="809" t="s">
        <v>705</v>
      </c>
      <c r="B59" s="809"/>
      <c r="C59" s="809"/>
      <c r="D59" s="809"/>
      <c r="E59" s="809"/>
      <c r="F59" s="809"/>
      <c r="G59" s="809"/>
      <c r="H59" s="809"/>
      <c r="I59" s="809"/>
      <c r="J59" s="809"/>
      <c r="K59" s="809"/>
      <c r="L59" s="809"/>
      <c r="M59" s="809"/>
      <c r="Q59" s="231"/>
      <c r="R59" s="231"/>
      <c r="S59" s="231"/>
      <c r="T59" s="231"/>
    </row>
    <row r="60" spans="1:20" s="136" customFormat="1" ht="15.75" customHeight="1">
      <c r="A60" s="745"/>
      <c r="B60" s="745"/>
      <c r="C60" s="745"/>
      <c r="D60" s="745"/>
      <c r="E60" s="745"/>
      <c r="F60" s="745"/>
      <c r="G60" s="745"/>
      <c r="H60" s="745"/>
      <c r="I60" s="745"/>
      <c r="J60" s="745"/>
      <c r="K60" s="745"/>
      <c r="L60" s="745"/>
      <c r="M60" s="745"/>
    </row>
    <row r="61" spans="1:20" s="135" customFormat="1" ht="15.75" customHeight="1">
      <c r="A61" s="746" t="s">
        <v>174</v>
      </c>
      <c r="B61" s="748">
        <v>1</v>
      </c>
      <c r="C61" s="749"/>
      <c r="D61" s="748">
        <v>2</v>
      </c>
      <c r="E61" s="749"/>
      <c r="F61" s="748">
        <v>3</v>
      </c>
      <c r="G61" s="749"/>
      <c r="H61" s="739">
        <v>4</v>
      </c>
      <c r="I61" s="740"/>
      <c r="J61" s="739">
        <v>5</v>
      </c>
      <c r="K61" s="740"/>
      <c r="L61" s="739">
        <v>6</v>
      </c>
      <c r="M61" s="740"/>
      <c r="N61" s="739">
        <v>7</v>
      </c>
      <c r="O61" s="740"/>
      <c r="P61" s="352">
        <v>8</v>
      </c>
    </row>
    <row r="62" spans="1:20" s="135" customFormat="1" ht="15.75" customHeight="1">
      <c r="A62" s="747"/>
      <c r="B62" s="743" t="s">
        <v>427</v>
      </c>
      <c r="C62" s="744"/>
      <c r="D62" s="743" t="s">
        <v>195</v>
      </c>
      <c r="E62" s="744"/>
      <c r="F62" s="743" t="s">
        <v>166</v>
      </c>
      <c r="G62" s="744"/>
      <c r="H62" s="741" t="s">
        <v>406</v>
      </c>
      <c r="I62" s="742"/>
      <c r="J62" s="741" t="s">
        <v>172</v>
      </c>
      <c r="K62" s="742"/>
      <c r="L62" s="741" t="s">
        <v>167</v>
      </c>
      <c r="M62" s="742"/>
      <c r="N62" s="741" t="s">
        <v>173</v>
      </c>
      <c r="O62" s="742"/>
      <c r="P62" s="353" t="s">
        <v>200</v>
      </c>
    </row>
    <row r="63" spans="1:20" s="135" customFormat="1" ht="15.75" customHeight="1">
      <c r="A63" s="482"/>
      <c r="B63" s="483"/>
      <c r="C63" s="484"/>
      <c r="D63" s="485"/>
      <c r="E63" s="485"/>
      <c r="F63" s="485"/>
      <c r="G63" s="485"/>
      <c r="H63" s="485"/>
      <c r="I63" s="485"/>
      <c r="J63" s="485"/>
      <c r="K63" s="485"/>
      <c r="L63" s="485"/>
      <c r="M63" s="485"/>
      <c r="N63" s="485"/>
      <c r="O63" s="485"/>
      <c r="P63" s="486"/>
    </row>
    <row r="64" spans="1:20" s="278" customFormat="1" ht="15.75" customHeight="1">
      <c r="A64" s="823" t="s">
        <v>174</v>
      </c>
      <c r="B64" s="824"/>
      <c r="C64" s="479" t="s">
        <v>47</v>
      </c>
      <c r="D64" s="825" t="s">
        <v>12</v>
      </c>
      <c r="E64" s="826"/>
      <c r="F64" s="827"/>
      <c r="G64" s="828" t="s">
        <v>53</v>
      </c>
      <c r="H64" s="829"/>
      <c r="I64" s="830"/>
      <c r="J64" s="480" t="s">
        <v>54</v>
      </c>
      <c r="K64" s="480" t="s">
        <v>55</v>
      </c>
      <c r="L64" s="480" t="s">
        <v>56</v>
      </c>
      <c r="M64" s="481" t="s">
        <v>11</v>
      </c>
      <c r="N64" s="481" t="s">
        <v>312</v>
      </c>
      <c r="O64" s="831" t="s">
        <v>51</v>
      </c>
      <c r="P64" s="832"/>
      <c r="R64" s="339"/>
      <c r="S64" s="340"/>
    </row>
    <row r="65" spans="1:20" s="298" customFormat="1" ht="60" customHeight="1">
      <c r="A65" s="693">
        <v>4</v>
      </c>
      <c r="B65" s="727" t="s">
        <v>406</v>
      </c>
      <c r="C65" s="279">
        <v>1</v>
      </c>
      <c r="D65" s="237"/>
      <c r="E65" s="238"/>
      <c r="F65" s="239"/>
      <c r="G65" s="306"/>
      <c r="H65" s="305"/>
      <c r="I65" s="306"/>
      <c r="J65" s="312"/>
      <c r="K65" s="313"/>
      <c r="L65" s="314"/>
      <c r="M65" s="322">
        <f t="shared" ref="M65:M69" si="7">L65*J65</f>
        <v>0</v>
      </c>
      <c r="N65" s="314"/>
      <c r="O65" s="723"/>
      <c r="P65" s="833"/>
      <c r="R65" s="388"/>
      <c r="S65" s="390"/>
    </row>
    <row r="66" spans="1:20" s="298" customFormat="1" ht="60" customHeight="1">
      <c r="A66" s="694"/>
      <c r="B66" s="728"/>
      <c r="C66" s="279">
        <v>2</v>
      </c>
      <c r="D66" s="237"/>
      <c r="E66" s="238"/>
      <c r="F66" s="239"/>
      <c r="G66" s="306"/>
      <c r="H66" s="305"/>
      <c r="I66" s="306"/>
      <c r="J66" s="312"/>
      <c r="K66" s="313"/>
      <c r="L66" s="314"/>
      <c r="M66" s="322">
        <f t="shared" si="7"/>
        <v>0</v>
      </c>
      <c r="N66" s="314"/>
      <c r="O66" s="723"/>
      <c r="P66" s="833"/>
      <c r="R66" s="388"/>
      <c r="S66" s="389"/>
      <c r="T66" s="335"/>
    </row>
    <row r="67" spans="1:20" s="298" customFormat="1" ht="60" customHeight="1">
      <c r="A67" s="694"/>
      <c r="B67" s="728"/>
      <c r="C67" s="279">
        <v>3</v>
      </c>
      <c r="D67" s="237"/>
      <c r="E67" s="238"/>
      <c r="F67" s="239"/>
      <c r="G67" s="306"/>
      <c r="H67" s="305"/>
      <c r="I67" s="306"/>
      <c r="J67" s="312"/>
      <c r="K67" s="313"/>
      <c r="L67" s="314"/>
      <c r="M67" s="322">
        <f t="shared" si="7"/>
        <v>0</v>
      </c>
      <c r="N67" s="314"/>
      <c r="O67" s="732"/>
      <c r="P67" s="834"/>
      <c r="R67" s="388"/>
      <c r="S67" s="390"/>
    </row>
    <row r="68" spans="1:20" s="298" customFormat="1" ht="60" customHeight="1">
      <c r="A68" s="694"/>
      <c r="B68" s="728"/>
      <c r="C68" s="279">
        <v>4</v>
      </c>
      <c r="D68" s="237"/>
      <c r="E68" s="238"/>
      <c r="F68" s="239"/>
      <c r="G68" s="306"/>
      <c r="H68" s="305"/>
      <c r="I68" s="306"/>
      <c r="J68" s="312"/>
      <c r="K68" s="313"/>
      <c r="L68" s="314"/>
      <c r="M68" s="322">
        <f t="shared" si="7"/>
        <v>0</v>
      </c>
      <c r="N68" s="314"/>
      <c r="O68" s="732"/>
      <c r="P68" s="834"/>
      <c r="R68" s="388"/>
      <c r="S68" s="389"/>
      <c r="T68" s="335"/>
    </row>
    <row r="69" spans="1:20" s="298" customFormat="1" ht="60" customHeight="1" thickBot="1">
      <c r="A69" s="694"/>
      <c r="B69" s="728"/>
      <c r="C69" s="279">
        <v>5</v>
      </c>
      <c r="D69" s="237"/>
      <c r="E69" s="245"/>
      <c r="F69" s="246"/>
      <c r="G69" s="306"/>
      <c r="H69" s="305"/>
      <c r="I69" s="306"/>
      <c r="J69" s="316"/>
      <c r="K69" s="248"/>
      <c r="L69" s="317"/>
      <c r="M69" s="322">
        <f t="shared" si="7"/>
        <v>0</v>
      </c>
      <c r="N69" s="314"/>
      <c r="O69" s="732"/>
      <c r="P69" s="834"/>
      <c r="R69" s="391"/>
      <c r="S69" s="390"/>
      <c r="T69" s="289"/>
    </row>
    <row r="70" spans="1:20" ht="15.75" customHeight="1" thickTop="1" thickBot="1">
      <c r="A70" s="695"/>
      <c r="B70" s="729"/>
      <c r="C70" s="736"/>
      <c r="D70" s="737"/>
      <c r="E70" s="737"/>
      <c r="F70" s="737"/>
      <c r="G70" s="737"/>
      <c r="H70" s="737"/>
      <c r="I70" s="738"/>
      <c r="J70" s="347" t="s">
        <v>58</v>
      </c>
      <c r="K70" s="345">
        <f>M70/'生產管理報表 7-1 (週)'!$B$32</f>
        <v>0</v>
      </c>
      <c r="L70" s="348" t="s">
        <v>59</v>
      </c>
      <c r="M70" s="349">
        <f>SUM(M65:M69)</f>
        <v>0</v>
      </c>
      <c r="N70" s="680"/>
      <c r="O70" s="681"/>
      <c r="P70" s="822"/>
      <c r="R70" s="339"/>
      <c r="S70" s="339"/>
    </row>
    <row r="71" spans="1:20" ht="15.75" customHeight="1" thickTop="1">
      <c r="A71" s="487"/>
      <c r="M71" s="329"/>
      <c r="P71" s="488"/>
      <c r="S71" s="340"/>
    </row>
    <row r="72" spans="1:20" ht="15.75" customHeight="1">
      <c r="A72" s="683" t="s">
        <v>174</v>
      </c>
      <c r="B72" s="684"/>
      <c r="C72" s="275" t="s">
        <v>47</v>
      </c>
      <c r="D72" s="713" t="s">
        <v>12</v>
      </c>
      <c r="E72" s="714"/>
      <c r="F72" s="715"/>
      <c r="G72" s="716" t="s">
        <v>53</v>
      </c>
      <c r="H72" s="717"/>
      <c r="I72" s="718"/>
      <c r="J72" s="374" t="s">
        <v>54</v>
      </c>
      <c r="K72" s="276" t="s">
        <v>55</v>
      </c>
      <c r="L72" s="276" t="s">
        <v>56</v>
      </c>
      <c r="M72" s="330" t="s">
        <v>11</v>
      </c>
      <c r="N72" s="277" t="s">
        <v>312</v>
      </c>
      <c r="O72" s="691" t="s">
        <v>51</v>
      </c>
      <c r="P72" s="814"/>
      <c r="S72" s="339"/>
      <c r="T72" s="335"/>
    </row>
    <row r="73" spans="1:20" s="298" customFormat="1" ht="60" customHeight="1">
      <c r="A73" s="693">
        <v>5</v>
      </c>
      <c r="B73" s="706" t="s">
        <v>198</v>
      </c>
      <c r="C73" s="279">
        <v>1</v>
      </c>
      <c r="D73" s="237"/>
      <c r="E73" s="238"/>
      <c r="F73" s="239"/>
      <c r="G73" s="306"/>
      <c r="H73" s="305"/>
      <c r="I73" s="306"/>
      <c r="J73" s="312"/>
      <c r="K73" s="313"/>
      <c r="L73" s="314"/>
      <c r="M73" s="322">
        <f>L73*J73</f>
        <v>0</v>
      </c>
      <c r="N73" s="314"/>
      <c r="O73" s="774"/>
      <c r="P73" s="819"/>
      <c r="S73" s="390"/>
      <c r="T73" s="335"/>
    </row>
    <row r="74" spans="1:20" s="298" customFormat="1" ht="24.95" customHeight="1">
      <c r="A74" s="694"/>
      <c r="B74" s="707"/>
      <c r="C74" s="279">
        <v>2</v>
      </c>
      <c r="D74" s="237"/>
      <c r="E74" s="238"/>
      <c r="F74" s="239"/>
      <c r="G74" s="350"/>
      <c r="H74" s="305"/>
      <c r="I74" s="306"/>
      <c r="J74" s="312"/>
      <c r="K74" s="313"/>
      <c r="L74" s="314"/>
      <c r="M74" s="322">
        <f t="shared" ref="M74:M77" si="8">L74*J74</f>
        <v>0</v>
      </c>
      <c r="N74" s="314"/>
      <c r="O74" s="711"/>
      <c r="P74" s="820"/>
      <c r="S74" s="339"/>
      <c r="T74" s="336"/>
    </row>
    <row r="75" spans="1:20" ht="24.95" customHeight="1">
      <c r="A75" s="694"/>
      <c r="B75" s="707"/>
      <c r="C75" s="279">
        <v>3</v>
      </c>
      <c r="D75" s="237"/>
      <c r="E75" s="238"/>
      <c r="F75" s="239"/>
      <c r="G75" s="350"/>
      <c r="H75" s="305"/>
      <c r="I75" s="306"/>
      <c r="J75" s="312"/>
      <c r="K75" s="313"/>
      <c r="L75" s="314"/>
      <c r="M75" s="322">
        <f t="shared" si="8"/>
        <v>0</v>
      </c>
      <c r="N75" s="288"/>
      <c r="O75" s="701"/>
      <c r="P75" s="821"/>
    </row>
    <row r="76" spans="1:20" ht="24.95" customHeight="1">
      <c r="A76" s="694"/>
      <c r="B76" s="707"/>
      <c r="C76" s="279">
        <v>4</v>
      </c>
      <c r="D76" s="280"/>
      <c r="E76" s="281"/>
      <c r="F76" s="282"/>
      <c r="G76" s="350"/>
      <c r="H76" s="305"/>
      <c r="I76" s="306"/>
      <c r="J76" s="286"/>
      <c r="K76" s="287"/>
      <c r="L76" s="288"/>
      <c r="M76" s="322">
        <f t="shared" si="8"/>
        <v>0</v>
      </c>
      <c r="N76" s="288"/>
      <c r="O76" s="299"/>
      <c r="P76" s="489"/>
    </row>
    <row r="77" spans="1:20" ht="24.95" customHeight="1" thickBot="1">
      <c r="A77" s="694"/>
      <c r="B77" s="707"/>
      <c r="C77" s="279">
        <v>5</v>
      </c>
      <c r="D77" s="290"/>
      <c r="E77" s="291"/>
      <c r="F77" s="292"/>
      <c r="G77" s="350"/>
      <c r="H77" s="305"/>
      <c r="I77" s="306"/>
      <c r="J77" s="293"/>
      <c r="K77" s="248"/>
      <c r="L77" s="294"/>
      <c r="M77" s="322">
        <f t="shared" si="8"/>
        <v>0</v>
      </c>
      <c r="N77" s="288"/>
      <c r="O77" s="301"/>
      <c r="P77" s="490"/>
      <c r="R77" s="343"/>
    </row>
    <row r="78" spans="1:20" ht="15.75" customHeight="1" thickTop="1" thickBot="1">
      <c r="A78" s="695"/>
      <c r="B78" s="708"/>
      <c r="C78" s="703"/>
      <c r="D78" s="704"/>
      <c r="E78" s="704"/>
      <c r="F78" s="704"/>
      <c r="G78" s="704"/>
      <c r="H78" s="704"/>
      <c r="I78" s="705"/>
      <c r="J78" s="347" t="s">
        <v>58</v>
      </c>
      <c r="K78" s="345">
        <f>M78/'生產管理報表 7-1 (週)'!$B$32</f>
        <v>0</v>
      </c>
      <c r="L78" s="348" t="s">
        <v>59</v>
      </c>
      <c r="M78" s="349">
        <f>SUM(M73:M77)</f>
        <v>0</v>
      </c>
      <c r="N78" s="680"/>
      <c r="O78" s="681"/>
      <c r="P78" s="822"/>
      <c r="R78" s="339"/>
    </row>
    <row r="79" spans="1:20" ht="15.75" customHeight="1" thickTop="1">
      <c r="A79" s="487"/>
      <c r="K79" s="289" t="s">
        <v>431</v>
      </c>
      <c r="M79" s="329"/>
      <c r="P79" s="488"/>
      <c r="R79" s="339"/>
    </row>
    <row r="80" spans="1:20" ht="24.95" customHeight="1">
      <c r="A80" s="683" t="s">
        <v>174</v>
      </c>
      <c r="B80" s="684"/>
      <c r="C80" s="303" t="s">
        <v>47</v>
      </c>
      <c r="D80" s="685" t="s">
        <v>12</v>
      </c>
      <c r="E80" s="686"/>
      <c r="F80" s="687"/>
      <c r="G80" s="688" t="s">
        <v>53</v>
      </c>
      <c r="H80" s="689"/>
      <c r="I80" s="690"/>
      <c r="J80" s="304" t="s">
        <v>54</v>
      </c>
      <c r="K80" s="276" t="s">
        <v>55</v>
      </c>
      <c r="L80" s="276" t="s">
        <v>56</v>
      </c>
      <c r="M80" s="330" t="s">
        <v>11</v>
      </c>
      <c r="N80" s="277" t="s">
        <v>312</v>
      </c>
      <c r="O80" s="691" t="s">
        <v>51</v>
      </c>
      <c r="P80" s="814"/>
      <c r="R80" s="339"/>
    </row>
    <row r="81" spans="1:19" ht="60" customHeight="1">
      <c r="A81" s="693">
        <v>6</v>
      </c>
      <c r="B81" s="706" t="s">
        <v>199</v>
      </c>
      <c r="C81" s="279">
        <v>1</v>
      </c>
      <c r="D81" s="491"/>
      <c r="E81" s="281"/>
      <c r="F81" s="282"/>
      <c r="G81" s="306"/>
      <c r="H81" s="305"/>
      <c r="I81" s="306"/>
      <c r="J81" s="312"/>
      <c r="K81" s="313"/>
      <c r="L81" s="314"/>
      <c r="M81" s="322">
        <f t="shared" ref="M81:M85" si="9">L81*J81</f>
        <v>0</v>
      </c>
      <c r="N81" s="288"/>
      <c r="O81" s="734"/>
      <c r="P81" s="815"/>
      <c r="R81" s="336"/>
      <c r="S81" s="336"/>
    </row>
    <row r="82" spans="1:19" ht="60" customHeight="1">
      <c r="A82" s="694"/>
      <c r="B82" s="707"/>
      <c r="C82" s="279">
        <v>2</v>
      </c>
      <c r="D82" s="237"/>
      <c r="E82" s="281"/>
      <c r="F82" s="282"/>
      <c r="G82" s="306"/>
      <c r="H82" s="305"/>
      <c r="I82" s="306"/>
      <c r="J82" s="312"/>
      <c r="K82" s="313"/>
      <c r="L82" s="314"/>
      <c r="M82" s="322">
        <f t="shared" si="9"/>
        <v>0</v>
      </c>
      <c r="N82" s="288"/>
      <c r="O82" s="734"/>
      <c r="P82" s="815"/>
      <c r="R82" s="336"/>
      <c r="S82" s="336"/>
    </row>
    <row r="83" spans="1:19" ht="60" customHeight="1">
      <c r="A83" s="694"/>
      <c r="B83" s="707"/>
      <c r="C83" s="279">
        <v>3</v>
      </c>
      <c r="D83" s="237"/>
      <c r="E83" s="281"/>
      <c r="F83" s="282"/>
      <c r="G83" s="306"/>
      <c r="H83" s="305"/>
      <c r="I83" s="306"/>
      <c r="J83" s="312"/>
      <c r="K83" s="313"/>
      <c r="L83" s="314"/>
      <c r="M83" s="322">
        <f t="shared" si="9"/>
        <v>0</v>
      </c>
      <c r="N83" s="288"/>
      <c r="O83" s="734"/>
      <c r="P83" s="815"/>
      <c r="R83" s="336"/>
    </row>
    <row r="84" spans="1:19" ht="60" customHeight="1">
      <c r="A84" s="694"/>
      <c r="B84" s="707"/>
      <c r="C84" s="279">
        <v>4</v>
      </c>
      <c r="D84" s="237"/>
      <c r="E84" s="281"/>
      <c r="F84" s="282"/>
      <c r="G84" s="306"/>
      <c r="H84" s="305"/>
      <c r="I84" s="306"/>
      <c r="J84" s="312"/>
      <c r="K84" s="313"/>
      <c r="L84" s="314"/>
      <c r="M84" s="322">
        <f t="shared" si="9"/>
        <v>0</v>
      </c>
      <c r="N84" s="288"/>
      <c r="O84" s="734"/>
      <c r="P84" s="815"/>
      <c r="R84" s="336"/>
      <c r="S84" s="336"/>
    </row>
    <row r="85" spans="1:19" ht="60" customHeight="1" thickBot="1">
      <c r="A85" s="694"/>
      <c r="B85" s="707"/>
      <c r="C85" s="279">
        <v>5</v>
      </c>
      <c r="D85" s="244"/>
      <c r="E85" s="291"/>
      <c r="F85" s="292"/>
      <c r="G85" s="306"/>
      <c r="H85" s="305"/>
      <c r="I85" s="306"/>
      <c r="J85" s="316"/>
      <c r="K85" s="248"/>
      <c r="L85" s="317"/>
      <c r="M85" s="322">
        <f t="shared" si="9"/>
        <v>0</v>
      </c>
      <c r="N85" s="288"/>
      <c r="O85" s="734"/>
      <c r="P85" s="815"/>
    </row>
    <row r="86" spans="1:19" ht="15.75" customHeight="1" thickTop="1" thickBot="1">
      <c r="A86" s="695"/>
      <c r="B86" s="708"/>
      <c r="C86" s="703"/>
      <c r="D86" s="704"/>
      <c r="E86" s="704"/>
      <c r="F86" s="704"/>
      <c r="G86" s="704"/>
      <c r="H86" s="704"/>
      <c r="I86" s="705"/>
      <c r="J86" s="492" t="s">
        <v>58</v>
      </c>
      <c r="K86" s="345">
        <f>M86/'生產管理報表 7-1 (週)'!$B$32</f>
        <v>0</v>
      </c>
      <c r="L86" s="493" t="s">
        <v>59</v>
      </c>
      <c r="M86" s="494">
        <f>SUM(M81:M85)</f>
        <v>0</v>
      </c>
      <c r="N86" s="816"/>
      <c r="O86" s="817"/>
      <c r="P86" s="818"/>
    </row>
    <row r="87" spans="1:19" ht="15.75" customHeight="1" thickTop="1"/>
  </sheetData>
  <mergeCells count="160"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:P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B6:C6"/>
    <mergeCell ref="D6:E6"/>
    <mergeCell ref="F6:G6"/>
    <mergeCell ref="H6:I6"/>
    <mergeCell ref="J6:K6"/>
    <mergeCell ref="L6:M6"/>
    <mergeCell ref="N6:O6"/>
    <mergeCell ref="A59:M60"/>
    <mergeCell ref="A61:A62"/>
    <mergeCell ref="B61:C61"/>
    <mergeCell ref="D61:E61"/>
    <mergeCell ref="F61:G61"/>
    <mergeCell ref="H61:I61"/>
    <mergeCell ref="J61:K61"/>
    <mergeCell ref="L61:M61"/>
    <mergeCell ref="N61:O61"/>
    <mergeCell ref="B62:C62"/>
    <mergeCell ref="D62:E62"/>
    <mergeCell ref="F62:G62"/>
    <mergeCell ref="H62:I62"/>
    <mergeCell ref="J62:K62"/>
    <mergeCell ref="L62:M62"/>
    <mergeCell ref="N62:O62"/>
    <mergeCell ref="A64:B64"/>
    <mergeCell ref="D64:F64"/>
    <mergeCell ref="G64:I64"/>
    <mergeCell ref="O64:P64"/>
    <mergeCell ref="A65:A70"/>
    <mergeCell ref="B65:B70"/>
    <mergeCell ref="O65:P65"/>
    <mergeCell ref="O66:P66"/>
    <mergeCell ref="O67:P67"/>
    <mergeCell ref="O68:P68"/>
    <mergeCell ref="O69:P69"/>
    <mergeCell ref="C70:I70"/>
    <mergeCell ref="N70:P70"/>
    <mergeCell ref="A72:B72"/>
    <mergeCell ref="D72:F72"/>
    <mergeCell ref="G72:I72"/>
    <mergeCell ref="O72:P72"/>
    <mergeCell ref="A73:A78"/>
    <mergeCell ref="B73:B78"/>
    <mergeCell ref="O73:P73"/>
    <mergeCell ref="O74:P74"/>
    <mergeCell ref="O75:P75"/>
    <mergeCell ref="C78:I78"/>
    <mergeCell ref="N78:P78"/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O84:P84"/>
    <mergeCell ref="O85:P85"/>
    <mergeCell ref="C86:I86"/>
    <mergeCell ref="N86:P86"/>
    <mergeCell ref="A31:M32"/>
    <mergeCell ref="A33:A34"/>
    <mergeCell ref="B33:C33"/>
    <mergeCell ref="D33:E33"/>
    <mergeCell ref="F33:G33"/>
    <mergeCell ref="H33:I33"/>
    <mergeCell ref="J33:K33"/>
    <mergeCell ref="L33:M33"/>
    <mergeCell ref="N33:O33"/>
    <mergeCell ref="B34:C34"/>
    <mergeCell ref="D34:E34"/>
    <mergeCell ref="F34:G34"/>
    <mergeCell ref="H34:I34"/>
    <mergeCell ref="J34:K34"/>
    <mergeCell ref="L34:M34"/>
    <mergeCell ref="N34:O34"/>
    <mergeCell ref="A36:B36"/>
    <mergeCell ref="D36:F36"/>
    <mergeCell ref="G36:I36"/>
    <mergeCell ref="O36:P36"/>
    <mergeCell ref="A37:A42"/>
    <mergeCell ref="B37:B42"/>
    <mergeCell ref="O37:P37"/>
    <mergeCell ref="O38:P38"/>
    <mergeCell ref="O39:P39"/>
    <mergeCell ref="O40:P40"/>
    <mergeCell ref="O41:P41"/>
    <mergeCell ref="C42:I42"/>
    <mergeCell ref="N42:P42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C50:I50"/>
    <mergeCell ref="N50:P50"/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O56:P56"/>
    <mergeCell ref="O57:P57"/>
    <mergeCell ref="C58:I58"/>
    <mergeCell ref="N58:P58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50" fitToWidth="0" fitToHeight="0" pageOrder="overThenDown" orientation="landscape" cellComments="atEnd" r:id="rId1"/>
  <rowBreaks count="1" manualBreakCount="1">
    <brk id="30" max="15" man="1"/>
  </row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2">
    <tabColor rgb="FF92D050"/>
    <outlinePr summaryBelow="0" summaryRight="0"/>
  </sheetPr>
  <dimension ref="A1:Q20"/>
  <sheetViews>
    <sheetView view="pageBreakPreview" topLeftCell="A7" zoomScale="115" zoomScaleNormal="60" zoomScaleSheetLayoutView="115" workbookViewId="0">
      <selection activeCell="S27" sqref="S27"/>
    </sheetView>
  </sheetViews>
  <sheetFormatPr defaultColWidth="12.5703125" defaultRowHeight="15.75" customHeight="1"/>
  <cols>
    <col min="1" max="1" width="5.42578125" style="98" customWidth="1"/>
    <col min="2" max="2" width="7.85546875" style="132" customWidth="1"/>
    <col min="3" max="3" width="4" style="129" customWidth="1"/>
    <col min="4" max="17" width="8.5703125" style="98" customWidth="1"/>
    <col min="18" max="16384" width="12.5703125" style="98"/>
  </cols>
  <sheetData>
    <row r="1" spans="1:17" ht="15.75" customHeight="1">
      <c r="A1" s="526" t="s">
        <v>339</v>
      </c>
      <c r="B1" s="526"/>
      <c r="C1" s="526"/>
      <c r="D1" s="526"/>
      <c r="E1" s="526"/>
      <c r="F1" s="526"/>
      <c r="G1" s="526"/>
      <c r="H1" s="526"/>
      <c r="I1" s="526"/>
      <c r="J1" s="526"/>
      <c r="K1" s="526"/>
      <c r="L1" s="526"/>
      <c r="M1" s="526"/>
      <c r="N1" s="526"/>
      <c r="O1" s="526"/>
      <c r="P1" s="526"/>
      <c r="Q1" s="526"/>
    </row>
    <row r="2" spans="1:17" s="99" customFormat="1" ht="15.75" customHeight="1">
      <c r="A2" s="526"/>
      <c r="B2" s="526"/>
      <c r="C2" s="526"/>
      <c r="D2" s="526"/>
      <c r="E2" s="526"/>
      <c r="F2" s="526"/>
      <c r="G2" s="526"/>
      <c r="H2" s="526"/>
      <c r="I2" s="526"/>
      <c r="J2" s="526"/>
      <c r="K2" s="526"/>
      <c r="L2" s="526"/>
      <c r="M2" s="526"/>
      <c r="N2" s="526"/>
      <c r="O2" s="526"/>
      <c r="P2" s="526"/>
      <c r="Q2" s="526"/>
    </row>
    <row r="3" spans="1:17" ht="15.75" customHeight="1">
      <c r="A3" s="624" t="s">
        <v>360</v>
      </c>
      <c r="B3" s="624"/>
      <c r="C3" s="624"/>
      <c r="D3" s="624"/>
      <c r="E3" s="624"/>
      <c r="F3" s="624"/>
      <c r="G3" s="624"/>
      <c r="H3" s="624"/>
      <c r="I3" s="624"/>
      <c r="J3" s="624"/>
      <c r="K3" s="624"/>
      <c r="L3" s="624"/>
      <c r="M3" s="624"/>
      <c r="N3" s="624"/>
      <c r="O3" s="624"/>
      <c r="P3" s="624"/>
      <c r="Q3" s="624"/>
    </row>
    <row r="4" spans="1:17" s="99" customFormat="1" ht="15.75" customHeight="1">
      <c r="A4" s="842"/>
      <c r="B4" s="842"/>
      <c r="C4" s="842"/>
      <c r="D4" s="842"/>
      <c r="E4" s="842"/>
      <c r="F4" s="842"/>
      <c r="G4" s="842"/>
      <c r="H4" s="842"/>
      <c r="I4" s="842"/>
      <c r="J4" s="842"/>
      <c r="K4" s="842"/>
      <c r="L4" s="842"/>
      <c r="M4" s="842"/>
      <c r="N4" s="842"/>
      <c r="O4" s="842"/>
      <c r="P4" s="842"/>
      <c r="Q4" s="842"/>
    </row>
    <row r="5" spans="1:17" ht="15.75" customHeight="1">
      <c r="A5" s="559" t="s">
        <v>174</v>
      </c>
      <c r="B5" s="841">
        <v>1</v>
      </c>
      <c r="C5" s="841"/>
      <c r="D5" s="841">
        <v>2</v>
      </c>
      <c r="E5" s="841"/>
      <c r="F5" s="841">
        <v>3</v>
      </c>
      <c r="G5" s="841"/>
      <c r="H5" s="841">
        <v>4</v>
      </c>
      <c r="I5" s="841"/>
      <c r="J5" s="841">
        <v>5</v>
      </c>
      <c r="K5" s="841"/>
      <c r="L5" s="841">
        <v>6</v>
      </c>
      <c r="M5" s="841"/>
      <c r="N5" s="841">
        <v>7</v>
      </c>
      <c r="O5" s="841"/>
      <c r="P5" s="843">
        <v>8</v>
      </c>
      <c r="Q5" s="843"/>
    </row>
    <row r="6" spans="1:17" ht="15.75" customHeight="1">
      <c r="A6" s="559"/>
      <c r="B6" s="559" t="s">
        <v>232</v>
      </c>
      <c r="C6" s="559"/>
      <c r="D6" s="559" t="s">
        <v>317</v>
      </c>
      <c r="E6" s="559"/>
      <c r="F6" s="559" t="s">
        <v>166</v>
      </c>
      <c r="G6" s="559"/>
      <c r="H6" s="559" t="s">
        <v>406</v>
      </c>
      <c r="I6" s="559"/>
      <c r="J6" s="559" t="s">
        <v>172</v>
      </c>
      <c r="K6" s="559"/>
      <c r="L6" s="559" t="s">
        <v>167</v>
      </c>
      <c r="M6" s="559"/>
      <c r="N6" s="559" t="s">
        <v>173</v>
      </c>
      <c r="O6" s="559"/>
      <c r="P6" s="846" t="s">
        <v>201</v>
      </c>
      <c r="Q6" s="846"/>
    </row>
    <row r="8" spans="1:17" s="105" customFormat="1" ht="15.75" customHeight="1">
      <c r="A8" s="130" t="s">
        <v>176</v>
      </c>
      <c r="B8" s="130" t="s">
        <v>18</v>
      </c>
      <c r="C8" s="840" t="s">
        <v>12</v>
      </c>
      <c r="D8" s="840"/>
      <c r="E8" s="840"/>
      <c r="F8" s="840" t="s">
        <v>53</v>
      </c>
      <c r="G8" s="840"/>
      <c r="H8" s="840"/>
      <c r="I8" s="130" t="s">
        <v>54</v>
      </c>
      <c r="J8" s="133" t="s">
        <v>19</v>
      </c>
      <c r="K8" s="130" t="s">
        <v>57</v>
      </c>
      <c r="L8" s="130" t="s">
        <v>2</v>
      </c>
      <c r="M8" s="840" t="s">
        <v>50</v>
      </c>
      <c r="N8" s="840"/>
      <c r="O8" s="840"/>
      <c r="P8" s="840"/>
      <c r="Q8" s="840"/>
    </row>
    <row r="9" spans="1:17" ht="15.75" customHeight="1">
      <c r="A9" s="840" t="s">
        <v>175</v>
      </c>
      <c r="B9" s="128">
        <v>1</v>
      </c>
      <c r="C9" s="844"/>
      <c r="D9" s="845"/>
      <c r="E9" s="845"/>
      <c r="F9" s="844"/>
      <c r="G9" s="845"/>
      <c r="H9" s="845"/>
      <c r="I9" s="107"/>
      <c r="J9" s="117"/>
      <c r="K9" s="117"/>
      <c r="L9" s="134">
        <f t="shared" ref="L9:L13" si="0">K9-J9</f>
        <v>0</v>
      </c>
      <c r="M9" s="844"/>
      <c r="N9" s="844"/>
      <c r="O9" s="844"/>
      <c r="P9" s="844"/>
      <c r="Q9" s="844"/>
    </row>
    <row r="10" spans="1:17" ht="15.75" customHeight="1">
      <c r="A10" s="840"/>
      <c r="B10" s="128">
        <v>2</v>
      </c>
      <c r="C10" s="844"/>
      <c r="D10" s="845"/>
      <c r="E10" s="845"/>
      <c r="F10" s="844"/>
      <c r="G10" s="845"/>
      <c r="H10" s="845"/>
      <c r="I10" s="107"/>
      <c r="J10" s="117"/>
      <c r="K10" s="117"/>
      <c r="L10" s="134">
        <f t="shared" si="0"/>
        <v>0</v>
      </c>
      <c r="M10" s="844"/>
      <c r="N10" s="844"/>
      <c r="O10" s="844"/>
      <c r="P10" s="844"/>
      <c r="Q10" s="844"/>
    </row>
    <row r="11" spans="1:17" ht="15.75" customHeight="1">
      <c r="A11" s="840"/>
      <c r="B11" s="128">
        <v>3</v>
      </c>
      <c r="C11" s="844"/>
      <c r="D11" s="845"/>
      <c r="E11" s="845"/>
      <c r="F11" s="844"/>
      <c r="G11" s="845"/>
      <c r="H11" s="845"/>
      <c r="I11" s="107"/>
      <c r="J11" s="117"/>
      <c r="K11" s="117"/>
      <c r="L11" s="134">
        <f t="shared" si="0"/>
        <v>0</v>
      </c>
      <c r="M11" s="844"/>
      <c r="N11" s="844"/>
      <c r="O11" s="844"/>
      <c r="P11" s="844"/>
      <c r="Q11" s="844"/>
    </row>
    <row r="12" spans="1:17" ht="15.75" customHeight="1">
      <c r="A12" s="840"/>
      <c r="B12" s="128">
        <v>4</v>
      </c>
      <c r="C12" s="844"/>
      <c r="D12" s="845"/>
      <c r="E12" s="845"/>
      <c r="F12" s="844"/>
      <c r="G12" s="845"/>
      <c r="H12" s="845"/>
      <c r="I12" s="107"/>
      <c r="J12" s="117"/>
      <c r="K12" s="117"/>
      <c r="L12" s="134">
        <f t="shared" si="0"/>
        <v>0</v>
      </c>
      <c r="M12" s="844"/>
      <c r="N12" s="844"/>
      <c r="O12" s="844"/>
      <c r="P12" s="844"/>
      <c r="Q12" s="844"/>
    </row>
    <row r="13" spans="1:17" ht="15.75" customHeight="1">
      <c r="A13" s="840"/>
      <c r="B13" s="128">
        <v>5</v>
      </c>
      <c r="C13" s="844"/>
      <c r="D13" s="845"/>
      <c r="E13" s="845"/>
      <c r="F13" s="844"/>
      <c r="G13" s="845"/>
      <c r="H13" s="845"/>
      <c r="I13" s="107"/>
      <c r="J13" s="117"/>
      <c r="K13" s="117"/>
      <c r="L13" s="134">
        <f t="shared" si="0"/>
        <v>0</v>
      </c>
      <c r="M13" s="844"/>
      <c r="N13" s="844"/>
      <c r="O13" s="844"/>
      <c r="P13" s="844"/>
      <c r="Q13" s="844"/>
    </row>
    <row r="14" spans="1:17" ht="15.75" customHeight="1">
      <c r="A14" s="847"/>
      <c r="B14" s="847"/>
      <c r="C14" s="847"/>
      <c r="D14" s="847"/>
      <c r="E14" s="847"/>
      <c r="F14" s="847"/>
      <c r="G14" s="847"/>
      <c r="H14" s="847"/>
      <c r="I14" s="847"/>
      <c r="J14" s="847"/>
      <c r="K14" s="847"/>
      <c r="L14" s="847"/>
      <c r="M14" s="847"/>
      <c r="N14" s="847"/>
      <c r="O14" s="848"/>
    </row>
    <row r="15" spans="1:17" s="105" customFormat="1" ht="15.75" customHeight="1">
      <c r="A15" s="130" t="s">
        <v>176</v>
      </c>
      <c r="B15" s="130" t="s">
        <v>18</v>
      </c>
      <c r="C15" s="840" t="s">
        <v>12</v>
      </c>
      <c r="D15" s="840"/>
      <c r="E15" s="840"/>
      <c r="F15" s="840" t="s">
        <v>53</v>
      </c>
      <c r="G15" s="840"/>
      <c r="H15" s="840"/>
      <c r="I15" s="130" t="s">
        <v>54</v>
      </c>
      <c r="J15" s="133" t="s">
        <v>19</v>
      </c>
      <c r="K15" s="130" t="s">
        <v>57</v>
      </c>
      <c r="L15" s="130" t="s">
        <v>2</v>
      </c>
      <c r="M15" s="840" t="s">
        <v>50</v>
      </c>
      <c r="N15" s="840"/>
      <c r="O15" s="840"/>
      <c r="P15" s="840"/>
      <c r="Q15" s="840"/>
    </row>
    <row r="16" spans="1:17" ht="15.75" customHeight="1">
      <c r="A16" s="840" t="s">
        <v>177</v>
      </c>
      <c r="B16" s="128">
        <v>1</v>
      </c>
      <c r="C16" s="844"/>
      <c r="D16" s="845"/>
      <c r="E16" s="845"/>
      <c r="F16" s="844"/>
      <c r="G16" s="845"/>
      <c r="H16" s="845"/>
      <c r="I16" s="107"/>
      <c r="J16" s="117"/>
      <c r="K16" s="117"/>
      <c r="L16" s="134">
        <f t="shared" ref="L16:L19" si="1">K16-J16</f>
        <v>0</v>
      </c>
      <c r="M16" s="844"/>
      <c r="N16" s="844"/>
      <c r="O16" s="844"/>
      <c r="P16" s="844"/>
      <c r="Q16" s="844"/>
    </row>
    <row r="17" spans="1:17" ht="15.75" customHeight="1">
      <c r="A17" s="840"/>
      <c r="B17" s="128">
        <v>2</v>
      </c>
      <c r="C17" s="844"/>
      <c r="D17" s="845"/>
      <c r="E17" s="845"/>
      <c r="F17" s="844"/>
      <c r="G17" s="845"/>
      <c r="H17" s="845"/>
      <c r="I17" s="107"/>
      <c r="J17" s="117"/>
      <c r="K17" s="117"/>
      <c r="L17" s="134">
        <f t="shared" si="1"/>
        <v>0</v>
      </c>
      <c r="M17" s="844"/>
      <c r="N17" s="844"/>
      <c r="O17" s="844"/>
      <c r="P17" s="844"/>
      <c r="Q17" s="844"/>
    </row>
    <row r="18" spans="1:17" ht="15.75" customHeight="1">
      <c r="A18" s="840"/>
      <c r="B18" s="128">
        <v>3</v>
      </c>
      <c r="C18" s="844"/>
      <c r="D18" s="845"/>
      <c r="E18" s="845"/>
      <c r="F18" s="844"/>
      <c r="G18" s="845"/>
      <c r="H18" s="845"/>
      <c r="I18" s="107"/>
      <c r="J18" s="117"/>
      <c r="K18" s="117"/>
      <c r="L18" s="134">
        <f t="shared" si="1"/>
        <v>0</v>
      </c>
      <c r="M18" s="844"/>
      <c r="N18" s="844"/>
      <c r="O18" s="844"/>
      <c r="P18" s="844"/>
      <c r="Q18" s="844"/>
    </row>
    <row r="19" spans="1:17" ht="15.75" customHeight="1">
      <c r="A19" s="840"/>
      <c r="B19" s="128">
        <v>4</v>
      </c>
      <c r="C19" s="844"/>
      <c r="D19" s="845"/>
      <c r="E19" s="845"/>
      <c r="F19" s="844"/>
      <c r="G19" s="845"/>
      <c r="H19" s="845"/>
      <c r="I19" s="107"/>
      <c r="J19" s="117"/>
      <c r="K19" s="117"/>
      <c r="L19" s="134">
        <f t="shared" si="1"/>
        <v>0</v>
      </c>
      <c r="M19" s="844"/>
      <c r="N19" s="844"/>
      <c r="O19" s="844"/>
      <c r="P19" s="844"/>
      <c r="Q19" s="844"/>
    </row>
    <row r="20" spans="1:17" ht="15.75" customHeight="1">
      <c r="A20" s="840"/>
      <c r="B20" s="128">
        <v>5</v>
      </c>
      <c r="C20" s="844"/>
      <c r="D20" s="845"/>
      <c r="E20" s="845"/>
      <c r="F20" s="844"/>
      <c r="G20" s="845"/>
      <c r="H20" s="845"/>
      <c r="I20" s="107"/>
      <c r="J20" s="117"/>
      <c r="K20" s="117"/>
      <c r="L20" s="134">
        <f>K20-J20</f>
        <v>0</v>
      </c>
      <c r="M20" s="844"/>
      <c r="N20" s="844"/>
      <c r="O20" s="844"/>
      <c r="P20" s="844"/>
      <c r="Q20" s="844"/>
    </row>
  </sheetData>
  <mergeCells count="58"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C12:E12"/>
    <mergeCell ref="C13:E13"/>
    <mergeCell ref="F10:H10"/>
    <mergeCell ref="F11:H11"/>
    <mergeCell ref="F12:H12"/>
    <mergeCell ref="F13:H13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3">
    <tabColor rgb="FFFFFFCC"/>
  </sheetPr>
  <dimension ref="A1:AG49"/>
  <sheetViews>
    <sheetView zoomScale="70" zoomScaleNormal="70" workbookViewId="0">
      <selection activeCell="J19" sqref="J19:J25"/>
    </sheetView>
  </sheetViews>
  <sheetFormatPr defaultColWidth="10.140625" defaultRowHeight="15.75"/>
  <cols>
    <col min="1" max="4" width="25.7109375" style="455" customWidth="1"/>
    <col min="5" max="5" width="33.7109375" style="455" customWidth="1"/>
    <col min="6" max="6" width="25.7109375" style="455" customWidth="1"/>
    <col min="7" max="7" width="33.7109375" style="455" customWidth="1"/>
    <col min="8" max="11" width="25.7109375" style="455" customWidth="1"/>
    <col min="12" max="12" width="26.42578125" style="455" bestFit="1" customWidth="1"/>
    <col min="13" max="14" width="26.42578125" style="455" customWidth="1"/>
    <col min="15" max="15" width="26.140625" style="455" bestFit="1" customWidth="1"/>
    <col min="16" max="16" width="10.140625" style="455"/>
    <col min="17" max="18" width="13.7109375" style="455" bestFit="1" customWidth="1"/>
    <col min="19" max="20" width="10.140625" style="455"/>
    <col min="21" max="21" width="15.140625" style="455" bestFit="1" customWidth="1"/>
    <col min="22" max="23" width="10.140625" style="455"/>
    <col min="24" max="24" width="13.7109375" style="455" bestFit="1" customWidth="1"/>
    <col min="25" max="26" width="10.140625" style="455"/>
    <col min="27" max="27" width="15.140625" style="455" bestFit="1" customWidth="1"/>
    <col min="28" max="29" width="10.140625" style="455"/>
    <col min="30" max="30" width="13.7109375" style="455" bestFit="1" customWidth="1"/>
    <col min="31" max="32" width="10.140625" style="455"/>
    <col min="33" max="33" width="15.140625" style="455" bestFit="1" customWidth="1"/>
    <col min="34" max="16384" width="10.140625" style="455"/>
  </cols>
  <sheetData>
    <row r="1" spans="1:33" ht="27">
      <c r="A1" s="851" t="s">
        <v>517</v>
      </c>
      <c r="B1" s="851"/>
      <c r="C1" s="851"/>
      <c r="D1" s="851"/>
      <c r="E1" s="851"/>
      <c r="F1" s="851"/>
      <c r="G1" s="851"/>
      <c r="H1" s="851"/>
      <c r="I1" s="851"/>
      <c r="J1" s="851"/>
      <c r="K1" s="454"/>
      <c r="L1" s="454"/>
      <c r="M1" s="454"/>
      <c r="N1" s="454"/>
      <c r="O1" s="454"/>
      <c r="P1" s="454"/>
      <c r="Q1" s="454"/>
      <c r="R1" s="454"/>
      <c r="S1" s="454"/>
      <c r="T1" s="454"/>
      <c r="U1" s="454"/>
      <c r="V1" s="454"/>
    </row>
    <row r="2" spans="1:33" ht="48">
      <c r="A2" s="852" t="s">
        <v>679</v>
      </c>
      <c r="B2" s="854">
        <f>SUM(C9:C39)</f>
        <v>198560.50470000002</v>
      </c>
      <c r="C2" s="852" t="s">
        <v>680</v>
      </c>
      <c r="D2" s="856">
        <f>B2/B48</f>
        <v>2.0049520442761591E-3</v>
      </c>
      <c r="E2" s="457" t="s">
        <v>681</v>
      </c>
      <c r="F2" s="458" t="s">
        <v>682</v>
      </c>
      <c r="G2" s="459" t="s">
        <v>683</v>
      </c>
      <c r="H2" s="460" t="s">
        <v>684</v>
      </c>
      <c r="I2" s="858" t="s">
        <v>582</v>
      </c>
      <c r="J2" s="858" t="s">
        <v>583</v>
      </c>
      <c r="K2" s="454"/>
      <c r="L2" s="444"/>
      <c r="M2" s="454"/>
      <c r="N2" s="454"/>
      <c r="O2" s="454"/>
      <c r="P2" s="454"/>
      <c r="Q2" s="454"/>
      <c r="R2" s="454"/>
      <c r="S2" s="454"/>
      <c r="T2" s="454"/>
      <c r="U2" s="454"/>
      <c r="V2" s="454"/>
    </row>
    <row r="3" spans="1:33" ht="24">
      <c r="A3" s="853"/>
      <c r="B3" s="855"/>
      <c r="C3" s="853"/>
      <c r="D3" s="857"/>
      <c r="E3" s="456">
        <f>SUM(E9:E39)</f>
        <v>595418.50159999984</v>
      </c>
      <c r="F3" s="461">
        <f>E3/B48</f>
        <v>6.0122003808684276E-3</v>
      </c>
      <c r="G3" s="462">
        <f>SUM(G9:G38)</f>
        <v>396857.99689999979</v>
      </c>
      <c r="H3" s="463">
        <f>G3/B48</f>
        <v>4.0072483365922677E-3</v>
      </c>
      <c r="I3" s="859"/>
      <c r="J3" s="859"/>
      <c r="K3" s="464"/>
      <c r="L3" s="465"/>
      <c r="M3" s="454"/>
      <c r="N3" s="454"/>
      <c r="O3" s="454"/>
      <c r="P3" s="454"/>
      <c r="Q3" s="454"/>
      <c r="R3" s="454"/>
      <c r="S3" s="454"/>
      <c r="T3" s="454"/>
      <c r="U3" s="454"/>
      <c r="V3" s="454"/>
    </row>
    <row r="4" spans="1:33" ht="40.5">
      <c r="A4" s="466" t="s">
        <v>584</v>
      </c>
      <c r="B4" s="466" t="s">
        <v>135</v>
      </c>
      <c r="C4" s="466" t="s">
        <v>585</v>
      </c>
      <c r="D4" s="466" t="s">
        <v>586</v>
      </c>
      <c r="E4" s="466" t="s">
        <v>587</v>
      </c>
      <c r="F4" s="466" t="s">
        <v>588</v>
      </c>
      <c r="G4" s="467" t="s">
        <v>589</v>
      </c>
      <c r="H4" s="467" t="s">
        <v>590</v>
      </c>
      <c r="I4" s="860"/>
      <c r="J4" s="860"/>
      <c r="K4" s="454"/>
      <c r="L4" s="444"/>
      <c r="M4" s="445"/>
      <c r="N4" s="444"/>
      <c r="O4" s="468"/>
      <c r="P4" s="444"/>
      <c r="Q4" s="445"/>
      <c r="R4" s="469"/>
      <c r="S4" s="454"/>
      <c r="T4" s="454"/>
      <c r="U4" s="469"/>
      <c r="V4" s="454"/>
      <c r="X4" s="470"/>
      <c r="AA4" s="470"/>
      <c r="AD4" s="470"/>
      <c r="AG4" s="470"/>
    </row>
    <row r="5" spans="1:33" ht="18.75">
      <c r="A5" s="476">
        <v>46231</v>
      </c>
      <c r="B5" s="512">
        <v>6626056.8700000001</v>
      </c>
      <c r="C5" s="446">
        <v>13277.1584</v>
      </c>
      <c r="D5" s="513">
        <f t="shared" ref="D5:D46" si="0">C5/B5</f>
        <v>2.003779723067786E-3</v>
      </c>
      <c r="E5" s="446">
        <v>39781.560499999985</v>
      </c>
      <c r="F5" s="473">
        <f t="shared" ref="F5:F46" si="1">E5/B5</f>
        <v>6.0038060765995179E-3</v>
      </c>
      <c r="G5" s="474">
        <f t="shared" ref="G5:G46" si="2">E5-C5</f>
        <v>26504.402099999985</v>
      </c>
      <c r="H5" s="475">
        <f t="shared" ref="H5:H46" si="3">G5/B5</f>
        <v>4.0000263535317328E-3</v>
      </c>
      <c r="I5" s="850">
        <f>SUM(C5:C11)</f>
        <v>85080.957900000009</v>
      </c>
      <c r="J5" s="850">
        <f>SUM(E5:E11)</f>
        <v>255308.68299999996</v>
      </c>
      <c r="K5" s="454"/>
      <c r="L5" s="454"/>
      <c r="M5" s="454"/>
      <c r="N5" s="454"/>
      <c r="O5" s="454"/>
      <c r="P5" s="454"/>
      <c r="Q5" s="454"/>
      <c r="R5" s="454"/>
      <c r="S5" s="454"/>
      <c r="T5" s="454"/>
      <c r="U5" s="454"/>
      <c r="V5" s="454"/>
    </row>
    <row r="6" spans="1:33" ht="18.75">
      <c r="A6" s="476">
        <f t="shared" ref="A6:A46" si="4">A5+1</f>
        <v>46232</v>
      </c>
      <c r="B6" s="512">
        <v>6255627.21</v>
      </c>
      <c r="C6" s="446">
        <v>12523.439700000003</v>
      </c>
      <c r="D6" s="513">
        <f t="shared" si="0"/>
        <v>2.001947891009318E-3</v>
      </c>
      <c r="E6" s="446">
        <v>37544.726500000004</v>
      </c>
      <c r="F6" s="473">
        <f t="shared" si="1"/>
        <v>6.001752540493858E-3</v>
      </c>
      <c r="G6" s="474">
        <f t="shared" si="2"/>
        <v>25021.286800000002</v>
      </c>
      <c r="H6" s="475">
        <f t="shared" si="3"/>
        <v>3.99980464948454E-3</v>
      </c>
      <c r="I6" s="850"/>
      <c r="J6" s="850"/>
      <c r="K6" s="454"/>
      <c r="L6" s="454"/>
      <c r="M6" s="454"/>
      <c r="N6" s="454"/>
      <c r="O6" s="454"/>
      <c r="P6" s="454"/>
      <c r="Q6" s="454"/>
      <c r="R6" s="454"/>
      <c r="S6" s="454"/>
      <c r="T6" s="454"/>
      <c r="U6" s="454"/>
      <c r="V6" s="454"/>
    </row>
    <row r="7" spans="1:33" ht="18.75">
      <c r="A7" s="476">
        <f t="shared" si="4"/>
        <v>46233</v>
      </c>
      <c r="B7" s="512">
        <v>5785963.21</v>
      </c>
      <c r="C7" s="446">
        <v>11563.415300000004</v>
      </c>
      <c r="D7" s="513">
        <f t="shared" si="0"/>
        <v>1.998529005510217E-3</v>
      </c>
      <c r="E7" s="446">
        <v>34707.423399999992</v>
      </c>
      <c r="F7" s="473">
        <f t="shared" si="1"/>
        <v>5.9985558394174427E-3</v>
      </c>
      <c r="G7" s="474">
        <f t="shared" si="2"/>
        <v>23144.008099999988</v>
      </c>
      <c r="H7" s="475">
        <f t="shared" si="3"/>
        <v>4.0000268339072257E-3</v>
      </c>
      <c r="I7" s="850"/>
      <c r="J7" s="850"/>
      <c r="K7" s="454"/>
      <c r="L7" s="454"/>
      <c r="M7" s="454"/>
      <c r="N7" s="454"/>
      <c r="O7" s="454"/>
      <c r="P7" s="454"/>
      <c r="Q7" s="454"/>
      <c r="R7" s="454"/>
      <c r="S7" s="454"/>
      <c r="T7" s="454"/>
      <c r="U7" s="454"/>
      <c r="V7" s="454"/>
    </row>
    <row r="8" spans="1:33" ht="18.75">
      <c r="A8" s="476">
        <f t="shared" si="4"/>
        <v>46234</v>
      </c>
      <c r="B8" s="512">
        <v>4936115.0199999996</v>
      </c>
      <c r="C8" s="446">
        <v>9854.7837999999956</v>
      </c>
      <c r="D8" s="513">
        <f t="shared" si="0"/>
        <v>1.9964655928945505E-3</v>
      </c>
      <c r="E8" s="446">
        <v>29598.431699999994</v>
      </c>
      <c r="F8" s="473">
        <f t="shared" si="1"/>
        <v>5.9963010545892826E-3</v>
      </c>
      <c r="G8" s="474">
        <f t="shared" si="2"/>
        <v>19743.647899999996</v>
      </c>
      <c r="H8" s="475">
        <f t="shared" si="3"/>
        <v>3.9998354616947313E-3</v>
      </c>
      <c r="I8" s="850"/>
      <c r="J8" s="850"/>
      <c r="K8" s="454"/>
      <c r="L8" s="454"/>
      <c r="M8" s="454"/>
      <c r="N8" s="454"/>
      <c r="O8" s="454"/>
      <c r="P8" s="454"/>
      <c r="Q8" s="454"/>
      <c r="R8" s="454"/>
      <c r="S8" s="454"/>
      <c r="T8" s="454"/>
      <c r="U8" s="454"/>
      <c r="V8" s="454"/>
    </row>
    <row r="9" spans="1:33" ht="18.75">
      <c r="A9" s="476">
        <f t="shared" si="4"/>
        <v>46235</v>
      </c>
      <c r="B9" s="512">
        <v>5278918.5600000005</v>
      </c>
      <c r="C9" s="446">
        <v>10569.7711</v>
      </c>
      <c r="D9" s="513">
        <f t="shared" si="0"/>
        <v>2.0022606865145497E-3</v>
      </c>
      <c r="E9" s="446">
        <v>31686.342000000004</v>
      </c>
      <c r="F9" s="473">
        <f t="shared" si="1"/>
        <v>6.002430543274E-3</v>
      </c>
      <c r="G9" s="474">
        <f t="shared" si="2"/>
        <v>21116.570900000006</v>
      </c>
      <c r="H9" s="475">
        <f t="shared" si="3"/>
        <v>4.0001698567594503E-3</v>
      </c>
      <c r="I9" s="850"/>
      <c r="J9" s="850"/>
      <c r="K9" s="454"/>
      <c r="L9" s="454"/>
      <c r="M9" s="454"/>
      <c r="N9" s="454"/>
      <c r="O9" s="454"/>
      <c r="P9" s="454"/>
      <c r="Q9" s="454"/>
      <c r="R9" s="454"/>
      <c r="S9" s="454"/>
      <c r="T9" s="454"/>
      <c r="U9" s="454"/>
      <c r="V9" s="454"/>
    </row>
    <row r="10" spans="1:33" ht="18.75">
      <c r="A10" s="476">
        <f t="shared" si="4"/>
        <v>46236</v>
      </c>
      <c r="B10" s="512">
        <v>6878371.459999999</v>
      </c>
      <c r="C10" s="446">
        <v>13798.472</v>
      </c>
      <c r="D10" s="513">
        <f t="shared" si="0"/>
        <v>2.0060667092847008E-3</v>
      </c>
      <c r="E10" s="446">
        <v>41544.367100000003</v>
      </c>
      <c r="F10" s="473">
        <f t="shared" si="1"/>
        <v>6.039855122915971E-3</v>
      </c>
      <c r="G10" s="474">
        <f t="shared" si="2"/>
        <v>27745.895100000002</v>
      </c>
      <c r="H10" s="475">
        <f t="shared" si="3"/>
        <v>4.0337884136312707E-3</v>
      </c>
      <c r="I10" s="850"/>
      <c r="J10" s="850"/>
      <c r="K10" s="454"/>
      <c r="L10" s="454"/>
      <c r="M10" s="454"/>
      <c r="N10" s="454"/>
      <c r="O10" s="454"/>
      <c r="P10" s="454"/>
      <c r="Q10" s="454"/>
      <c r="R10" s="454"/>
      <c r="S10" s="454"/>
      <c r="T10" s="454"/>
      <c r="U10" s="454"/>
      <c r="V10" s="454"/>
    </row>
    <row r="11" spans="1:33" ht="18.75">
      <c r="A11" s="476">
        <f t="shared" si="4"/>
        <v>46237</v>
      </c>
      <c r="B11" s="512">
        <v>6725813.830000001</v>
      </c>
      <c r="C11" s="446">
        <v>13493.917600000004</v>
      </c>
      <c r="D11" s="513">
        <f t="shared" si="0"/>
        <v>2.0062877060038997E-3</v>
      </c>
      <c r="E11" s="446">
        <v>40445.831799999978</v>
      </c>
      <c r="F11" s="473">
        <f t="shared" si="1"/>
        <v>6.0135223516884009E-3</v>
      </c>
      <c r="G11" s="474">
        <f t="shared" si="2"/>
        <v>26951.914199999974</v>
      </c>
      <c r="H11" s="475">
        <f t="shared" si="3"/>
        <v>4.0072346456845017E-3</v>
      </c>
      <c r="I11" s="850"/>
      <c r="J11" s="850"/>
      <c r="K11" s="454"/>
      <c r="L11" s="454"/>
      <c r="M11" s="454"/>
      <c r="N11" s="454"/>
      <c r="O11" s="454"/>
      <c r="P11" s="454"/>
      <c r="Q11" s="454"/>
      <c r="R11" s="454"/>
      <c r="S11" s="454"/>
      <c r="T11" s="454"/>
      <c r="U11" s="454"/>
      <c r="V11" s="454"/>
    </row>
    <row r="12" spans="1:33" ht="18.75">
      <c r="A12" s="471">
        <f t="shared" si="4"/>
        <v>46238</v>
      </c>
      <c r="B12" s="512">
        <v>6631265.1099999994</v>
      </c>
      <c r="C12" s="446">
        <v>13286.170599999998</v>
      </c>
      <c r="D12" s="513">
        <f t="shared" si="0"/>
        <v>2.0035649879182704E-3</v>
      </c>
      <c r="E12" s="446">
        <v>39842.499800000005</v>
      </c>
      <c r="F12" s="473">
        <f t="shared" si="1"/>
        <v>6.0082803415470757E-3</v>
      </c>
      <c r="G12" s="474">
        <f t="shared" si="2"/>
        <v>26556.329200000007</v>
      </c>
      <c r="H12" s="475">
        <f t="shared" si="3"/>
        <v>4.0047153536288058E-3</v>
      </c>
      <c r="I12" s="849">
        <f>SUM(C12:C18)</f>
        <v>83879.815799999997</v>
      </c>
      <c r="J12" s="849">
        <f>SUM(E12:E18)</f>
        <v>251578.55800000002</v>
      </c>
      <c r="K12" s="454"/>
      <c r="L12" s="454"/>
      <c r="M12" s="454"/>
      <c r="N12" s="454"/>
      <c r="O12" s="454"/>
      <c r="P12" s="454"/>
      <c r="Q12" s="454"/>
      <c r="R12" s="454"/>
      <c r="S12" s="454"/>
      <c r="T12" s="454"/>
      <c r="U12" s="454"/>
      <c r="V12" s="454"/>
    </row>
    <row r="13" spans="1:33" ht="19.5" customHeight="1">
      <c r="A13" s="471">
        <f t="shared" si="4"/>
        <v>46239</v>
      </c>
      <c r="B13" s="512">
        <v>6359055.9800000004</v>
      </c>
      <c r="C13" s="446">
        <v>12730.983699999997</v>
      </c>
      <c r="D13" s="513">
        <f t="shared" si="0"/>
        <v>2.0020241589381316E-3</v>
      </c>
      <c r="E13" s="446">
        <v>38169.582899999987</v>
      </c>
      <c r="F13" s="473">
        <f t="shared" si="1"/>
        <v>6.0023976860791818E-3</v>
      </c>
      <c r="G13" s="474">
        <f t="shared" si="2"/>
        <v>25438.59919999999</v>
      </c>
      <c r="H13" s="475">
        <f t="shared" si="3"/>
        <v>4.0003735271410502E-3</v>
      </c>
      <c r="I13" s="849"/>
      <c r="J13" s="849"/>
      <c r="K13" s="454"/>
      <c r="L13" s="454"/>
      <c r="M13" s="454"/>
      <c r="N13" s="454"/>
      <c r="O13" s="454"/>
      <c r="P13" s="454"/>
      <c r="Q13" s="454"/>
      <c r="R13" s="454"/>
      <c r="S13" s="454"/>
      <c r="T13" s="454"/>
      <c r="U13" s="454"/>
      <c r="V13" s="454"/>
    </row>
    <row r="14" spans="1:33" ht="19.5" customHeight="1">
      <c r="A14" s="471">
        <f t="shared" si="4"/>
        <v>46240</v>
      </c>
      <c r="B14" s="512">
        <v>5817645.9100000011</v>
      </c>
      <c r="C14" s="446">
        <v>11623.718500000006</v>
      </c>
      <c r="D14" s="513">
        <f t="shared" si="0"/>
        <v>1.9980106523877464E-3</v>
      </c>
      <c r="E14" s="446">
        <v>34928.446999999993</v>
      </c>
      <c r="F14" s="473">
        <f t="shared" si="1"/>
        <v>6.0038798408066033E-3</v>
      </c>
      <c r="G14" s="474">
        <f t="shared" si="2"/>
        <v>23304.728499999987</v>
      </c>
      <c r="H14" s="475">
        <f t="shared" si="3"/>
        <v>4.0058691884188565E-3</v>
      </c>
      <c r="I14" s="849"/>
      <c r="J14" s="849"/>
      <c r="K14" s="454"/>
      <c r="L14" s="454"/>
      <c r="M14" s="454"/>
      <c r="N14" s="454"/>
      <c r="O14" s="454"/>
      <c r="P14" s="454"/>
      <c r="Q14" s="454"/>
      <c r="R14" s="454"/>
      <c r="S14" s="454"/>
      <c r="T14" s="454"/>
      <c r="U14" s="454"/>
      <c r="V14" s="454"/>
    </row>
    <row r="15" spans="1:33" ht="19.5" customHeight="1">
      <c r="A15" s="471">
        <f t="shared" si="4"/>
        <v>46241</v>
      </c>
      <c r="B15" s="512">
        <v>4858510.08</v>
      </c>
      <c r="C15" s="446">
        <v>9699.203300000001</v>
      </c>
      <c r="D15" s="513">
        <f t="shared" si="0"/>
        <v>1.9963328551949821E-3</v>
      </c>
      <c r="E15" s="446">
        <v>29133.017699999989</v>
      </c>
      <c r="F15" s="473">
        <f t="shared" si="1"/>
        <v>5.9962863553429096E-3</v>
      </c>
      <c r="G15" s="474">
        <f t="shared" si="2"/>
        <v>19433.814399999988</v>
      </c>
      <c r="H15" s="475">
        <f t="shared" si="3"/>
        <v>3.9999535001479279E-3</v>
      </c>
      <c r="I15" s="849"/>
      <c r="J15" s="849"/>
      <c r="K15" s="454"/>
      <c r="L15" s="454"/>
      <c r="M15" s="454"/>
      <c r="N15" s="454"/>
      <c r="O15" s="454"/>
      <c r="P15" s="454"/>
      <c r="Q15" s="454"/>
      <c r="R15" s="454"/>
      <c r="S15" s="454"/>
      <c r="T15" s="454"/>
      <c r="U15" s="454"/>
      <c r="V15" s="454"/>
    </row>
    <row r="16" spans="1:33" ht="19.5" customHeight="1">
      <c r="A16" s="471">
        <f t="shared" si="4"/>
        <v>46242</v>
      </c>
      <c r="B16" s="512">
        <v>5207709.9500000011</v>
      </c>
      <c r="C16" s="446">
        <v>10427.265900000006</v>
      </c>
      <c r="D16" s="513">
        <f t="shared" si="0"/>
        <v>2.0022747042584433E-3</v>
      </c>
      <c r="E16" s="446">
        <v>31289.272199999996</v>
      </c>
      <c r="F16" s="473">
        <f t="shared" si="1"/>
        <v>6.0082593885629112E-3</v>
      </c>
      <c r="G16" s="474">
        <f t="shared" si="2"/>
        <v>20862.00629999999</v>
      </c>
      <c r="H16" s="475">
        <f t="shared" si="3"/>
        <v>4.0059846843044679E-3</v>
      </c>
      <c r="I16" s="849"/>
      <c r="J16" s="849"/>
      <c r="K16" s="454"/>
      <c r="L16" s="454"/>
      <c r="M16" s="454"/>
      <c r="N16" s="454"/>
      <c r="O16" s="454"/>
      <c r="P16" s="454"/>
      <c r="Q16" s="454"/>
      <c r="R16" s="454"/>
      <c r="S16" s="454"/>
      <c r="T16" s="454"/>
      <c r="U16" s="454"/>
      <c r="V16" s="454"/>
    </row>
    <row r="17" spans="1:22" ht="19.5" customHeight="1">
      <c r="A17" s="471">
        <f t="shared" si="4"/>
        <v>46243</v>
      </c>
      <c r="B17" s="512">
        <v>6655646.0600000005</v>
      </c>
      <c r="C17" s="446">
        <v>13391.190799999998</v>
      </c>
      <c r="D17" s="513">
        <f t="shared" si="0"/>
        <v>2.0120046467735392E-3</v>
      </c>
      <c r="E17" s="446">
        <v>40096.119000000028</v>
      </c>
      <c r="F17" s="473">
        <f t="shared" si="1"/>
        <v>6.0243766928916326E-3</v>
      </c>
      <c r="G17" s="474">
        <f t="shared" si="2"/>
        <v>26704.928200000031</v>
      </c>
      <c r="H17" s="475">
        <f t="shared" si="3"/>
        <v>4.0123720461180939E-3</v>
      </c>
      <c r="I17" s="849"/>
      <c r="J17" s="849"/>
      <c r="K17" s="454"/>
      <c r="L17" s="454"/>
      <c r="M17" s="454"/>
      <c r="N17" s="454"/>
      <c r="O17" s="454"/>
      <c r="P17" s="454"/>
      <c r="Q17" s="454"/>
      <c r="R17" s="454"/>
      <c r="S17" s="454"/>
      <c r="T17" s="454"/>
      <c r="U17" s="454"/>
      <c r="V17" s="454"/>
    </row>
    <row r="18" spans="1:22" ht="19.5" customHeight="1">
      <c r="A18" s="471">
        <f t="shared" si="4"/>
        <v>46244</v>
      </c>
      <c r="B18" s="512">
        <v>6334097.5899999989</v>
      </c>
      <c r="C18" s="446">
        <v>12721.283000000001</v>
      </c>
      <c r="D18" s="513">
        <f t="shared" si="0"/>
        <v>2.0083812759822042E-3</v>
      </c>
      <c r="E18" s="446">
        <v>38119.619399999981</v>
      </c>
      <c r="F18" s="473">
        <f t="shared" si="1"/>
        <v>6.0181610495205502E-3</v>
      </c>
      <c r="G18" s="474">
        <f t="shared" si="2"/>
        <v>25398.336399999978</v>
      </c>
      <c r="H18" s="475">
        <f t="shared" si="3"/>
        <v>4.009779773538346E-3</v>
      </c>
      <c r="I18" s="849"/>
      <c r="J18" s="849"/>
      <c r="K18" s="454"/>
      <c r="L18" s="454"/>
      <c r="M18" s="454"/>
      <c r="N18" s="454"/>
      <c r="O18" s="454"/>
      <c r="P18" s="454"/>
      <c r="Q18" s="454"/>
      <c r="R18" s="454"/>
      <c r="S18" s="454"/>
      <c r="T18" s="454"/>
      <c r="U18" s="454"/>
      <c r="V18" s="454"/>
    </row>
    <row r="19" spans="1:22" ht="19.5" customHeight="1">
      <c r="A19" s="476">
        <f t="shared" si="4"/>
        <v>46245</v>
      </c>
      <c r="B19" s="512">
        <v>5779689.7400000012</v>
      </c>
      <c r="C19" s="446">
        <v>11591.330399999999</v>
      </c>
      <c r="D19" s="513">
        <f t="shared" si="0"/>
        <v>2.0055281375709272E-3</v>
      </c>
      <c r="E19" s="446">
        <v>34773.205399999984</v>
      </c>
      <c r="F19" s="473">
        <f t="shared" si="1"/>
        <v>6.0164484538576595E-3</v>
      </c>
      <c r="G19" s="474">
        <f t="shared" si="2"/>
        <v>23181.874999999985</v>
      </c>
      <c r="H19" s="475">
        <f t="shared" si="3"/>
        <v>4.0109203162867323E-3</v>
      </c>
      <c r="I19" s="850">
        <f>SUM(C19:C25)</f>
        <v>76818.528200000015</v>
      </c>
      <c r="J19" s="850">
        <f>SUM(E19:E25)</f>
        <v>230163.40269999992</v>
      </c>
      <c r="K19" s="454"/>
      <c r="L19" s="454"/>
      <c r="M19" s="454"/>
      <c r="N19" s="454"/>
      <c r="O19" s="454"/>
      <c r="P19" s="454"/>
      <c r="Q19" s="454"/>
      <c r="R19" s="454"/>
      <c r="S19" s="454"/>
      <c r="T19" s="454"/>
      <c r="U19" s="454"/>
      <c r="V19" s="454"/>
    </row>
    <row r="20" spans="1:22" ht="19.5" customHeight="1">
      <c r="A20" s="476">
        <f t="shared" si="4"/>
        <v>46246</v>
      </c>
      <c r="B20" s="512">
        <v>5663016.0200000005</v>
      </c>
      <c r="C20" s="446">
        <v>11350.168600000003</v>
      </c>
      <c r="D20" s="513">
        <f t="shared" si="0"/>
        <v>2.0042621387463427E-3</v>
      </c>
      <c r="E20" s="446">
        <v>34036.167799999988</v>
      </c>
      <c r="F20" s="473">
        <f t="shared" si="1"/>
        <v>6.0102545498361467E-3</v>
      </c>
      <c r="G20" s="474">
        <f t="shared" si="2"/>
        <v>22685.999199999984</v>
      </c>
      <c r="H20" s="475">
        <f t="shared" si="3"/>
        <v>4.0059924110898036E-3</v>
      </c>
      <c r="I20" s="850"/>
      <c r="J20" s="850"/>
      <c r="K20" s="454"/>
      <c r="L20" s="454"/>
      <c r="M20" s="454"/>
      <c r="N20" s="454"/>
      <c r="O20" s="454"/>
      <c r="P20" s="454"/>
      <c r="Q20" s="454"/>
      <c r="R20" s="454"/>
      <c r="S20" s="454"/>
      <c r="T20" s="454"/>
      <c r="U20" s="454"/>
      <c r="V20" s="454"/>
    </row>
    <row r="21" spans="1:22" ht="19.5" customHeight="1">
      <c r="A21" s="476">
        <f t="shared" si="4"/>
        <v>46247</v>
      </c>
      <c r="B21" s="512">
        <v>5284211.2599999988</v>
      </c>
      <c r="C21" s="446">
        <v>10587.487999999999</v>
      </c>
      <c r="D21" s="513">
        <f t="shared" si="0"/>
        <v>2.0036080086623942E-3</v>
      </c>
      <c r="E21" s="446">
        <v>31735.899099999981</v>
      </c>
      <c r="F21" s="473">
        <f t="shared" si="1"/>
        <v>6.005796804573629E-3</v>
      </c>
      <c r="G21" s="474">
        <f t="shared" si="2"/>
        <v>21148.411099999983</v>
      </c>
      <c r="H21" s="475">
        <f t="shared" si="3"/>
        <v>4.0021887959112348E-3</v>
      </c>
      <c r="I21" s="850"/>
      <c r="J21" s="850"/>
      <c r="K21" s="454"/>
      <c r="L21" s="454"/>
      <c r="M21" s="454"/>
      <c r="N21" s="454"/>
      <c r="O21" s="454"/>
      <c r="P21" s="454"/>
      <c r="Q21" s="454"/>
      <c r="R21" s="454"/>
      <c r="S21" s="454"/>
      <c r="T21" s="454"/>
      <c r="U21" s="454"/>
      <c r="V21" s="454"/>
    </row>
    <row r="22" spans="1:22" ht="19.5" customHeight="1">
      <c r="A22" s="476">
        <f t="shared" si="4"/>
        <v>46248</v>
      </c>
      <c r="B22" s="512">
        <v>4470999.01</v>
      </c>
      <c r="C22" s="446">
        <v>8950.7318000000014</v>
      </c>
      <c r="D22" s="513">
        <f t="shared" si="0"/>
        <v>2.0019534291956824E-3</v>
      </c>
      <c r="E22" s="446">
        <v>26842.667499999989</v>
      </c>
      <c r="F22" s="473">
        <f t="shared" si="1"/>
        <v>6.0037292426061151E-3</v>
      </c>
      <c r="G22" s="474">
        <f t="shared" si="2"/>
        <v>17891.935699999987</v>
      </c>
      <c r="H22" s="475">
        <f t="shared" si="3"/>
        <v>4.0017758134104327E-3</v>
      </c>
      <c r="I22" s="850"/>
      <c r="J22" s="850"/>
      <c r="K22" s="454"/>
      <c r="L22" s="454"/>
      <c r="M22" s="454"/>
      <c r="N22" s="454"/>
      <c r="O22" s="454"/>
      <c r="P22" s="454"/>
      <c r="Q22" s="454"/>
      <c r="R22" s="454"/>
      <c r="S22" s="454"/>
      <c r="T22" s="454"/>
      <c r="U22" s="454"/>
      <c r="V22" s="454"/>
    </row>
    <row r="23" spans="1:22" ht="19.5" customHeight="1">
      <c r="A23" s="476">
        <f t="shared" si="4"/>
        <v>46249</v>
      </c>
      <c r="B23" s="512">
        <v>4735598.2300000014</v>
      </c>
      <c r="C23" s="446">
        <v>9489.5119999999988</v>
      </c>
      <c r="D23" s="513">
        <f t="shared" si="0"/>
        <v>2.0038676296236383E-3</v>
      </c>
      <c r="E23" s="446">
        <v>28450.71059999998</v>
      </c>
      <c r="F23" s="473">
        <f t="shared" si="1"/>
        <v>6.0078387604262564E-3</v>
      </c>
      <c r="G23" s="474">
        <f t="shared" si="2"/>
        <v>18961.198599999982</v>
      </c>
      <c r="H23" s="475">
        <f t="shared" si="3"/>
        <v>4.0039711308026181E-3</v>
      </c>
      <c r="I23" s="850"/>
      <c r="J23" s="850"/>
      <c r="K23" s="454"/>
      <c r="L23" s="454"/>
      <c r="M23" s="454"/>
      <c r="N23" s="454"/>
      <c r="O23" s="454"/>
      <c r="P23" s="454"/>
      <c r="Q23" s="454"/>
      <c r="R23" s="454"/>
      <c r="S23" s="454"/>
      <c r="T23" s="454"/>
      <c r="U23" s="454"/>
      <c r="V23" s="454"/>
    </row>
    <row r="24" spans="1:22" ht="18.75">
      <c r="A24" s="476">
        <f t="shared" si="4"/>
        <v>46250</v>
      </c>
      <c r="B24" s="512">
        <v>6269913.0900000008</v>
      </c>
      <c r="C24" s="446">
        <v>12630.162300000004</v>
      </c>
      <c r="D24" s="513">
        <f t="shared" si="0"/>
        <v>2.014407874352211E-3</v>
      </c>
      <c r="E24" s="446">
        <v>37744.26999999999</v>
      </c>
      <c r="F24" s="473">
        <f t="shared" si="1"/>
        <v>6.0199032200620164E-3</v>
      </c>
      <c r="G24" s="474">
        <f t="shared" si="2"/>
        <v>25114.107699999986</v>
      </c>
      <c r="H24" s="475">
        <f t="shared" si="3"/>
        <v>4.0054953457098049E-3</v>
      </c>
      <c r="I24" s="850"/>
      <c r="J24" s="850"/>
      <c r="K24" s="454"/>
      <c r="L24" s="454"/>
      <c r="M24" s="454"/>
      <c r="N24" s="454"/>
      <c r="O24" s="454"/>
      <c r="P24" s="454"/>
      <c r="Q24" s="454"/>
      <c r="R24" s="454"/>
      <c r="S24" s="454"/>
      <c r="T24" s="454"/>
      <c r="U24" s="454"/>
      <c r="V24" s="454"/>
    </row>
    <row r="25" spans="1:22" ht="18.75">
      <c r="A25" s="476">
        <f t="shared" si="4"/>
        <v>46251</v>
      </c>
      <c r="B25" s="512">
        <v>6084577.5199999996</v>
      </c>
      <c r="C25" s="446">
        <v>12219.135100000005</v>
      </c>
      <c r="D25" s="513">
        <f t="shared" si="0"/>
        <v>2.0082142202701371E-3</v>
      </c>
      <c r="E25" s="446">
        <v>36580.482299999989</v>
      </c>
      <c r="F25" s="473">
        <f t="shared" si="1"/>
        <v>6.012000369747938E-3</v>
      </c>
      <c r="G25" s="474">
        <f t="shared" si="2"/>
        <v>24361.347199999982</v>
      </c>
      <c r="H25" s="475">
        <f t="shared" si="3"/>
        <v>4.0037861494778004E-3</v>
      </c>
      <c r="I25" s="850"/>
      <c r="J25" s="850"/>
      <c r="K25" s="454"/>
      <c r="L25" s="454"/>
      <c r="M25" s="454"/>
      <c r="N25" s="454"/>
      <c r="O25" s="454"/>
      <c r="P25" s="454"/>
      <c r="Q25" s="454"/>
      <c r="R25" s="454"/>
      <c r="S25" s="454"/>
      <c r="T25" s="454"/>
      <c r="U25" s="454"/>
      <c r="V25" s="454"/>
    </row>
    <row r="26" spans="1:22" ht="19.5" customHeight="1">
      <c r="A26" s="471">
        <f t="shared" si="4"/>
        <v>46252</v>
      </c>
      <c r="B26" s="512"/>
      <c r="C26" s="446"/>
      <c r="D26" s="513" t="e">
        <f t="shared" si="0"/>
        <v>#DIV/0!</v>
      </c>
      <c r="E26" s="446"/>
      <c r="F26" s="473" t="e">
        <f t="shared" si="1"/>
        <v>#DIV/0!</v>
      </c>
      <c r="G26" s="474">
        <f t="shared" si="2"/>
        <v>0</v>
      </c>
      <c r="H26" s="475" t="e">
        <f t="shared" si="3"/>
        <v>#DIV/0!</v>
      </c>
      <c r="I26" s="849">
        <f>SUM(C26:C32)</f>
        <v>0</v>
      </c>
      <c r="J26" s="849">
        <f>SUM(E26:E32)</f>
        <v>0</v>
      </c>
      <c r="K26" s="454"/>
      <c r="L26" s="454"/>
      <c r="M26" s="454"/>
      <c r="N26" s="454"/>
      <c r="O26" s="454"/>
      <c r="P26" s="454"/>
      <c r="Q26" s="454"/>
      <c r="R26" s="454"/>
      <c r="S26" s="454"/>
      <c r="T26" s="454"/>
      <c r="U26" s="454"/>
      <c r="V26" s="454"/>
    </row>
    <row r="27" spans="1:22" ht="19.5" customHeight="1">
      <c r="A27" s="471">
        <f t="shared" si="4"/>
        <v>46253</v>
      </c>
      <c r="B27" s="512"/>
      <c r="C27" s="446"/>
      <c r="D27" s="513" t="e">
        <f t="shared" si="0"/>
        <v>#DIV/0!</v>
      </c>
      <c r="E27" s="446"/>
      <c r="F27" s="473" t="e">
        <f t="shared" si="1"/>
        <v>#DIV/0!</v>
      </c>
      <c r="G27" s="474">
        <f t="shared" si="2"/>
        <v>0</v>
      </c>
      <c r="H27" s="475" t="e">
        <f t="shared" si="3"/>
        <v>#DIV/0!</v>
      </c>
      <c r="I27" s="849"/>
      <c r="J27" s="849"/>
      <c r="K27" s="454"/>
      <c r="L27" s="454"/>
      <c r="M27" s="454"/>
      <c r="N27" s="454"/>
      <c r="O27" s="454"/>
      <c r="P27" s="454"/>
      <c r="Q27" s="454"/>
      <c r="R27" s="454"/>
      <c r="S27" s="454"/>
      <c r="T27" s="454"/>
      <c r="U27" s="454"/>
      <c r="V27" s="454"/>
    </row>
    <row r="28" spans="1:22" ht="19.5" customHeight="1">
      <c r="A28" s="471">
        <f t="shared" si="4"/>
        <v>46254</v>
      </c>
      <c r="B28" s="512"/>
      <c r="C28" s="446"/>
      <c r="D28" s="513" t="e">
        <f t="shared" si="0"/>
        <v>#DIV/0!</v>
      </c>
      <c r="E28" s="446"/>
      <c r="F28" s="473" t="e">
        <f t="shared" si="1"/>
        <v>#DIV/0!</v>
      </c>
      <c r="G28" s="474">
        <f t="shared" si="2"/>
        <v>0</v>
      </c>
      <c r="H28" s="475" t="e">
        <f t="shared" si="3"/>
        <v>#DIV/0!</v>
      </c>
      <c r="I28" s="849"/>
      <c r="J28" s="849"/>
      <c r="K28" s="454"/>
      <c r="L28" s="454"/>
      <c r="M28" s="454"/>
      <c r="N28" s="454"/>
      <c r="O28" s="454"/>
      <c r="P28" s="454"/>
      <c r="Q28" s="454"/>
      <c r="R28" s="454"/>
      <c r="S28" s="454"/>
      <c r="T28" s="454"/>
      <c r="U28" s="454"/>
      <c r="V28" s="454"/>
    </row>
    <row r="29" spans="1:22" ht="19.5" customHeight="1">
      <c r="A29" s="471">
        <f t="shared" si="4"/>
        <v>46255</v>
      </c>
      <c r="B29" s="512"/>
      <c r="C29" s="446"/>
      <c r="D29" s="513" t="e">
        <f t="shared" si="0"/>
        <v>#DIV/0!</v>
      </c>
      <c r="E29" s="446"/>
      <c r="F29" s="473" t="e">
        <f t="shared" si="1"/>
        <v>#DIV/0!</v>
      </c>
      <c r="G29" s="474">
        <f t="shared" si="2"/>
        <v>0</v>
      </c>
      <c r="H29" s="475" t="e">
        <f t="shared" si="3"/>
        <v>#DIV/0!</v>
      </c>
      <c r="I29" s="849"/>
      <c r="J29" s="849"/>
      <c r="K29" s="454"/>
      <c r="L29" s="454"/>
      <c r="M29" s="454"/>
      <c r="N29" s="454"/>
      <c r="O29" s="454"/>
      <c r="P29" s="454"/>
      <c r="Q29" s="454"/>
      <c r="R29" s="454"/>
      <c r="S29" s="454"/>
      <c r="T29" s="454"/>
      <c r="U29" s="454"/>
      <c r="V29" s="454"/>
    </row>
    <row r="30" spans="1:22" ht="19.5" customHeight="1">
      <c r="A30" s="471">
        <f t="shared" si="4"/>
        <v>46256</v>
      </c>
      <c r="B30" s="512"/>
      <c r="C30" s="446"/>
      <c r="D30" s="513" t="e">
        <f t="shared" si="0"/>
        <v>#DIV/0!</v>
      </c>
      <c r="E30" s="446"/>
      <c r="F30" s="473" t="e">
        <f t="shared" si="1"/>
        <v>#DIV/0!</v>
      </c>
      <c r="G30" s="474">
        <f t="shared" si="2"/>
        <v>0</v>
      </c>
      <c r="H30" s="475" t="e">
        <f t="shared" si="3"/>
        <v>#DIV/0!</v>
      </c>
      <c r="I30" s="849"/>
      <c r="J30" s="849"/>
      <c r="K30" s="454"/>
      <c r="L30" s="454"/>
      <c r="M30" s="454"/>
      <c r="N30" s="454"/>
      <c r="O30" s="454"/>
      <c r="P30" s="454"/>
      <c r="Q30" s="454"/>
      <c r="R30" s="454"/>
      <c r="S30" s="454"/>
      <c r="T30" s="454"/>
      <c r="U30" s="454"/>
      <c r="V30" s="454"/>
    </row>
    <row r="31" spans="1:22" ht="19.5" customHeight="1">
      <c r="A31" s="471">
        <f t="shared" si="4"/>
        <v>46257</v>
      </c>
      <c r="B31" s="512"/>
      <c r="C31" s="446"/>
      <c r="D31" s="513" t="e">
        <f t="shared" si="0"/>
        <v>#DIV/0!</v>
      </c>
      <c r="E31" s="446"/>
      <c r="F31" s="473" t="e">
        <f t="shared" si="1"/>
        <v>#DIV/0!</v>
      </c>
      <c r="G31" s="474">
        <f t="shared" si="2"/>
        <v>0</v>
      </c>
      <c r="H31" s="475" t="e">
        <f t="shared" si="3"/>
        <v>#DIV/0!</v>
      </c>
      <c r="I31" s="849"/>
      <c r="J31" s="849"/>
      <c r="K31" s="454"/>
      <c r="L31" s="454"/>
      <c r="M31" s="454"/>
      <c r="N31" s="454"/>
      <c r="O31" s="454"/>
      <c r="P31" s="454"/>
      <c r="Q31" s="454"/>
      <c r="R31" s="454"/>
      <c r="S31" s="454"/>
      <c r="T31" s="454"/>
      <c r="U31" s="454"/>
      <c r="V31" s="454"/>
    </row>
    <row r="32" spans="1:22" ht="19.5" customHeight="1">
      <c r="A32" s="471">
        <f t="shared" si="4"/>
        <v>46258</v>
      </c>
      <c r="B32" s="512"/>
      <c r="C32" s="446"/>
      <c r="D32" s="513" t="e">
        <f t="shared" si="0"/>
        <v>#DIV/0!</v>
      </c>
      <c r="E32" s="446"/>
      <c r="F32" s="473" t="e">
        <f t="shared" si="1"/>
        <v>#DIV/0!</v>
      </c>
      <c r="G32" s="474">
        <f t="shared" si="2"/>
        <v>0</v>
      </c>
      <c r="H32" s="475" t="e">
        <f t="shared" si="3"/>
        <v>#DIV/0!</v>
      </c>
      <c r="I32" s="849"/>
      <c r="J32" s="849"/>
      <c r="K32" s="454"/>
      <c r="L32" s="454"/>
      <c r="M32" s="454"/>
      <c r="N32" s="454"/>
      <c r="O32" s="454"/>
      <c r="P32" s="454"/>
      <c r="Q32" s="454"/>
      <c r="R32" s="454"/>
      <c r="S32" s="454"/>
      <c r="T32" s="454"/>
      <c r="U32" s="454"/>
      <c r="V32" s="454"/>
    </row>
    <row r="33" spans="1:22" ht="19.5" customHeight="1">
      <c r="A33" s="476">
        <f t="shared" si="4"/>
        <v>46259</v>
      </c>
      <c r="B33" s="512"/>
      <c r="C33" s="446"/>
      <c r="D33" s="513" t="e">
        <f t="shared" si="0"/>
        <v>#DIV/0!</v>
      </c>
      <c r="E33" s="446"/>
      <c r="F33" s="473" t="e">
        <f t="shared" si="1"/>
        <v>#DIV/0!</v>
      </c>
      <c r="G33" s="474">
        <f t="shared" si="2"/>
        <v>0</v>
      </c>
      <c r="H33" s="475" t="e">
        <f t="shared" si="3"/>
        <v>#DIV/0!</v>
      </c>
      <c r="I33" s="850">
        <f>SUM(C33:C39)</f>
        <v>0</v>
      </c>
      <c r="J33" s="850">
        <f>SUM(E33:E39)</f>
        <v>0</v>
      </c>
      <c r="K33" s="454"/>
      <c r="L33" s="454"/>
      <c r="M33" s="454"/>
      <c r="N33" s="454"/>
      <c r="O33" s="454"/>
      <c r="P33" s="454"/>
      <c r="Q33" s="454"/>
      <c r="R33" s="454"/>
      <c r="S33" s="454"/>
      <c r="T33" s="454"/>
      <c r="U33" s="454"/>
      <c r="V33" s="454"/>
    </row>
    <row r="34" spans="1:22" ht="19.5" customHeight="1">
      <c r="A34" s="476">
        <f t="shared" si="4"/>
        <v>46260</v>
      </c>
      <c r="B34" s="512"/>
      <c r="C34" s="446"/>
      <c r="D34" s="513" t="e">
        <f t="shared" si="0"/>
        <v>#DIV/0!</v>
      </c>
      <c r="E34" s="446"/>
      <c r="F34" s="473" t="e">
        <f t="shared" si="1"/>
        <v>#DIV/0!</v>
      </c>
      <c r="G34" s="474">
        <f t="shared" si="2"/>
        <v>0</v>
      </c>
      <c r="H34" s="475" t="e">
        <f t="shared" si="3"/>
        <v>#DIV/0!</v>
      </c>
      <c r="I34" s="850"/>
      <c r="J34" s="850"/>
      <c r="K34" s="454"/>
      <c r="L34" s="454"/>
      <c r="M34" s="454"/>
      <c r="N34" s="454"/>
      <c r="O34" s="454"/>
      <c r="P34" s="454"/>
      <c r="Q34" s="454"/>
      <c r="R34" s="454"/>
      <c r="S34" s="454"/>
      <c r="T34" s="454"/>
      <c r="U34" s="454"/>
      <c r="V34" s="454"/>
    </row>
    <row r="35" spans="1:22" ht="19.5" customHeight="1">
      <c r="A35" s="476">
        <f t="shared" si="4"/>
        <v>46261</v>
      </c>
      <c r="B35" s="512"/>
      <c r="C35" s="446"/>
      <c r="D35" s="513" t="e">
        <f t="shared" si="0"/>
        <v>#DIV/0!</v>
      </c>
      <c r="E35" s="446"/>
      <c r="F35" s="473" t="e">
        <f t="shared" si="1"/>
        <v>#DIV/0!</v>
      </c>
      <c r="G35" s="474">
        <f t="shared" si="2"/>
        <v>0</v>
      </c>
      <c r="H35" s="475" t="e">
        <f t="shared" si="3"/>
        <v>#DIV/0!</v>
      </c>
      <c r="I35" s="850"/>
      <c r="J35" s="850"/>
      <c r="K35" s="454"/>
      <c r="L35" s="454"/>
      <c r="M35" s="454"/>
      <c r="N35" s="454"/>
      <c r="O35" s="454"/>
      <c r="P35" s="454"/>
      <c r="Q35" s="454"/>
      <c r="R35" s="454"/>
      <c r="S35" s="454"/>
      <c r="T35" s="454"/>
      <c r="U35" s="454"/>
      <c r="V35" s="454"/>
    </row>
    <row r="36" spans="1:22" ht="19.5" customHeight="1">
      <c r="A36" s="476">
        <f t="shared" si="4"/>
        <v>46262</v>
      </c>
      <c r="B36" s="512"/>
      <c r="C36" s="446"/>
      <c r="D36" s="513" t="e">
        <f t="shared" si="0"/>
        <v>#DIV/0!</v>
      </c>
      <c r="E36" s="446"/>
      <c r="F36" s="473" t="e">
        <f t="shared" si="1"/>
        <v>#DIV/0!</v>
      </c>
      <c r="G36" s="474">
        <f t="shared" si="2"/>
        <v>0</v>
      </c>
      <c r="H36" s="475" t="e">
        <f t="shared" si="3"/>
        <v>#DIV/0!</v>
      </c>
      <c r="I36" s="850"/>
      <c r="J36" s="850"/>
      <c r="K36" s="454"/>
      <c r="L36" s="454"/>
      <c r="M36" s="454"/>
      <c r="N36" s="454"/>
      <c r="O36" s="454"/>
      <c r="P36" s="454"/>
      <c r="Q36" s="454"/>
      <c r="R36" s="454"/>
      <c r="S36" s="454"/>
      <c r="T36" s="454"/>
      <c r="U36" s="454"/>
      <c r="V36" s="454"/>
    </row>
    <row r="37" spans="1:22" ht="19.5" customHeight="1">
      <c r="A37" s="476">
        <f t="shared" si="4"/>
        <v>46263</v>
      </c>
      <c r="B37" s="512"/>
      <c r="C37" s="446"/>
      <c r="D37" s="513" t="e">
        <f t="shared" si="0"/>
        <v>#DIV/0!</v>
      </c>
      <c r="E37" s="446"/>
      <c r="F37" s="473" t="e">
        <f t="shared" si="1"/>
        <v>#DIV/0!</v>
      </c>
      <c r="G37" s="474">
        <f t="shared" si="2"/>
        <v>0</v>
      </c>
      <c r="H37" s="475" t="e">
        <f t="shared" si="3"/>
        <v>#DIV/0!</v>
      </c>
      <c r="I37" s="850"/>
      <c r="J37" s="850"/>
      <c r="K37" s="454"/>
      <c r="L37" s="454"/>
      <c r="M37" s="454"/>
      <c r="N37" s="454"/>
      <c r="O37" s="454"/>
      <c r="P37" s="454"/>
      <c r="Q37" s="454"/>
      <c r="R37" s="454"/>
      <c r="S37" s="454"/>
      <c r="T37" s="454"/>
      <c r="U37" s="454"/>
      <c r="V37" s="454"/>
    </row>
    <row r="38" spans="1:22" ht="18.75">
      <c r="A38" s="476">
        <f t="shared" si="4"/>
        <v>46264</v>
      </c>
      <c r="B38" s="512"/>
      <c r="C38" s="472"/>
      <c r="D38" s="513" t="e">
        <f t="shared" si="0"/>
        <v>#DIV/0!</v>
      </c>
      <c r="E38" s="472"/>
      <c r="F38" s="473" t="e">
        <f t="shared" si="1"/>
        <v>#DIV/0!</v>
      </c>
      <c r="G38" s="474">
        <f t="shared" si="2"/>
        <v>0</v>
      </c>
      <c r="H38" s="475" t="e">
        <f t="shared" si="3"/>
        <v>#DIV/0!</v>
      </c>
      <c r="I38" s="850"/>
      <c r="J38" s="850"/>
      <c r="K38" s="454"/>
      <c r="L38" s="454"/>
      <c r="M38" s="454"/>
      <c r="N38" s="454"/>
      <c r="O38" s="454"/>
      <c r="P38" s="454"/>
      <c r="Q38" s="454"/>
      <c r="R38" s="454"/>
      <c r="S38" s="454"/>
      <c r="T38" s="454"/>
      <c r="U38" s="454"/>
      <c r="V38" s="454"/>
    </row>
    <row r="39" spans="1:22" ht="18.75">
      <c r="A39" s="476">
        <f t="shared" si="4"/>
        <v>46265</v>
      </c>
      <c r="B39" s="512"/>
      <c r="C39" s="472"/>
      <c r="D39" s="513" t="e">
        <f t="shared" si="0"/>
        <v>#DIV/0!</v>
      </c>
      <c r="E39" s="472"/>
      <c r="F39" s="473" t="e">
        <f t="shared" si="1"/>
        <v>#DIV/0!</v>
      </c>
      <c r="G39" s="474">
        <f t="shared" si="2"/>
        <v>0</v>
      </c>
      <c r="H39" s="475" t="e">
        <f t="shared" si="3"/>
        <v>#DIV/0!</v>
      </c>
      <c r="I39" s="850"/>
      <c r="J39" s="850"/>
      <c r="K39" s="454"/>
      <c r="L39" s="454"/>
      <c r="M39" s="454"/>
      <c r="N39" s="454"/>
      <c r="O39" s="454"/>
      <c r="P39" s="454"/>
      <c r="Q39" s="454"/>
      <c r="R39" s="454"/>
      <c r="S39" s="454"/>
      <c r="T39" s="454"/>
      <c r="U39" s="454"/>
      <c r="V39" s="454"/>
    </row>
    <row r="40" spans="1:22" ht="19.5" customHeight="1">
      <c r="A40" s="471">
        <f t="shared" si="4"/>
        <v>46266</v>
      </c>
      <c r="B40" s="512"/>
      <c r="C40" s="446"/>
      <c r="D40" s="513" t="e">
        <f t="shared" si="0"/>
        <v>#DIV/0!</v>
      </c>
      <c r="E40" s="446"/>
      <c r="F40" s="473" t="e">
        <f t="shared" si="1"/>
        <v>#DIV/0!</v>
      </c>
      <c r="G40" s="474">
        <f t="shared" si="2"/>
        <v>0</v>
      </c>
      <c r="H40" s="475" t="e">
        <f t="shared" si="3"/>
        <v>#DIV/0!</v>
      </c>
      <c r="I40" s="849">
        <f>SUM(C40:C46)</f>
        <v>0</v>
      </c>
      <c r="J40" s="849">
        <f>SUM(E40:E46)</f>
        <v>0</v>
      </c>
      <c r="K40" s="454"/>
      <c r="L40" s="454"/>
      <c r="M40" s="454"/>
      <c r="N40" s="454"/>
      <c r="O40" s="454"/>
      <c r="P40" s="454"/>
      <c r="Q40" s="454"/>
      <c r="R40" s="454"/>
      <c r="S40" s="454"/>
      <c r="T40" s="454"/>
      <c r="U40" s="454"/>
      <c r="V40" s="454"/>
    </row>
    <row r="41" spans="1:22" ht="19.5" customHeight="1">
      <c r="A41" s="471">
        <f t="shared" si="4"/>
        <v>46267</v>
      </c>
      <c r="B41" s="512"/>
      <c r="C41" s="446"/>
      <c r="D41" s="513" t="e">
        <f t="shared" si="0"/>
        <v>#DIV/0!</v>
      </c>
      <c r="E41" s="446"/>
      <c r="F41" s="473" t="e">
        <f t="shared" si="1"/>
        <v>#DIV/0!</v>
      </c>
      <c r="G41" s="474">
        <f t="shared" si="2"/>
        <v>0</v>
      </c>
      <c r="H41" s="475" t="e">
        <f t="shared" si="3"/>
        <v>#DIV/0!</v>
      </c>
      <c r="I41" s="849"/>
      <c r="J41" s="849"/>
      <c r="K41" s="454"/>
      <c r="L41" s="454"/>
      <c r="M41" s="454"/>
      <c r="N41" s="454"/>
      <c r="O41" s="454"/>
      <c r="P41" s="454"/>
      <c r="Q41" s="454"/>
      <c r="R41" s="454"/>
      <c r="S41" s="454"/>
      <c r="T41" s="454"/>
      <c r="U41" s="454"/>
      <c r="V41" s="454"/>
    </row>
    <row r="42" spans="1:22" ht="19.5" customHeight="1">
      <c r="A42" s="471">
        <f t="shared" si="4"/>
        <v>46268</v>
      </c>
      <c r="B42" s="512"/>
      <c r="C42" s="446"/>
      <c r="D42" s="513" t="e">
        <f t="shared" si="0"/>
        <v>#DIV/0!</v>
      </c>
      <c r="E42" s="446"/>
      <c r="F42" s="473" t="e">
        <f t="shared" si="1"/>
        <v>#DIV/0!</v>
      </c>
      <c r="G42" s="474">
        <f t="shared" si="2"/>
        <v>0</v>
      </c>
      <c r="H42" s="475" t="e">
        <f t="shared" si="3"/>
        <v>#DIV/0!</v>
      </c>
      <c r="I42" s="849"/>
      <c r="J42" s="849"/>
      <c r="K42" s="454"/>
      <c r="L42" s="454"/>
      <c r="M42" s="454"/>
      <c r="N42" s="454"/>
      <c r="O42" s="454"/>
      <c r="P42" s="454"/>
      <c r="Q42" s="454"/>
      <c r="R42" s="454"/>
      <c r="S42" s="454"/>
      <c r="T42" s="454"/>
      <c r="U42" s="454"/>
      <c r="V42" s="454"/>
    </row>
    <row r="43" spans="1:22" ht="19.5" customHeight="1">
      <c r="A43" s="471">
        <f t="shared" si="4"/>
        <v>46269</v>
      </c>
      <c r="B43" s="512"/>
      <c r="C43" s="446"/>
      <c r="D43" s="513" t="e">
        <f t="shared" si="0"/>
        <v>#DIV/0!</v>
      </c>
      <c r="E43" s="446"/>
      <c r="F43" s="473" t="e">
        <f t="shared" si="1"/>
        <v>#DIV/0!</v>
      </c>
      <c r="G43" s="474">
        <f t="shared" si="2"/>
        <v>0</v>
      </c>
      <c r="H43" s="475" t="e">
        <f t="shared" si="3"/>
        <v>#DIV/0!</v>
      </c>
      <c r="I43" s="849"/>
      <c r="J43" s="849"/>
      <c r="K43" s="454"/>
      <c r="L43" s="454"/>
      <c r="M43" s="454"/>
      <c r="N43" s="454"/>
      <c r="O43" s="454"/>
      <c r="P43" s="454"/>
      <c r="Q43" s="454"/>
      <c r="R43" s="454"/>
      <c r="S43" s="454"/>
      <c r="T43" s="454"/>
      <c r="U43" s="454"/>
      <c r="V43" s="454"/>
    </row>
    <row r="44" spans="1:22" ht="19.5" customHeight="1">
      <c r="A44" s="471">
        <f t="shared" si="4"/>
        <v>46270</v>
      </c>
      <c r="B44" s="512"/>
      <c r="C44" s="446"/>
      <c r="D44" s="513" t="e">
        <f t="shared" si="0"/>
        <v>#DIV/0!</v>
      </c>
      <c r="E44" s="446"/>
      <c r="F44" s="473" t="e">
        <f t="shared" si="1"/>
        <v>#DIV/0!</v>
      </c>
      <c r="G44" s="474">
        <f t="shared" si="2"/>
        <v>0</v>
      </c>
      <c r="H44" s="475" t="e">
        <f t="shared" si="3"/>
        <v>#DIV/0!</v>
      </c>
      <c r="I44" s="849"/>
      <c r="J44" s="849"/>
      <c r="K44" s="454"/>
      <c r="L44" s="454"/>
      <c r="M44" s="454"/>
      <c r="N44" s="454"/>
      <c r="O44" s="454"/>
      <c r="P44" s="454"/>
      <c r="Q44" s="454"/>
      <c r="R44" s="454"/>
      <c r="S44" s="454"/>
      <c r="T44" s="454"/>
      <c r="U44" s="454"/>
      <c r="V44" s="454"/>
    </row>
    <row r="45" spans="1:22" ht="19.5" customHeight="1">
      <c r="A45" s="471">
        <f t="shared" si="4"/>
        <v>46271</v>
      </c>
      <c r="B45" s="512"/>
      <c r="C45" s="446"/>
      <c r="D45" s="513" t="e">
        <f t="shared" si="0"/>
        <v>#DIV/0!</v>
      </c>
      <c r="E45" s="446"/>
      <c r="F45" s="473" t="e">
        <f t="shared" si="1"/>
        <v>#DIV/0!</v>
      </c>
      <c r="G45" s="474">
        <f t="shared" si="2"/>
        <v>0</v>
      </c>
      <c r="H45" s="475" t="e">
        <f t="shared" si="3"/>
        <v>#DIV/0!</v>
      </c>
      <c r="I45" s="849"/>
      <c r="J45" s="849"/>
      <c r="K45" s="454"/>
      <c r="L45" s="454"/>
      <c r="M45" s="454"/>
      <c r="N45" s="454"/>
      <c r="O45" s="454"/>
      <c r="P45" s="454"/>
      <c r="Q45" s="454"/>
      <c r="R45" s="454"/>
      <c r="S45" s="454"/>
      <c r="T45" s="454"/>
      <c r="U45" s="454"/>
      <c r="V45" s="454"/>
    </row>
    <row r="46" spans="1:22" ht="19.5" customHeight="1">
      <c r="A46" s="471">
        <f t="shared" si="4"/>
        <v>46272</v>
      </c>
      <c r="B46" s="512"/>
      <c r="C46" s="446"/>
      <c r="D46" s="513" t="e">
        <f t="shared" si="0"/>
        <v>#DIV/0!</v>
      </c>
      <c r="E46" s="446"/>
      <c r="F46" s="473" t="e">
        <f t="shared" si="1"/>
        <v>#DIV/0!</v>
      </c>
      <c r="G46" s="474">
        <f t="shared" si="2"/>
        <v>0</v>
      </c>
      <c r="H46" s="475" t="e">
        <f t="shared" si="3"/>
        <v>#DIV/0!</v>
      </c>
      <c r="I46" s="849"/>
      <c r="J46" s="849"/>
      <c r="K46" s="454"/>
      <c r="L46" s="454"/>
      <c r="M46" s="454"/>
      <c r="N46" s="454"/>
      <c r="O46" s="454"/>
      <c r="P46" s="454"/>
      <c r="Q46" s="454"/>
      <c r="R46" s="454"/>
      <c r="S46" s="454"/>
      <c r="T46" s="454"/>
      <c r="U46" s="454"/>
      <c r="V46" s="454"/>
    </row>
    <row r="47" spans="1:22" ht="18.75">
      <c r="A47" s="454"/>
      <c r="B47" s="454"/>
      <c r="C47" s="454"/>
      <c r="D47" s="454"/>
      <c r="E47" s="454"/>
      <c r="F47" s="454"/>
      <c r="G47" s="454"/>
      <c r="H47" s="454"/>
      <c r="I47" s="454"/>
      <c r="J47" s="454"/>
      <c r="K47" s="454"/>
      <c r="L47" s="454"/>
      <c r="M47" s="454"/>
      <c r="N47" s="454"/>
      <c r="O47" s="454"/>
      <c r="P47" s="454"/>
      <c r="Q47" s="454"/>
      <c r="R47" s="454"/>
      <c r="S47" s="454"/>
      <c r="T47" s="454"/>
      <c r="U47" s="454"/>
      <c r="V47" s="454"/>
    </row>
    <row r="48" spans="1:22" ht="18.75">
      <c r="A48" s="477" t="s">
        <v>591</v>
      </c>
      <c r="B48" s="478">
        <f>SUM(B9:B39)</f>
        <v>99035039.400000021</v>
      </c>
      <c r="C48" s="454"/>
      <c r="D48" s="454"/>
      <c r="E48" s="454"/>
      <c r="F48" s="454"/>
      <c r="G48" s="454"/>
      <c r="H48" s="454"/>
      <c r="I48" s="454"/>
      <c r="J48" s="454"/>
      <c r="K48" s="454"/>
      <c r="L48" s="454"/>
      <c r="M48" s="454"/>
      <c r="N48" s="454"/>
      <c r="O48" s="454"/>
      <c r="P48" s="454"/>
      <c r="Q48" s="454"/>
      <c r="R48" s="454"/>
      <c r="S48" s="454"/>
      <c r="T48" s="454"/>
      <c r="U48" s="454"/>
      <c r="V48" s="454"/>
    </row>
    <row r="49" spans="1:22" ht="18.7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  <c r="O49" s="454"/>
      <c r="P49" s="454"/>
      <c r="Q49" s="454"/>
      <c r="R49" s="454"/>
      <c r="S49" s="454"/>
      <c r="T49" s="454"/>
      <c r="U49" s="454"/>
      <c r="V49" s="454"/>
    </row>
  </sheetData>
  <mergeCells count="19">
    <mergeCell ref="I5:I11"/>
    <mergeCell ref="J5:J11"/>
    <mergeCell ref="I12:I18"/>
    <mergeCell ref="J12:J18"/>
    <mergeCell ref="A1:J1"/>
    <mergeCell ref="A2:A3"/>
    <mergeCell ref="B2:B3"/>
    <mergeCell ref="C2:C3"/>
    <mergeCell ref="D2:D3"/>
    <mergeCell ref="I2:I4"/>
    <mergeCell ref="J2:J4"/>
    <mergeCell ref="I40:I46"/>
    <mergeCell ref="J40:J46"/>
    <mergeCell ref="I19:I25"/>
    <mergeCell ref="J19:J25"/>
    <mergeCell ref="I26:I32"/>
    <mergeCell ref="J26:J32"/>
    <mergeCell ref="I33:I39"/>
    <mergeCell ref="J33:J39"/>
  </mergeCells>
  <phoneticPr fontId="13" type="noConversion"/>
  <conditionalFormatting sqref="A5:A46">
    <cfRule type="timePeriod" dxfId="2" priority="2" timePeriod="yesterday">
      <formula>FLOOR(A5,1)=TODAY()-1</formula>
    </cfRule>
  </conditionalFormatting>
  <conditionalFormatting sqref="D5:D46">
    <cfRule type="cellIs" dxfId="1" priority="1" operator="greaterThan">
      <formula>0.0025</formula>
    </cfRule>
  </conditionalFormatting>
  <conditionalFormatting sqref="D48">
    <cfRule type="cellIs" dxfId="0" priority="3" operator="greaterThan">
      <formula>0.0025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4">
    <tabColor rgb="FF92D050"/>
    <pageSetUpPr fitToPage="1"/>
  </sheetPr>
  <dimension ref="B2:AM112"/>
  <sheetViews>
    <sheetView zoomScale="70" zoomScaleNormal="70" workbookViewId="0">
      <pane xSplit="3" ySplit="2" topLeftCell="AB45" activePane="bottomRight" state="frozen"/>
      <selection pane="topRight" activeCell="D1" sqref="D1"/>
      <selection pane="bottomLeft" activeCell="A4" sqref="A4"/>
      <selection pane="bottomRight" activeCell="AJ66" sqref="AJ66"/>
    </sheetView>
  </sheetViews>
  <sheetFormatPr defaultColWidth="8.85546875" defaultRowHeight="14.25"/>
  <cols>
    <col min="1" max="1" width="8.85546875" style="145"/>
    <col min="2" max="2" width="12.42578125" style="145" customWidth="1"/>
    <col min="3" max="3" width="8.85546875" style="145"/>
    <col min="4" max="4" width="11.5703125" style="145" customWidth="1"/>
    <col min="5" max="5" width="39.28515625" style="145" bestFit="1" customWidth="1"/>
    <col min="6" max="6" width="11.42578125" style="145" bestFit="1" customWidth="1"/>
    <col min="7" max="8" width="17.28515625" style="145" bestFit="1" customWidth="1"/>
    <col min="9" max="9" width="16.85546875" style="145" customWidth="1"/>
    <col min="10" max="10" width="14" style="145" customWidth="1"/>
    <col min="11" max="11" width="16.85546875" style="145" customWidth="1"/>
    <col min="12" max="12" width="14" style="145" customWidth="1"/>
    <col min="13" max="13" width="13.85546875" style="145" bestFit="1" customWidth="1"/>
    <col min="14" max="14" width="10.85546875" style="145" bestFit="1" customWidth="1"/>
    <col min="15" max="15" width="19.140625" style="145" bestFit="1" customWidth="1"/>
    <col min="16" max="16" width="15.28515625" style="145" bestFit="1" customWidth="1"/>
    <col min="17" max="17" width="12.5703125" style="145" bestFit="1" customWidth="1"/>
    <col min="18" max="18" width="12.85546875" style="145" bestFit="1" customWidth="1"/>
    <col min="19" max="19" width="13.42578125" style="145" bestFit="1" customWidth="1"/>
    <col min="20" max="20" width="12.85546875" style="145" bestFit="1" customWidth="1"/>
    <col min="21" max="21" width="10.85546875" style="145" bestFit="1" customWidth="1"/>
    <col min="22" max="22" width="12.5703125" style="145" bestFit="1" customWidth="1"/>
    <col min="23" max="24" width="10.85546875" style="145" customWidth="1"/>
    <col min="25" max="25" width="12.42578125" style="145" bestFit="1" customWidth="1"/>
    <col min="26" max="26" width="25.28515625" style="145" bestFit="1" customWidth="1"/>
    <col min="27" max="27" width="88.28515625" style="145" customWidth="1"/>
    <col min="28" max="28" width="117.7109375" style="145" bestFit="1" customWidth="1"/>
    <col min="29" max="29" width="11.5703125" style="145" bestFit="1" customWidth="1"/>
    <col min="30" max="30" width="69.5703125" style="145" bestFit="1" customWidth="1"/>
    <col min="31" max="31" width="11.42578125" style="145" bestFit="1" customWidth="1"/>
    <col min="32" max="32" width="21.5703125" style="145" customWidth="1"/>
    <col min="33" max="33" width="19.42578125" style="145" bestFit="1" customWidth="1"/>
    <col min="34" max="39" width="14.42578125" style="145" customWidth="1"/>
    <col min="40" max="16384" width="8.85546875" style="145"/>
  </cols>
  <sheetData>
    <row r="2" spans="2:39" ht="41.1" customHeight="1">
      <c r="B2" s="896" t="s">
        <v>418</v>
      </c>
      <c r="C2" s="897"/>
      <c r="D2" s="897"/>
      <c r="E2" s="897"/>
      <c r="F2" s="897"/>
      <c r="G2" s="897"/>
      <c r="H2" s="897"/>
      <c r="I2" s="897"/>
      <c r="J2" s="897"/>
      <c r="K2" s="897"/>
      <c r="L2" s="897"/>
      <c r="M2" s="897"/>
      <c r="N2" s="897"/>
      <c r="O2" s="897"/>
      <c r="P2" s="897"/>
      <c r="Q2" s="897"/>
      <c r="R2" s="897"/>
      <c r="S2" s="897"/>
      <c r="T2" s="897"/>
      <c r="U2" s="897"/>
      <c r="V2" s="897"/>
      <c r="W2" s="897"/>
      <c r="X2" s="897"/>
      <c r="Y2" s="897"/>
      <c r="Z2" s="897"/>
      <c r="AA2" s="897"/>
      <c r="AB2" s="897"/>
      <c r="AC2" s="897"/>
      <c r="AD2" s="897"/>
      <c r="AF2" s="146"/>
      <c r="AG2" s="146"/>
    </row>
    <row r="3" spans="2:39" ht="17.100000000000001" customHeight="1">
      <c r="B3" s="878" t="s">
        <v>419</v>
      </c>
      <c r="C3" s="879"/>
      <c r="D3" s="882" t="s">
        <v>502</v>
      </c>
      <c r="E3" s="883" t="s">
        <v>503</v>
      </c>
      <c r="F3" s="884" t="s">
        <v>504</v>
      </c>
      <c r="G3" s="861" t="s">
        <v>505</v>
      </c>
      <c r="H3" s="885" t="s">
        <v>506</v>
      </c>
      <c r="I3" s="886" t="s">
        <v>507</v>
      </c>
      <c r="J3" s="887"/>
      <c r="K3" s="886" t="s">
        <v>508</v>
      </c>
      <c r="L3" s="887"/>
      <c r="M3" s="886" t="s">
        <v>509</v>
      </c>
      <c r="N3" s="887"/>
      <c r="O3" s="886" t="s">
        <v>510</v>
      </c>
      <c r="P3" s="887"/>
      <c r="Q3" s="886" t="s">
        <v>396</v>
      </c>
      <c r="R3" s="887"/>
      <c r="S3" s="888" t="s">
        <v>397</v>
      </c>
      <c r="T3" s="889"/>
      <c r="U3" s="890"/>
      <c r="V3" s="891" t="s">
        <v>568</v>
      </c>
      <c r="W3" s="892"/>
      <c r="X3" s="893"/>
      <c r="Y3" s="894" t="s">
        <v>168</v>
      </c>
      <c r="Z3" s="894" t="s">
        <v>228</v>
      </c>
      <c r="AA3" s="894" t="s">
        <v>511</v>
      </c>
      <c r="AB3" s="894" t="s">
        <v>420</v>
      </c>
      <c r="AC3" s="894" t="s">
        <v>229</v>
      </c>
      <c r="AD3" s="861" t="s">
        <v>169</v>
      </c>
      <c r="AF3" s="863" t="s">
        <v>230</v>
      </c>
      <c r="AG3" s="864"/>
      <c r="AH3" s="864"/>
      <c r="AI3" s="864"/>
      <c r="AJ3" s="864"/>
      <c r="AK3" s="864"/>
      <c r="AL3" s="864"/>
      <c r="AM3" s="865"/>
    </row>
    <row r="4" spans="2:39">
      <c r="B4" s="880"/>
      <c r="C4" s="881"/>
      <c r="D4" s="882"/>
      <c r="E4" s="882"/>
      <c r="F4" s="884"/>
      <c r="G4" s="862"/>
      <c r="H4" s="862"/>
      <c r="I4" s="434" t="s">
        <v>512</v>
      </c>
      <c r="J4" s="362" t="s">
        <v>513</v>
      </c>
      <c r="K4" s="434" t="s">
        <v>512</v>
      </c>
      <c r="L4" s="362" t="s">
        <v>513</v>
      </c>
      <c r="M4" s="434" t="s">
        <v>512</v>
      </c>
      <c r="N4" s="362" t="s">
        <v>513</v>
      </c>
      <c r="O4" s="434" t="s">
        <v>512</v>
      </c>
      <c r="P4" s="362" t="s">
        <v>513</v>
      </c>
      <c r="Q4" s="434" t="s">
        <v>512</v>
      </c>
      <c r="R4" s="362" t="s">
        <v>513</v>
      </c>
      <c r="S4" s="434" t="s">
        <v>512</v>
      </c>
      <c r="T4" s="362" t="s">
        <v>513</v>
      </c>
      <c r="U4" s="362" t="s">
        <v>514</v>
      </c>
      <c r="V4" s="434" t="s">
        <v>512</v>
      </c>
      <c r="W4" s="362" t="s">
        <v>513</v>
      </c>
      <c r="X4" s="362" t="s">
        <v>514</v>
      </c>
      <c r="Y4" s="895"/>
      <c r="Z4" s="895"/>
      <c r="AA4" s="895"/>
      <c r="AB4" s="895"/>
      <c r="AC4" s="895"/>
      <c r="AD4" s="862"/>
      <c r="AF4" s="866"/>
      <c r="AG4" s="867"/>
      <c r="AH4" s="867"/>
      <c r="AI4" s="867"/>
      <c r="AJ4" s="867"/>
      <c r="AK4" s="867"/>
      <c r="AL4" s="867"/>
      <c r="AM4" s="868"/>
    </row>
    <row r="5" spans="2:39" s="147" customFormat="1" ht="27" customHeight="1">
      <c r="B5" s="872" t="s">
        <v>616</v>
      </c>
      <c r="C5" s="873"/>
      <c r="D5" s="361">
        <v>1</v>
      </c>
      <c r="E5" s="435" t="s">
        <v>314</v>
      </c>
      <c r="F5" s="436">
        <f>IFERROR(Q5*G5,"-")</f>
        <v>2070.3000000000002</v>
      </c>
      <c r="G5" s="364">
        <v>15.450000000000001</v>
      </c>
      <c r="H5" s="437">
        <v>58120</v>
      </c>
      <c r="I5" s="437">
        <v>58120</v>
      </c>
      <c r="J5" s="439">
        <f>IFERROR(I5/H5,"-")</f>
        <v>1</v>
      </c>
      <c r="K5" s="438">
        <v>58254</v>
      </c>
      <c r="L5" s="439">
        <f>IFERROR(K5/H5,"-")</f>
        <v>1.0023055746730902</v>
      </c>
      <c r="M5" s="438">
        <v>0</v>
      </c>
      <c r="N5" s="439">
        <f>IFERROR(M5/H5,"-")</f>
        <v>0</v>
      </c>
      <c r="O5" s="440">
        <f>IFERROR(K5+M5,"-")</f>
        <v>58254</v>
      </c>
      <c r="P5" s="439">
        <f>IFERROR(O5/H5,"-")</f>
        <v>1.0023055746730902</v>
      </c>
      <c r="Q5" s="437">
        <v>134</v>
      </c>
      <c r="R5" s="439">
        <f>IFERROR(Q5/H5,"-")</f>
        <v>2.3055746730901582E-3</v>
      </c>
      <c r="S5" s="440">
        <f>IFERROR(O5-H5,"-")</f>
        <v>134</v>
      </c>
      <c r="T5" s="439">
        <f>IFERROR(S5/H5,"-")</f>
        <v>2.3055746730901582E-3</v>
      </c>
      <c r="U5" s="363">
        <f>IFERROR(S5*G5,"-")</f>
        <v>2070.3000000000002</v>
      </c>
      <c r="V5" s="451">
        <f>S5-Q5</f>
        <v>0</v>
      </c>
      <c r="W5" s="452">
        <f>IFERROR(V5/H5,"-")</f>
        <v>0</v>
      </c>
      <c r="X5" s="453">
        <f>IFERROR(V5*G5,"-")</f>
        <v>0</v>
      </c>
      <c r="Y5" s="365" t="s">
        <v>395</v>
      </c>
      <c r="Z5" s="365" t="s">
        <v>199</v>
      </c>
      <c r="AA5" s="366" t="s">
        <v>437</v>
      </c>
      <c r="AB5" s="366" t="s">
        <v>570</v>
      </c>
      <c r="AC5" s="366">
        <v>1</v>
      </c>
      <c r="AD5" s="441" t="s">
        <v>485</v>
      </c>
      <c r="AF5" s="869"/>
      <c r="AG5" s="870"/>
      <c r="AH5" s="870"/>
      <c r="AI5" s="870"/>
      <c r="AJ5" s="870"/>
      <c r="AK5" s="870"/>
      <c r="AL5" s="870"/>
      <c r="AM5" s="871"/>
    </row>
    <row r="6" spans="2:39" s="147" customFormat="1" ht="27" customHeight="1">
      <c r="B6" s="874"/>
      <c r="C6" s="875"/>
      <c r="D6" s="361">
        <v>2</v>
      </c>
      <c r="E6" s="435" t="s">
        <v>423</v>
      </c>
      <c r="F6" s="436">
        <f t="shared" ref="F6:F24" si="0">IFERROR(Q6*G6,"-")</f>
        <v>1849.7499999999998</v>
      </c>
      <c r="G6" s="364">
        <v>2.4499999999999997</v>
      </c>
      <c r="H6" s="437">
        <v>132325</v>
      </c>
      <c r="I6" s="437">
        <v>132325</v>
      </c>
      <c r="J6" s="439">
        <f t="shared" ref="J6:J24" si="1">IFERROR(I6/H6,"-")</f>
        <v>1</v>
      </c>
      <c r="K6" s="438">
        <v>133080</v>
      </c>
      <c r="L6" s="439">
        <f t="shared" ref="L6:L24" si="2">IFERROR(K6/H6,"-")</f>
        <v>1.0057056489703382</v>
      </c>
      <c r="M6" s="438">
        <v>0</v>
      </c>
      <c r="N6" s="439">
        <f t="shared" ref="N6:N24" si="3">IFERROR(M6/H6,"-")</f>
        <v>0</v>
      </c>
      <c r="O6" s="440">
        <f t="shared" ref="O6:O24" si="4">IFERROR(K6+M6,"-")</f>
        <v>133080</v>
      </c>
      <c r="P6" s="439">
        <f t="shared" ref="P6:P24" si="5">IFERROR(O6/H6,"-")</f>
        <v>1.0057056489703382</v>
      </c>
      <c r="Q6" s="437">
        <v>755</v>
      </c>
      <c r="R6" s="439">
        <f t="shared" ref="R6:R24" si="6">IFERROR(Q6/H6,"-")</f>
        <v>5.7056489703381829E-3</v>
      </c>
      <c r="S6" s="440">
        <f t="shared" ref="S6:S24" si="7">IFERROR(O6-H6,"-")</f>
        <v>755</v>
      </c>
      <c r="T6" s="439">
        <f t="shared" ref="T6:T24" si="8">IFERROR(S6/H6,"-")</f>
        <v>5.7056489703381829E-3</v>
      </c>
      <c r="U6" s="363">
        <f t="shared" ref="U6:U24" si="9">IFERROR(S6*G6,"-")</f>
        <v>1849.7499999999998</v>
      </c>
      <c r="V6" s="451">
        <f t="shared" ref="V6:V24" si="10">S6-Q6</f>
        <v>0</v>
      </c>
      <c r="W6" s="452">
        <f t="shared" ref="W6:W24" si="11">IFERROR(V6/H6,"-")</f>
        <v>0</v>
      </c>
      <c r="X6" s="453">
        <f t="shared" ref="X6:X24" si="12">IFERROR(V6*G6,"-")</f>
        <v>0</v>
      </c>
      <c r="Y6" s="365" t="s">
        <v>395</v>
      </c>
      <c r="Z6" s="365" t="s">
        <v>316</v>
      </c>
      <c r="AA6" s="366" t="s">
        <v>438</v>
      </c>
      <c r="AB6" s="366" t="s">
        <v>439</v>
      </c>
      <c r="AC6" s="366">
        <v>1</v>
      </c>
      <c r="AD6" s="441" t="s">
        <v>319</v>
      </c>
      <c r="AF6" s="160" t="s">
        <v>227</v>
      </c>
      <c r="AG6" s="160" t="s">
        <v>421</v>
      </c>
      <c r="AH6" s="155" t="s">
        <v>515</v>
      </c>
      <c r="AI6" s="155" t="s">
        <v>316</v>
      </c>
      <c r="AJ6" s="155" t="s">
        <v>406</v>
      </c>
      <c r="AK6" s="155" t="s">
        <v>198</v>
      </c>
      <c r="AL6" s="155" t="s">
        <v>199</v>
      </c>
      <c r="AM6" s="155" t="s">
        <v>362</v>
      </c>
    </row>
    <row r="7" spans="2:39" s="147" customFormat="1" ht="27" customHeight="1">
      <c r="B7" s="874"/>
      <c r="C7" s="875"/>
      <c r="D7" s="361">
        <v>3</v>
      </c>
      <c r="E7" s="435" t="s">
        <v>422</v>
      </c>
      <c r="F7" s="436">
        <f t="shared" si="0"/>
        <v>1787.76</v>
      </c>
      <c r="G7" s="364">
        <v>1.17</v>
      </c>
      <c r="H7" s="437">
        <v>215744</v>
      </c>
      <c r="I7" s="437">
        <v>215744</v>
      </c>
      <c r="J7" s="439">
        <f t="shared" si="1"/>
        <v>1</v>
      </c>
      <c r="K7" s="438">
        <v>217272</v>
      </c>
      <c r="L7" s="439">
        <f t="shared" si="2"/>
        <v>1.007082468110353</v>
      </c>
      <c r="M7" s="438">
        <v>0</v>
      </c>
      <c r="N7" s="439">
        <f t="shared" si="3"/>
        <v>0</v>
      </c>
      <c r="O7" s="440">
        <f t="shared" si="4"/>
        <v>217272</v>
      </c>
      <c r="P7" s="439">
        <f t="shared" si="5"/>
        <v>1.007082468110353</v>
      </c>
      <c r="Q7" s="437">
        <v>1528</v>
      </c>
      <c r="R7" s="439">
        <f t="shared" si="6"/>
        <v>7.0824681103530112E-3</v>
      </c>
      <c r="S7" s="440">
        <f t="shared" si="7"/>
        <v>1528</v>
      </c>
      <c r="T7" s="439">
        <f t="shared" si="8"/>
        <v>7.0824681103530112E-3</v>
      </c>
      <c r="U7" s="363">
        <f t="shared" si="9"/>
        <v>1787.76</v>
      </c>
      <c r="V7" s="451">
        <f t="shared" si="10"/>
        <v>0</v>
      </c>
      <c r="W7" s="452">
        <f t="shared" si="11"/>
        <v>0</v>
      </c>
      <c r="X7" s="453">
        <f t="shared" si="12"/>
        <v>0</v>
      </c>
      <c r="Y7" s="365" t="s">
        <v>395</v>
      </c>
      <c r="Z7" s="365" t="s">
        <v>316</v>
      </c>
      <c r="AA7" s="366" t="s">
        <v>440</v>
      </c>
      <c r="AB7" s="366" t="s">
        <v>488</v>
      </c>
      <c r="AC7" s="366">
        <v>1</v>
      </c>
      <c r="AD7" s="441" t="s">
        <v>319</v>
      </c>
      <c r="AF7" s="371">
        <f>SUM(AC5:AC24)</f>
        <v>20</v>
      </c>
      <c r="AG7" s="367">
        <f t="shared" ref="AG7:AM7" si="13">SUMIF($Z$5:$Z$24,TRIM(AG6),$AC$5:$AC$24)</f>
        <v>8</v>
      </c>
      <c r="AH7" s="367">
        <f t="shared" si="13"/>
        <v>0</v>
      </c>
      <c r="AI7" s="367">
        <f t="shared" si="13"/>
        <v>6</v>
      </c>
      <c r="AJ7" s="367">
        <f t="shared" si="13"/>
        <v>0</v>
      </c>
      <c r="AK7" s="367">
        <f t="shared" si="13"/>
        <v>1</v>
      </c>
      <c r="AL7" s="367">
        <f t="shared" si="13"/>
        <v>5</v>
      </c>
      <c r="AM7" s="367">
        <f t="shared" si="13"/>
        <v>0</v>
      </c>
    </row>
    <row r="8" spans="2:39" s="147" customFormat="1" ht="27" customHeight="1">
      <c r="B8" s="874"/>
      <c r="C8" s="875"/>
      <c r="D8" s="361">
        <v>4</v>
      </c>
      <c r="E8" s="435" t="s">
        <v>315</v>
      </c>
      <c r="F8" s="436">
        <f t="shared" si="0"/>
        <v>1509.6832000000004</v>
      </c>
      <c r="G8" s="364">
        <v>147.43000000000004</v>
      </c>
      <c r="H8" s="437">
        <v>3953.68</v>
      </c>
      <c r="I8" s="437">
        <v>3953.68</v>
      </c>
      <c r="J8" s="439">
        <f t="shared" si="1"/>
        <v>1</v>
      </c>
      <c r="K8" s="438">
        <v>4019.2300000000005</v>
      </c>
      <c r="L8" s="439">
        <f t="shared" si="2"/>
        <v>1.0165794904999901</v>
      </c>
      <c r="M8" s="438">
        <v>65.55</v>
      </c>
      <c r="N8" s="439">
        <f t="shared" si="3"/>
        <v>1.6579490499989882E-2</v>
      </c>
      <c r="O8" s="440">
        <f t="shared" si="4"/>
        <v>4084.7800000000007</v>
      </c>
      <c r="P8" s="439">
        <f t="shared" si="5"/>
        <v>1.0331589809999799</v>
      </c>
      <c r="Q8" s="437">
        <v>10.24</v>
      </c>
      <c r="R8" s="439">
        <f t="shared" si="6"/>
        <v>2.5899921086177942E-3</v>
      </c>
      <c r="S8" s="440">
        <f t="shared" si="7"/>
        <v>131.10000000000082</v>
      </c>
      <c r="T8" s="439">
        <f t="shared" si="8"/>
        <v>3.3158980999979971E-2</v>
      </c>
      <c r="U8" s="363">
        <f t="shared" si="9"/>
        <v>19328.073000000124</v>
      </c>
      <c r="V8" s="451">
        <f t="shared" si="10"/>
        <v>120.86000000000082</v>
      </c>
      <c r="W8" s="452">
        <f t="shared" si="11"/>
        <v>3.056898889136218E-2</v>
      </c>
      <c r="X8" s="453">
        <f t="shared" si="12"/>
        <v>17818.389800000125</v>
      </c>
      <c r="Y8" s="365" t="s">
        <v>395</v>
      </c>
      <c r="Z8" s="365" t="s">
        <v>198</v>
      </c>
      <c r="AA8" s="366" t="s">
        <v>599</v>
      </c>
      <c r="AB8" s="366" t="s">
        <v>633</v>
      </c>
      <c r="AC8" s="366">
        <v>1</v>
      </c>
      <c r="AD8" s="441" t="s">
        <v>319</v>
      </c>
      <c r="AF8" s="372" t="s">
        <v>11</v>
      </c>
      <c r="AG8" s="369">
        <f>SUMIF($Z$5:$Z24,TRIM(AG6),$F$5:$F$24)</f>
        <v>7367.6618000000008</v>
      </c>
      <c r="AH8" s="369">
        <f>SUMIF($Z$5:$Z24,TRIM(AH6),$F$5:$F$24)</f>
        <v>0</v>
      </c>
      <c r="AI8" s="369">
        <f>SUMIF($Z$5:$Z24,TRIM(AI6),$F$5:$F$24)</f>
        <v>8116.3483999999989</v>
      </c>
      <c r="AJ8" s="369">
        <f>SUMIF($Z$5:$Z24,TRIM(AJ6),$F$5:$F$24)</f>
        <v>0</v>
      </c>
      <c r="AK8" s="369">
        <f>SUMIF($Z$5:$Z24,TRIM(AK6),$F$5:$F$24)</f>
        <v>1509.6832000000004</v>
      </c>
      <c r="AL8" s="369">
        <f>SUMIF($Z$5:$Z24,TRIM(AL6),$F$5:$F$24)</f>
        <v>6083.7018000000007</v>
      </c>
      <c r="AM8" s="369">
        <f>SUMIF($Z$5:$Z24,TRIM(AM6),$F$5:$F$24)</f>
        <v>0</v>
      </c>
    </row>
    <row r="9" spans="2:39" s="147" customFormat="1" ht="27" customHeight="1">
      <c r="B9" s="874"/>
      <c r="C9" s="875"/>
      <c r="D9" s="361">
        <v>5</v>
      </c>
      <c r="E9" s="435" t="s">
        <v>561</v>
      </c>
      <c r="F9" s="436">
        <f t="shared" si="0"/>
        <v>1445.9213999999999</v>
      </c>
      <c r="G9" s="364">
        <v>625.93999999999994</v>
      </c>
      <c r="H9" s="437">
        <v>1254.52</v>
      </c>
      <c r="I9" s="437">
        <v>1254.52</v>
      </c>
      <c r="J9" s="439">
        <f t="shared" si="1"/>
        <v>1</v>
      </c>
      <c r="K9" s="438">
        <v>1265.46</v>
      </c>
      <c r="L9" s="439">
        <f t="shared" si="2"/>
        <v>1.0087204667920799</v>
      </c>
      <c r="M9" s="438">
        <v>10.940000000000001</v>
      </c>
      <c r="N9" s="439">
        <f t="shared" si="3"/>
        <v>8.7204667920798406E-3</v>
      </c>
      <c r="O9" s="440">
        <f t="shared" si="4"/>
        <v>1276.4000000000001</v>
      </c>
      <c r="P9" s="439">
        <f t="shared" si="5"/>
        <v>1.0174409335841597</v>
      </c>
      <c r="Q9" s="437">
        <v>2.31</v>
      </c>
      <c r="R9" s="439">
        <f t="shared" si="6"/>
        <v>1.841341708382489E-3</v>
      </c>
      <c r="S9" s="440">
        <f t="shared" si="7"/>
        <v>21.880000000000109</v>
      </c>
      <c r="T9" s="439">
        <f t="shared" si="8"/>
        <v>1.7440933584159764E-2</v>
      </c>
      <c r="U9" s="363">
        <f t="shared" si="9"/>
        <v>13695.567200000067</v>
      </c>
      <c r="V9" s="451">
        <f t="shared" si="10"/>
        <v>19.57000000000011</v>
      </c>
      <c r="W9" s="452">
        <f t="shared" si="11"/>
        <v>1.5599591875777278E-2</v>
      </c>
      <c r="X9" s="453">
        <f t="shared" si="12"/>
        <v>12249.645800000068</v>
      </c>
      <c r="Y9" s="365" t="s">
        <v>395</v>
      </c>
      <c r="Z9" s="365" t="s">
        <v>316</v>
      </c>
      <c r="AA9" s="366" t="s">
        <v>574</v>
      </c>
      <c r="AB9" s="366" t="s">
        <v>575</v>
      </c>
      <c r="AC9" s="366">
        <v>1</v>
      </c>
      <c r="AD9" s="441" t="s">
        <v>562</v>
      </c>
      <c r="AF9" s="361" t="s">
        <v>516</v>
      </c>
      <c r="AG9" s="442">
        <f>AG7/$AF7</f>
        <v>0.4</v>
      </c>
      <c r="AH9" s="442">
        <f t="shared" ref="AH9:AM9" si="14">AH7/$AF7</f>
        <v>0</v>
      </c>
      <c r="AI9" s="442">
        <f t="shared" si="14"/>
        <v>0.3</v>
      </c>
      <c r="AJ9" s="442">
        <f t="shared" si="14"/>
        <v>0</v>
      </c>
      <c r="AK9" s="442">
        <f t="shared" si="14"/>
        <v>0.05</v>
      </c>
      <c r="AL9" s="442">
        <f t="shared" si="14"/>
        <v>0.25</v>
      </c>
      <c r="AM9" s="442">
        <f t="shared" si="14"/>
        <v>0</v>
      </c>
    </row>
    <row r="10" spans="2:39" s="147" customFormat="1" ht="27" customHeight="1">
      <c r="B10" s="874"/>
      <c r="C10" s="875"/>
      <c r="D10" s="361">
        <v>6</v>
      </c>
      <c r="E10" s="435" t="s">
        <v>434</v>
      </c>
      <c r="F10" s="436">
        <f t="shared" si="0"/>
        <v>1215.0652000000002</v>
      </c>
      <c r="G10" s="364">
        <v>407.74000000000007</v>
      </c>
      <c r="H10" s="437">
        <v>1055.45</v>
      </c>
      <c r="I10" s="437">
        <v>1055.45</v>
      </c>
      <c r="J10" s="439">
        <f t="shared" si="1"/>
        <v>1</v>
      </c>
      <c r="K10" s="438">
        <v>1068.0899999999999</v>
      </c>
      <c r="L10" s="439">
        <f t="shared" si="2"/>
        <v>1.0119759344355488</v>
      </c>
      <c r="M10" s="438">
        <v>12.64</v>
      </c>
      <c r="N10" s="439">
        <f t="shared" si="3"/>
        <v>1.1975934435548818E-2</v>
      </c>
      <c r="O10" s="440">
        <f t="shared" si="4"/>
        <v>1080.73</v>
      </c>
      <c r="P10" s="439">
        <f t="shared" si="5"/>
        <v>1.0239518688710976</v>
      </c>
      <c r="Q10" s="437">
        <v>2.98</v>
      </c>
      <c r="R10" s="439">
        <f t="shared" si="6"/>
        <v>2.8234402387607182E-3</v>
      </c>
      <c r="S10" s="440">
        <f t="shared" si="7"/>
        <v>25.279999999999973</v>
      </c>
      <c r="T10" s="439">
        <f t="shared" si="8"/>
        <v>2.3951868871097608E-2</v>
      </c>
      <c r="U10" s="363">
        <f t="shared" si="9"/>
        <v>10307.667199999991</v>
      </c>
      <c r="V10" s="451">
        <f t="shared" si="10"/>
        <v>22.299999999999972</v>
      </c>
      <c r="W10" s="452">
        <f t="shared" si="11"/>
        <v>2.1128428632336892E-2</v>
      </c>
      <c r="X10" s="453">
        <f t="shared" si="12"/>
        <v>9092.6019999999899</v>
      </c>
      <c r="Y10" s="365" t="s">
        <v>395</v>
      </c>
      <c r="Z10" s="365" t="s">
        <v>316</v>
      </c>
      <c r="AA10" s="366" t="s">
        <v>574</v>
      </c>
      <c r="AB10" s="366" t="s">
        <v>601</v>
      </c>
      <c r="AC10" s="366">
        <v>1</v>
      </c>
      <c r="AD10" s="441" t="s">
        <v>436</v>
      </c>
    </row>
    <row r="11" spans="2:39" s="147" customFormat="1" ht="27" customHeight="1">
      <c r="B11" s="874"/>
      <c r="C11" s="875"/>
      <c r="D11" s="361">
        <v>7</v>
      </c>
      <c r="E11" s="435" t="s">
        <v>364</v>
      </c>
      <c r="F11" s="436">
        <f t="shared" si="0"/>
        <v>1185.0768</v>
      </c>
      <c r="G11" s="364">
        <v>127.84000000000002</v>
      </c>
      <c r="H11" s="437">
        <v>3677.04</v>
      </c>
      <c r="I11" s="437">
        <v>3677.04</v>
      </c>
      <c r="J11" s="439">
        <f t="shared" si="1"/>
        <v>1</v>
      </c>
      <c r="K11" s="438">
        <v>3726.94</v>
      </c>
      <c r="L11" s="439">
        <f t="shared" si="2"/>
        <v>1.0135706981702675</v>
      </c>
      <c r="M11" s="438">
        <v>49.9</v>
      </c>
      <c r="N11" s="439">
        <f t="shared" si="3"/>
        <v>1.357069817026739E-2</v>
      </c>
      <c r="O11" s="440">
        <f t="shared" si="4"/>
        <v>3776.84</v>
      </c>
      <c r="P11" s="439">
        <f t="shared" si="5"/>
        <v>1.0271413963405349</v>
      </c>
      <c r="Q11" s="437">
        <v>9.27</v>
      </c>
      <c r="R11" s="439">
        <f t="shared" si="6"/>
        <v>2.5210495398472685E-3</v>
      </c>
      <c r="S11" s="440">
        <f t="shared" si="7"/>
        <v>99.800000000000182</v>
      </c>
      <c r="T11" s="439">
        <f t="shared" si="8"/>
        <v>2.7141396340534828E-2</v>
      </c>
      <c r="U11" s="363">
        <f t="shared" si="9"/>
        <v>12758.432000000024</v>
      </c>
      <c r="V11" s="451">
        <f t="shared" si="10"/>
        <v>90.530000000000186</v>
      </c>
      <c r="W11" s="452">
        <f t="shared" si="11"/>
        <v>2.4620346800687559E-2</v>
      </c>
      <c r="X11" s="453">
        <f t="shared" si="12"/>
        <v>11573.355200000025</v>
      </c>
      <c r="Y11" s="365" t="s">
        <v>395</v>
      </c>
      <c r="Z11" s="365" t="s">
        <v>421</v>
      </c>
      <c r="AA11" s="366" t="s">
        <v>572</v>
      </c>
      <c r="AB11" s="366" t="s">
        <v>600</v>
      </c>
      <c r="AC11" s="366">
        <v>1</v>
      </c>
      <c r="AD11" s="441" t="s">
        <v>319</v>
      </c>
    </row>
    <row r="12" spans="2:39" s="147" customFormat="1" ht="27" customHeight="1">
      <c r="B12" s="874"/>
      <c r="C12" s="875"/>
      <c r="D12" s="361">
        <v>8</v>
      </c>
      <c r="E12" s="435" t="s">
        <v>495</v>
      </c>
      <c r="F12" s="436">
        <f t="shared" si="0"/>
        <v>1139.1587999999999</v>
      </c>
      <c r="G12" s="364">
        <v>39.389999999999993</v>
      </c>
      <c r="H12" s="437">
        <v>25178.400000000001</v>
      </c>
      <c r="I12" s="437">
        <v>25178.400000000001</v>
      </c>
      <c r="J12" s="439">
        <f t="shared" si="1"/>
        <v>1</v>
      </c>
      <c r="K12" s="438">
        <v>25317.43</v>
      </c>
      <c r="L12" s="439">
        <f t="shared" si="2"/>
        <v>1.0055217964604581</v>
      </c>
      <c r="M12" s="438">
        <v>139.03</v>
      </c>
      <c r="N12" s="439">
        <f t="shared" si="3"/>
        <v>5.5217964604581705E-3</v>
      </c>
      <c r="O12" s="440">
        <f t="shared" si="4"/>
        <v>25456.46</v>
      </c>
      <c r="P12" s="439">
        <f t="shared" si="5"/>
        <v>1.0110435929209163</v>
      </c>
      <c r="Q12" s="437">
        <v>28.92</v>
      </c>
      <c r="R12" s="439">
        <f t="shared" si="6"/>
        <v>1.1486035649604424E-3</v>
      </c>
      <c r="S12" s="440">
        <f t="shared" si="7"/>
        <v>278.05999999999767</v>
      </c>
      <c r="T12" s="439">
        <f t="shared" si="8"/>
        <v>1.1043592920916247E-2</v>
      </c>
      <c r="U12" s="363">
        <f t="shared" si="9"/>
        <v>10952.783399999906</v>
      </c>
      <c r="V12" s="451">
        <f t="shared" si="10"/>
        <v>249.13999999999766</v>
      </c>
      <c r="W12" s="452">
        <f t="shared" si="11"/>
        <v>9.8949893559558046E-3</v>
      </c>
      <c r="X12" s="453">
        <f t="shared" si="12"/>
        <v>9813.6245999999064</v>
      </c>
      <c r="Y12" s="365" t="s">
        <v>395</v>
      </c>
      <c r="Z12" s="365" t="s">
        <v>199</v>
      </c>
      <c r="AA12" s="366" t="s">
        <v>571</v>
      </c>
      <c r="AB12" s="366" t="s">
        <v>598</v>
      </c>
      <c r="AC12" s="366">
        <v>1</v>
      </c>
      <c r="AD12" s="441" t="s">
        <v>319</v>
      </c>
    </row>
    <row r="13" spans="2:39" s="147" customFormat="1" ht="27" customHeight="1">
      <c r="B13" s="874"/>
      <c r="C13" s="875"/>
      <c r="D13" s="361">
        <v>9</v>
      </c>
      <c r="E13" s="435" t="s">
        <v>565</v>
      </c>
      <c r="F13" s="436">
        <f t="shared" si="0"/>
        <v>1024.056</v>
      </c>
      <c r="G13" s="364">
        <v>426.69</v>
      </c>
      <c r="H13" s="437">
        <v>905.77</v>
      </c>
      <c r="I13" s="437">
        <v>905.77</v>
      </c>
      <c r="J13" s="439">
        <f t="shared" si="1"/>
        <v>1</v>
      </c>
      <c r="K13" s="438">
        <v>915.59</v>
      </c>
      <c r="L13" s="439">
        <f t="shared" si="2"/>
        <v>1.0108416043808031</v>
      </c>
      <c r="M13" s="438">
        <v>9.82</v>
      </c>
      <c r="N13" s="439">
        <f t="shared" si="3"/>
        <v>1.0841604380803074E-2</v>
      </c>
      <c r="O13" s="440">
        <f t="shared" si="4"/>
        <v>925.41000000000008</v>
      </c>
      <c r="P13" s="439">
        <f t="shared" si="5"/>
        <v>1.0216832087616063</v>
      </c>
      <c r="Q13" s="437">
        <v>2.4</v>
      </c>
      <c r="R13" s="439">
        <f t="shared" si="6"/>
        <v>2.6496792784040098E-3</v>
      </c>
      <c r="S13" s="440">
        <f t="shared" si="7"/>
        <v>19.6400000000001</v>
      </c>
      <c r="T13" s="439">
        <f t="shared" si="8"/>
        <v>2.168320876160626E-2</v>
      </c>
      <c r="U13" s="363">
        <f t="shared" si="9"/>
        <v>8380.1916000000419</v>
      </c>
      <c r="V13" s="451">
        <f t="shared" si="10"/>
        <v>17.240000000000101</v>
      </c>
      <c r="W13" s="452">
        <f t="shared" si="11"/>
        <v>1.9033529483202249E-2</v>
      </c>
      <c r="X13" s="453">
        <f t="shared" si="12"/>
        <v>7356.1356000000433</v>
      </c>
      <c r="Y13" s="365" t="s">
        <v>395</v>
      </c>
      <c r="Z13" s="365" t="s">
        <v>421</v>
      </c>
      <c r="AA13" s="366" t="s">
        <v>572</v>
      </c>
      <c r="AB13" s="377" t="s">
        <v>430</v>
      </c>
      <c r="AC13" s="366">
        <v>1</v>
      </c>
      <c r="AD13" s="441" t="s">
        <v>336</v>
      </c>
      <c r="AH13" s="368"/>
    </row>
    <row r="14" spans="2:39" s="147" customFormat="1" ht="27" customHeight="1">
      <c r="B14" s="874"/>
      <c r="C14" s="875"/>
      <c r="D14" s="361">
        <v>10</v>
      </c>
      <c r="E14" s="435" t="s">
        <v>499</v>
      </c>
      <c r="F14" s="436">
        <f t="shared" si="0"/>
        <v>1013.2389000000001</v>
      </c>
      <c r="G14" s="364">
        <v>62.43</v>
      </c>
      <c r="H14" s="437">
        <v>3651.6099999999997</v>
      </c>
      <c r="I14" s="437">
        <v>3651.6099999999997</v>
      </c>
      <c r="J14" s="439">
        <f t="shared" si="1"/>
        <v>1</v>
      </c>
      <c r="K14" s="438">
        <v>3711.8100000000004</v>
      </c>
      <c r="L14" s="439">
        <f t="shared" si="2"/>
        <v>1.0164858788315294</v>
      </c>
      <c r="M14" s="438">
        <v>60.2</v>
      </c>
      <c r="N14" s="439">
        <f t="shared" si="3"/>
        <v>1.6485878831529108E-2</v>
      </c>
      <c r="O14" s="440">
        <f t="shared" si="4"/>
        <v>3772.01</v>
      </c>
      <c r="P14" s="439">
        <f t="shared" si="5"/>
        <v>1.0329717576630584</v>
      </c>
      <c r="Q14" s="437">
        <v>16.23</v>
      </c>
      <c r="R14" s="439">
        <f t="shared" si="6"/>
        <v>4.4446148411248741E-3</v>
      </c>
      <c r="S14" s="440">
        <f t="shared" si="7"/>
        <v>120.40000000000055</v>
      </c>
      <c r="T14" s="439">
        <f t="shared" si="8"/>
        <v>3.2971757663058363E-2</v>
      </c>
      <c r="U14" s="363">
        <f t="shared" si="9"/>
        <v>7516.5720000000338</v>
      </c>
      <c r="V14" s="451">
        <f t="shared" si="10"/>
        <v>104.17000000000054</v>
      </c>
      <c r="W14" s="452">
        <f t="shared" si="11"/>
        <v>2.8527142821933488E-2</v>
      </c>
      <c r="X14" s="453">
        <f t="shared" si="12"/>
        <v>6503.3331000000335</v>
      </c>
      <c r="Y14" s="365" t="s">
        <v>395</v>
      </c>
      <c r="Z14" s="365" t="s">
        <v>199</v>
      </c>
      <c r="AA14" s="366" t="s">
        <v>571</v>
      </c>
      <c r="AB14" s="366" t="s">
        <v>598</v>
      </c>
      <c r="AC14" s="366">
        <v>1</v>
      </c>
      <c r="AD14" s="441" t="s">
        <v>614</v>
      </c>
      <c r="AH14" s="368"/>
    </row>
    <row r="15" spans="2:39" s="147" customFormat="1" ht="27" customHeight="1">
      <c r="B15" s="874"/>
      <c r="C15" s="875"/>
      <c r="D15" s="361">
        <v>11</v>
      </c>
      <c r="E15" s="435" t="s">
        <v>545</v>
      </c>
      <c r="F15" s="436">
        <f t="shared" si="0"/>
        <v>958.99649999999997</v>
      </c>
      <c r="G15" s="364">
        <v>43.889999999999993</v>
      </c>
      <c r="H15" s="437">
        <v>2434.73</v>
      </c>
      <c r="I15" s="437">
        <v>2434.73</v>
      </c>
      <c r="J15" s="439">
        <f t="shared" si="1"/>
        <v>1</v>
      </c>
      <c r="K15" s="438">
        <v>2482.9199999999996</v>
      </c>
      <c r="L15" s="439">
        <f t="shared" si="2"/>
        <v>1.0197927490933285</v>
      </c>
      <c r="M15" s="438">
        <v>48.190000000000005</v>
      </c>
      <c r="N15" s="439">
        <f t="shared" si="3"/>
        <v>1.9792749093328624E-2</v>
      </c>
      <c r="O15" s="440">
        <f t="shared" si="4"/>
        <v>2531.1099999999997</v>
      </c>
      <c r="P15" s="439">
        <f t="shared" si="5"/>
        <v>1.039585498186657</v>
      </c>
      <c r="Q15" s="437">
        <v>21.85</v>
      </c>
      <c r="R15" s="439">
        <f t="shared" si="6"/>
        <v>8.9743010518620134E-3</v>
      </c>
      <c r="S15" s="440">
        <f t="shared" si="7"/>
        <v>96.379999999999654</v>
      </c>
      <c r="T15" s="439">
        <f t="shared" si="8"/>
        <v>3.9585498186657103E-2</v>
      </c>
      <c r="U15" s="363">
        <f t="shared" si="9"/>
        <v>4230.1181999999844</v>
      </c>
      <c r="V15" s="451">
        <f t="shared" si="10"/>
        <v>74.52999999999966</v>
      </c>
      <c r="W15" s="452">
        <f t="shared" si="11"/>
        <v>3.0611197134795095E-2</v>
      </c>
      <c r="X15" s="453">
        <f t="shared" si="12"/>
        <v>3271.1216999999847</v>
      </c>
      <c r="Y15" s="365" t="s">
        <v>395</v>
      </c>
      <c r="Z15" s="365" t="s">
        <v>199</v>
      </c>
      <c r="AA15" s="366" t="s">
        <v>571</v>
      </c>
      <c r="AB15" s="366" t="s">
        <v>598</v>
      </c>
      <c r="AC15" s="366">
        <v>1</v>
      </c>
      <c r="AD15" s="441" t="s">
        <v>544</v>
      </c>
      <c r="AH15" s="368"/>
    </row>
    <row r="16" spans="2:39" s="147" customFormat="1" ht="26.25" customHeight="1">
      <c r="B16" s="874"/>
      <c r="C16" s="875"/>
      <c r="D16" s="361">
        <v>12</v>
      </c>
      <c r="E16" s="435" t="s">
        <v>526</v>
      </c>
      <c r="F16" s="436">
        <f t="shared" si="0"/>
        <v>945.36000000000013</v>
      </c>
      <c r="G16" s="364">
        <v>24.240000000000002</v>
      </c>
      <c r="H16" s="437">
        <v>20325</v>
      </c>
      <c r="I16" s="437">
        <v>20325</v>
      </c>
      <c r="J16" s="439">
        <f t="shared" si="1"/>
        <v>1</v>
      </c>
      <c r="K16" s="438">
        <v>20374</v>
      </c>
      <c r="L16" s="439">
        <f t="shared" si="2"/>
        <v>1.002410824108241</v>
      </c>
      <c r="M16" s="438">
        <v>0</v>
      </c>
      <c r="N16" s="439">
        <f t="shared" si="3"/>
        <v>0</v>
      </c>
      <c r="O16" s="440">
        <f t="shared" si="4"/>
        <v>20374</v>
      </c>
      <c r="P16" s="439">
        <f t="shared" si="5"/>
        <v>1.002410824108241</v>
      </c>
      <c r="Q16" s="437">
        <v>39</v>
      </c>
      <c r="R16" s="439">
        <f t="shared" si="6"/>
        <v>1.918819188191882E-3</v>
      </c>
      <c r="S16" s="440">
        <f t="shared" si="7"/>
        <v>49</v>
      </c>
      <c r="T16" s="439">
        <f t="shared" si="8"/>
        <v>2.4108241082410825E-3</v>
      </c>
      <c r="U16" s="363">
        <f t="shared" si="9"/>
        <v>1187.76</v>
      </c>
      <c r="V16" s="451">
        <f t="shared" si="10"/>
        <v>10</v>
      </c>
      <c r="W16" s="452">
        <f t="shared" si="11"/>
        <v>4.9200492004920044E-4</v>
      </c>
      <c r="X16" s="453">
        <f t="shared" si="12"/>
        <v>242.40000000000003</v>
      </c>
      <c r="Y16" s="365" t="s">
        <v>395</v>
      </c>
      <c r="Z16" s="365" t="s">
        <v>316</v>
      </c>
      <c r="AA16" s="366" t="s">
        <v>634</v>
      </c>
      <c r="AB16" s="366" t="s">
        <v>635</v>
      </c>
      <c r="AC16" s="366">
        <v>1</v>
      </c>
      <c r="AD16" s="441" t="s">
        <v>525</v>
      </c>
      <c r="AH16" s="368"/>
    </row>
    <row r="17" spans="2:39" s="147" customFormat="1" ht="27" customHeight="1">
      <c r="B17" s="874"/>
      <c r="C17" s="875"/>
      <c r="D17" s="361">
        <v>13</v>
      </c>
      <c r="E17" s="435" t="s">
        <v>592</v>
      </c>
      <c r="F17" s="436">
        <f t="shared" si="0"/>
        <v>902.00759999999991</v>
      </c>
      <c r="G17" s="364">
        <v>52.26</v>
      </c>
      <c r="H17" s="437">
        <v>4942.3499999999995</v>
      </c>
      <c r="I17" s="437">
        <v>4942.3499999999995</v>
      </c>
      <c r="J17" s="439">
        <f t="shared" si="1"/>
        <v>1</v>
      </c>
      <c r="K17" s="438">
        <v>5024.34</v>
      </c>
      <c r="L17" s="439">
        <f t="shared" si="2"/>
        <v>1.0165892743330602</v>
      </c>
      <c r="M17" s="438">
        <v>81.990000000000009</v>
      </c>
      <c r="N17" s="439">
        <f t="shared" si="3"/>
        <v>1.6589274333060188E-2</v>
      </c>
      <c r="O17" s="440">
        <f t="shared" si="4"/>
        <v>5106.33</v>
      </c>
      <c r="P17" s="439">
        <f t="shared" si="5"/>
        <v>1.0331785486661205</v>
      </c>
      <c r="Q17" s="437">
        <v>17.259999999999998</v>
      </c>
      <c r="R17" s="439">
        <f t="shared" si="6"/>
        <v>3.4922658249618098E-3</v>
      </c>
      <c r="S17" s="440">
        <f t="shared" si="7"/>
        <v>163.98000000000047</v>
      </c>
      <c r="T17" s="439">
        <f t="shared" si="8"/>
        <v>3.3178548666120466E-2</v>
      </c>
      <c r="U17" s="363">
        <f t="shared" si="9"/>
        <v>8569.5948000000244</v>
      </c>
      <c r="V17" s="451">
        <f t="shared" si="10"/>
        <v>146.72000000000048</v>
      </c>
      <c r="W17" s="452">
        <f t="shared" si="11"/>
        <v>2.9686282841158658E-2</v>
      </c>
      <c r="X17" s="453">
        <f t="shared" si="12"/>
        <v>7667.5872000000245</v>
      </c>
      <c r="Y17" s="365" t="s">
        <v>395</v>
      </c>
      <c r="Z17" s="365" t="s">
        <v>199</v>
      </c>
      <c r="AA17" s="366" t="s">
        <v>571</v>
      </c>
      <c r="AB17" s="366" t="s">
        <v>598</v>
      </c>
      <c r="AC17" s="366">
        <v>1</v>
      </c>
      <c r="AD17" s="441" t="s">
        <v>581</v>
      </c>
    </row>
    <row r="18" spans="2:39" s="147" customFormat="1" ht="27" customHeight="1">
      <c r="B18" s="874"/>
      <c r="C18" s="875"/>
      <c r="D18" s="361">
        <v>14</v>
      </c>
      <c r="E18" s="435" t="s">
        <v>548</v>
      </c>
      <c r="F18" s="436">
        <f t="shared" si="0"/>
        <v>878.78139999999996</v>
      </c>
      <c r="G18" s="364">
        <v>212.78</v>
      </c>
      <c r="H18" s="437">
        <v>352.86</v>
      </c>
      <c r="I18" s="437">
        <v>352.86</v>
      </c>
      <c r="J18" s="439">
        <f t="shared" si="1"/>
        <v>1</v>
      </c>
      <c r="K18" s="438">
        <v>363.28</v>
      </c>
      <c r="L18" s="439">
        <f t="shared" si="2"/>
        <v>1.0295301252621436</v>
      </c>
      <c r="M18" s="438">
        <v>10.42</v>
      </c>
      <c r="N18" s="439">
        <f t="shared" si="3"/>
        <v>2.9530125262143624E-2</v>
      </c>
      <c r="O18" s="440">
        <f t="shared" si="4"/>
        <v>373.7</v>
      </c>
      <c r="P18" s="439">
        <f t="shared" si="5"/>
        <v>1.0590602505242872</v>
      </c>
      <c r="Q18" s="437">
        <v>4.13</v>
      </c>
      <c r="R18" s="439">
        <f t="shared" si="6"/>
        <v>1.1704358669160572E-2</v>
      </c>
      <c r="S18" s="440">
        <f t="shared" si="7"/>
        <v>20.839999999999975</v>
      </c>
      <c r="T18" s="439">
        <f t="shared" si="8"/>
        <v>5.9060250524287178E-2</v>
      </c>
      <c r="U18" s="363">
        <f t="shared" si="9"/>
        <v>4434.335199999995</v>
      </c>
      <c r="V18" s="451">
        <f t="shared" si="10"/>
        <v>16.709999999999976</v>
      </c>
      <c r="W18" s="452">
        <f t="shared" si="11"/>
        <v>4.7355891855126613E-2</v>
      </c>
      <c r="X18" s="453">
        <f t="shared" si="12"/>
        <v>3555.5537999999951</v>
      </c>
      <c r="Y18" s="365" t="s">
        <v>395</v>
      </c>
      <c r="Z18" s="365" t="s">
        <v>421</v>
      </c>
      <c r="AA18" s="365" t="s">
        <v>501</v>
      </c>
      <c r="AB18" s="366" t="s">
        <v>429</v>
      </c>
      <c r="AC18" s="366">
        <v>1</v>
      </c>
      <c r="AD18" s="441" t="s">
        <v>544</v>
      </c>
    </row>
    <row r="19" spans="2:39" s="147" customFormat="1" ht="27" customHeight="1">
      <c r="B19" s="874"/>
      <c r="C19" s="875"/>
      <c r="D19" s="361">
        <v>15</v>
      </c>
      <c r="E19" s="435" t="s">
        <v>566</v>
      </c>
      <c r="F19" s="436">
        <f t="shared" si="0"/>
        <v>877.58190000000002</v>
      </c>
      <c r="G19" s="364">
        <v>91.13</v>
      </c>
      <c r="H19" s="437">
        <v>898.31999999999994</v>
      </c>
      <c r="I19" s="437">
        <v>898.31999999999994</v>
      </c>
      <c r="J19" s="439">
        <f t="shared" si="1"/>
        <v>1</v>
      </c>
      <c r="K19" s="438">
        <v>924.31999999999994</v>
      </c>
      <c r="L19" s="439">
        <f t="shared" si="2"/>
        <v>1.0289429156647965</v>
      </c>
      <c r="M19" s="438">
        <v>25.999999999999996</v>
      </c>
      <c r="N19" s="439">
        <f t="shared" si="3"/>
        <v>2.8942915664796506E-2</v>
      </c>
      <c r="O19" s="440">
        <f t="shared" si="4"/>
        <v>950.31999999999994</v>
      </c>
      <c r="P19" s="439">
        <f t="shared" si="5"/>
        <v>1.0578858313295931</v>
      </c>
      <c r="Q19" s="437">
        <v>9.6300000000000008</v>
      </c>
      <c r="R19" s="439">
        <f t="shared" si="6"/>
        <v>1.0720010686615017E-2</v>
      </c>
      <c r="S19" s="440">
        <f t="shared" si="7"/>
        <v>52</v>
      </c>
      <c r="T19" s="439">
        <f t="shared" si="8"/>
        <v>5.7885831329593025E-2</v>
      </c>
      <c r="U19" s="363">
        <f t="shared" si="9"/>
        <v>4738.76</v>
      </c>
      <c r="V19" s="451">
        <f t="shared" si="10"/>
        <v>42.37</v>
      </c>
      <c r="W19" s="452">
        <f t="shared" si="11"/>
        <v>4.7165820642978001E-2</v>
      </c>
      <c r="X19" s="453">
        <f t="shared" si="12"/>
        <v>3861.1780999999996</v>
      </c>
      <c r="Y19" s="365" t="s">
        <v>395</v>
      </c>
      <c r="Z19" s="365" t="s">
        <v>421</v>
      </c>
      <c r="AA19" s="366" t="s">
        <v>501</v>
      </c>
      <c r="AB19" s="366" t="s">
        <v>429</v>
      </c>
      <c r="AC19" s="366">
        <v>1</v>
      </c>
      <c r="AD19" s="441" t="s">
        <v>564</v>
      </c>
    </row>
    <row r="20" spans="2:39" s="147" customFormat="1" ht="27" customHeight="1">
      <c r="B20" s="874"/>
      <c r="C20" s="875"/>
      <c r="D20" s="361">
        <v>16</v>
      </c>
      <c r="E20" s="435" t="s">
        <v>410</v>
      </c>
      <c r="F20" s="436">
        <f t="shared" si="0"/>
        <v>872.4917999999999</v>
      </c>
      <c r="G20" s="364">
        <v>368.13999999999993</v>
      </c>
      <c r="H20" s="437">
        <v>395.5</v>
      </c>
      <c r="I20" s="437">
        <v>395.5</v>
      </c>
      <c r="J20" s="439">
        <f t="shared" si="1"/>
        <v>1</v>
      </c>
      <c r="K20" s="438">
        <v>405.42</v>
      </c>
      <c r="L20" s="439">
        <f t="shared" si="2"/>
        <v>1.0250821744627054</v>
      </c>
      <c r="M20" s="438">
        <v>9.9200000000000017</v>
      </c>
      <c r="N20" s="439">
        <f t="shared" si="3"/>
        <v>2.5082174462705442E-2</v>
      </c>
      <c r="O20" s="440">
        <f t="shared" si="4"/>
        <v>415.34000000000003</v>
      </c>
      <c r="P20" s="439">
        <f t="shared" si="5"/>
        <v>1.0501643489254109</v>
      </c>
      <c r="Q20" s="437">
        <v>2.37</v>
      </c>
      <c r="R20" s="439">
        <f t="shared" si="6"/>
        <v>5.992414664981037E-3</v>
      </c>
      <c r="S20" s="440">
        <f t="shared" si="7"/>
        <v>19.840000000000032</v>
      </c>
      <c r="T20" s="439">
        <f t="shared" si="8"/>
        <v>5.0164348925410954E-2</v>
      </c>
      <c r="U20" s="363">
        <f t="shared" si="9"/>
        <v>7303.8976000000102</v>
      </c>
      <c r="V20" s="451">
        <f t="shared" si="10"/>
        <v>17.470000000000031</v>
      </c>
      <c r="W20" s="452">
        <f t="shared" si="11"/>
        <v>4.4171934260429917E-2</v>
      </c>
      <c r="X20" s="453">
        <f t="shared" si="12"/>
        <v>6431.4058000000105</v>
      </c>
      <c r="Y20" s="365" t="s">
        <v>395</v>
      </c>
      <c r="Z20" s="365" t="s">
        <v>316</v>
      </c>
      <c r="AA20" s="377" t="s">
        <v>602</v>
      </c>
      <c r="AB20" s="366" t="s">
        <v>429</v>
      </c>
      <c r="AC20" s="366">
        <v>1</v>
      </c>
      <c r="AD20" s="441" t="s">
        <v>411</v>
      </c>
    </row>
    <row r="21" spans="2:39" s="147" customFormat="1" ht="27" customHeight="1">
      <c r="B21" s="874"/>
      <c r="C21" s="875"/>
      <c r="D21" s="361">
        <v>17</v>
      </c>
      <c r="E21" s="435" t="s">
        <v>557</v>
      </c>
      <c r="F21" s="436">
        <f t="shared" si="0"/>
        <v>850.81050000000016</v>
      </c>
      <c r="G21" s="364">
        <v>99.51</v>
      </c>
      <c r="H21" s="437">
        <v>1213.92</v>
      </c>
      <c r="I21" s="437">
        <v>1213.92</v>
      </c>
      <c r="J21" s="439">
        <f t="shared" si="1"/>
        <v>1</v>
      </c>
      <c r="K21" s="438">
        <v>1245.04</v>
      </c>
      <c r="L21" s="439">
        <f t="shared" si="2"/>
        <v>1.0256359562409383</v>
      </c>
      <c r="M21" s="438">
        <v>31.119999999999997</v>
      </c>
      <c r="N21" s="439">
        <f t="shared" si="3"/>
        <v>2.5635956240938444E-2</v>
      </c>
      <c r="O21" s="440">
        <f t="shared" si="4"/>
        <v>1276.1599999999999</v>
      </c>
      <c r="P21" s="439">
        <f t="shared" si="5"/>
        <v>1.0512719124818768</v>
      </c>
      <c r="Q21" s="437">
        <v>8.5500000000000007</v>
      </c>
      <c r="R21" s="439">
        <f t="shared" si="6"/>
        <v>7.0432977461447211E-3</v>
      </c>
      <c r="S21" s="440">
        <f t="shared" si="7"/>
        <v>62.239999999999782</v>
      </c>
      <c r="T21" s="439">
        <f t="shared" si="8"/>
        <v>5.1271912481876715E-2</v>
      </c>
      <c r="U21" s="363">
        <f t="shared" si="9"/>
        <v>6193.5023999999785</v>
      </c>
      <c r="V21" s="451">
        <f t="shared" si="10"/>
        <v>53.689999999999785</v>
      </c>
      <c r="W21" s="452">
        <f t="shared" si="11"/>
        <v>4.4228614735731996E-2</v>
      </c>
      <c r="X21" s="453">
        <f t="shared" si="12"/>
        <v>5342.6918999999789</v>
      </c>
      <c r="Y21" s="365" t="s">
        <v>395</v>
      </c>
      <c r="Z21" s="365" t="s">
        <v>421</v>
      </c>
      <c r="AA21" s="366" t="s">
        <v>445</v>
      </c>
      <c r="AB21" s="366" t="s">
        <v>573</v>
      </c>
      <c r="AC21" s="366">
        <v>1</v>
      </c>
      <c r="AD21" s="441" t="s">
        <v>328</v>
      </c>
    </row>
    <row r="22" spans="2:39" s="147" customFormat="1" ht="27" customHeight="1">
      <c r="B22" s="874"/>
      <c r="C22" s="875"/>
      <c r="D22" s="361">
        <v>18</v>
      </c>
      <c r="E22" s="435" t="s">
        <v>435</v>
      </c>
      <c r="F22" s="436">
        <f t="shared" si="0"/>
        <v>850.59699999999998</v>
      </c>
      <c r="G22" s="364">
        <v>160.49</v>
      </c>
      <c r="H22" s="437">
        <v>629.20000000000005</v>
      </c>
      <c r="I22" s="437">
        <v>629.20000000000005</v>
      </c>
      <c r="J22" s="439">
        <f t="shared" si="1"/>
        <v>1</v>
      </c>
      <c r="K22" s="438">
        <v>644.80999999999995</v>
      </c>
      <c r="L22" s="439">
        <f t="shared" si="2"/>
        <v>1.0248092816274632</v>
      </c>
      <c r="M22" s="438">
        <v>15.61</v>
      </c>
      <c r="N22" s="439">
        <f t="shared" si="3"/>
        <v>2.4809281627463441E-2</v>
      </c>
      <c r="O22" s="440">
        <f t="shared" si="4"/>
        <v>660.42</v>
      </c>
      <c r="P22" s="439">
        <f t="shared" si="5"/>
        <v>1.0496185632549266</v>
      </c>
      <c r="Q22" s="437">
        <v>5.3</v>
      </c>
      <c r="R22" s="439">
        <f t="shared" si="6"/>
        <v>8.4233947870311493E-3</v>
      </c>
      <c r="S22" s="440">
        <f t="shared" si="7"/>
        <v>31.219999999999914</v>
      </c>
      <c r="T22" s="439">
        <f t="shared" si="8"/>
        <v>4.9618563254926751E-2</v>
      </c>
      <c r="U22" s="363">
        <f t="shared" si="9"/>
        <v>5010.4977999999865</v>
      </c>
      <c r="V22" s="451">
        <f t="shared" si="10"/>
        <v>25.919999999999913</v>
      </c>
      <c r="W22" s="452">
        <f t="shared" si="11"/>
        <v>4.1195168467895601E-2</v>
      </c>
      <c r="X22" s="453">
        <f t="shared" si="12"/>
        <v>4159.9007999999867</v>
      </c>
      <c r="Y22" s="365" t="s">
        <v>395</v>
      </c>
      <c r="Z22" s="365" t="s">
        <v>421</v>
      </c>
      <c r="AA22" s="377" t="s">
        <v>572</v>
      </c>
      <c r="AB22" s="366" t="s">
        <v>429</v>
      </c>
      <c r="AC22" s="366">
        <v>1</v>
      </c>
      <c r="AD22" s="441" t="s">
        <v>411</v>
      </c>
    </row>
    <row r="23" spans="2:39" s="147" customFormat="1" ht="27" customHeight="1">
      <c r="B23" s="874"/>
      <c r="C23" s="875"/>
      <c r="D23" s="361">
        <v>19</v>
      </c>
      <c r="E23" s="435" t="s">
        <v>500</v>
      </c>
      <c r="F23" s="436">
        <f t="shared" si="0"/>
        <v>850.43179999999995</v>
      </c>
      <c r="G23" s="364">
        <v>66.13</v>
      </c>
      <c r="H23" s="437">
        <v>1930.46</v>
      </c>
      <c r="I23" s="437">
        <v>1930.46</v>
      </c>
      <c r="J23" s="439">
        <f t="shared" si="1"/>
        <v>1</v>
      </c>
      <c r="K23" s="438">
        <v>1979.69</v>
      </c>
      <c r="L23" s="439">
        <f t="shared" si="2"/>
        <v>1.0255016938967914</v>
      </c>
      <c r="M23" s="438">
        <v>49.230000000000004</v>
      </c>
      <c r="N23" s="439">
        <f t="shared" si="3"/>
        <v>2.5501693896791439E-2</v>
      </c>
      <c r="O23" s="440">
        <f t="shared" si="4"/>
        <v>2028.92</v>
      </c>
      <c r="P23" s="439">
        <f t="shared" si="5"/>
        <v>1.0510033877935829</v>
      </c>
      <c r="Q23" s="437">
        <v>12.86</v>
      </c>
      <c r="R23" s="439">
        <f t="shared" si="6"/>
        <v>6.6616246904882773E-3</v>
      </c>
      <c r="S23" s="440">
        <f t="shared" si="7"/>
        <v>98.460000000000036</v>
      </c>
      <c r="T23" s="439">
        <f t="shared" si="8"/>
        <v>5.1003387793582891E-2</v>
      </c>
      <c r="U23" s="363">
        <f t="shared" si="9"/>
        <v>6511.1598000000022</v>
      </c>
      <c r="V23" s="451">
        <f t="shared" si="10"/>
        <v>85.600000000000037</v>
      </c>
      <c r="W23" s="452">
        <f t="shared" si="11"/>
        <v>4.4341763103094615E-2</v>
      </c>
      <c r="X23" s="453">
        <f t="shared" si="12"/>
        <v>5660.7280000000019</v>
      </c>
      <c r="Y23" s="365" t="s">
        <v>395</v>
      </c>
      <c r="Z23" s="365" t="s">
        <v>421</v>
      </c>
      <c r="AA23" s="366" t="s">
        <v>445</v>
      </c>
      <c r="AB23" s="366" t="s">
        <v>573</v>
      </c>
      <c r="AC23" s="366">
        <v>1</v>
      </c>
      <c r="AD23" s="441" t="s">
        <v>320</v>
      </c>
    </row>
    <row r="24" spans="2:39" s="147" customFormat="1" ht="27" customHeight="1">
      <c r="B24" s="876"/>
      <c r="C24" s="877"/>
      <c r="D24" s="361">
        <v>20</v>
      </c>
      <c r="E24" s="435" t="s">
        <v>527</v>
      </c>
      <c r="F24" s="436">
        <f t="shared" si="0"/>
        <v>850.32640000000026</v>
      </c>
      <c r="G24" s="364">
        <v>113.68000000000004</v>
      </c>
      <c r="H24" s="437">
        <v>1045.5999999999999</v>
      </c>
      <c r="I24" s="437">
        <v>1045.5999999999999</v>
      </c>
      <c r="J24" s="439">
        <f t="shared" si="1"/>
        <v>1</v>
      </c>
      <c r="K24" s="438">
        <v>1072.1500000000001</v>
      </c>
      <c r="L24" s="439">
        <f t="shared" si="2"/>
        <v>1.025392119357307</v>
      </c>
      <c r="M24" s="438">
        <v>26.550000000000004</v>
      </c>
      <c r="N24" s="439">
        <f t="shared" si="3"/>
        <v>2.5392119357306817E-2</v>
      </c>
      <c r="O24" s="440">
        <f t="shared" si="4"/>
        <v>1098.7</v>
      </c>
      <c r="P24" s="439">
        <f t="shared" si="5"/>
        <v>1.0507842387146138</v>
      </c>
      <c r="Q24" s="437">
        <v>7.4799999999999995</v>
      </c>
      <c r="R24" s="439">
        <f t="shared" si="6"/>
        <v>7.1537872991583778E-3</v>
      </c>
      <c r="S24" s="440">
        <f t="shared" si="7"/>
        <v>53.100000000000136</v>
      </c>
      <c r="T24" s="439">
        <f t="shared" si="8"/>
        <v>5.0784238714613752E-2</v>
      </c>
      <c r="U24" s="363">
        <f t="shared" si="9"/>
        <v>6036.4080000000176</v>
      </c>
      <c r="V24" s="451">
        <f t="shared" si="10"/>
        <v>45.62000000000014</v>
      </c>
      <c r="W24" s="452">
        <f t="shared" si="11"/>
        <v>4.3630451415455379E-2</v>
      </c>
      <c r="X24" s="453">
        <f t="shared" si="12"/>
        <v>5186.0816000000177</v>
      </c>
      <c r="Y24" s="365" t="s">
        <v>395</v>
      </c>
      <c r="Z24" s="365" t="s">
        <v>421</v>
      </c>
      <c r="AA24" s="366" t="s">
        <v>445</v>
      </c>
      <c r="AB24" s="366" t="s">
        <v>573</v>
      </c>
      <c r="AC24" s="366">
        <v>1</v>
      </c>
      <c r="AD24" s="441" t="s">
        <v>518</v>
      </c>
    </row>
    <row r="25" spans="2:39" ht="17.100000000000001" customHeight="1">
      <c r="B25" s="878" t="s">
        <v>419</v>
      </c>
      <c r="C25" s="879"/>
      <c r="D25" s="882" t="s">
        <v>502</v>
      </c>
      <c r="E25" s="883" t="s">
        <v>503</v>
      </c>
      <c r="F25" s="884" t="s">
        <v>504</v>
      </c>
      <c r="G25" s="861" t="s">
        <v>505</v>
      </c>
      <c r="H25" s="885" t="s">
        <v>506</v>
      </c>
      <c r="I25" s="886" t="s">
        <v>507</v>
      </c>
      <c r="J25" s="887"/>
      <c r="K25" s="886" t="s">
        <v>508</v>
      </c>
      <c r="L25" s="887"/>
      <c r="M25" s="886" t="s">
        <v>509</v>
      </c>
      <c r="N25" s="887"/>
      <c r="O25" s="886" t="s">
        <v>510</v>
      </c>
      <c r="P25" s="887"/>
      <c r="Q25" s="886" t="s">
        <v>396</v>
      </c>
      <c r="R25" s="887"/>
      <c r="S25" s="888" t="s">
        <v>397</v>
      </c>
      <c r="T25" s="889"/>
      <c r="U25" s="890"/>
      <c r="V25" s="891" t="s">
        <v>568</v>
      </c>
      <c r="W25" s="892"/>
      <c r="X25" s="893"/>
      <c r="Y25" s="894" t="s">
        <v>168</v>
      </c>
      <c r="Z25" s="894" t="s">
        <v>228</v>
      </c>
      <c r="AA25" s="894" t="s">
        <v>511</v>
      </c>
      <c r="AB25" s="894" t="s">
        <v>420</v>
      </c>
      <c r="AC25" s="894" t="s">
        <v>229</v>
      </c>
      <c r="AD25" s="861" t="s">
        <v>169</v>
      </c>
      <c r="AF25" s="863" t="s">
        <v>230</v>
      </c>
      <c r="AG25" s="864"/>
      <c r="AH25" s="864"/>
      <c r="AI25" s="864"/>
      <c r="AJ25" s="864"/>
      <c r="AK25" s="864"/>
      <c r="AL25" s="864"/>
      <c r="AM25" s="865"/>
    </row>
    <row r="26" spans="2:39">
      <c r="B26" s="880"/>
      <c r="C26" s="881"/>
      <c r="D26" s="882"/>
      <c r="E26" s="882"/>
      <c r="F26" s="884"/>
      <c r="G26" s="862"/>
      <c r="H26" s="862"/>
      <c r="I26" s="434" t="s">
        <v>512</v>
      </c>
      <c r="J26" s="362" t="s">
        <v>513</v>
      </c>
      <c r="K26" s="434" t="s">
        <v>512</v>
      </c>
      <c r="L26" s="362" t="s">
        <v>513</v>
      </c>
      <c r="M26" s="434" t="s">
        <v>512</v>
      </c>
      <c r="N26" s="362" t="s">
        <v>513</v>
      </c>
      <c r="O26" s="434" t="s">
        <v>512</v>
      </c>
      <c r="P26" s="362" t="s">
        <v>513</v>
      </c>
      <c r="Q26" s="434" t="s">
        <v>512</v>
      </c>
      <c r="R26" s="362" t="s">
        <v>513</v>
      </c>
      <c r="S26" s="434" t="s">
        <v>512</v>
      </c>
      <c r="T26" s="362" t="s">
        <v>513</v>
      </c>
      <c r="U26" s="362" t="s">
        <v>514</v>
      </c>
      <c r="V26" s="434" t="s">
        <v>512</v>
      </c>
      <c r="W26" s="362" t="s">
        <v>513</v>
      </c>
      <c r="X26" s="362" t="s">
        <v>514</v>
      </c>
      <c r="Y26" s="895"/>
      <c r="Z26" s="895"/>
      <c r="AA26" s="895"/>
      <c r="AB26" s="895"/>
      <c r="AC26" s="895"/>
      <c r="AD26" s="862"/>
      <c r="AF26" s="866"/>
      <c r="AG26" s="867"/>
      <c r="AH26" s="867"/>
      <c r="AI26" s="867"/>
      <c r="AJ26" s="867"/>
      <c r="AK26" s="867"/>
      <c r="AL26" s="867"/>
      <c r="AM26" s="868"/>
    </row>
    <row r="27" spans="2:39" s="147" customFormat="1" ht="27" customHeight="1">
      <c r="B27" s="872" t="s">
        <v>675</v>
      </c>
      <c r="C27" s="873"/>
      <c r="D27" s="361">
        <v>1</v>
      </c>
      <c r="E27" s="435" t="s">
        <v>314</v>
      </c>
      <c r="F27" s="436">
        <f>IFERROR(Q27*G27,"-")</f>
        <v>1946.7</v>
      </c>
      <c r="G27" s="364">
        <v>15.450000000000001</v>
      </c>
      <c r="H27" s="437">
        <v>58062</v>
      </c>
      <c r="I27" s="437">
        <v>58062</v>
      </c>
      <c r="J27" s="439">
        <f>IFERROR(I27/H27,"-")</f>
        <v>1</v>
      </c>
      <c r="K27" s="438">
        <v>58190</v>
      </c>
      <c r="L27" s="439">
        <f>IFERROR(K27/H27,"-")</f>
        <v>1.0022045399745101</v>
      </c>
      <c r="M27" s="438">
        <v>0</v>
      </c>
      <c r="N27" s="439">
        <f>IFERROR(M27/H27,"-")</f>
        <v>0</v>
      </c>
      <c r="O27" s="440">
        <f>IFERROR(K27+M27,"-")</f>
        <v>58190</v>
      </c>
      <c r="P27" s="439">
        <f>IFERROR(O27/H27,"-")</f>
        <v>1.0022045399745101</v>
      </c>
      <c r="Q27" s="437">
        <v>126</v>
      </c>
      <c r="R27" s="439">
        <f>IFERROR(Q27/H27,"-")</f>
        <v>2.1700940374082879E-3</v>
      </c>
      <c r="S27" s="440">
        <f>IFERROR(O27-H27,"-")</f>
        <v>128</v>
      </c>
      <c r="T27" s="439">
        <f>IFERROR(S27/H27,"-")</f>
        <v>2.2045399745100067E-3</v>
      </c>
      <c r="U27" s="363">
        <f>IFERROR(S27*G27,"-")</f>
        <v>1977.6000000000001</v>
      </c>
      <c r="V27" s="451">
        <f>S27-Q27</f>
        <v>2</v>
      </c>
      <c r="W27" s="452">
        <f>IFERROR(V27/H27,"-")</f>
        <v>3.4445937101718855E-5</v>
      </c>
      <c r="X27" s="453">
        <f>IFERROR(V27*G27,"-")</f>
        <v>30.900000000000002</v>
      </c>
      <c r="Y27" s="365" t="s">
        <v>395</v>
      </c>
      <c r="Z27" s="365" t="s">
        <v>316</v>
      </c>
      <c r="AA27" s="366" t="s">
        <v>437</v>
      </c>
      <c r="AB27" s="366" t="s">
        <v>570</v>
      </c>
      <c r="AC27" s="366">
        <v>1</v>
      </c>
      <c r="AD27" s="441" t="s">
        <v>485</v>
      </c>
      <c r="AF27" s="869"/>
      <c r="AG27" s="870"/>
      <c r="AH27" s="870"/>
      <c r="AI27" s="870"/>
      <c r="AJ27" s="870"/>
      <c r="AK27" s="870"/>
      <c r="AL27" s="870"/>
      <c r="AM27" s="871"/>
    </row>
    <row r="28" spans="2:39" s="147" customFormat="1" ht="27" customHeight="1">
      <c r="B28" s="874"/>
      <c r="C28" s="875"/>
      <c r="D28" s="361">
        <v>2</v>
      </c>
      <c r="E28" s="435" t="s">
        <v>423</v>
      </c>
      <c r="F28" s="436">
        <f t="shared" ref="F28:F46" si="15">IFERROR(Q28*G28,"-")</f>
        <v>1871.7999999999997</v>
      </c>
      <c r="G28" s="364">
        <v>2.4499999999999997</v>
      </c>
      <c r="H28" s="437">
        <v>103696</v>
      </c>
      <c r="I28" s="437">
        <v>103696</v>
      </c>
      <c r="J28" s="439">
        <f t="shared" ref="J28:J46" si="16">IFERROR(I28/H28,"-")</f>
        <v>1</v>
      </c>
      <c r="K28" s="438">
        <v>104460</v>
      </c>
      <c r="L28" s="439">
        <f t="shared" ref="L28:L46" si="17">IFERROR(K28/H28,"-")</f>
        <v>1.0073676901712698</v>
      </c>
      <c r="M28" s="438">
        <v>0</v>
      </c>
      <c r="N28" s="439">
        <f t="shared" ref="N28:N46" si="18">IFERROR(M28/H28,"-")</f>
        <v>0</v>
      </c>
      <c r="O28" s="440">
        <f t="shared" ref="O28:O46" si="19">IFERROR(K28+M28,"-")</f>
        <v>104460</v>
      </c>
      <c r="P28" s="439">
        <f t="shared" ref="P28:P46" si="20">IFERROR(O28/H28,"-")</f>
        <v>1.0073676901712698</v>
      </c>
      <c r="Q28" s="437">
        <v>764</v>
      </c>
      <c r="R28" s="439">
        <f t="shared" ref="R28:R46" si="21">IFERROR(Q28/H28,"-")</f>
        <v>7.367690171269866E-3</v>
      </c>
      <c r="S28" s="440">
        <f t="shared" ref="S28:S46" si="22">IFERROR(O28-H28,"-")</f>
        <v>764</v>
      </c>
      <c r="T28" s="439">
        <f t="shared" ref="T28:T46" si="23">IFERROR(S28/H28,"-")</f>
        <v>7.367690171269866E-3</v>
      </c>
      <c r="U28" s="363">
        <f t="shared" ref="U28:U46" si="24">IFERROR(S28*G28,"-")</f>
        <v>1871.7999999999997</v>
      </c>
      <c r="V28" s="451">
        <f t="shared" ref="V28:V46" si="25">S28-Q28</f>
        <v>0</v>
      </c>
      <c r="W28" s="452">
        <f t="shared" ref="W28:W46" si="26">IFERROR(V28/H28,"-")</f>
        <v>0</v>
      </c>
      <c r="X28" s="453">
        <f t="shared" ref="X28:X46" si="27">IFERROR(V28*G28,"-")</f>
        <v>0</v>
      </c>
      <c r="Y28" s="365" t="s">
        <v>395</v>
      </c>
      <c r="Z28" s="365" t="s">
        <v>316</v>
      </c>
      <c r="AA28" s="366" t="s">
        <v>438</v>
      </c>
      <c r="AB28" s="366" t="s">
        <v>439</v>
      </c>
      <c r="AC28" s="366">
        <v>1</v>
      </c>
      <c r="AD28" s="441" t="s">
        <v>319</v>
      </c>
      <c r="AF28" s="160" t="s">
        <v>227</v>
      </c>
      <c r="AG28" s="160" t="s">
        <v>421</v>
      </c>
      <c r="AH28" s="155" t="s">
        <v>515</v>
      </c>
      <c r="AI28" s="155" t="s">
        <v>316</v>
      </c>
      <c r="AJ28" s="155" t="s">
        <v>406</v>
      </c>
      <c r="AK28" s="155" t="s">
        <v>198</v>
      </c>
      <c r="AL28" s="155" t="s">
        <v>199</v>
      </c>
      <c r="AM28" s="155" t="s">
        <v>362</v>
      </c>
    </row>
    <row r="29" spans="2:39" s="147" customFormat="1" ht="27" customHeight="1">
      <c r="B29" s="874"/>
      <c r="C29" s="875"/>
      <c r="D29" s="361">
        <v>3</v>
      </c>
      <c r="E29" s="435" t="s">
        <v>422</v>
      </c>
      <c r="F29" s="436">
        <f t="shared" si="15"/>
        <v>1619.28</v>
      </c>
      <c r="G29" s="364">
        <v>1.17</v>
      </c>
      <c r="H29" s="437">
        <v>221561</v>
      </c>
      <c r="I29" s="437">
        <v>221561</v>
      </c>
      <c r="J29" s="439">
        <f t="shared" si="16"/>
        <v>1</v>
      </c>
      <c r="K29" s="438">
        <v>223056</v>
      </c>
      <c r="L29" s="439">
        <f t="shared" si="17"/>
        <v>1.006747577416603</v>
      </c>
      <c r="M29" s="438">
        <v>0</v>
      </c>
      <c r="N29" s="439">
        <f t="shared" si="18"/>
        <v>0</v>
      </c>
      <c r="O29" s="440">
        <f t="shared" si="19"/>
        <v>223056</v>
      </c>
      <c r="P29" s="439">
        <f t="shared" si="20"/>
        <v>1.006747577416603</v>
      </c>
      <c r="Q29" s="437">
        <v>1384</v>
      </c>
      <c r="R29" s="439">
        <f t="shared" si="21"/>
        <v>6.2465867187817348E-3</v>
      </c>
      <c r="S29" s="440">
        <f t="shared" si="22"/>
        <v>1495</v>
      </c>
      <c r="T29" s="439">
        <f t="shared" si="23"/>
        <v>6.7475774166031021E-3</v>
      </c>
      <c r="U29" s="363">
        <f t="shared" si="24"/>
        <v>1749.1499999999999</v>
      </c>
      <c r="V29" s="451">
        <f t="shared" si="25"/>
        <v>111</v>
      </c>
      <c r="W29" s="452">
        <f t="shared" si="26"/>
        <v>5.0099069782136752E-4</v>
      </c>
      <c r="X29" s="453">
        <f t="shared" si="27"/>
        <v>129.87</v>
      </c>
      <c r="Y29" s="365" t="s">
        <v>395</v>
      </c>
      <c r="Z29" s="365" t="s">
        <v>316</v>
      </c>
      <c r="AA29" s="366" t="s">
        <v>440</v>
      </c>
      <c r="AB29" s="366" t="s">
        <v>488</v>
      </c>
      <c r="AC29" s="366">
        <v>1</v>
      </c>
      <c r="AD29" s="441" t="s">
        <v>319</v>
      </c>
      <c r="AF29" s="371">
        <f>SUM(AC27:AC46)</f>
        <v>20</v>
      </c>
      <c r="AG29" s="367">
        <f>SUMIF($Z$27:$Z$46,TRIM(AG28),$AC$27:$AC$46)</f>
        <v>11</v>
      </c>
      <c r="AH29" s="367">
        <f t="shared" ref="AH29:AM29" si="28">SUMIF($Z$27:$Z$46,TRIM(AH28),$AC$27:$AC$46)</f>
        <v>0</v>
      </c>
      <c r="AI29" s="367">
        <f t="shared" si="28"/>
        <v>5</v>
      </c>
      <c r="AJ29" s="367">
        <f t="shared" si="28"/>
        <v>0</v>
      </c>
      <c r="AK29" s="367">
        <f t="shared" si="28"/>
        <v>1</v>
      </c>
      <c r="AL29" s="367">
        <f t="shared" si="28"/>
        <v>3</v>
      </c>
      <c r="AM29" s="367">
        <f t="shared" si="28"/>
        <v>0</v>
      </c>
    </row>
    <row r="30" spans="2:39" s="147" customFormat="1" ht="27" customHeight="1">
      <c r="B30" s="874"/>
      <c r="C30" s="875"/>
      <c r="D30" s="361">
        <v>4</v>
      </c>
      <c r="E30" s="435" t="s">
        <v>315</v>
      </c>
      <c r="F30" s="436">
        <f t="shared" si="15"/>
        <v>1294.4354000000005</v>
      </c>
      <c r="G30" s="364">
        <v>147.43000000000004</v>
      </c>
      <c r="H30" s="437">
        <v>3543.6600000000003</v>
      </c>
      <c r="I30" s="437">
        <v>3543.6600000000003</v>
      </c>
      <c r="J30" s="439">
        <f t="shared" si="16"/>
        <v>1</v>
      </c>
      <c r="K30" s="438">
        <v>3603.0299999999997</v>
      </c>
      <c r="L30" s="439">
        <f t="shared" si="17"/>
        <v>1.0167538646484142</v>
      </c>
      <c r="M30" s="438">
        <v>59.37</v>
      </c>
      <c r="N30" s="439">
        <f t="shared" si="18"/>
        <v>1.675386464841435E-2</v>
      </c>
      <c r="O30" s="440">
        <f t="shared" si="19"/>
        <v>3662.3999999999996</v>
      </c>
      <c r="P30" s="439">
        <f t="shared" si="20"/>
        <v>1.0335077292968284</v>
      </c>
      <c r="Q30" s="437">
        <v>8.7800000000000011</v>
      </c>
      <c r="R30" s="439">
        <f t="shared" si="21"/>
        <v>2.4776643357432714E-3</v>
      </c>
      <c r="S30" s="440">
        <f t="shared" si="22"/>
        <v>118.73999999999933</v>
      </c>
      <c r="T30" s="439">
        <f t="shared" si="23"/>
        <v>3.3507729296828513E-2</v>
      </c>
      <c r="U30" s="363">
        <f t="shared" si="24"/>
        <v>17505.838199999904</v>
      </c>
      <c r="V30" s="451">
        <f t="shared" si="25"/>
        <v>109.95999999999933</v>
      </c>
      <c r="W30" s="452">
        <f t="shared" si="26"/>
        <v>3.1030064961085239E-2</v>
      </c>
      <c r="X30" s="453">
        <f t="shared" si="27"/>
        <v>16211.402799999905</v>
      </c>
      <c r="Y30" s="365" t="s">
        <v>395</v>
      </c>
      <c r="Z30" s="365" t="s">
        <v>198</v>
      </c>
      <c r="AA30" s="366" t="s">
        <v>599</v>
      </c>
      <c r="AB30" s="366" t="s">
        <v>633</v>
      </c>
      <c r="AC30" s="366">
        <v>1</v>
      </c>
      <c r="AD30" s="441" t="s">
        <v>319</v>
      </c>
      <c r="AF30" s="372" t="s">
        <v>11</v>
      </c>
      <c r="AG30" s="369">
        <f>SUMIF($Z$27:$Z46,TRIM(AG28),$F$27:$F$46)</f>
        <v>9488.8132000000005</v>
      </c>
      <c r="AH30" s="369">
        <f>SUMIF($Z$27:$Z46,TRIM(AH28),$F$27:$F$46)</f>
        <v>0</v>
      </c>
      <c r="AI30" s="369">
        <f>SUMIF($Z$27:$Z46,TRIM(AI28),$F$27:$F$46)</f>
        <v>7708.4367999999995</v>
      </c>
      <c r="AJ30" s="369">
        <f>SUMIF($Z$27:$Z46,TRIM(AJ28),$F$27:$F$46)</f>
        <v>0</v>
      </c>
      <c r="AK30" s="369">
        <f>SUMIF($Z$27:$Z46,TRIM(AK28),$F$27:$F$46)</f>
        <v>1294.4354000000005</v>
      </c>
      <c r="AL30" s="369">
        <f>SUMIF($Z$27:$Z46,TRIM(AL28),$F$27:$F$46)</f>
        <v>3045.7166000000002</v>
      </c>
      <c r="AM30" s="369">
        <f>SUMIF($Z$27:$Z46,TRIM(AM28),$F$27:$F$46)</f>
        <v>0</v>
      </c>
    </row>
    <row r="31" spans="2:39" s="147" customFormat="1" ht="27" customHeight="1">
      <c r="B31" s="874"/>
      <c r="C31" s="875"/>
      <c r="D31" s="361">
        <v>5</v>
      </c>
      <c r="E31" s="435" t="s">
        <v>561</v>
      </c>
      <c r="F31" s="436">
        <f t="shared" si="15"/>
        <v>1226.8423999999998</v>
      </c>
      <c r="G31" s="364">
        <v>625.93999999999994</v>
      </c>
      <c r="H31" s="437">
        <v>1221.19</v>
      </c>
      <c r="I31" s="437">
        <v>1221.19</v>
      </c>
      <c r="J31" s="439">
        <f t="shared" si="16"/>
        <v>1</v>
      </c>
      <c r="K31" s="438">
        <v>1231.8899999999999</v>
      </c>
      <c r="L31" s="439">
        <f t="shared" si="17"/>
        <v>1.0087619453156347</v>
      </c>
      <c r="M31" s="438">
        <v>10.7</v>
      </c>
      <c r="N31" s="439">
        <f t="shared" si="18"/>
        <v>8.7619453156347494E-3</v>
      </c>
      <c r="O31" s="440">
        <f t="shared" si="19"/>
        <v>1242.5899999999999</v>
      </c>
      <c r="P31" s="439">
        <f t="shared" si="20"/>
        <v>1.0175238906312694</v>
      </c>
      <c r="Q31" s="437">
        <v>1.96</v>
      </c>
      <c r="R31" s="439">
        <f t="shared" si="21"/>
        <v>1.6049918522097297E-3</v>
      </c>
      <c r="S31" s="440">
        <f t="shared" si="22"/>
        <v>21.399999999999864</v>
      </c>
      <c r="T31" s="439">
        <f t="shared" si="23"/>
        <v>1.7523890631269388E-2</v>
      </c>
      <c r="U31" s="363">
        <f t="shared" si="24"/>
        <v>13395.115999999913</v>
      </c>
      <c r="V31" s="451">
        <f t="shared" si="25"/>
        <v>19.439999999999863</v>
      </c>
      <c r="W31" s="452">
        <f t="shared" si="26"/>
        <v>1.5918898779059658E-2</v>
      </c>
      <c r="X31" s="453">
        <f t="shared" si="27"/>
        <v>12168.273599999913</v>
      </c>
      <c r="Y31" s="365" t="s">
        <v>395</v>
      </c>
      <c r="Z31" s="365" t="s">
        <v>316</v>
      </c>
      <c r="AA31" s="366" t="s">
        <v>574</v>
      </c>
      <c r="AB31" s="366" t="s">
        <v>575</v>
      </c>
      <c r="AC31" s="366">
        <v>1</v>
      </c>
      <c r="AD31" s="441" t="s">
        <v>562</v>
      </c>
      <c r="AF31" s="361" t="s">
        <v>516</v>
      </c>
      <c r="AG31" s="442">
        <f>AG29/$AF29</f>
        <v>0.55000000000000004</v>
      </c>
      <c r="AH31" s="442">
        <f t="shared" ref="AH31:AM31" si="29">AH29/$AF29</f>
        <v>0</v>
      </c>
      <c r="AI31" s="442">
        <f t="shared" si="29"/>
        <v>0.25</v>
      </c>
      <c r="AJ31" s="442">
        <f t="shared" si="29"/>
        <v>0</v>
      </c>
      <c r="AK31" s="442">
        <f t="shared" si="29"/>
        <v>0.05</v>
      </c>
      <c r="AL31" s="442">
        <f t="shared" si="29"/>
        <v>0.15</v>
      </c>
      <c r="AM31" s="442">
        <f t="shared" si="29"/>
        <v>0</v>
      </c>
    </row>
    <row r="32" spans="2:39" s="147" customFormat="1" ht="27" customHeight="1">
      <c r="B32" s="874"/>
      <c r="C32" s="875"/>
      <c r="D32" s="361">
        <v>6</v>
      </c>
      <c r="E32" s="435" t="s">
        <v>495</v>
      </c>
      <c r="F32" s="436">
        <f t="shared" si="15"/>
        <v>1070.6201999999998</v>
      </c>
      <c r="G32" s="364">
        <v>39.389999999999993</v>
      </c>
      <c r="H32" s="437">
        <v>26239.200000000001</v>
      </c>
      <c r="I32" s="437">
        <v>26239.200000000001</v>
      </c>
      <c r="J32" s="439">
        <f t="shared" si="16"/>
        <v>1</v>
      </c>
      <c r="K32" s="438">
        <v>26364.650000000005</v>
      </c>
      <c r="L32" s="439">
        <f t="shared" si="17"/>
        <v>1.0047810146650815</v>
      </c>
      <c r="M32" s="438">
        <v>125.45</v>
      </c>
      <c r="N32" s="439">
        <f t="shared" si="18"/>
        <v>4.7810146650812523E-3</v>
      </c>
      <c r="O32" s="440">
        <f t="shared" si="19"/>
        <v>26490.100000000006</v>
      </c>
      <c r="P32" s="439">
        <f t="shared" si="20"/>
        <v>1.0095620293301626</v>
      </c>
      <c r="Q32" s="437">
        <v>27.18</v>
      </c>
      <c r="R32" s="439">
        <f t="shared" si="21"/>
        <v>1.0358547516692582E-3</v>
      </c>
      <c r="S32" s="440">
        <f t="shared" si="22"/>
        <v>250.90000000000509</v>
      </c>
      <c r="T32" s="439">
        <f t="shared" si="23"/>
        <v>9.5620293301626989E-3</v>
      </c>
      <c r="U32" s="363">
        <f t="shared" si="24"/>
        <v>9882.9510000001992</v>
      </c>
      <c r="V32" s="451">
        <f t="shared" si="25"/>
        <v>223.72000000000509</v>
      </c>
      <c r="W32" s="452">
        <f t="shared" si="26"/>
        <v>8.5261745784934399E-3</v>
      </c>
      <c r="X32" s="453">
        <f t="shared" si="27"/>
        <v>8812.330800000198</v>
      </c>
      <c r="Y32" s="365" t="s">
        <v>395</v>
      </c>
      <c r="Z32" s="365" t="s">
        <v>199</v>
      </c>
      <c r="AA32" s="366" t="s">
        <v>571</v>
      </c>
      <c r="AB32" s="366" t="s">
        <v>598</v>
      </c>
      <c r="AC32" s="366">
        <v>1</v>
      </c>
      <c r="AD32" s="441" t="s">
        <v>319</v>
      </c>
    </row>
    <row r="33" spans="2:39" s="147" customFormat="1" ht="27" customHeight="1">
      <c r="B33" s="874"/>
      <c r="C33" s="875"/>
      <c r="D33" s="361">
        <v>7</v>
      </c>
      <c r="E33" s="435" t="s">
        <v>434</v>
      </c>
      <c r="F33" s="436">
        <f t="shared" si="15"/>
        <v>1043.8144</v>
      </c>
      <c r="G33" s="364">
        <v>407.74000000000007</v>
      </c>
      <c r="H33" s="437">
        <v>1091.8000000000002</v>
      </c>
      <c r="I33" s="437">
        <v>1091.8000000000002</v>
      </c>
      <c r="J33" s="439">
        <f t="shared" si="16"/>
        <v>1</v>
      </c>
      <c r="K33" s="438">
        <v>1101.83</v>
      </c>
      <c r="L33" s="439">
        <f t="shared" si="17"/>
        <v>1.0091866642242167</v>
      </c>
      <c r="M33" s="438">
        <v>10.029999999999999</v>
      </c>
      <c r="N33" s="439">
        <f t="shared" si="18"/>
        <v>9.186664224216887E-3</v>
      </c>
      <c r="O33" s="440">
        <f t="shared" si="19"/>
        <v>1111.8599999999999</v>
      </c>
      <c r="P33" s="439">
        <f t="shared" si="20"/>
        <v>1.0183733284484335</v>
      </c>
      <c r="Q33" s="437">
        <v>2.5599999999999996</v>
      </c>
      <c r="R33" s="439">
        <f t="shared" si="21"/>
        <v>2.3447517860413986E-3</v>
      </c>
      <c r="S33" s="440">
        <f t="shared" si="22"/>
        <v>20.059999999999718</v>
      </c>
      <c r="T33" s="439">
        <f t="shared" si="23"/>
        <v>1.8373328448433517E-2</v>
      </c>
      <c r="U33" s="363">
        <f t="shared" si="24"/>
        <v>8179.2643999998863</v>
      </c>
      <c r="V33" s="451">
        <f t="shared" si="25"/>
        <v>17.499999999999719</v>
      </c>
      <c r="W33" s="452">
        <f t="shared" si="26"/>
        <v>1.602857666239212E-2</v>
      </c>
      <c r="X33" s="453">
        <f t="shared" si="27"/>
        <v>7135.449999999887</v>
      </c>
      <c r="Y33" s="365" t="s">
        <v>395</v>
      </c>
      <c r="Z33" s="365" t="s">
        <v>316</v>
      </c>
      <c r="AA33" s="366" t="s">
        <v>574</v>
      </c>
      <c r="AB33" s="366" t="s">
        <v>601</v>
      </c>
      <c r="AC33" s="366">
        <v>1</v>
      </c>
      <c r="AD33" s="441" t="s">
        <v>436</v>
      </c>
    </row>
    <row r="34" spans="2:39" s="147" customFormat="1" ht="27" customHeight="1">
      <c r="B34" s="874"/>
      <c r="C34" s="875"/>
      <c r="D34" s="361">
        <v>8</v>
      </c>
      <c r="E34" s="435" t="s">
        <v>364</v>
      </c>
      <c r="F34" s="436">
        <f t="shared" si="15"/>
        <v>1016.3280000000001</v>
      </c>
      <c r="G34" s="364">
        <v>127.84000000000002</v>
      </c>
      <c r="H34" s="437">
        <v>3184.1</v>
      </c>
      <c r="I34" s="437">
        <v>3184.1</v>
      </c>
      <c r="J34" s="439">
        <f t="shared" si="16"/>
        <v>1</v>
      </c>
      <c r="K34" s="438">
        <v>3225.84</v>
      </c>
      <c r="L34" s="439">
        <f t="shared" si="17"/>
        <v>1.0131088847712071</v>
      </c>
      <c r="M34" s="438">
        <v>41.74</v>
      </c>
      <c r="N34" s="439">
        <f t="shared" si="18"/>
        <v>1.3108884771206936E-2</v>
      </c>
      <c r="O34" s="440">
        <f t="shared" si="19"/>
        <v>3267.58</v>
      </c>
      <c r="P34" s="439">
        <f t="shared" si="20"/>
        <v>1.0262177695424139</v>
      </c>
      <c r="Q34" s="437">
        <v>7.9499999999999993</v>
      </c>
      <c r="R34" s="439">
        <f t="shared" si="21"/>
        <v>2.4967808799974873E-3</v>
      </c>
      <c r="S34" s="440">
        <f t="shared" si="22"/>
        <v>83.480000000000018</v>
      </c>
      <c r="T34" s="439">
        <f t="shared" si="23"/>
        <v>2.6217769542413876E-2</v>
      </c>
      <c r="U34" s="363">
        <f t="shared" si="24"/>
        <v>10672.083200000005</v>
      </c>
      <c r="V34" s="451">
        <f t="shared" si="25"/>
        <v>75.530000000000015</v>
      </c>
      <c r="W34" s="452">
        <f t="shared" si="26"/>
        <v>2.3720988662416388E-2</v>
      </c>
      <c r="X34" s="453">
        <f t="shared" si="27"/>
        <v>9655.7552000000032</v>
      </c>
      <c r="Y34" s="365" t="s">
        <v>395</v>
      </c>
      <c r="Z34" s="365" t="s">
        <v>421</v>
      </c>
      <c r="AA34" s="366" t="s">
        <v>572</v>
      </c>
      <c r="AB34" s="366" t="s">
        <v>600</v>
      </c>
      <c r="AC34" s="366">
        <v>1</v>
      </c>
      <c r="AD34" s="441" t="s">
        <v>319</v>
      </c>
    </row>
    <row r="35" spans="2:39" s="147" customFormat="1" ht="27" customHeight="1">
      <c r="B35" s="874"/>
      <c r="C35" s="875"/>
      <c r="D35" s="361">
        <v>9</v>
      </c>
      <c r="E35" s="435" t="s">
        <v>691</v>
      </c>
      <c r="F35" s="436">
        <f t="shared" si="15"/>
        <v>999.92480000000012</v>
      </c>
      <c r="G35" s="364">
        <v>48.920000000000009</v>
      </c>
      <c r="H35" s="437">
        <v>4978.1900000000005</v>
      </c>
      <c r="I35" s="437">
        <v>4978.1900000000005</v>
      </c>
      <c r="J35" s="439">
        <f t="shared" si="16"/>
        <v>1</v>
      </c>
      <c r="K35" s="438">
        <v>5051.8300000000008</v>
      </c>
      <c r="L35" s="439">
        <f t="shared" si="17"/>
        <v>1.0147925249940239</v>
      </c>
      <c r="M35" s="438">
        <v>73.639999999999986</v>
      </c>
      <c r="N35" s="439">
        <f t="shared" si="18"/>
        <v>1.4792524994023929E-2</v>
      </c>
      <c r="O35" s="440">
        <f t="shared" si="19"/>
        <v>5125.4700000000012</v>
      </c>
      <c r="P35" s="439">
        <f t="shared" si="20"/>
        <v>1.0295850499880479</v>
      </c>
      <c r="Q35" s="437">
        <v>20.439999999999998</v>
      </c>
      <c r="R35" s="439">
        <f t="shared" si="21"/>
        <v>4.1059099793298356E-3</v>
      </c>
      <c r="S35" s="440">
        <f t="shared" si="22"/>
        <v>147.28000000000065</v>
      </c>
      <c r="T35" s="439">
        <f t="shared" si="23"/>
        <v>2.9585049988047993E-2</v>
      </c>
      <c r="U35" s="363">
        <f t="shared" si="24"/>
        <v>7204.9376000000329</v>
      </c>
      <c r="V35" s="451">
        <f t="shared" si="25"/>
        <v>126.84000000000066</v>
      </c>
      <c r="W35" s="452">
        <f t="shared" si="26"/>
        <v>2.5479140008718159E-2</v>
      </c>
      <c r="X35" s="453">
        <f t="shared" si="27"/>
        <v>6205.0128000000332</v>
      </c>
      <c r="Y35" s="365" t="s">
        <v>395</v>
      </c>
      <c r="Z35" s="365" t="s">
        <v>199</v>
      </c>
      <c r="AA35" s="366" t="s">
        <v>571</v>
      </c>
      <c r="AB35" s="377" t="s">
        <v>598</v>
      </c>
      <c r="AC35" s="366">
        <v>1</v>
      </c>
      <c r="AD35" s="441" t="s">
        <v>690</v>
      </c>
      <c r="AH35" s="368"/>
    </row>
    <row r="36" spans="2:39" s="147" customFormat="1" ht="27" customHeight="1">
      <c r="B36" s="874"/>
      <c r="C36" s="875"/>
      <c r="D36" s="361">
        <v>10</v>
      </c>
      <c r="E36" s="435" t="s">
        <v>592</v>
      </c>
      <c r="F36" s="436">
        <f t="shared" si="15"/>
        <v>975.17160000000001</v>
      </c>
      <c r="G36" s="364">
        <v>52.26</v>
      </c>
      <c r="H36" s="437">
        <v>5274.57</v>
      </c>
      <c r="I36" s="437">
        <v>5274.57</v>
      </c>
      <c r="J36" s="439">
        <f t="shared" si="16"/>
        <v>1</v>
      </c>
      <c r="K36" s="438">
        <v>5357.0999999999995</v>
      </c>
      <c r="L36" s="439">
        <f t="shared" si="17"/>
        <v>1.0156467731018832</v>
      </c>
      <c r="M36" s="438">
        <v>82.53</v>
      </c>
      <c r="N36" s="439">
        <f t="shared" si="18"/>
        <v>1.5646773101883189E-2</v>
      </c>
      <c r="O36" s="440">
        <f t="shared" si="19"/>
        <v>5439.6299999999992</v>
      </c>
      <c r="P36" s="439">
        <f t="shared" si="20"/>
        <v>1.0312935462037662</v>
      </c>
      <c r="Q36" s="437">
        <v>18.66</v>
      </c>
      <c r="R36" s="439">
        <f t="shared" si="21"/>
        <v>3.5377291419016149E-3</v>
      </c>
      <c r="S36" s="440">
        <f t="shared" si="22"/>
        <v>165.05999999999949</v>
      </c>
      <c r="T36" s="439">
        <f t="shared" si="23"/>
        <v>3.129354620376628E-2</v>
      </c>
      <c r="U36" s="363">
        <f t="shared" si="24"/>
        <v>8626.0355999999738</v>
      </c>
      <c r="V36" s="451">
        <f t="shared" si="25"/>
        <v>146.39999999999949</v>
      </c>
      <c r="W36" s="452">
        <f t="shared" si="26"/>
        <v>2.7755817061864665E-2</v>
      </c>
      <c r="X36" s="453">
        <f t="shared" si="27"/>
        <v>7650.8639999999732</v>
      </c>
      <c r="Y36" s="365" t="s">
        <v>395</v>
      </c>
      <c r="Z36" s="365" t="s">
        <v>199</v>
      </c>
      <c r="AA36" s="366" t="s">
        <v>571</v>
      </c>
      <c r="AB36" s="366" t="s">
        <v>598</v>
      </c>
      <c r="AC36" s="366">
        <v>1</v>
      </c>
      <c r="AD36" s="441" t="s">
        <v>581</v>
      </c>
      <c r="AH36" s="368"/>
    </row>
    <row r="37" spans="2:39" s="147" customFormat="1" ht="27" customHeight="1">
      <c r="B37" s="874"/>
      <c r="C37" s="875"/>
      <c r="D37" s="361">
        <v>11</v>
      </c>
      <c r="E37" s="435" t="s">
        <v>547</v>
      </c>
      <c r="F37" s="436">
        <f t="shared" si="15"/>
        <v>878.93599999999992</v>
      </c>
      <c r="G37" s="364">
        <v>144.79999999999998</v>
      </c>
      <c r="H37" s="437">
        <v>1791.18</v>
      </c>
      <c r="I37" s="437">
        <v>1791.18</v>
      </c>
      <c r="J37" s="439">
        <f t="shared" si="16"/>
        <v>1</v>
      </c>
      <c r="K37" s="438">
        <v>1819.0900000000001</v>
      </c>
      <c r="L37" s="439">
        <f t="shared" si="17"/>
        <v>1.0155819068993626</v>
      </c>
      <c r="M37" s="438">
        <v>27.91</v>
      </c>
      <c r="N37" s="439">
        <f t="shared" si="18"/>
        <v>1.5581906899362431E-2</v>
      </c>
      <c r="O37" s="440">
        <f t="shared" si="19"/>
        <v>1847.0000000000002</v>
      </c>
      <c r="P37" s="439">
        <f t="shared" si="20"/>
        <v>1.0311638137987249</v>
      </c>
      <c r="Q37" s="437">
        <v>6.07</v>
      </c>
      <c r="R37" s="439">
        <f t="shared" si="21"/>
        <v>3.3888274768588307E-3</v>
      </c>
      <c r="S37" s="440">
        <f t="shared" si="22"/>
        <v>55.820000000000164</v>
      </c>
      <c r="T37" s="439">
        <f t="shared" si="23"/>
        <v>3.1163813798724953E-2</v>
      </c>
      <c r="U37" s="363">
        <f t="shared" si="24"/>
        <v>8082.7360000000226</v>
      </c>
      <c r="V37" s="451">
        <f t="shared" si="25"/>
        <v>49.750000000000163</v>
      </c>
      <c r="W37" s="452">
        <f t="shared" si="26"/>
        <v>2.7774986321866122E-2</v>
      </c>
      <c r="X37" s="453">
        <f t="shared" si="27"/>
        <v>7203.8000000000229</v>
      </c>
      <c r="Y37" s="365" t="s">
        <v>395</v>
      </c>
      <c r="Z37" s="365" t="s">
        <v>421</v>
      </c>
      <c r="AA37" s="366" t="s">
        <v>572</v>
      </c>
      <c r="AB37" s="366" t="s">
        <v>633</v>
      </c>
      <c r="AC37" s="366">
        <v>1</v>
      </c>
      <c r="AD37" s="441" t="s">
        <v>319</v>
      </c>
      <c r="AH37" s="368"/>
    </row>
    <row r="38" spans="2:39" s="147" customFormat="1" ht="26.25" customHeight="1">
      <c r="B38" s="874"/>
      <c r="C38" s="875"/>
      <c r="D38" s="361">
        <v>12</v>
      </c>
      <c r="E38" s="435" t="s">
        <v>692</v>
      </c>
      <c r="F38" s="436">
        <f t="shared" si="15"/>
        <v>860.97900000000016</v>
      </c>
      <c r="G38" s="364">
        <v>351.42</v>
      </c>
      <c r="H38" s="437">
        <v>264.41000000000003</v>
      </c>
      <c r="I38" s="437">
        <v>264.41000000000003</v>
      </c>
      <c r="J38" s="439">
        <f t="shared" si="16"/>
        <v>1</v>
      </c>
      <c r="K38" s="438">
        <v>271.89000000000004</v>
      </c>
      <c r="L38" s="439">
        <f t="shared" si="17"/>
        <v>1.0282893990393707</v>
      </c>
      <c r="M38" s="438">
        <v>7.48</v>
      </c>
      <c r="N38" s="439">
        <f t="shared" si="18"/>
        <v>2.8289399039370673E-2</v>
      </c>
      <c r="O38" s="440">
        <f t="shared" si="19"/>
        <v>279.37000000000006</v>
      </c>
      <c r="P38" s="439">
        <f t="shared" si="20"/>
        <v>1.0565787980787416</v>
      </c>
      <c r="Q38" s="437">
        <v>2.4500000000000002</v>
      </c>
      <c r="R38" s="439">
        <f t="shared" si="21"/>
        <v>9.2659127869596462E-3</v>
      </c>
      <c r="S38" s="440">
        <f t="shared" si="22"/>
        <v>14.960000000000036</v>
      </c>
      <c r="T38" s="439">
        <f t="shared" si="23"/>
        <v>5.6578798078741478E-2</v>
      </c>
      <c r="U38" s="363">
        <f t="shared" si="24"/>
        <v>5257.2432000000126</v>
      </c>
      <c r="V38" s="451">
        <f t="shared" si="25"/>
        <v>12.510000000000037</v>
      </c>
      <c r="W38" s="452">
        <f t="shared" si="26"/>
        <v>4.7312885291781841E-2</v>
      </c>
      <c r="X38" s="453">
        <f t="shared" si="27"/>
        <v>4396.2642000000133</v>
      </c>
      <c r="Y38" s="365" t="s">
        <v>395</v>
      </c>
      <c r="Z38" s="365" t="s">
        <v>421</v>
      </c>
      <c r="AA38" s="366" t="s">
        <v>701</v>
      </c>
      <c r="AB38" s="366" t="s">
        <v>633</v>
      </c>
      <c r="AC38" s="366">
        <v>1</v>
      </c>
      <c r="AD38" s="441" t="s">
        <v>554</v>
      </c>
      <c r="AH38" s="368"/>
    </row>
    <row r="39" spans="2:39" s="147" customFormat="1" ht="27" customHeight="1">
      <c r="B39" s="874"/>
      <c r="C39" s="875"/>
      <c r="D39" s="361">
        <v>13</v>
      </c>
      <c r="E39" s="435" t="s">
        <v>566</v>
      </c>
      <c r="F39" s="436">
        <f t="shared" si="15"/>
        <v>846.59769999999992</v>
      </c>
      <c r="G39" s="364">
        <v>91.13</v>
      </c>
      <c r="H39" s="437">
        <v>1080.48</v>
      </c>
      <c r="I39" s="437">
        <v>1080.48</v>
      </c>
      <c r="J39" s="439">
        <f t="shared" si="16"/>
        <v>1</v>
      </c>
      <c r="K39" s="438">
        <v>1110.9599999999998</v>
      </c>
      <c r="L39" s="439">
        <f t="shared" si="17"/>
        <v>1.0282096845846289</v>
      </c>
      <c r="M39" s="438">
        <v>30.48</v>
      </c>
      <c r="N39" s="439">
        <f t="shared" si="18"/>
        <v>2.8209684584629052E-2</v>
      </c>
      <c r="O39" s="440">
        <f t="shared" si="19"/>
        <v>1141.4399999999998</v>
      </c>
      <c r="P39" s="439">
        <f t="shared" si="20"/>
        <v>1.0564193691692578</v>
      </c>
      <c r="Q39" s="437">
        <v>9.2899999999999991</v>
      </c>
      <c r="R39" s="439">
        <f t="shared" si="21"/>
        <v>8.5980305049607568E-3</v>
      </c>
      <c r="S39" s="440">
        <f t="shared" si="22"/>
        <v>60.959999999999809</v>
      </c>
      <c r="T39" s="439">
        <f t="shared" si="23"/>
        <v>5.6419369169257931E-2</v>
      </c>
      <c r="U39" s="363">
        <f t="shared" si="24"/>
        <v>5555.2847999999822</v>
      </c>
      <c r="V39" s="451">
        <f t="shared" si="25"/>
        <v>51.66999999999981</v>
      </c>
      <c r="W39" s="452">
        <f t="shared" si="26"/>
        <v>4.7821338664297171E-2</v>
      </c>
      <c r="X39" s="453">
        <f t="shared" si="27"/>
        <v>4708.6870999999828</v>
      </c>
      <c r="Y39" s="365" t="s">
        <v>395</v>
      </c>
      <c r="Z39" s="365" t="s">
        <v>421</v>
      </c>
      <c r="AA39" s="366" t="s">
        <v>501</v>
      </c>
      <c r="AB39" s="366" t="s">
        <v>429</v>
      </c>
      <c r="AC39" s="366">
        <v>1</v>
      </c>
      <c r="AD39" s="441" t="s">
        <v>564</v>
      </c>
    </row>
    <row r="40" spans="2:39" s="147" customFormat="1" ht="27" customHeight="1">
      <c r="B40" s="874"/>
      <c r="C40" s="875"/>
      <c r="D40" s="361">
        <v>14</v>
      </c>
      <c r="E40" s="435" t="s">
        <v>549</v>
      </c>
      <c r="F40" s="436">
        <f t="shared" si="15"/>
        <v>841.95799999999997</v>
      </c>
      <c r="G40" s="364">
        <v>49.82</v>
      </c>
      <c r="H40" s="437">
        <v>2532.5</v>
      </c>
      <c r="I40" s="437">
        <v>2532.5</v>
      </c>
      <c r="J40" s="439">
        <f t="shared" si="16"/>
        <v>1</v>
      </c>
      <c r="K40" s="438">
        <v>2597.7800000000002</v>
      </c>
      <c r="L40" s="439">
        <f t="shared" si="17"/>
        <v>1.0257769002961501</v>
      </c>
      <c r="M40" s="438">
        <v>65.28</v>
      </c>
      <c r="N40" s="439">
        <f t="shared" si="18"/>
        <v>2.5776900296150051E-2</v>
      </c>
      <c r="O40" s="440">
        <f t="shared" si="19"/>
        <v>2663.0600000000004</v>
      </c>
      <c r="P40" s="439">
        <f t="shared" si="20"/>
        <v>1.0515538005923002</v>
      </c>
      <c r="Q40" s="437">
        <v>16.899999999999999</v>
      </c>
      <c r="R40" s="439">
        <f t="shared" si="21"/>
        <v>6.6732477788746291E-3</v>
      </c>
      <c r="S40" s="440">
        <f t="shared" si="22"/>
        <v>130.5600000000004</v>
      </c>
      <c r="T40" s="439">
        <f t="shared" si="23"/>
        <v>5.1553800592300254E-2</v>
      </c>
      <c r="U40" s="363">
        <f t="shared" si="24"/>
        <v>6504.4992000000202</v>
      </c>
      <c r="V40" s="451">
        <f t="shared" si="25"/>
        <v>113.66000000000039</v>
      </c>
      <c r="W40" s="452">
        <f t="shared" si="26"/>
        <v>4.4880552813425623E-2</v>
      </c>
      <c r="X40" s="453">
        <f t="shared" si="27"/>
        <v>5662.5412000000197</v>
      </c>
      <c r="Y40" s="365" t="s">
        <v>395</v>
      </c>
      <c r="Z40" s="365" t="s">
        <v>421</v>
      </c>
      <c r="AA40" s="365" t="s">
        <v>501</v>
      </c>
      <c r="AB40" s="366" t="s">
        <v>429</v>
      </c>
      <c r="AC40" s="366">
        <v>1</v>
      </c>
      <c r="AD40" s="441" t="s">
        <v>538</v>
      </c>
    </row>
    <row r="41" spans="2:39" s="147" customFormat="1" ht="27" customHeight="1">
      <c r="B41" s="874"/>
      <c r="C41" s="875"/>
      <c r="D41" s="361">
        <v>15</v>
      </c>
      <c r="E41" s="435" t="s">
        <v>567</v>
      </c>
      <c r="F41" s="436">
        <f t="shared" si="15"/>
        <v>841.27979999999991</v>
      </c>
      <c r="G41" s="364">
        <v>139.97999999999999</v>
      </c>
      <c r="H41" s="437">
        <v>431.44000000000005</v>
      </c>
      <c r="I41" s="437">
        <v>431.44000000000005</v>
      </c>
      <c r="J41" s="439">
        <f t="shared" si="16"/>
        <v>1</v>
      </c>
      <c r="K41" s="438">
        <v>443.01000000000005</v>
      </c>
      <c r="L41" s="439">
        <f t="shared" si="17"/>
        <v>1.026817170406082</v>
      </c>
      <c r="M41" s="438">
        <v>11.57</v>
      </c>
      <c r="N41" s="439">
        <f t="shared" si="18"/>
        <v>2.6817170406081954E-2</v>
      </c>
      <c r="O41" s="440">
        <f t="shared" si="19"/>
        <v>454.58000000000004</v>
      </c>
      <c r="P41" s="439">
        <f t="shared" si="20"/>
        <v>1.0536343408121638</v>
      </c>
      <c r="Q41" s="437">
        <v>6.01</v>
      </c>
      <c r="R41" s="439">
        <f t="shared" si="21"/>
        <v>1.3930094567031334E-2</v>
      </c>
      <c r="S41" s="440">
        <f t="shared" si="22"/>
        <v>23.139999999999986</v>
      </c>
      <c r="T41" s="439">
        <f t="shared" si="23"/>
        <v>5.363434081216388E-2</v>
      </c>
      <c r="U41" s="363">
        <f t="shared" si="24"/>
        <v>3239.1371999999978</v>
      </c>
      <c r="V41" s="451">
        <f t="shared" si="25"/>
        <v>17.129999999999988</v>
      </c>
      <c r="W41" s="452">
        <f t="shared" si="26"/>
        <v>3.9704246245132545E-2</v>
      </c>
      <c r="X41" s="453">
        <f t="shared" si="27"/>
        <v>2397.8573999999981</v>
      </c>
      <c r="Y41" s="365" t="s">
        <v>395</v>
      </c>
      <c r="Z41" s="365" t="s">
        <v>421</v>
      </c>
      <c r="AA41" s="366" t="s">
        <v>572</v>
      </c>
      <c r="AB41" s="366" t="s">
        <v>600</v>
      </c>
      <c r="AC41" s="366">
        <v>1</v>
      </c>
      <c r="AD41" s="441" t="s">
        <v>471</v>
      </c>
    </row>
    <row r="42" spans="2:39" s="147" customFormat="1" ht="27" customHeight="1">
      <c r="B42" s="874"/>
      <c r="C42" s="875"/>
      <c r="D42" s="361">
        <v>16</v>
      </c>
      <c r="E42" s="435" t="s">
        <v>435</v>
      </c>
      <c r="F42" s="436">
        <f t="shared" si="15"/>
        <v>840.96759999999995</v>
      </c>
      <c r="G42" s="364">
        <v>160.49</v>
      </c>
      <c r="H42" s="437">
        <v>650.27</v>
      </c>
      <c r="I42" s="437">
        <v>650.27</v>
      </c>
      <c r="J42" s="439">
        <f t="shared" si="16"/>
        <v>1</v>
      </c>
      <c r="K42" s="438">
        <v>666.1099999999999</v>
      </c>
      <c r="L42" s="439">
        <f t="shared" si="17"/>
        <v>1.0243591123687084</v>
      </c>
      <c r="M42" s="438">
        <v>15.84</v>
      </c>
      <c r="N42" s="439">
        <f t="shared" si="18"/>
        <v>2.4359112368708382E-2</v>
      </c>
      <c r="O42" s="440">
        <f t="shared" si="19"/>
        <v>681.94999999999993</v>
      </c>
      <c r="P42" s="439">
        <f t="shared" si="20"/>
        <v>1.0487182247374167</v>
      </c>
      <c r="Q42" s="437">
        <v>5.2399999999999993</v>
      </c>
      <c r="R42" s="439">
        <f t="shared" si="21"/>
        <v>8.0581912128808025E-3</v>
      </c>
      <c r="S42" s="440">
        <f t="shared" si="22"/>
        <v>31.67999999999995</v>
      </c>
      <c r="T42" s="439">
        <f t="shared" si="23"/>
        <v>4.8718224737416688E-2</v>
      </c>
      <c r="U42" s="363">
        <f t="shared" si="24"/>
        <v>5084.3231999999925</v>
      </c>
      <c r="V42" s="451">
        <f t="shared" si="25"/>
        <v>26.439999999999952</v>
      </c>
      <c r="W42" s="452">
        <f t="shared" si="26"/>
        <v>4.0660033524535885E-2</v>
      </c>
      <c r="X42" s="453">
        <f t="shared" si="27"/>
        <v>4243.3555999999926</v>
      </c>
      <c r="Y42" s="365" t="s">
        <v>395</v>
      </c>
      <c r="Z42" s="365" t="s">
        <v>421</v>
      </c>
      <c r="AA42" s="377" t="s">
        <v>572</v>
      </c>
      <c r="AB42" s="366" t="s">
        <v>429</v>
      </c>
      <c r="AC42" s="366">
        <v>1</v>
      </c>
      <c r="AD42" s="441" t="s">
        <v>411</v>
      </c>
    </row>
    <row r="43" spans="2:39" s="147" customFormat="1" ht="27" customHeight="1">
      <c r="B43" s="874"/>
      <c r="C43" s="875"/>
      <c r="D43" s="361">
        <v>17</v>
      </c>
      <c r="E43" s="435" t="s">
        <v>693</v>
      </c>
      <c r="F43" s="436">
        <f t="shared" si="15"/>
        <v>840.93380000000025</v>
      </c>
      <c r="G43" s="364">
        <v>98.470000000000013</v>
      </c>
      <c r="H43" s="437">
        <v>377.51</v>
      </c>
      <c r="I43" s="437">
        <v>377.51</v>
      </c>
      <c r="J43" s="439">
        <f t="shared" si="16"/>
        <v>1</v>
      </c>
      <c r="K43" s="438">
        <v>391.40000000000003</v>
      </c>
      <c r="L43" s="439">
        <f t="shared" si="17"/>
        <v>1.0367937273184817</v>
      </c>
      <c r="M43" s="438">
        <v>13.89</v>
      </c>
      <c r="N43" s="439">
        <f t="shared" si="18"/>
        <v>3.6793727318481635E-2</v>
      </c>
      <c r="O43" s="440">
        <f t="shared" si="19"/>
        <v>405.29</v>
      </c>
      <c r="P43" s="439">
        <f t="shared" si="20"/>
        <v>1.0735874546369633</v>
      </c>
      <c r="Q43" s="437">
        <v>8.5400000000000009</v>
      </c>
      <c r="R43" s="439">
        <f t="shared" si="21"/>
        <v>2.2621917300203971E-2</v>
      </c>
      <c r="S43" s="440">
        <f t="shared" si="22"/>
        <v>27.78000000000003</v>
      </c>
      <c r="T43" s="439">
        <f t="shared" si="23"/>
        <v>7.358745463696334E-2</v>
      </c>
      <c r="U43" s="363">
        <f t="shared" si="24"/>
        <v>2735.4966000000031</v>
      </c>
      <c r="V43" s="451">
        <f t="shared" si="25"/>
        <v>19.24000000000003</v>
      </c>
      <c r="W43" s="452">
        <f t="shared" si="26"/>
        <v>5.0965537336759376E-2</v>
      </c>
      <c r="X43" s="453">
        <f t="shared" si="27"/>
        <v>1894.5628000000033</v>
      </c>
      <c r="Y43" s="365" t="s">
        <v>395</v>
      </c>
      <c r="Z43" s="365" t="s">
        <v>421</v>
      </c>
      <c r="AA43" s="366" t="s">
        <v>572</v>
      </c>
      <c r="AB43" s="366" t="s">
        <v>429</v>
      </c>
      <c r="AC43" s="366">
        <v>1</v>
      </c>
      <c r="AD43" s="441" t="s">
        <v>471</v>
      </c>
    </row>
    <row r="44" spans="2:39" s="147" customFormat="1" ht="27" customHeight="1">
      <c r="B44" s="874"/>
      <c r="C44" s="875"/>
      <c r="D44" s="361">
        <v>18</v>
      </c>
      <c r="E44" s="435" t="s">
        <v>548</v>
      </c>
      <c r="F44" s="436">
        <f t="shared" si="15"/>
        <v>840.48099999999999</v>
      </c>
      <c r="G44" s="364">
        <v>212.78</v>
      </c>
      <c r="H44" s="437">
        <v>335.81999999999994</v>
      </c>
      <c r="I44" s="437">
        <v>335.81999999999994</v>
      </c>
      <c r="J44" s="439">
        <f t="shared" si="16"/>
        <v>1</v>
      </c>
      <c r="K44" s="438">
        <v>346.03999999999996</v>
      </c>
      <c r="L44" s="439">
        <f t="shared" si="17"/>
        <v>1.0304329700434758</v>
      </c>
      <c r="M44" s="438">
        <v>10.219999999999999</v>
      </c>
      <c r="N44" s="439">
        <f t="shared" si="18"/>
        <v>3.0432970043475675E-2</v>
      </c>
      <c r="O44" s="440">
        <f t="shared" si="19"/>
        <v>356.26</v>
      </c>
      <c r="P44" s="439">
        <f t="shared" si="20"/>
        <v>1.0608659400869516</v>
      </c>
      <c r="Q44" s="437">
        <v>3.95</v>
      </c>
      <c r="R44" s="439">
        <f t="shared" si="21"/>
        <v>1.1762253588231793E-2</v>
      </c>
      <c r="S44" s="440">
        <f t="shared" si="22"/>
        <v>20.440000000000055</v>
      </c>
      <c r="T44" s="439">
        <f t="shared" si="23"/>
        <v>6.0865940086951516E-2</v>
      </c>
      <c r="U44" s="363">
        <f t="shared" si="24"/>
        <v>4349.2232000000113</v>
      </c>
      <c r="V44" s="451">
        <f t="shared" si="25"/>
        <v>16.490000000000055</v>
      </c>
      <c r="W44" s="452">
        <f t="shared" si="26"/>
        <v>4.9103686498719726E-2</v>
      </c>
      <c r="X44" s="453">
        <f t="shared" si="27"/>
        <v>3508.742200000012</v>
      </c>
      <c r="Y44" s="365" t="s">
        <v>395</v>
      </c>
      <c r="Z44" s="365" t="s">
        <v>421</v>
      </c>
      <c r="AA44" s="377" t="s">
        <v>501</v>
      </c>
      <c r="AB44" s="366" t="s">
        <v>429</v>
      </c>
      <c r="AC44" s="366">
        <v>1</v>
      </c>
      <c r="AD44" s="441" t="s">
        <v>544</v>
      </c>
    </row>
    <row r="45" spans="2:39" s="147" customFormat="1" ht="27" customHeight="1">
      <c r="B45" s="874"/>
      <c r="C45" s="875"/>
      <c r="D45" s="361">
        <v>19</v>
      </c>
      <c r="E45" s="435" t="s">
        <v>694</v>
      </c>
      <c r="F45" s="436">
        <f t="shared" si="15"/>
        <v>840.3742000000002</v>
      </c>
      <c r="G45" s="364">
        <v>98.060000000000016</v>
      </c>
      <c r="H45" s="437">
        <v>824.91</v>
      </c>
      <c r="I45" s="437">
        <v>824.91</v>
      </c>
      <c r="J45" s="439">
        <f t="shared" si="16"/>
        <v>1</v>
      </c>
      <c r="K45" s="438">
        <v>846.85</v>
      </c>
      <c r="L45" s="439">
        <f t="shared" si="17"/>
        <v>1.0265968408674886</v>
      </c>
      <c r="M45" s="438">
        <v>21.94</v>
      </c>
      <c r="N45" s="439">
        <f t="shared" si="18"/>
        <v>2.6596840867488578E-2</v>
      </c>
      <c r="O45" s="440">
        <f t="shared" si="19"/>
        <v>868.79000000000008</v>
      </c>
      <c r="P45" s="439">
        <f t="shared" si="20"/>
        <v>1.0531936817349772</v>
      </c>
      <c r="Q45" s="437">
        <v>8.57</v>
      </c>
      <c r="R45" s="439">
        <f t="shared" si="21"/>
        <v>1.0389012134657115E-2</v>
      </c>
      <c r="S45" s="440">
        <f t="shared" si="22"/>
        <v>43.880000000000109</v>
      </c>
      <c r="T45" s="439">
        <f t="shared" si="23"/>
        <v>5.319368173497728E-2</v>
      </c>
      <c r="U45" s="363">
        <f t="shared" si="24"/>
        <v>4302.872800000011</v>
      </c>
      <c r="V45" s="451">
        <f t="shared" si="25"/>
        <v>35.310000000000109</v>
      </c>
      <c r="W45" s="452">
        <f t="shared" si="26"/>
        <v>4.2804669600320165E-2</v>
      </c>
      <c r="X45" s="453">
        <f t="shared" si="27"/>
        <v>3462.4986000000113</v>
      </c>
      <c r="Y45" s="365" t="s">
        <v>395</v>
      </c>
      <c r="Z45" s="365" t="s">
        <v>421</v>
      </c>
      <c r="AA45" s="366" t="s">
        <v>445</v>
      </c>
      <c r="AB45" s="366" t="s">
        <v>573</v>
      </c>
      <c r="AC45" s="366">
        <v>1</v>
      </c>
      <c r="AD45" s="441" t="s">
        <v>554</v>
      </c>
    </row>
    <row r="46" spans="2:39" s="147" customFormat="1" ht="27" customHeight="1">
      <c r="B46" s="876"/>
      <c r="C46" s="877"/>
      <c r="D46" s="361">
        <v>20</v>
      </c>
      <c r="E46" s="435" t="s">
        <v>552</v>
      </c>
      <c r="F46" s="436">
        <f t="shared" si="15"/>
        <v>839.97810000000004</v>
      </c>
      <c r="G46" s="364">
        <v>31.59</v>
      </c>
      <c r="H46" s="437">
        <v>2676.24</v>
      </c>
      <c r="I46" s="437">
        <v>2676.24</v>
      </c>
      <c r="J46" s="439">
        <f t="shared" si="16"/>
        <v>1</v>
      </c>
      <c r="K46" s="438">
        <v>2748.9100000000003</v>
      </c>
      <c r="L46" s="439">
        <f t="shared" si="17"/>
        <v>1.0271537679729772</v>
      </c>
      <c r="M46" s="438">
        <v>72.67</v>
      </c>
      <c r="N46" s="439">
        <f t="shared" si="18"/>
        <v>2.7153767972977014E-2</v>
      </c>
      <c r="O46" s="440">
        <f t="shared" si="19"/>
        <v>2821.5800000000004</v>
      </c>
      <c r="P46" s="439">
        <f t="shared" si="20"/>
        <v>1.0543075359459542</v>
      </c>
      <c r="Q46" s="437">
        <v>26.59</v>
      </c>
      <c r="R46" s="439">
        <f t="shared" si="21"/>
        <v>9.9355812632648793E-3</v>
      </c>
      <c r="S46" s="440">
        <f t="shared" si="22"/>
        <v>145.3400000000006</v>
      </c>
      <c r="T46" s="439">
        <f t="shared" si="23"/>
        <v>5.4307535945954256E-2</v>
      </c>
      <c r="U46" s="363">
        <f t="shared" si="24"/>
        <v>4591.2906000000194</v>
      </c>
      <c r="V46" s="451">
        <f t="shared" si="25"/>
        <v>118.7500000000006</v>
      </c>
      <c r="W46" s="452">
        <f t="shared" si="26"/>
        <v>4.4371954682689375E-2</v>
      </c>
      <c r="X46" s="453">
        <f t="shared" si="27"/>
        <v>3751.3125000000186</v>
      </c>
      <c r="Y46" s="365" t="s">
        <v>395</v>
      </c>
      <c r="Z46" s="365" t="s">
        <v>421</v>
      </c>
      <c r="AA46" s="366" t="s">
        <v>445</v>
      </c>
      <c r="AB46" s="366" t="s">
        <v>573</v>
      </c>
      <c r="AC46" s="366">
        <v>1</v>
      </c>
      <c r="AD46" s="441" t="s">
        <v>551</v>
      </c>
    </row>
    <row r="47" spans="2:39" ht="16.5" customHeight="1">
      <c r="B47" s="878" t="s">
        <v>419</v>
      </c>
      <c r="C47" s="879"/>
      <c r="D47" s="882" t="s">
        <v>502</v>
      </c>
      <c r="E47" s="883" t="s">
        <v>503</v>
      </c>
      <c r="F47" s="884" t="s">
        <v>504</v>
      </c>
      <c r="G47" s="861" t="s">
        <v>505</v>
      </c>
      <c r="H47" s="885" t="s">
        <v>506</v>
      </c>
      <c r="I47" s="886" t="s">
        <v>507</v>
      </c>
      <c r="J47" s="887"/>
      <c r="K47" s="886" t="s">
        <v>508</v>
      </c>
      <c r="L47" s="887"/>
      <c r="M47" s="886" t="s">
        <v>509</v>
      </c>
      <c r="N47" s="887"/>
      <c r="O47" s="886" t="s">
        <v>510</v>
      </c>
      <c r="P47" s="887"/>
      <c r="Q47" s="886" t="s">
        <v>396</v>
      </c>
      <c r="R47" s="887"/>
      <c r="S47" s="888" t="s">
        <v>397</v>
      </c>
      <c r="T47" s="889"/>
      <c r="U47" s="890"/>
      <c r="V47" s="891" t="s">
        <v>568</v>
      </c>
      <c r="W47" s="892"/>
      <c r="X47" s="893"/>
      <c r="Y47" s="894" t="s">
        <v>168</v>
      </c>
      <c r="Z47" s="894" t="s">
        <v>228</v>
      </c>
      <c r="AA47" s="894" t="s">
        <v>511</v>
      </c>
      <c r="AB47" s="894" t="s">
        <v>420</v>
      </c>
      <c r="AC47" s="894" t="s">
        <v>229</v>
      </c>
      <c r="AD47" s="861" t="s">
        <v>169</v>
      </c>
      <c r="AF47" s="863" t="s">
        <v>230</v>
      </c>
      <c r="AG47" s="864"/>
      <c r="AH47" s="864"/>
      <c r="AI47" s="864"/>
      <c r="AJ47" s="864"/>
      <c r="AK47" s="864"/>
      <c r="AL47" s="864"/>
      <c r="AM47" s="865"/>
    </row>
    <row r="48" spans="2:39">
      <c r="B48" s="880"/>
      <c r="C48" s="881"/>
      <c r="D48" s="882"/>
      <c r="E48" s="882"/>
      <c r="F48" s="884"/>
      <c r="G48" s="862"/>
      <c r="H48" s="862"/>
      <c r="I48" s="434" t="s">
        <v>512</v>
      </c>
      <c r="J48" s="362" t="s">
        <v>513</v>
      </c>
      <c r="K48" s="434" t="s">
        <v>512</v>
      </c>
      <c r="L48" s="362" t="s">
        <v>513</v>
      </c>
      <c r="M48" s="434" t="s">
        <v>512</v>
      </c>
      <c r="N48" s="362" t="s">
        <v>513</v>
      </c>
      <c r="O48" s="434" t="s">
        <v>512</v>
      </c>
      <c r="P48" s="362" t="s">
        <v>513</v>
      </c>
      <c r="Q48" s="434" t="s">
        <v>512</v>
      </c>
      <c r="R48" s="362" t="s">
        <v>513</v>
      </c>
      <c r="S48" s="434" t="s">
        <v>512</v>
      </c>
      <c r="T48" s="362" t="s">
        <v>513</v>
      </c>
      <c r="U48" s="362" t="s">
        <v>514</v>
      </c>
      <c r="V48" s="434" t="s">
        <v>512</v>
      </c>
      <c r="W48" s="362" t="s">
        <v>513</v>
      </c>
      <c r="X48" s="362" t="s">
        <v>514</v>
      </c>
      <c r="Y48" s="895"/>
      <c r="Z48" s="895"/>
      <c r="AA48" s="895"/>
      <c r="AB48" s="895"/>
      <c r="AC48" s="895"/>
      <c r="AD48" s="862"/>
      <c r="AF48" s="866"/>
      <c r="AG48" s="867"/>
      <c r="AH48" s="867"/>
      <c r="AI48" s="867"/>
      <c r="AJ48" s="867"/>
      <c r="AK48" s="867"/>
      <c r="AL48" s="867"/>
      <c r="AM48" s="868"/>
    </row>
    <row r="49" spans="2:39" s="147" customFormat="1" ht="27" customHeight="1">
      <c r="B49" s="872" t="s">
        <v>676</v>
      </c>
      <c r="C49" s="873"/>
      <c r="D49" s="361">
        <v>1</v>
      </c>
      <c r="E49" s="435" t="s">
        <v>422</v>
      </c>
      <c r="F49" s="436">
        <f>IFERROR(Q49*G49,"-")</f>
        <v>1762.02</v>
      </c>
      <c r="G49" s="364">
        <v>1.17</v>
      </c>
      <c r="H49" s="437">
        <v>221142</v>
      </c>
      <c r="I49" s="437">
        <v>221142</v>
      </c>
      <c r="J49" s="439">
        <f>IFERROR(I49/H49,"-")</f>
        <v>1</v>
      </c>
      <c r="K49" s="437">
        <v>222648</v>
      </c>
      <c r="L49" s="439">
        <f>IFERROR(K49/H49,"-")</f>
        <v>1.0068101039151314</v>
      </c>
      <c r="M49" s="438">
        <v>0</v>
      </c>
      <c r="N49" s="439">
        <f>IFERROR(M49/H49,"-")</f>
        <v>0</v>
      </c>
      <c r="O49" s="440">
        <f>IFERROR(K49+M49,"-")</f>
        <v>222648</v>
      </c>
      <c r="P49" s="439">
        <f>IFERROR(O49/H49,"-")</f>
        <v>1.0068101039151314</v>
      </c>
      <c r="Q49" s="437">
        <v>1506</v>
      </c>
      <c r="R49" s="439">
        <f>IFERROR(Q49/H49,"-")</f>
        <v>6.8101039151314538E-3</v>
      </c>
      <c r="S49" s="440">
        <f>IFERROR(O49-H49,"-")</f>
        <v>1506</v>
      </c>
      <c r="T49" s="439">
        <f>IFERROR(S49/H49,"-")</f>
        <v>6.8101039151314538E-3</v>
      </c>
      <c r="U49" s="363">
        <f>IFERROR(S49*G49,"-")</f>
        <v>1762.02</v>
      </c>
      <c r="V49" s="451">
        <f>S49-Q49</f>
        <v>0</v>
      </c>
      <c r="W49" s="452">
        <f>IFERROR(V49/H49,"-")</f>
        <v>0</v>
      </c>
      <c r="X49" s="453">
        <f>IFERROR(V49*G49,"-")</f>
        <v>0</v>
      </c>
      <c r="Y49" s="365" t="s">
        <v>395</v>
      </c>
      <c r="Z49" s="365" t="s">
        <v>316</v>
      </c>
      <c r="AA49" s="366"/>
      <c r="AB49" s="366"/>
      <c r="AC49" s="366">
        <v>1</v>
      </c>
      <c r="AD49" s="441" t="s">
        <v>319</v>
      </c>
      <c r="AF49" s="869"/>
      <c r="AG49" s="870"/>
      <c r="AH49" s="870"/>
      <c r="AI49" s="870"/>
      <c r="AJ49" s="870"/>
      <c r="AK49" s="870"/>
      <c r="AL49" s="870"/>
      <c r="AM49" s="871"/>
    </row>
    <row r="50" spans="2:39" s="147" customFormat="1" ht="27" customHeight="1">
      <c r="B50" s="874"/>
      <c r="C50" s="875"/>
      <c r="D50" s="361">
        <v>2</v>
      </c>
      <c r="E50" s="435" t="s">
        <v>314</v>
      </c>
      <c r="F50" s="436">
        <f t="shared" ref="F50:F68" si="30">IFERROR(Q50*G50,"-")</f>
        <v>1668.6000000000001</v>
      </c>
      <c r="G50" s="364">
        <v>15.450000000000001</v>
      </c>
      <c r="H50" s="437">
        <v>51854</v>
      </c>
      <c r="I50" s="437">
        <v>51854</v>
      </c>
      <c r="J50" s="439">
        <f t="shared" ref="J50:J68" si="31">IFERROR(I50/H50,"-")</f>
        <v>1</v>
      </c>
      <c r="K50" s="437">
        <v>51962</v>
      </c>
      <c r="L50" s="439">
        <f t="shared" ref="L50:L68" si="32">IFERROR(K50/H50,"-")</f>
        <v>1.002082770856636</v>
      </c>
      <c r="M50" s="438">
        <v>0</v>
      </c>
      <c r="N50" s="439">
        <f t="shared" ref="N50:N68" si="33">IFERROR(M50/H50,"-")</f>
        <v>0</v>
      </c>
      <c r="O50" s="440">
        <f t="shared" ref="O50:O68" si="34">IFERROR(K50+M50,"-")</f>
        <v>51962</v>
      </c>
      <c r="P50" s="439">
        <f t="shared" ref="P50:P68" si="35">IFERROR(O50/H50,"-")</f>
        <v>1.002082770856636</v>
      </c>
      <c r="Q50" s="437">
        <v>108</v>
      </c>
      <c r="R50" s="439">
        <f t="shared" ref="R50:R68" si="36">IFERROR(Q50/H50,"-")</f>
        <v>2.0827708566359395E-3</v>
      </c>
      <c r="S50" s="440">
        <f t="shared" ref="S50:S68" si="37">IFERROR(O50-H50,"-")</f>
        <v>108</v>
      </c>
      <c r="T50" s="439">
        <f t="shared" ref="T50:T68" si="38">IFERROR(S50/H50,"-")</f>
        <v>2.0827708566359395E-3</v>
      </c>
      <c r="U50" s="363">
        <f t="shared" ref="U50:U68" si="39">IFERROR(S50*G50,"-")</f>
        <v>1668.6000000000001</v>
      </c>
      <c r="V50" s="451">
        <f t="shared" ref="V50:V68" si="40">S50-Q50</f>
        <v>0</v>
      </c>
      <c r="W50" s="452">
        <f t="shared" ref="W50:W68" si="41">IFERROR(V50/H50,"-")</f>
        <v>0</v>
      </c>
      <c r="X50" s="453">
        <f t="shared" ref="X50:X68" si="42">IFERROR(V50*G50,"-")</f>
        <v>0</v>
      </c>
      <c r="Y50" s="365" t="s">
        <v>395</v>
      </c>
      <c r="Z50" s="365" t="s">
        <v>199</v>
      </c>
      <c r="AA50" s="366"/>
      <c r="AB50" s="366"/>
      <c r="AC50" s="366">
        <v>1</v>
      </c>
      <c r="AD50" s="441" t="s">
        <v>485</v>
      </c>
      <c r="AF50" s="160" t="s">
        <v>227</v>
      </c>
      <c r="AG50" s="160" t="s">
        <v>421</v>
      </c>
      <c r="AH50" s="155" t="s">
        <v>515</v>
      </c>
      <c r="AI50" s="155" t="s">
        <v>316</v>
      </c>
      <c r="AJ50" s="155" t="s">
        <v>406</v>
      </c>
      <c r="AK50" s="155" t="s">
        <v>198</v>
      </c>
      <c r="AL50" s="155" t="s">
        <v>199</v>
      </c>
      <c r="AM50" s="155" t="s">
        <v>362</v>
      </c>
    </row>
    <row r="51" spans="2:39" s="147" customFormat="1" ht="27" customHeight="1">
      <c r="B51" s="874"/>
      <c r="C51" s="875"/>
      <c r="D51" s="361">
        <v>3</v>
      </c>
      <c r="E51" s="435" t="s">
        <v>423</v>
      </c>
      <c r="F51" s="436">
        <f t="shared" si="30"/>
        <v>1489.6</v>
      </c>
      <c r="G51" s="364">
        <v>2.4499999999999997</v>
      </c>
      <c r="H51" s="437">
        <v>93352</v>
      </c>
      <c r="I51" s="437">
        <v>93352</v>
      </c>
      <c r="J51" s="439">
        <f t="shared" si="31"/>
        <v>1</v>
      </c>
      <c r="K51" s="437">
        <v>93960</v>
      </c>
      <c r="L51" s="439">
        <f t="shared" si="32"/>
        <v>1.0065129831176622</v>
      </c>
      <c r="M51" s="438">
        <v>0</v>
      </c>
      <c r="N51" s="439">
        <f t="shared" si="33"/>
        <v>0</v>
      </c>
      <c r="O51" s="440">
        <f t="shared" si="34"/>
        <v>93960</v>
      </c>
      <c r="P51" s="439">
        <f t="shared" si="35"/>
        <v>1.0065129831176622</v>
      </c>
      <c r="Q51" s="437">
        <v>608</v>
      </c>
      <c r="R51" s="439">
        <f t="shared" si="36"/>
        <v>6.512983117662182E-3</v>
      </c>
      <c r="S51" s="440">
        <f t="shared" si="37"/>
        <v>608</v>
      </c>
      <c r="T51" s="439">
        <f t="shared" si="38"/>
        <v>6.512983117662182E-3</v>
      </c>
      <c r="U51" s="363">
        <f t="shared" si="39"/>
        <v>1489.6</v>
      </c>
      <c r="V51" s="451">
        <f t="shared" si="40"/>
        <v>0</v>
      </c>
      <c r="W51" s="452">
        <f t="shared" si="41"/>
        <v>0</v>
      </c>
      <c r="X51" s="453">
        <f t="shared" si="42"/>
        <v>0</v>
      </c>
      <c r="Y51" s="365" t="s">
        <v>395</v>
      </c>
      <c r="Z51" s="365" t="s">
        <v>316</v>
      </c>
      <c r="AA51" s="366"/>
      <c r="AB51" s="366"/>
      <c r="AC51" s="366">
        <v>1</v>
      </c>
      <c r="AD51" s="441" t="s">
        <v>331</v>
      </c>
      <c r="AF51" s="371">
        <f>SUM(AC49:AC68)</f>
        <v>20</v>
      </c>
      <c r="AG51" s="367">
        <f>SUMIF($Z$49:$Z$68,TRIM(AG50),$AC$49:$AC$68)</f>
        <v>8</v>
      </c>
      <c r="AH51" s="367">
        <f t="shared" ref="AH51:AM51" si="43">SUMIF($Z$49:$Z$68,TRIM(AH50),$AC$49:$AC$68)</f>
        <v>0</v>
      </c>
      <c r="AI51" s="367">
        <f t="shared" si="43"/>
        <v>6</v>
      </c>
      <c r="AJ51" s="367">
        <f t="shared" si="43"/>
        <v>0</v>
      </c>
      <c r="AK51" s="367">
        <f t="shared" si="43"/>
        <v>1</v>
      </c>
      <c r="AL51" s="367">
        <f t="shared" si="43"/>
        <v>5</v>
      </c>
      <c r="AM51" s="367">
        <f t="shared" si="43"/>
        <v>0</v>
      </c>
    </row>
    <row r="52" spans="2:39" s="147" customFormat="1" ht="27" customHeight="1">
      <c r="B52" s="874"/>
      <c r="C52" s="875"/>
      <c r="D52" s="361">
        <v>4</v>
      </c>
      <c r="E52" s="435" t="s">
        <v>561</v>
      </c>
      <c r="F52" s="436">
        <f t="shared" si="30"/>
        <v>1364.5491999999999</v>
      </c>
      <c r="G52" s="364">
        <v>625.93999999999994</v>
      </c>
      <c r="H52" s="437">
        <v>1230.1400000000001</v>
      </c>
      <c r="I52" s="437">
        <v>1230.1400000000001</v>
      </c>
      <c r="J52" s="439">
        <f t="shared" si="31"/>
        <v>1</v>
      </c>
      <c r="K52" s="437">
        <v>1240.17</v>
      </c>
      <c r="L52" s="439">
        <f t="shared" si="32"/>
        <v>1.0081535434991138</v>
      </c>
      <c r="M52" s="438">
        <v>10.029999999999999</v>
      </c>
      <c r="N52" s="439">
        <f t="shared" si="33"/>
        <v>8.1535434991139213E-3</v>
      </c>
      <c r="O52" s="440">
        <f t="shared" si="34"/>
        <v>1250.2</v>
      </c>
      <c r="P52" s="439">
        <f t="shared" si="35"/>
        <v>1.0163070869982278</v>
      </c>
      <c r="Q52" s="437">
        <v>2.1800000000000002</v>
      </c>
      <c r="R52" s="439">
        <f t="shared" si="36"/>
        <v>1.7721560147625473E-3</v>
      </c>
      <c r="S52" s="440">
        <f t="shared" si="37"/>
        <v>20.059999999999945</v>
      </c>
      <c r="T52" s="439">
        <f t="shared" si="38"/>
        <v>1.6307086998227797E-2</v>
      </c>
      <c r="U52" s="363">
        <f t="shared" si="39"/>
        <v>12556.356399999964</v>
      </c>
      <c r="V52" s="451">
        <f t="shared" si="40"/>
        <v>17.879999999999946</v>
      </c>
      <c r="W52" s="452">
        <f t="shared" si="41"/>
        <v>1.4534930983465252E-2</v>
      </c>
      <c r="X52" s="453">
        <f t="shared" si="42"/>
        <v>11191.807199999965</v>
      </c>
      <c r="Y52" s="365" t="s">
        <v>395</v>
      </c>
      <c r="Z52" s="365" t="s">
        <v>316</v>
      </c>
      <c r="AA52" s="366"/>
      <c r="AB52" s="366"/>
      <c r="AC52" s="366">
        <v>1</v>
      </c>
      <c r="AD52" s="441" t="s">
        <v>562</v>
      </c>
      <c r="AF52" s="372" t="s">
        <v>11</v>
      </c>
      <c r="AG52" s="369">
        <f>SUMIF($Z$49:$Z68,TRIM(AG50),$F$49:$F$68)</f>
        <v>6720.1255000000001</v>
      </c>
      <c r="AH52" s="369">
        <f>SUMIF($Z$49:$Z68,TRIM(AH50),$F$49:$F$68)</f>
        <v>0</v>
      </c>
      <c r="AI52" s="369">
        <f>SUMIF($Z$49:$Z68,TRIM(AI50),$F$49:$F$68)</f>
        <v>7400.501400000001</v>
      </c>
      <c r="AJ52" s="369">
        <f>SUMIF($Z$49:$Z68,TRIM(AJ50),$F$49:$F$68)</f>
        <v>0</v>
      </c>
      <c r="AK52" s="369">
        <f>SUMIF($Z$49:$Z68,TRIM(AK50),$F$49:$F$68)</f>
        <v>1203.0288000000003</v>
      </c>
      <c r="AL52" s="369">
        <f>SUMIF($Z$49:$Z68,TRIM(AL50),$F$49:$F$68)</f>
        <v>5438.7682000000013</v>
      </c>
      <c r="AM52" s="369">
        <f>SUMIF($Z$49:$Z68,TRIM(AM50),$F$49:$F$68)</f>
        <v>0</v>
      </c>
    </row>
    <row r="53" spans="2:39" s="147" customFormat="1" ht="27" customHeight="1">
      <c r="B53" s="874"/>
      <c r="C53" s="875"/>
      <c r="D53" s="361">
        <v>5</v>
      </c>
      <c r="E53" s="435" t="s">
        <v>495</v>
      </c>
      <c r="F53" s="436">
        <f t="shared" si="30"/>
        <v>1333.7453999999998</v>
      </c>
      <c r="G53" s="364">
        <v>39.389999999999993</v>
      </c>
      <c r="H53" s="437">
        <v>23524.2</v>
      </c>
      <c r="I53" s="437">
        <v>23524.2</v>
      </c>
      <c r="J53" s="439">
        <f t="shared" si="31"/>
        <v>1</v>
      </c>
      <c r="K53" s="437">
        <v>23637.209999999995</v>
      </c>
      <c r="L53" s="439">
        <f t="shared" si="32"/>
        <v>1.0048039890835818</v>
      </c>
      <c r="M53" s="438">
        <v>113.00999999999999</v>
      </c>
      <c r="N53" s="439">
        <f t="shared" si="33"/>
        <v>4.8039890835820127E-3</v>
      </c>
      <c r="O53" s="440">
        <f t="shared" si="34"/>
        <v>23750.219999999994</v>
      </c>
      <c r="P53" s="439">
        <f t="shared" si="35"/>
        <v>1.0096079781671636</v>
      </c>
      <c r="Q53" s="437">
        <v>33.86</v>
      </c>
      <c r="R53" s="439">
        <f t="shared" si="36"/>
        <v>1.4393688201936729E-3</v>
      </c>
      <c r="S53" s="440">
        <f t="shared" si="37"/>
        <v>226.01999999999316</v>
      </c>
      <c r="T53" s="439">
        <f t="shared" si="38"/>
        <v>9.6079781671637356E-3</v>
      </c>
      <c r="U53" s="363">
        <f t="shared" si="39"/>
        <v>8902.9277999997284</v>
      </c>
      <c r="V53" s="451">
        <f t="shared" si="40"/>
        <v>192.15999999999315</v>
      </c>
      <c r="W53" s="452">
        <f t="shared" si="41"/>
        <v>8.1686093469700623E-3</v>
      </c>
      <c r="X53" s="453">
        <f t="shared" si="42"/>
        <v>7569.1823999997287</v>
      </c>
      <c r="Y53" s="365" t="s">
        <v>395</v>
      </c>
      <c r="Z53" s="365" t="s">
        <v>199</v>
      </c>
      <c r="AA53" s="366"/>
      <c r="AB53" s="366"/>
      <c r="AC53" s="366">
        <v>1</v>
      </c>
      <c r="AD53" s="441" t="s">
        <v>319</v>
      </c>
      <c r="AF53" s="361" t="s">
        <v>516</v>
      </c>
      <c r="AG53" s="442">
        <f>AG51/$AF51</f>
        <v>0.4</v>
      </c>
      <c r="AH53" s="442">
        <f t="shared" ref="AH53:AM53" si="44">AH51/$AF51</f>
        <v>0</v>
      </c>
      <c r="AI53" s="442">
        <f t="shared" si="44"/>
        <v>0.3</v>
      </c>
      <c r="AJ53" s="442">
        <f t="shared" si="44"/>
        <v>0</v>
      </c>
      <c r="AK53" s="442">
        <f t="shared" si="44"/>
        <v>0.05</v>
      </c>
      <c r="AL53" s="442">
        <f t="shared" si="44"/>
        <v>0.25</v>
      </c>
      <c r="AM53" s="442">
        <f t="shared" si="44"/>
        <v>0</v>
      </c>
    </row>
    <row r="54" spans="2:39" s="147" customFormat="1" ht="27" customHeight="1">
      <c r="B54" s="874"/>
      <c r="C54" s="875"/>
      <c r="D54" s="361">
        <v>6</v>
      </c>
      <c r="E54" s="435" t="s">
        <v>434</v>
      </c>
      <c r="F54" s="436">
        <f t="shared" si="30"/>
        <v>1235.4522000000004</v>
      </c>
      <c r="G54" s="364">
        <v>407.74000000000007</v>
      </c>
      <c r="H54" s="437">
        <v>1086.67</v>
      </c>
      <c r="I54" s="437">
        <v>1086.67</v>
      </c>
      <c r="J54" s="439">
        <f t="shared" si="31"/>
        <v>1</v>
      </c>
      <c r="K54" s="437">
        <v>1096.58</v>
      </c>
      <c r="L54" s="439">
        <f t="shared" si="32"/>
        <v>1.0091196039275951</v>
      </c>
      <c r="M54" s="438">
        <v>9.91</v>
      </c>
      <c r="N54" s="439">
        <f t="shared" si="33"/>
        <v>9.1196039275953135E-3</v>
      </c>
      <c r="O54" s="440">
        <f t="shared" si="34"/>
        <v>1106.49</v>
      </c>
      <c r="P54" s="439">
        <f t="shared" si="35"/>
        <v>1.0182392078551905</v>
      </c>
      <c r="Q54" s="437">
        <v>3.0300000000000002</v>
      </c>
      <c r="R54" s="439">
        <f t="shared" si="36"/>
        <v>2.7883350051073463E-3</v>
      </c>
      <c r="S54" s="440">
        <f t="shared" si="37"/>
        <v>19.819999999999936</v>
      </c>
      <c r="T54" s="439">
        <f t="shared" si="38"/>
        <v>1.8239207855190568E-2</v>
      </c>
      <c r="U54" s="363">
        <f t="shared" si="39"/>
        <v>8081.4067999999752</v>
      </c>
      <c r="V54" s="451">
        <f t="shared" si="40"/>
        <v>16.789999999999935</v>
      </c>
      <c r="W54" s="452">
        <f t="shared" si="41"/>
        <v>1.5450872850083222E-2</v>
      </c>
      <c r="X54" s="453">
        <f t="shared" si="42"/>
        <v>6845.9545999999746</v>
      </c>
      <c r="Y54" s="365" t="s">
        <v>395</v>
      </c>
      <c r="Z54" s="365" t="s">
        <v>316</v>
      </c>
      <c r="AA54" s="366"/>
      <c r="AB54" s="366"/>
      <c r="AC54" s="366">
        <v>1</v>
      </c>
      <c r="AD54" s="441" t="s">
        <v>436</v>
      </c>
    </row>
    <row r="55" spans="2:39" s="147" customFormat="1" ht="27" customHeight="1">
      <c r="B55" s="874"/>
      <c r="C55" s="875"/>
      <c r="D55" s="361">
        <v>7</v>
      </c>
      <c r="E55" s="435" t="s">
        <v>315</v>
      </c>
      <c r="F55" s="436">
        <f t="shared" si="30"/>
        <v>1203.0288000000003</v>
      </c>
      <c r="G55" s="364">
        <v>147.43000000000004</v>
      </c>
      <c r="H55" s="437">
        <v>3326.3900000000003</v>
      </c>
      <c r="I55" s="437">
        <v>3326.3900000000003</v>
      </c>
      <c r="J55" s="439">
        <f t="shared" si="31"/>
        <v>1</v>
      </c>
      <c r="K55" s="437">
        <v>3377.87</v>
      </c>
      <c r="L55" s="439">
        <f t="shared" si="32"/>
        <v>1.0154762370016743</v>
      </c>
      <c r="M55" s="438">
        <v>51.47999999999999</v>
      </c>
      <c r="N55" s="439">
        <f t="shared" si="33"/>
        <v>1.5476237001674484E-2</v>
      </c>
      <c r="O55" s="440">
        <f t="shared" si="34"/>
        <v>3429.35</v>
      </c>
      <c r="P55" s="439">
        <f t="shared" si="35"/>
        <v>1.0309524740033489</v>
      </c>
      <c r="Q55" s="437">
        <v>8.16</v>
      </c>
      <c r="R55" s="439">
        <f t="shared" si="36"/>
        <v>2.4531098277712471E-3</v>
      </c>
      <c r="S55" s="440">
        <f t="shared" si="37"/>
        <v>102.95999999999958</v>
      </c>
      <c r="T55" s="439">
        <f t="shared" si="38"/>
        <v>3.0952474003348846E-2</v>
      </c>
      <c r="U55" s="363">
        <f t="shared" si="39"/>
        <v>15179.392799999941</v>
      </c>
      <c r="V55" s="451">
        <f t="shared" si="40"/>
        <v>94.799999999999585</v>
      </c>
      <c r="W55" s="452">
        <f t="shared" si="41"/>
        <v>2.84993641755776E-2</v>
      </c>
      <c r="X55" s="453">
        <f t="shared" si="42"/>
        <v>13976.363999999941</v>
      </c>
      <c r="Y55" s="365" t="s">
        <v>395</v>
      </c>
      <c r="Z55" s="365" t="s">
        <v>198</v>
      </c>
      <c r="AA55" s="366"/>
      <c r="AB55" s="366"/>
      <c r="AC55" s="366">
        <v>1</v>
      </c>
      <c r="AD55" s="441" t="s">
        <v>319</v>
      </c>
    </row>
    <row r="56" spans="2:39" s="147" customFormat="1" ht="27" customHeight="1">
      <c r="B56" s="874"/>
      <c r="C56" s="875"/>
      <c r="D56" s="361">
        <v>8</v>
      </c>
      <c r="E56" s="435" t="s">
        <v>364</v>
      </c>
      <c r="F56" s="436">
        <f t="shared" si="30"/>
        <v>1034.2256000000002</v>
      </c>
      <c r="G56" s="364">
        <v>127.84000000000002</v>
      </c>
      <c r="H56" s="437">
        <v>2934.47</v>
      </c>
      <c r="I56" s="437">
        <v>2934.47</v>
      </c>
      <c r="J56" s="439">
        <f t="shared" si="31"/>
        <v>1</v>
      </c>
      <c r="K56" s="437">
        <v>2976.39</v>
      </c>
      <c r="L56" s="439">
        <f t="shared" si="32"/>
        <v>1.0142853735086745</v>
      </c>
      <c r="M56" s="438">
        <v>41.92</v>
      </c>
      <c r="N56" s="439">
        <f t="shared" si="33"/>
        <v>1.4285373508674482E-2</v>
      </c>
      <c r="O56" s="440">
        <f t="shared" si="34"/>
        <v>3018.31</v>
      </c>
      <c r="P56" s="439">
        <f t="shared" si="35"/>
        <v>1.0285707470173491</v>
      </c>
      <c r="Q56" s="437">
        <v>8.09</v>
      </c>
      <c r="R56" s="439">
        <f t="shared" si="36"/>
        <v>2.7568862520318833E-3</v>
      </c>
      <c r="S56" s="440">
        <f t="shared" si="37"/>
        <v>83.840000000000146</v>
      </c>
      <c r="T56" s="439">
        <f t="shared" si="38"/>
        <v>2.8570747017349012E-2</v>
      </c>
      <c r="U56" s="363">
        <f t="shared" si="39"/>
        <v>10718.105600000021</v>
      </c>
      <c r="V56" s="451">
        <f t="shared" si="40"/>
        <v>75.750000000000142</v>
      </c>
      <c r="W56" s="452">
        <f t="shared" si="41"/>
        <v>2.5813860765317127E-2</v>
      </c>
      <c r="X56" s="453">
        <f t="shared" si="42"/>
        <v>9683.8800000000192</v>
      </c>
      <c r="Y56" s="365" t="s">
        <v>395</v>
      </c>
      <c r="Z56" s="365" t="s">
        <v>421</v>
      </c>
      <c r="AA56" s="366"/>
      <c r="AB56" s="366"/>
      <c r="AC56" s="366">
        <v>1</v>
      </c>
      <c r="AD56" s="441" t="s">
        <v>319</v>
      </c>
    </row>
    <row r="57" spans="2:39" s="147" customFormat="1" ht="27" customHeight="1">
      <c r="B57" s="874"/>
      <c r="C57" s="875"/>
      <c r="D57" s="361">
        <v>9</v>
      </c>
      <c r="E57" s="435" t="s">
        <v>565</v>
      </c>
      <c r="F57" s="436">
        <f t="shared" si="30"/>
        <v>1028.3229000000001</v>
      </c>
      <c r="G57" s="364">
        <v>426.69</v>
      </c>
      <c r="H57" s="437">
        <v>1283.5899999999999</v>
      </c>
      <c r="I57" s="437">
        <v>1283.5899999999999</v>
      </c>
      <c r="J57" s="439">
        <f t="shared" si="31"/>
        <v>1</v>
      </c>
      <c r="K57" s="437">
        <v>1295.1600000000001</v>
      </c>
      <c r="L57" s="439">
        <f t="shared" si="32"/>
        <v>1.0090137816592526</v>
      </c>
      <c r="M57" s="438">
        <v>11.57</v>
      </c>
      <c r="N57" s="439">
        <f t="shared" si="33"/>
        <v>9.013781659252566E-3</v>
      </c>
      <c r="O57" s="440">
        <f t="shared" si="34"/>
        <v>1306.73</v>
      </c>
      <c r="P57" s="439">
        <f t="shared" si="35"/>
        <v>1.0180275633185052</v>
      </c>
      <c r="Q57" s="437">
        <v>2.41</v>
      </c>
      <c r="R57" s="439">
        <f t="shared" si="36"/>
        <v>1.8775465686083565E-3</v>
      </c>
      <c r="S57" s="440">
        <f t="shared" si="37"/>
        <v>23.1400000000001</v>
      </c>
      <c r="T57" s="439">
        <f t="shared" si="38"/>
        <v>1.8027563318505208E-2</v>
      </c>
      <c r="U57" s="363">
        <f t="shared" si="39"/>
        <v>9873.6066000000428</v>
      </c>
      <c r="V57" s="451">
        <f t="shared" si="40"/>
        <v>20.7300000000001</v>
      </c>
      <c r="W57" s="452">
        <f t="shared" si="41"/>
        <v>1.6150016749896853E-2</v>
      </c>
      <c r="X57" s="453">
        <f t="shared" si="42"/>
        <v>8845.2837000000418</v>
      </c>
      <c r="Y57" s="365" t="s">
        <v>395</v>
      </c>
      <c r="Z57" s="365" t="s">
        <v>421</v>
      </c>
      <c r="AA57" s="366"/>
      <c r="AB57" s="377"/>
      <c r="AC57" s="366">
        <v>1</v>
      </c>
      <c r="AD57" s="441" t="s">
        <v>336</v>
      </c>
      <c r="AH57" s="368"/>
    </row>
    <row r="58" spans="2:39" s="147" customFormat="1" ht="27" customHeight="1">
      <c r="B58" s="874"/>
      <c r="C58" s="875"/>
      <c r="D58" s="361">
        <v>10</v>
      </c>
      <c r="E58" s="435" t="s">
        <v>691</v>
      </c>
      <c r="F58" s="436">
        <f t="shared" si="30"/>
        <v>908.93360000000007</v>
      </c>
      <c r="G58" s="364">
        <v>48.920000000000009</v>
      </c>
      <c r="H58" s="437">
        <v>3060.7100000000005</v>
      </c>
      <c r="I58" s="437">
        <v>3060.7100000000005</v>
      </c>
      <c r="J58" s="439">
        <f t="shared" si="31"/>
        <v>1</v>
      </c>
      <c r="K58" s="437">
        <v>3109.18</v>
      </c>
      <c r="L58" s="439">
        <f t="shared" si="32"/>
        <v>1.0158361948698176</v>
      </c>
      <c r="M58" s="438">
        <v>48.47</v>
      </c>
      <c r="N58" s="439">
        <f t="shared" si="33"/>
        <v>1.5836194869817785E-2</v>
      </c>
      <c r="O58" s="440">
        <f t="shared" si="34"/>
        <v>3157.6499999999996</v>
      </c>
      <c r="P58" s="439">
        <f t="shared" si="35"/>
        <v>1.0316723897396354</v>
      </c>
      <c r="Q58" s="437">
        <v>18.579999999999998</v>
      </c>
      <c r="R58" s="439">
        <f t="shared" si="36"/>
        <v>6.070486913167205E-3</v>
      </c>
      <c r="S58" s="440">
        <f t="shared" si="37"/>
        <v>96.939999999999145</v>
      </c>
      <c r="T58" s="439">
        <f t="shared" si="38"/>
        <v>3.1672389739635293E-2</v>
      </c>
      <c r="U58" s="363">
        <f t="shared" si="39"/>
        <v>4742.304799999959</v>
      </c>
      <c r="V58" s="451">
        <f t="shared" si="40"/>
        <v>78.359999999999147</v>
      </c>
      <c r="W58" s="452">
        <f t="shared" si="41"/>
        <v>2.5601902826468084E-2</v>
      </c>
      <c r="X58" s="453">
        <f t="shared" si="42"/>
        <v>3833.3711999999591</v>
      </c>
      <c r="Y58" s="365" t="s">
        <v>395</v>
      </c>
      <c r="Z58" s="365" t="s">
        <v>199</v>
      </c>
      <c r="AA58" s="366"/>
      <c r="AB58" s="366"/>
      <c r="AC58" s="366">
        <v>1</v>
      </c>
      <c r="AD58" s="441" t="s">
        <v>690</v>
      </c>
      <c r="AH58" s="368"/>
    </row>
    <row r="59" spans="2:39" s="147" customFormat="1" ht="27" customHeight="1">
      <c r="B59" s="874"/>
      <c r="C59" s="875"/>
      <c r="D59" s="361">
        <v>11</v>
      </c>
      <c r="E59" s="435" t="s">
        <v>547</v>
      </c>
      <c r="F59" s="436">
        <f t="shared" si="30"/>
        <v>865.904</v>
      </c>
      <c r="G59" s="364">
        <v>144.79999999999998</v>
      </c>
      <c r="H59" s="437">
        <v>1605.5700000000002</v>
      </c>
      <c r="I59" s="437">
        <v>1605.5700000000002</v>
      </c>
      <c r="J59" s="439">
        <f t="shared" si="31"/>
        <v>1</v>
      </c>
      <c r="K59" s="437">
        <v>1631.0199999999998</v>
      </c>
      <c r="L59" s="439">
        <f t="shared" si="32"/>
        <v>1.0158510684678959</v>
      </c>
      <c r="M59" s="438">
        <v>25.450000000000003</v>
      </c>
      <c r="N59" s="439">
        <f t="shared" si="33"/>
        <v>1.5851068467896138E-2</v>
      </c>
      <c r="O59" s="440">
        <f t="shared" si="34"/>
        <v>1656.4699999999998</v>
      </c>
      <c r="P59" s="439">
        <f t="shared" si="35"/>
        <v>1.0317021369357919</v>
      </c>
      <c r="Q59" s="437">
        <v>5.98</v>
      </c>
      <c r="R59" s="439">
        <f t="shared" si="36"/>
        <v>3.7245339661304082E-3</v>
      </c>
      <c r="S59" s="440">
        <f t="shared" si="37"/>
        <v>50.899999999999636</v>
      </c>
      <c r="T59" s="439">
        <f t="shared" si="38"/>
        <v>3.170213693579204E-2</v>
      </c>
      <c r="U59" s="363">
        <f t="shared" si="39"/>
        <v>7370.319999999946</v>
      </c>
      <c r="V59" s="451">
        <f t="shared" si="40"/>
        <v>44.919999999999632</v>
      </c>
      <c r="W59" s="452">
        <f t="shared" si="41"/>
        <v>2.7977602969661633E-2</v>
      </c>
      <c r="X59" s="453">
        <f t="shared" si="42"/>
        <v>6504.4159999999456</v>
      </c>
      <c r="Y59" s="365" t="s">
        <v>395</v>
      </c>
      <c r="Z59" s="365" t="s">
        <v>421</v>
      </c>
      <c r="AA59" s="366"/>
      <c r="AB59" s="366"/>
      <c r="AC59" s="366">
        <v>1</v>
      </c>
      <c r="AD59" s="441" t="s">
        <v>319</v>
      </c>
      <c r="AH59" s="368"/>
    </row>
    <row r="60" spans="2:39" s="147" customFormat="1" ht="26.25" customHeight="1">
      <c r="B60" s="874"/>
      <c r="C60" s="875"/>
      <c r="D60" s="361">
        <v>12</v>
      </c>
      <c r="E60" s="435" t="s">
        <v>526</v>
      </c>
      <c r="F60" s="436">
        <f t="shared" si="30"/>
        <v>799.92000000000007</v>
      </c>
      <c r="G60" s="364">
        <v>24.240000000000002</v>
      </c>
      <c r="H60" s="437">
        <v>20754</v>
      </c>
      <c r="I60" s="437">
        <v>20754</v>
      </c>
      <c r="J60" s="439">
        <f t="shared" si="31"/>
        <v>1</v>
      </c>
      <c r="K60" s="437">
        <v>20787</v>
      </c>
      <c r="L60" s="439">
        <f t="shared" si="32"/>
        <v>1.0015900549291703</v>
      </c>
      <c r="M60" s="438">
        <v>0</v>
      </c>
      <c r="N60" s="439">
        <f t="shared" si="33"/>
        <v>0</v>
      </c>
      <c r="O60" s="440">
        <f t="shared" si="34"/>
        <v>20787</v>
      </c>
      <c r="P60" s="439">
        <f t="shared" si="35"/>
        <v>1.0015900549291703</v>
      </c>
      <c r="Q60" s="437">
        <v>33</v>
      </c>
      <c r="R60" s="439">
        <f t="shared" si="36"/>
        <v>1.5900549291702805E-3</v>
      </c>
      <c r="S60" s="440">
        <f t="shared" si="37"/>
        <v>33</v>
      </c>
      <c r="T60" s="439">
        <f t="shared" si="38"/>
        <v>1.5900549291702805E-3</v>
      </c>
      <c r="U60" s="363">
        <f t="shared" si="39"/>
        <v>799.92000000000007</v>
      </c>
      <c r="V60" s="451">
        <f t="shared" si="40"/>
        <v>0</v>
      </c>
      <c r="W60" s="452">
        <f t="shared" si="41"/>
        <v>0</v>
      </c>
      <c r="X60" s="453">
        <f t="shared" si="42"/>
        <v>0</v>
      </c>
      <c r="Y60" s="365" t="s">
        <v>395</v>
      </c>
      <c r="Z60" s="365" t="s">
        <v>316</v>
      </c>
      <c r="AA60" s="366"/>
      <c r="AB60" s="366"/>
      <c r="AC60" s="366">
        <v>1</v>
      </c>
      <c r="AD60" s="441" t="s">
        <v>525</v>
      </c>
      <c r="AH60" s="368"/>
    </row>
    <row r="61" spans="2:39" s="147" customFormat="1" ht="27" customHeight="1">
      <c r="B61" s="874"/>
      <c r="C61" s="875"/>
      <c r="D61" s="361">
        <v>13</v>
      </c>
      <c r="E61" s="435" t="s">
        <v>435</v>
      </c>
      <c r="F61" s="436">
        <f t="shared" ref="F61:F67" si="45">IFERROR(Q61*G61,"-")</f>
        <v>796.03039999999999</v>
      </c>
      <c r="G61" s="364">
        <v>160.49</v>
      </c>
      <c r="H61" s="437">
        <v>640.42999999999995</v>
      </c>
      <c r="I61" s="437">
        <v>640.42999999999995</v>
      </c>
      <c r="J61" s="439">
        <f t="shared" ref="J61:J67" si="46">IFERROR(I61/H61,"-")</f>
        <v>1</v>
      </c>
      <c r="K61" s="437">
        <v>656.09</v>
      </c>
      <c r="L61" s="439">
        <f t="shared" ref="L61:L67" si="47">IFERROR(K61/H61,"-")</f>
        <v>1.0244523210967633</v>
      </c>
      <c r="M61" s="438">
        <v>15.659999999999998</v>
      </c>
      <c r="N61" s="439">
        <f t="shared" ref="N61:N67" si="48">IFERROR(M61/H61,"-")</f>
        <v>2.445232109676311E-2</v>
      </c>
      <c r="O61" s="440">
        <f t="shared" ref="O61:O67" si="49">IFERROR(K61+M61,"-")</f>
        <v>671.75</v>
      </c>
      <c r="P61" s="439">
        <f t="shared" ref="P61:P67" si="50">IFERROR(O61/H61,"-")</f>
        <v>1.0489046421935264</v>
      </c>
      <c r="Q61" s="437">
        <v>4.96</v>
      </c>
      <c r="R61" s="439">
        <f t="shared" ref="R61:R67" si="51">IFERROR(Q61/H61,"-")</f>
        <v>7.7447964648751626E-3</v>
      </c>
      <c r="S61" s="440">
        <f t="shared" ref="S61:S67" si="52">IFERROR(O61-H61,"-")</f>
        <v>31.32000000000005</v>
      </c>
      <c r="T61" s="439">
        <f t="shared" ref="T61:T67" si="53">IFERROR(S61/H61,"-")</f>
        <v>4.8904642193526304E-2</v>
      </c>
      <c r="U61" s="363">
        <f t="shared" ref="U61:U67" si="54">IFERROR(S61*G61,"-")</f>
        <v>5026.5468000000083</v>
      </c>
      <c r="V61" s="451">
        <f t="shared" ref="V61:V67" si="55">S61-Q61</f>
        <v>26.360000000000049</v>
      </c>
      <c r="W61" s="452">
        <f t="shared" ref="W61:W67" si="56">IFERROR(V61/H61,"-")</f>
        <v>4.115984572865114E-2</v>
      </c>
      <c r="X61" s="453">
        <f t="shared" ref="X61:X67" si="57">IFERROR(V61*G61,"-")</f>
        <v>4230.5164000000077</v>
      </c>
      <c r="Y61" s="365" t="s">
        <v>395</v>
      </c>
      <c r="Z61" s="365" t="s">
        <v>421</v>
      </c>
      <c r="AA61" s="365"/>
      <c r="AB61" s="366"/>
      <c r="AC61" s="366">
        <v>1</v>
      </c>
      <c r="AD61" s="441" t="s">
        <v>411</v>
      </c>
    </row>
    <row r="62" spans="2:39" s="147" customFormat="1" ht="27" customHeight="1">
      <c r="B62" s="874"/>
      <c r="C62" s="875"/>
      <c r="D62" s="361">
        <v>14</v>
      </c>
      <c r="E62" s="435" t="s">
        <v>592</v>
      </c>
      <c r="F62" s="436">
        <f t="shared" si="45"/>
        <v>779.71920000000011</v>
      </c>
      <c r="G62" s="364">
        <v>52.26</v>
      </c>
      <c r="H62" s="437">
        <v>4800.18</v>
      </c>
      <c r="I62" s="437">
        <v>4800.18</v>
      </c>
      <c r="J62" s="439">
        <f t="shared" si="46"/>
        <v>1</v>
      </c>
      <c r="K62" s="437">
        <v>4877.1499999999996</v>
      </c>
      <c r="L62" s="439">
        <f t="shared" si="47"/>
        <v>1.0160348153610905</v>
      </c>
      <c r="M62" s="438">
        <v>76.97</v>
      </c>
      <c r="N62" s="439">
        <f t="shared" si="48"/>
        <v>1.6034815361090624E-2</v>
      </c>
      <c r="O62" s="440">
        <f t="shared" si="49"/>
        <v>4954.12</v>
      </c>
      <c r="P62" s="439">
        <f t="shared" si="50"/>
        <v>1.0320696307221813</v>
      </c>
      <c r="Q62" s="437">
        <v>14.920000000000002</v>
      </c>
      <c r="R62" s="439">
        <f t="shared" si="51"/>
        <v>3.1082167752042632E-3</v>
      </c>
      <c r="S62" s="440">
        <f t="shared" si="52"/>
        <v>153.9399999999996</v>
      </c>
      <c r="T62" s="439">
        <f t="shared" si="53"/>
        <v>3.2069630722181164E-2</v>
      </c>
      <c r="U62" s="363">
        <f t="shared" si="54"/>
        <v>8044.9043999999785</v>
      </c>
      <c r="V62" s="451">
        <f t="shared" si="55"/>
        <v>139.01999999999958</v>
      </c>
      <c r="W62" s="452">
        <f t="shared" si="56"/>
        <v>2.8961413946976901E-2</v>
      </c>
      <c r="X62" s="453">
        <f>IFERROR(V62*G62,"-")</f>
        <v>7265.1851999999781</v>
      </c>
      <c r="Y62" s="365" t="s">
        <v>395</v>
      </c>
      <c r="Z62" s="365" t="s">
        <v>199</v>
      </c>
      <c r="AA62" s="366"/>
      <c r="AB62" s="366"/>
      <c r="AC62" s="366">
        <v>1</v>
      </c>
      <c r="AD62" s="441" t="s">
        <v>581</v>
      </c>
    </row>
    <row r="63" spans="2:39" s="147" customFormat="1" ht="27" customHeight="1">
      <c r="B63" s="874"/>
      <c r="C63" s="875"/>
      <c r="D63" s="361">
        <v>15</v>
      </c>
      <c r="E63" s="435" t="s">
        <v>714</v>
      </c>
      <c r="F63" s="436">
        <f t="shared" si="45"/>
        <v>751.33199999999988</v>
      </c>
      <c r="G63" s="364">
        <v>294.63999999999993</v>
      </c>
      <c r="H63" s="437">
        <v>199.19</v>
      </c>
      <c r="I63" s="437">
        <v>199.19</v>
      </c>
      <c r="J63" s="439">
        <f t="shared" si="46"/>
        <v>1</v>
      </c>
      <c r="K63" s="437">
        <v>204.12</v>
      </c>
      <c r="L63" s="439">
        <f t="shared" si="47"/>
        <v>1.0247502384657865</v>
      </c>
      <c r="M63" s="438">
        <v>4.93</v>
      </c>
      <c r="N63" s="439">
        <f t="shared" si="48"/>
        <v>2.4750238465786435E-2</v>
      </c>
      <c r="O63" s="440">
        <f t="shared" si="49"/>
        <v>209.05</v>
      </c>
      <c r="P63" s="439">
        <f t="shared" si="50"/>
        <v>1.049500476931573</v>
      </c>
      <c r="Q63" s="437">
        <v>2.5500000000000003</v>
      </c>
      <c r="R63" s="439">
        <f t="shared" si="51"/>
        <v>1.2801847482303329E-2</v>
      </c>
      <c r="S63" s="440">
        <f t="shared" si="52"/>
        <v>9.8600000000000136</v>
      </c>
      <c r="T63" s="439">
        <f t="shared" si="53"/>
        <v>4.9500476931572938E-2</v>
      </c>
      <c r="U63" s="363">
        <f t="shared" si="54"/>
        <v>2905.1504000000032</v>
      </c>
      <c r="V63" s="451">
        <f t="shared" si="55"/>
        <v>7.3100000000000129</v>
      </c>
      <c r="W63" s="452">
        <f t="shared" si="56"/>
        <v>3.6698629449269604E-2</v>
      </c>
      <c r="X63" s="453">
        <f t="shared" si="57"/>
        <v>2153.8184000000033</v>
      </c>
      <c r="Y63" s="365" t="s">
        <v>395</v>
      </c>
      <c r="Z63" s="365" t="s">
        <v>421</v>
      </c>
      <c r="AA63" s="377"/>
      <c r="AB63" s="366"/>
      <c r="AC63" s="366">
        <v>1</v>
      </c>
      <c r="AD63" s="441" t="s">
        <v>716</v>
      </c>
    </row>
    <row r="64" spans="2:39" s="147" customFormat="1" ht="27" customHeight="1">
      <c r="B64" s="874"/>
      <c r="C64" s="875"/>
      <c r="D64" s="361">
        <v>16</v>
      </c>
      <c r="E64" s="435" t="s">
        <v>532</v>
      </c>
      <c r="F64" s="436">
        <f t="shared" si="45"/>
        <v>748.96</v>
      </c>
      <c r="G64" s="364">
        <v>6.04</v>
      </c>
      <c r="H64" s="437">
        <v>5347</v>
      </c>
      <c r="I64" s="437">
        <v>5347</v>
      </c>
      <c r="J64" s="439">
        <f t="shared" si="46"/>
        <v>1</v>
      </c>
      <c r="K64" s="437">
        <v>5471</v>
      </c>
      <c r="L64" s="439">
        <f t="shared" si="47"/>
        <v>1.023190574153731</v>
      </c>
      <c r="M64" s="438">
        <v>0</v>
      </c>
      <c r="N64" s="439">
        <f t="shared" si="48"/>
        <v>0</v>
      </c>
      <c r="O64" s="440">
        <f t="shared" si="49"/>
        <v>5471</v>
      </c>
      <c r="P64" s="439">
        <f t="shared" si="50"/>
        <v>1.023190574153731</v>
      </c>
      <c r="Q64" s="437">
        <v>124</v>
      </c>
      <c r="R64" s="439">
        <f t="shared" si="51"/>
        <v>2.3190574153731065E-2</v>
      </c>
      <c r="S64" s="440">
        <f t="shared" si="52"/>
        <v>124</v>
      </c>
      <c r="T64" s="439">
        <f t="shared" si="53"/>
        <v>2.3190574153731065E-2</v>
      </c>
      <c r="U64" s="363">
        <f t="shared" si="54"/>
        <v>748.96</v>
      </c>
      <c r="V64" s="451">
        <f t="shared" si="55"/>
        <v>0</v>
      </c>
      <c r="W64" s="452">
        <f t="shared" si="56"/>
        <v>0</v>
      </c>
      <c r="X64" s="453">
        <f t="shared" si="57"/>
        <v>0</v>
      </c>
      <c r="Y64" s="365" t="s">
        <v>395</v>
      </c>
      <c r="Z64" s="365" t="s">
        <v>316</v>
      </c>
      <c r="AA64" s="366"/>
      <c r="AB64" s="366"/>
      <c r="AC64" s="366">
        <v>1</v>
      </c>
      <c r="AD64" s="441" t="s">
        <v>471</v>
      </c>
    </row>
    <row r="65" spans="2:39" s="147" customFormat="1" ht="27" customHeight="1">
      <c r="B65" s="874"/>
      <c r="C65" s="875"/>
      <c r="D65" s="361">
        <v>17</v>
      </c>
      <c r="E65" s="435" t="s">
        <v>556</v>
      </c>
      <c r="F65" s="436">
        <f t="shared" si="45"/>
        <v>748.55520000000001</v>
      </c>
      <c r="G65" s="364">
        <v>108.96000000000001</v>
      </c>
      <c r="H65" s="437">
        <v>250.73</v>
      </c>
      <c r="I65" s="437">
        <v>250.73</v>
      </c>
      <c r="J65" s="439">
        <f t="shared" si="46"/>
        <v>1</v>
      </c>
      <c r="K65" s="437">
        <v>260.8</v>
      </c>
      <c r="L65" s="439">
        <f t="shared" si="47"/>
        <v>1.0401627248434573</v>
      </c>
      <c r="M65" s="438">
        <v>10.069999999999999</v>
      </c>
      <c r="N65" s="439">
        <f t="shared" si="48"/>
        <v>4.01627248434571E-2</v>
      </c>
      <c r="O65" s="440">
        <f t="shared" si="49"/>
        <v>270.87</v>
      </c>
      <c r="P65" s="439">
        <f t="shared" si="50"/>
        <v>1.0803254496869144</v>
      </c>
      <c r="Q65" s="437">
        <v>6.8699999999999992</v>
      </c>
      <c r="R65" s="439">
        <f t="shared" si="51"/>
        <v>2.7399992023291984E-2</v>
      </c>
      <c r="S65" s="440">
        <f t="shared" si="52"/>
        <v>20.140000000000015</v>
      </c>
      <c r="T65" s="439">
        <f t="shared" si="53"/>
        <v>8.0325449686914269E-2</v>
      </c>
      <c r="U65" s="363">
        <f t="shared" si="54"/>
        <v>2194.4544000000019</v>
      </c>
      <c r="V65" s="451">
        <f t="shared" si="55"/>
        <v>13.270000000000016</v>
      </c>
      <c r="W65" s="452">
        <f t="shared" si="56"/>
        <v>5.2925457663622284E-2</v>
      </c>
      <c r="X65" s="453">
        <f t="shared" si="57"/>
        <v>1445.8992000000019</v>
      </c>
      <c r="Y65" s="365" t="s">
        <v>395</v>
      </c>
      <c r="Z65" s="365" t="s">
        <v>421</v>
      </c>
      <c r="AA65" s="377"/>
      <c r="AB65" s="366"/>
      <c r="AC65" s="366">
        <v>1</v>
      </c>
      <c r="AD65" s="441" t="s">
        <v>551</v>
      </c>
    </row>
    <row r="66" spans="2:39" s="147" customFormat="1" ht="27" customHeight="1">
      <c r="B66" s="874"/>
      <c r="C66" s="875"/>
      <c r="D66" s="361">
        <v>18</v>
      </c>
      <c r="E66" s="435" t="s">
        <v>527</v>
      </c>
      <c r="F66" s="436">
        <f t="shared" si="45"/>
        <v>748.01440000000025</v>
      </c>
      <c r="G66" s="364">
        <v>113.68000000000004</v>
      </c>
      <c r="H66" s="437">
        <v>1015.9</v>
      </c>
      <c r="I66" s="437">
        <v>1015.9</v>
      </c>
      <c r="J66" s="439">
        <f t="shared" si="46"/>
        <v>1</v>
      </c>
      <c r="K66" s="437">
        <v>1041.69</v>
      </c>
      <c r="L66" s="439">
        <f t="shared" si="47"/>
        <v>1.0253863569248942</v>
      </c>
      <c r="M66" s="438">
        <v>25.79</v>
      </c>
      <c r="N66" s="439">
        <f t="shared" si="48"/>
        <v>2.5386356924894181E-2</v>
      </c>
      <c r="O66" s="440">
        <f t="shared" si="49"/>
        <v>1067.48</v>
      </c>
      <c r="P66" s="439">
        <f t="shared" si="50"/>
        <v>1.0507727138497884</v>
      </c>
      <c r="Q66" s="437">
        <v>6.58</v>
      </c>
      <c r="R66" s="439">
        <f t="shared" si="51"/>
        <v>6.4770154542769963E-3</v>
      </c>
      <c r="S66" s="440">
        <f t="shared" si="52"/>
        <v>51.580000000000041</v>
      </c>
      <c r="T66" s="439">
        <f t="shared" si="53"/>
        <v>5.0772713849788403E-2</v>
      </c>
      <c r="U66" s="363">
        <f t="shared" si="54"/>
        <v>5863.6144000000068</v>
      </c>
      <c r="V66" s="451">
        <f t="shared" si="55"/>
        <v>45.000000000000043</v>
      </c>
      <c r="W66" s="452">
        <f t="shared" si="56"/>
        <v>4.429569839551141E-2</v>
      </c>
      <c r="X66" s="453">
        <f t="shared" si="57"/>
        <v>5115.6000000000067</v>
      </c>
      <c r="Y66" s="365" t="s">
        <v>395</v>
      </c>
      <c r="Z66" s="365" t="s">
        <v>421</v>
      </c>
      <c r="AA66" s="366"/>
      <c r="AB66" s="366"/>
      <c r="AC66" s="366">
        <v>1</v>
      </c>
      <c r="AD66" s="441" t="s">
        <v>518</v>
      </c>
    </row>
    <row r="67" spans="2:39" s="147" customFormat="1" ht="27" customHeight="1">
      <c r="B67" s="874"/>
      <c r="C67" s="875"/>
      <c r="D67" s="361">
        <v>19</v>
      </c>
      <c r="E67" s="435" t="s">
        <v>715</v>
      </c>
      <c r="F67" s="436">
        <f t="shared" si="45"/>
        <v>747.77000000000021</v>
      </c>
      <c r="G67" s="364">
        <v>40.420000000000009</v>
      </c>
      <c r="H67" s="437">
        <v>1253.7</v>
      </c>
      <c r="I67" s="437">
        <v>1253.7</v>
      </c>
      <c r="J67" s="439">
        <f t="shared" si="46"/>
        <v>1</v>
      </c>
      <c r="K67" s="437">
        <v>1305.08</v>
      </c>
      <c r="L67" s="439">
        <f t="shared" si="47"/>
        <v>1.0409826912339475</v>
      </c>
      <c r="M67" s="438">
        <v>51.38</v>
      </c>
      <c r="N67" s="439">
        <f t="shared" si="48"/>
        <v>4.0982691233947516E-2</v>
      </c>
      <c r="O67" s="440">
        <f t="shared" si="49"/>
        <v>1356.46</v>
      </c>
      <c r="P67" s="439">
        <f t="shared" si="50"/>
        <v>1.081965382467895</v>
      </c>
      <c r="Q67" s="437">
        <v>18.5</v>
      </c>
      <c r="R67" s="439">
        <f t="shared" si="51"/>
        <v>1.4756321288984605E-2</v>
      </c>
      <c r="S67" s="440">
        <f t="shared" si="52"/>
        <v>102.75999999999999</v>
      </c>
      <c r="T67" s="439">
        <f t="shared" si="53"/>
        <v>8.1965382467895018E-2</v>
      </c>
      <c r="U67" s="363">
        <f t="shared" si="54"/>
        <v>4153.5592000000006</v>
      </c>
      <c r="V67" s="451">
        <f t="shared" si="55"/>
        <v>84.259999999999991</v>
      </c>
      <c r="W67" s="452">
        <f t="shared" si="56"/>
        <v>6.7209061178910415E-2</v>
      </c>
      <c r="X67" s="453">
        <f t="shared" si="57"/>
        <v>3405.7892000000002</v>
      </c>
      <c r="Y67" s="365" t="s">
        <v>395</v>
      </c>
      <c r="Z67" s="365" t="s">
        <v>199</v>
      </c>
      <c r="AA67" s="366"/>
      <c r="AB67" s="366"/>
      <c r="AC67" s="366">
        <v>1</v>
      </c>
      <c r="AD67" s="441" t="s">
        <v>551</v>
      </c>
    </row>
    <row r="68" spans="2:39" s="147" customFormat="1" ht="27" customHeight="1">
      <c r="B68" s="876"/>
      <c r="C68" s="877"/>
      <c r="D68" s="361">
        <v>20</v>
      </c>
      <c r="E68" s="435" t="s">
        <v>717</v>
      </c>
      <c r="F68" s="436">
        <f t="shared" si="30"/>
        <v>747.7410000000001</v>
      </c>
      <c r="G68" s="364">
        <v>84.3</v>
      </c>
      <c r="H68" s="437">
        <v>1168.82</v>
      </c>
      <c r="I68" s="437">
        <v>1168.82</v>
      </c>
      <c r="J68" s="439">
        <f t="shared" si="31"/>
        <v>1</v>
      </c>
      <c r="K68" s="437">
        <v>1198.23</v>
      </c>
      <c r="L68" s="439">
        <f t="shared" si="32"/>
        <v>1.0251621293270137</v>
      </c>
      <c r="M68" s="438">
        <v>29.410000000000004</v>
      </c>
      <c r="N68" s="439">
        <f t="shared" si="33"/>
        <v>2.5162129327013574E-2</v>
      </c>
      <c r="O68" s="440">
        <f t="shared" si="34"/>
        <v>1227.6400000000001</v>
      </c>
      <c r="P68" s="439">
        <f t="shared" si="35"/>
        <v>1.0503242586540273</v>
      </c>
      <c r="Q68" s="437">
        <v>8.870000000000001</v>
      </c>
      <c r="R68" s="439">
        <f t="shared" si="36"/>
        <v>7.5888502934583612E-3</v>
      </c>
      <c r="S68" s="440">
        <f t="shared" si="37"/>
        <v>58.820000000000164</v>
      </c>
      <c r="T68" s="439">
        <f t="shared" si="38"/>
        <v>5.032425865402728E-2</v>
      </c>
      <c r="U68" s="363">
        <f t="shared" si="39"/>
        <v>4958.5260000000135</v>
      </c>
      <c r="V68" s="451">
        <f t="shared" si="40"/>
        <v>49.950000000000159</v>
      </c>
      <c r="W68" s="452">
        <f t="shared" si="41"/>
        <v>4.2735408360568918E-2</v>
      </c>
      <c r="X68" s="453">
        <f t="shared" si="42"/>
        <v>4210.7850000000135</v>
      </c>
      <c r="Y68" s="365" t="s">
        <v>395</v>
      </c>
      <c r="Z68" s="365" t="s">
        <v>421</v>
      </c>
      <c r="AA68" s="366"/>
      <c r="AB68" s="366"/>
      <c r="AC68" s="366">
        <v>1</v>
      </c>
      <c r="AD68" s="441" t="s">
        <v>443</v>
      </c>
    </row>
    <row r="69" spans="2:39" ht="16.5" customHeight="1">
      <c r="B69" s="878" t="s">
        <v>419</v>
      </c>
      <c r="C69" s="879"/>
      <c r="D69" s="882" t="s">
        <v>502</v>
      </c>
      <c r="E69" s="883" t="s">
        <v>503</v>
      </c>
      <c r="F69" s="884" t="s">
        <v>504</v>
      </c>
      <c r="G69" s="861" t="s">
        <v>505</v>
      </c>
      <c r="H69" s="885" t="s">
        <v>506</v>
      </c>
      <c r="I69" s="886" t="s">
        <v>507</v>
      </c>
      <c r="J69" s="887"/>
      <c r="K69" s="886" t="s">
        <v>508</v>
      </c>
      <c r="L69" s="887"/>
      <c r="M69" s="886" t="s">
        <v>509</v>
      </c>
      <c r="N69" s="887"/>
      <c r="O69" s="886" t="s">
        <v>510</v>
      </c>
      <c r="P69" s="887"/>
      <c r="Q69" s="886" t="s">
        <v>396</v>
      </c>
      <c r="R69" s="887"/>
      <c r="S69" s="888" t="s">
        <v>397</v>
      </c>
      <c r="T69" s="889"/>
      <c r="U69" s="890"/>
      <c r="V69" s="891" t="s">
        <v>568</v>
      </c>
      <c r="W69" s="892"/>
      <c r="X69" s="893"/>
      <c r="Y69" s="894" t="s">
        <v>168</v>
      </c>
      <c r="Z69" s="894" t="s">
        <v>228</v>
      </c>
      <c r="AA69" s="894" t="s">
        <v>511</v>
      </c>
      <c r="AB69" s="894" t="s">
        <v>420</v>
      </c>
      <c r="AC69" s="894" t="s">
        <v>229</v>
      </c>
      <c r="AD69" s="861" t="s">
        <v>169</v>
      </c>
      <c r="AF69" s="863" t="s">
        <v>230</v>
      </c>
      <c r="AG69" s="864"/>
      <c r="AH69" s="864"/>
      <c r="AI69" s="864"/>
      <c r="AJ69" s="864"/>
      <c r="AK69" s="864"/>
      <c r="AL69" s="864"/>
      <c r="AM69" s="865"/>
    </row>
    <row r="70" spans="2:39" ht="16.5" customHeight="1">
      <c r="B70" s="880"/>
      <c r="C70" s="881"/>
      <c r="D70" s="882"/>
      <c r="E70" s="882"/>
      <c r="F70" s="884"/>
      <c r="G70" s="862"/>
      <c r="H70" s="862"/>
      <c r="I70" s="434" t="s">
        <v>512</v>
      </c>
      <c r="J70" s="362" t="s">
        <v>513</v>
      </c>
      <c r="K70" s="434" t="s">
        <v>512</v>
      </c>
      <c r="L70" s="362" t="s">
        <v>513</v>
      </c>
      <c r="M70" s="434" t="s">
        <v>512</v>
      </c>
      <c r="N70" s="362" t="s">
        <v>513</v>
      </c>
      <c r="O70" s="434" t="s">
        <v>512</v>
      </c>
      <c r="P70" s="362" t="s">
        <v>513</v>
      </c>
      <c r="Q70" s="434" t="s">
        <v>512</v>
      </c>
      <c r="R70" s="362" t="s">
        <v>513</v>
      </c>
      <c r="S70" s="434" t="s">
        <v>512</v>
      </c>
      <c r="T70" s="362" t="s">
        <v>513</v>
      </c>
      <c r="U70" s="362" t="s">
        <v>514</v>
      </c>
      <c r="V70" s="434" t="s">
        <v>512</v>
      </c>
      <c r="W70" s="362" t="s">
        <v>513</v>
      </c>
      <c r="X70" s="362" t="s">
        <v>514</v>
      </c>
      <c r="Y70" s="895"/>
      <c r="Z70" s="895"/>
      <c r="AA70" s="895"/>
      <c r="AB70" s="895"/>
      <c r="AC70" s="895"/>
      <c r="AD70" s="862"/>
      <c r="AF70" s="866"/>
      <c r="AG70" s="867"/>
      <c r="AH70" s="867"/>
      <c r="AI70" s="867"/>
      <c r="AJ70" s="867"/>
      <c r="AK70" s="867"/>
      <c r="AL70" s="867"/>
      <c r="AM70" s="868"/>
    </row>
    <row r="71" spans="2:39" s="147" customFormat="1" ht="27" customHeight="1">
      <c r="B71" s="872" t="s">
        <v>677</v>
      </c>
      <c r="C71" s="873"/>
      <c r="D71" s="361">
        <v>1</v>
      </c>
      <c r="E71" s="435"/>
      <c r="F71" s="436">
        <f>IFERROR(Q71*G71,"-")</f>
        <v>0</v>
      </c>
      <c r="G71" s="364"/>
      <c r="H71" s="437"/>
      <c r="I71" s="437"/>
      <c r="J71" s="439" t="str">
        <f>IFERROR(I71/H71,"-")</f>
        <v>-</v>
      </c>
      <c r="K71" s="438"/>
      <c r="L71" s="439" t="str">
        <f>IFERROR(K71/H71,"-")</f>
        <v>-</v>
      </c>
      <c r="M71" s="438"/>
      <c r="N71" s="439" t="str">
        <f>IFERROR(M71/H71,"-")</f>
        <v>-</v>
      </c>
      <c r="O71" s="440">
        <f>IFERROR(K71+M71,"-")</f>
        <v>0</v>
      </c>
      <c r="P71" s="439" t="str">
        <f>IFERROR(O71/H71,"-")</f>
        <v>-</v>
      </c>
      <c r="Q71" s="437"/>
      <c r="R71" s="439" t="str">
        <f>IFERROR(Q71/H71,"-")</f>
        <v>-</v>
      </c>
      <c r="S71" s="440">
        <f>IFERROR(O71-H71,"-")</f>
        <v>0</v>
      </c>
      <c r="T71" s="439" t="str">
        <f>IFERROR(S71/H71,"-")</f>
        <v>-</v>
      </c>
      <c r="U71" s="363">
        <f>IFERROR(S71*G71,"-")</f>
        <v>0</v>
      </c>
      <c r="V71" s="451">
        <f>S71-Q71</f>
        <v>0</v>
      </c>
      <c r="W71" s="452" t="str">
        <f>IFERROR(V71/H71,"-")</f>
        <v>-</v>
      </c>
      <c r="X71" s="453">
        <f>IFERROR(V71*G71,"-")</f>
        <v>0</v>
      </c>
      <c r="Y71" s="365" t="s">
        <v>395</v>
      </c>
      <c r="Z71" s="365" t="s">
        <v>199</v>
      </c>
      <c r="AA71" s="366"/>
      <c r="AB71" s="366"/>
      <c r="AC71" s="366">
        <v>1</v>
      </c>
      <c r="AD71" s="441"/>
      <c r="AF71" s="869"/>
      <c r="AG71" s="870"/>
      <c r="AH71" s="870"/>
      <c r="AI71" s="870"/>
      <c r="AJ71" s="870"/>
      <c r="AK71" s="870"/>
      <c r="AL71" s="870"/>
      <c r="AM71" s="871"/>
    </row>
    <row r="72" spans="2:39" s="147" customFormat="1" ht="27" customHeight="1">
      <c r="B72" s="874"/>
      <c r="C72" s="875"/>
      <c r="D72" s="361">
        <v>2</v>
      </c>
      <c r="E72" s="435"/>
      <c r="F72" s="436">
        <f t="shared" ref="F72:F90" si="58">IFERROR(Q72*G72,"-")</f>
        <v>0</v>
      </c>
      <c r="G72" s="364"/>
      <c r="H72" s="437"/>
      <c r="I72" s="437"/>
      <c r="J72" s="439" t="str">
        <f t="shared" ref="J72:J90" si="59">IFERROR(I72/H72,"-")</f>
        <v>-</v>
      </c>
      <c r="K72" s="438"/>
      <c r="L72" s="439" t="str">
        <f t="shared" ref="L72:L90" si="60">IFERROR(K72/H72,"-")</f>
        <v>-</v>
      </c>
      <c r="M72" s="438"/>
      <c r="N72" s="439" t="str">
        <f t="shared" ref="N72:N90" si="61">IFERROR(M72/H72,"-")</f>
        <v>-</v>
      </c>
      <c r="O72" s="440">
        <f t="shared" ref="O72:O90" si="62">IFERROR(K72+M72,"-")</f>
        <v>0</v>
      </c>
      <c r="P72" s="439" t="str">
        <f t="shared" ref="P72:P90" si="63">IFERROR(O72/H72,"-")</f>
        <v>-</v>
      </c>
      <c r="Q72" s="437"/>
      <c r="R72" s="439" t="str">
        <f t="shared" ref="R72:R90" si="64">IFERROR(Q72/H72,"-")</f>
        <v>-</v>
      </c>
      <c r="S72" s="440">
        <f t="shared" ref="S72:S90" si="65">IFERROR(O72-H72,"-")</f>
        <v>0</v>
      </c>
      <c r="T72" s="439" t="str">
        <f t="shared" ref="T72:T90" si="66">IFERROR(S72/H72,"-")</f>
        <v>-</v>
      </c>
      <c r="U72" s="363">
        <f t="shared" ref="U72:U90" si="67">IFERROR(S72*G72,"-")</f>
        <v>0</v>
      </c>
      <c r="V72" s="451">
        <f t="shared" ref="V72:V90" si="68">S72-Q72</f>
        <v>0</v>
      </c>
      <c r="W72" s="452" t="str">
        <f t="shared" ref="W72:W90" si="69">IFERROR(V72/H72,"-")</f>
        <v>-</v>
      </c>
      <c r="X72" s="453">
        <f t="shared" ref="X72:X90" si="70">IFERROR(V72*G72,"-")</f>
        <v>0</v>
      </c>
      <c r="Y72" s="365" t="s">
        <v>395</v>
      </c>
      <c r="Z72" s="365" t="s">
        <v>316</v>
      </c>
      <c r="AA72" s="366"/>
      <c r="AB72" s="366"/>
      <c r="AC72" s="366">
        <v>1</v>
      </c>
      <c r="AD72" s="441"/>
      <c r="AF72" s="160" t="s">
        <v>227</v>
      </c>
      <c r="AG72" s="160" t="s">
        <v>421</v>
      </c>
      <c r="AH72" s="155" t="s">
        <v>515</v>
      </c>
      <c r="AI72" s="155" t="s">
        <v>316</v>
      </c>
      <c r="AJ72" s="155" t="s">
        <v>406</v>
      </c>
      <c r="AK72" s="155" t="s">
        <v>198</v>
      </c>
      <c r="AL72" s="155" t="s">
        <v>199</v>
      </c>
      <c r="AM72" s="155" t="s">
        <v>362</v>
      </c>
    </row>
    <row r="73" spans="2:39" s="147" customFormat="1" ht="27" customHeight="1">
      <c r="B73" s="874"/>
      <c r="C73" s="875"/>
      <c r="D73" s="361">
        <v>3</v>
      </c>
      <c r="E73" s="435"/>
      <c r="F73" s="436">
        <f t="shared" si="58"/>
        <v>0</v>
      </c>
      <c r="G73" s="364"/>
      <c r="H73" s="437"/>
      <c r="I73" s="437"/>
      <c r="J73" s="439" t="str">
        <f t="shared" si="59"/>
        <v>-</v>
      </c>
      <c r="K73" s="438"/>
      <c r="L73" s="439" t="str">
        <f t="shared" si="60"/>
        <v>-</v>
      </c>
      <c r="M73" s="438"/>
      <c r="N73" s="439" t="str">
        <f t="shared" si="61"/>
        <v>-</v>
      </c>
      <c r="O73" s="440">
        <f t="shared" si="62"/>
        <v>0</v>
      </c>
      <c r="P73" s="439" t="str">
        <f t="shared" si="63"/>
        <v>-</v>
      </c>
      <c r="Q73" s="437"/>
      <c r="R73" s="439" t="str">
        <f t="shared" si="64"/>
        <v>-</v>
      </c>
      <c r="S73" s="440">
        <f t="shared" si="65"/>
        <v>0</v>
      </c>
      <c r="T73" s="439" t="str">
        <f t="shared" si="66"/>
        <v>-</v>
      </c>
      <c r="U73" s="363">
        <f t="shared" si="67"/>
        <v>0</v>
      </c>
      <c r="V73" s="451">
        <f t="shared" si="68"/>
        <v>0</v>
      </c>
      <c r="W73" s="452" t="str">
        <f t="shared" si="69"/>
        <v>-</v>
      </c>
      <c r="X73" s="453">
        <f t="shared" si="70"/>
        <v>0</v>
      </c>
      <c r="Y73" s="365" t="s">
        <v>395</v>
      </c>
      <c r="Z73" s="365" t="s">
        <v>316</v>
      </c>
      <c r="AA73" s="366"/>
      <c r="AB73" s="366"/>
      <c r="AC73" s="366">
        <v>1</v>
      </c>
      <c r="AD73" s="441"/>
      <c r="AF73" s="371">
        <f>SUM(AC71:AC90)</f>
        <v>20</v>
      </c>
      <c r="AG73" s="367">
        <f>SUMIF($Z$71:$Z$90,TRIM(AG72),$AC$71:$AC$90)</f>
        <v>11</v>
      </c>
      <c r="AH73" s="367">
        <f t="shared" ref="AH73:AM73" si="71">SUMIF($Z$71:$Z$90,TRIM(AH72),$AC$71:$AC$90)</f>
        <v>0</v>
      </c>
      <c r="AI73" s="367">
        <f t="shared" si="71"/>
        <v>4</v>
      </c>
      <c r="AJ73" s="367">
        <f t="shared" si="71"/>
        <v>0</v>
      </c>
      <c r="AK73" s="367">
        <f t="shared" si="71"/>
        <v>1</v>
      </c>
      <c r="AL73" s="367">
        <f t="shared" si="71"/>
        <v>4</v>
      </c>
      <c r="AM73" s="367">
        <f t="shared" si="71"/>
        <v>0</v>
      </c>
    </row>
    <row r="74" spans="2:39" s="147" customFormat="1" ht="27" customHeight="1">
      <c r="B74" s="874"/>
      <c r="C74" s="875"/>
      <c r="D74" s="361">
        <v>4</v>
      </c>
      <c r="E74" s="435"/>
      <c r="F74" s="436">
        <f t="shared" si="58"/>
        <v>0</v>
      </c>
      <c r="G74" s="364"/>
      <c r="H74" s="437"/>
      <c r="I74" s="437"/>
      <c r="J74" s="439" t="str">
        <f t="shared" si="59"/>
        <v>-</v>
      </c>
      <c r="K74" s="438"/>
      <c r="L74" s="439" t="str">
        <f t="shared" si="60"/>
        <v>-</v>
      </c>
      <c r="M74" s="438"/>
      <c r="N74" s="439" t="str">
        <f t="shared" si="61"/>
        <v>-</v>
      </c>
      <c r="O74" s="440">
        <f t="shared" si="62"/>
        <v>0</v>
      </c>
      <c r="P74" s="439" t="str">
        <f t="shared" si="63"/>
        <v>-</v>
      </c>
      <c r="Q74" s="437"/>
      <c r="R74" s="439" t="str">
        <f t="shared" si="64"/>
        <v>-</v>
      </c>
      <c r="S74" s="440">
        <f t="shared" si="65"/>
        <v>0</v>
      </c>
      <c r="T74" s="439" t="str">
        <f t="shared" si="66"/>
        <v>-</v>
      </c>
      <c r="U74" s="363">
        <f t="shared" si="67"/>
        <v>0</v>
      </c>
      <c r="V74" s="451">
        <f t="shared" si="68"/>
        <v>0</v>
      </c>
      <c r="W74" s="452" t="str">
        <f t="shared" si="69"/>
        <v>-</v>
      </c>
      <c r="X74" s="453">
        <f t="shared" si="70"/>
        <v>0</v>
      </c>
      <c r="Y74" s="365" t="s">
        <v>395</v>
      </c>
      <c r="Z74" s="365" t="s">
        <v>198</v>
      </c>
      <c r="AA74" s="366"/>
      <c r="AB74" s="366"/>
      <c r="AC74" s="366">
        <v>1</v>
      </c>
      <c r="AD74" s="441"/>
      <c r="AF74" s="372" t="s">
        <v>11</v>
      </c>
      <c r="AG74" s="369">
        <f>SUMIF($Z$71:$Z90,TRIM(AG72),$F$71:$F$90)</f>
        <v>0</v>
      </c>
      <c r="AH74" s="369">
        <f>SUMIF($Z$71:$Z90,TRIM(AH72),$F$71:$F$90)</f>
        <v>0</v>
      </c>
      <c r="AI74" s="369">
        <f>SUMIF($Z$71:$Z90,TRIM(AI72),$F$71:$F$90)</f>
        <v>0</v>
      </c>
      <c r="AJ74" s="369">
        <f>SUMIF($Z$71:$Z90,TRIM(AJ72),$F$71:$F$90)</f>
        <v>0</v>
      </c>
      <c r="AK74" s="369">
        <f>SUMIF($Z$71:$Z90,TRIM(AK72),$F$71:$F$90)</f>
        <v>0</v>
      </c>
      <c r="AL74" s="369">
        <f>SUMIF($Z$71:$Z90,TRIM(AL72),$F$71:$F$90)</f>
        <v>0</v>
      </c>
      <c r="AM74" s="369">
        <f>SUMIF($Z$71:$Z90,TRIM(AM72),$F$71:$F$90)</f>
        <v>0</v>
      </c>
    </row>
    <row r="75" spans="2:39" s="147" customFormat="1" ht="27" customHeight="1">
      <c r="B75" s="874"/>
      <c r="C75" s="875"/>
      <c r="D75" s="361">
        <v>5</v>
      </c>
      <c r="E75" s="435"/>
      <c r="F75" s="436">
        <f t="shared" si="58"/>
        <v>0</v>
      </c>
      <c r="G75" s="364"/>
      <c r="H75" s="437"/>
      <c r="I75" s="437"/>
      <c r="J75" s="439" t="str">
        <f t="shared" si="59"/>
        <v>-</v>
      </c>
      <c r="K75" s="438"/>
      <c r="L75" s="439" t="str">
        <f t="shared" si="60"/>
        <v>-</v>
      </c>
      <c r="M75" s="438"/>
      <c r="N75" s="439" t="str">
        <f t="shared" si="61"/>
        <v>-</v>
      </c>
      <c r="O75" s="440">
        <f t="shared" si="62"/>
        <v>0</v>
      </c>
      <c r="P75" s="439" t="str">
        <f t="shared" si="63"/>
        <v>-</v>
      </c>
      <c r="Q75" s="437"/>
      <c r="R75" s="439" t="str">
        <f t="shared" si="64"/>
        <v>-</v>
      </c>
      <c r="S75" s="440">
        <f t="shared" si="65"/>
        <v>0</v>
      </c>
      <c r="T75" s="439" t="str">
        <f t="shared" si="66"/>
        <v>-</v>
      </c>
      <c r="U75" s="363">
        <f t="shared" si="67"/>
        <v>0</v>
      </c>
      <c r="V75" s="451">
        <f t="shared" si="68"/>
        <v>0</v>
      </c>
      <c r="W75" s="452" t="str">
        <f t="shared" si="69"/>
        <v>-</v>
      </c>
      <c r="X75" s="453">
        <f t="shared" si="70"/>
        <v>0</v>
      </c>
      <c r="Y75" s="365" t="s">
        <v>395</v>
      </c>
      <c r="Z75" s="365" t="s">
        <v>199</v>
      </c>
      <c r="AA75" s="366"/>
      <c r="AB75" s="366"/>
      <c r="AC75" s="366">
        <v>1</v>
      </c>
      <c r="AD75" s="441"/>
      <c r="AF75" s="361" t="s">
        <v>516</v>
      </c>
      <c r="AG75" s="442">
        <f>AG73/$AF73</f>
        <v>0.55000000000000004</v>
      </c>
      <c r="AH75" s="442">
        <f t="shared" ref="AH75:AM75" si="72">AH73/$AF73</f>
        <v>0</v>
      </c>
      <c r="AI75" s="442">
        <f t="shared" si="72"/>
        <v>0.2</v>
      </c>
      <c r="AJ75" s="442">
        <f t="shared" si="72"/>
        <v>0</v>
      </c>
      <c r="AK75" s="442">
        <f t="shared" si="72"/>
        <v>0.05</v>
      </c>
      <c r="AL75" s="442">
        <f t="shared" si="72"/>
        <v>0.2</v>
      </c>
      <c r="AM75" s="442">
        <f t="shared" si="72"/>
        <v>0</v>
      </c>
    </row>
    <row r="76" spans="2:39" s="147" customFormat="1" ht="27" customHeight="1">
      <c r="B76" s="874"/>
      <c r="C76" s="875"/>
      <c r="D76" s="361">
        <v>6</v>
      </c>
      <c r="E76" s="435"/>
      <c r="F76" s="436">
        <f t="shared" si="58"/>
        <v>0</v>
      </c>
      <c r="G76" s="364"/>
      <c r="H76" s="437"/>
      <c r="I76" s="437"/>
      <c r="J76" s="439" t="str">
        <f t="shared" si="59"/>
        <v>-</v>
      </c>
      <c r="K76" s="438"/>
      <c r="L76" s="439" t="str">
        <f t="shared" si="60"/>
        <v>-</v>
      </c>
      <c r="M76" s="438"/>
      <c r="N76" s="439" t="str">
        <f t="shared" si="61"/>
        <v>-</v>
      </c>
      <c r="O76" s="440">
        <f t="shared" si="62"/>
        <v>0</v>
      </c>
      <c r="P76" s="439" t="str">
        <f t="shared" si="63"/>
        <v>-</v>
      </c>
      <c r="Q76" s="437"/>
      <c r="R76" s="439" t="str">
        <f t="shared" si="64"/>
        <v>-</v>
      </c>
      <c r="S76" s="440">
        <f t="shared" si="65"/>
        <v>0</v>
      </c>
      <c r="T76" s="439" t="str">
        <f t="shared" si="66"/>
        <v>-</v>
      </c>
      <c r="U76" s="363">
        <f t="shared" si="67"/>
        <v>0</v>
      </c>
      <c r="V76" s="451">
        <f t="shared" si="68"/>
        <v>0</v>
      </c>
      <c r="W76" s="452" t="str">
        <f t="shared" si="69"/>
        <v>-</v>
      </c>
      <c r="X76" s="453">
        <f t="shared" si="70"/>
        <v>0</v>
      </c>
      <c r="Y76" s="365" t="s">
        <v>395</v>
      </c>
      <c r="Z76" s="365" t="s">
        <v>199</v>
      </c>
      <c r="AA76" s="366"/>
      <c r="AB76" s="366"/>
      <c r="AC76" s="366">
        <v>1</v>
      </c>
      <c r="AD76" s="441"/>
    </row>
    <row r="77" spans="2:39" s="147" customFormat="1" ht="27" customHeight="1">
      <c r="B77" s="874"/>
      <c r="C77" s="875"/>
      <c r="D77" s="361">
        <v>7</v>
      </c>
      <c r="E77" s="435"/>
      <c r="F77" s="436">
        <f t="shared" si="58"/>
        <v>0</v>
      </c>
      <c r="G77" s="364"/>
      <c r="H77" s="437"/>
      <c r="I77" s="437"/>
      <c r="J77" s="439" t="str">
        <f t="shared" si="59"/>
        <v>-</v>
      </c>
      <c r="K77" s="438"/>
      <c r="L77" s="439" t="str">
        <f t="shared" si="60"/>
        <v>-</v>
      </c>
      <c r="M77" s="438"/>
      <c r="N77" s="439" t="str">
        <f t="shared" si="61"/>
        <v>-</v>
      </c>
      <c r="O77" s="440">
        <f t="shared" si="62"/>
        <v>0</v>
      </c>
      <c r="P77" s="439" t="str">
        <f t="shared" si="63"/>
        <v>-</v>
      </c>
      <c r="Q77" s="437"/>
      <c r="R77" s="439" t="str">
        <f t="shared" si="64"/>
        <v>-</v>
      </c>
      <c r="S77" s="440">
        <f t="shared" si="65"/>
        <v>0</v>
      </c>
      <c r="T77" s="439" t="str">
        <f t="shared" si="66"/>
        <v>-</v>
      </c>
      <c r="U77" s="363">
        <f t="shared" si="67"/>
        <v>0</v>
      </c>
      <c r="V77" s="451">
        <f t="shared" si="68"/>
        <v>0</v>
      </c>
      <c r="W77" s="452" t="str">
        <f t="shared" si="69"/>
        <v>-</v>
      </c>
      <c r="X77" s="453">
        <f t="shared" si="70"/>
        <v>0</v>
      </c>
      <c r="Y77" s="365" t="s">
        <v>395</v>
      </c>
      <c r="Z77" s="365" t="s">
        <v>421</v>
      </c>
      <c r="AA77" s="366"/>
      <c r="AB77" s="366"/>
      <c r="AC77" s="366">
        <v>1</v>
      </c>
      <c r="AD77" s="441"/>
    </row>
    <row r="78" spans="2:39" s="147" customFormat="1" ht="27" customHeight="1">
      <c r="B78" s="874"/>
      <c r="C78" s="875"/>
      <c r="D78" s="361">
        <v>8</v>
      </c>
      <c r="E78" s="435"/>
      <c r="F78" s="436">
        <f t="shared" si="58"/>
        <v>0</v>
      </c>
      <c r="G78" s="364"/>
      <c r="H78" s="437"/>
      <c r="I78" s="437"/>
      <c r="J78" s="439" t="str">
        <f t="shared" si="59"/>
        <v>-</v>
      </c>
      <c r="K78" s="438"/>
      <c r="L78" s="439" t="str">
        <f t="shared" si="60"/>
        <v>-</v>
      </c>
      <c r="M78" s="438"/>
      <c r="N78" s="439" t="str">
        <f t="shared" si="61"/>
        <v>-</v>
      </c>
      <c r="O78" s="440">
        <f t="shared" si="62"/>
        <v>0</v>
      </c>
      <c r="P78" s="439" t="str">
        <f t="shared" si="63"/>
        <v>-</v>
      </c>
      <c r="Q78" s="437"/>
      <c r="R78" s="439" t="str">
        <f t="shared" si="64"/>
        <v>-</v>
      </c>
      <c r="S78" s="440">
        <f t="shared" si="65"/>
        <v>0</v>
      </c>
      <c r="T78" s="439" t="str">
        <f t="shared" si="66"/>
        <v>-</v>
      </c>
      <c r="U78" s="363">
        <f t="shared" si="67"/>
        <v>0</v>
      </c>
      <c r="V78" s="451">
        <f t="shared" si="68"/>
        <v>0</v>
      </c>
      <c r="W78" s="452" t="str">
        <f t="shared" si="69"/>
        <v>-</v>
      </c>
      <c r="X78" s="453">
        <f t="shared" si="70"/>
        <v>0</v>
      </c>
      <c r="Y78" s="365" t="s">
        <v>395</v>
      </c>
      <c r="Z78" s="365" t="s">
        <v>316</v>
      </c>
      <c r="AA78" s="366"/>
      <c r="AB78" s="377"/>
      <c r="AC78" s="366">
        <v>1</v>
      </c>
      <c r="AD78" s="441"/>
    </row>
    <row r="79" spans="2:39" s="147" customFormat="1" ht="27" customHeight="1">
      <c r="B79" s="874"/>
      <c r="C79" s="875"/>
      <c r="D79" s="361">
        <v>9</v>
      </c>
      <c r="E79" s="435"/>
      <c r="F79" s="436">
        <f t="shared" si="58"/>
        <v>0</v>
      </c>
      <c r="G79" s="364"/>
      <c r="H79" s="437"/>
      <c r="I79" s="437"/>
      <c r="J79" s="439" t="str">
        <f t="shared" si="59"/>
        <v>-</v>
      </c>
      <c r="K79" s="438"/>
      <c r="L79" s="439" t="str">
        <f t="shared" si="60"/>
        <v>-</v>
      </c>
      <c r="M79" s="438"/>
      <c r="N79" s="439" t="str">
        <f t="shared" si="61"/>
        <v>-</v>
      </c>
      <c r="O79" s="440">
        <f t="shared" si="62"/>
        <v>0</v>
      </c>
      <c r="P79" s="439" t="str">
        <f t="shared" si="63"/>
        <v>-</v>
      </c>
      <c r="Q79" s="437"/>
      <c r="R79" s="439" t="str">
        <f t="shared" si="64"/>
        <v>-</v>
      </c>
      <c r="S79" s="440">
        <f t="shared" si="65"/>
        <v>0</v>
      </c>
      <c r="T79" s="439" t="str">
        <f t="shared" si="66"/>
        <v>-</v>
      </c>
      <c r="U79" s="363">
        <f t="shared" si="67"/>
        <v>0</v>
      </c>
      <c r="V79" s="451">
        <f t="shared" si="68"/>
        <v>0</v>
      </c>
      <c r="W79" s="452" t="str">
        <f t="shared" si="69"/>
        <v>-</v>
      </c>
      <c r="X79" s="453">
        <f t="shared" si="70"/>
        <v>0</v>
      </c>
      <c r="Y79" s="365" t="s">
        <v>395</v>
      </c>
      <c r="Z79" s="365" t="s">
        <v>199</v>
      </c>
      <c r="AA79" s="366"/>
      <c r="AB79" s="366"/>
      <c r="AC79" s="366">
        <v>1</v>
      </c>
      <c r="AD79" s="441"/>
      <c r="AH79" s="368"/>
    </row>
    <row r="80" spans="2:39" s="147" customFormat="1" ht="27" customHeight="1">
      <c r="B80" s="874"/>
      <c r="C80" s="875"/>
      <c r="D80" s="361">
        <v>10</v>
      </c>
      <c r="E80" s="435"/>
      <c r="F80" s="436">
        <f t="shared" si="58"/>
        <v>0</v>
      </c>
      <c r="G80" s="364"/>
      <c r="H80" s="437"/>
      <c r="I80" s="437"/>
      <c r="J80" s="439" t="str">
        <f t="shared" si="59"/>
        <v>-</v>
      </c>
      <c r="K80" s="438"/>
      <c r="L80" s="439" t="str">
        <f t="shared" si="60"/>
        <v>-</v>
      </c>
      <c r="M80" s="438"/>
      <c r="N80" s="439" t="str">
        <f t="shared" si="61"/>
        <v>-</v>
      </c>
      <c r="O80" s="440">
        <f t="shared" si="62"/>
        <v>0</v>
      </c>
      <c r="P80" s="439" t="str">
        <f t="shared" si="63"/>
        <v>-</v>
      </c>
      <c r="Q80" s="437"/>
      <c r="R80" s="439" t="str">
        <f t="shared" si="64"/>
        <v>-</v>
      </c>
      <c r="S80" s="440">
        <f t="shared" si="65"/>
        <v>0</v>
      </c>
      <c r="T80" s="439" t="str">
        <f t="shared" si="66"/>
        <v>-</v>
      </c>
      <c r="U80" s="363">
        <f t="shared" si="67"/>
        <v>0</v>
      </c>
      <c r="V80" s="451">
        <f t="shared" si="68"/>
        <v>0</v>
      </c>
      <c r="W80" s="452" t="str">
        <f t="shared" si="69"/>
        <v>-</v>
      </c>
      <c r="X80" s="453">
        <f t="shared" si="70"/>
        <v>0</v>
      </c>
      <c r="Y80" s="365" t="s">
        <v>395</v>
      </c>
      <c r="Z80" s="365" t="s">
        <v>316</v>
      </c>
      <c r="AA80" s="366"/>
      <c r="AB80" s="366"/>
      <c r="AC80" s="366">
        <v>1</v>
      </c>
      <c r="AD80" s="441"/>
      <c r="AH80" s="368"/>
    </row>
    <row r="81" spans="2:39" s="147" customFormat="1" ht="27" customHeight="1">
      <c r="B81" s="874"/>
      <c r="C81" s="875"/>
      <c r="D81" s="361">
        <v>11</v>
      </c>
      <c r="E81" s="435"/>
      <c r="F81" s="436">
        <f t="shared" si="58"/>
        <v>0</v>
      </c>
      <c r="G81" s="364"/>
      <c r="H81" s="437"/>
      <c r="I81" s="437"/>
      <c r="J81" s="439" t="str">
        <f t="shared" si="59"/>
        <v>-</v>
      </c>
      <c r="K81" s="438"/>
      <c r="L81" s="439" t="str">
        <f t="shared" si="60"/>
        <v>-</v>
      </c>
      <c r="M81" s="438"/>
      <c r="N81" s="439" t="str">
        <f t="shared" si="61"/>
        <v>-</v>
      </c>
      <c r="O81" s="440">
        <f t="shared" si="62"/>
        <v>0</v>
      </c>
      <c r="P81" s="439" t="str">
        <f t="shared" si="63"/>
        <v>-</v>
      </c>
      <c r="Q81" s="437"/>
      <c r="R81" s="439" t="str">
        <f t="shared" si="64"/>
        <v>-</v>
      </c>
      <c r="S81" s="440">
        <f t="shared" si="65"/>
        <v>0</v>
      </c>
      <c r="T81" s="439" t="str">
        <f t="shared" si="66"/>
        <v>-</v>
      </c>
      <c r="U81" s="363">
        <f t="shared" si="67"/>
        <v>0</v>
      </c>
      <c r="V81" s="451">
        <f t="shared" si="68"/>
        <v>0</v>
      </c>
      <c r="W81" s="452" t="str">
        <f t="shared" si="69"/>
        <v>-</v>
      </c>
      <c r="X81" s="453">
        <f t="shared" si="70"/>
        <v>0</v>
      </c>
      <c r="Y81" s="365" t="s">
        <v>395</v>
      </c>
      <c r="Z81" s="365" t="s">
        <v>421</v>
      </c>
      <c r="AA81" s="366"/>
      <c r="AB81" s="366"/>
      <c r="AC81" s="366">
        <v>1</v>
      </c>
      <c r="AD81" s="441"/>
      <c r="AH81" s="368"/>
    </row>
    <row r="82" spans="2:39" s="147" customFormat="1" ht="26.25" customHeight="1">
      <c r="B82" s="874"/>
      <c r="C82" s="875"/>
      <c r="D82" s="361">
        <v>12</v>
      </c>
      <c r="E82" s="435"/>
      <c r="F82" s="436">
        <f t="shared" si="58"/>
        <v>0</v>
      </c>
      <c r="G82" s="364"/>
      <c r="H82" s="437"/>
      <c r="I82" s="437"/>
      <c r="J82" s="439" t="str">
        <f t="shared" si="59"/>
        <v>-</v>
      </c>
      <c r="K82" s="438"/>
      <c r="L82" s="439" t="str">
        <f t="shared" si="60"/>
        <v>-</v>
      </c>
      <c r="M82" s="438"/>
      <c r="N82" s="439" t="str">
        <f t="shared" si="61"/>
        <v>-</v>
      </c>
      <c r="O82" s="440">
        <f t="shared" si="62"/>
        <v>0</v>
      </c>
      <c r="P82" s="439" t="str">
        <f t="shared" si="63"/>
        <v>-</v>
      </c>
      <c r="Q82" s="437"/>
      <c r="R82" s="439" t="str">
        <f t="shared" si="64"/>
        <v>-</v>
      </c>
      <c r="S82" s="440">
        <f t="shared" si="65"/>
        <v>0</v>
      </c>
      <c r="T82" s="439" t="str">
        <f t="shared" si="66"/>
        <v>-</v>
      </c>
      <c r="U82" s="363">
        <f t="shared" si="67"/>
        <v>0</v>
      </c>
      <c r="V82" s="451">
        <f t="shared" si="68"/>
        <v>0</v>
      </c>
      <c r="W82" s="452" t="str">
        <f t="shared" si="69"/>
        <v>-</v>
      </c>
      <c r="X82" s="453">
        <f t="shared" si="70"/>
        <v>0</v>
      </c>
      <c r="Y82" s="365" t="s">
        <v>395</v>
      </c>
      <c r="Z82" s="365" t="s">
        <v>421</v>
      </c>
      <c r="AA82" s="366"/>
      <c r="AB82" s="366"/>
      <c r="AC82" s="366">
        <v>1</v>
      </c>
      <c r="AD82" s="441"/>
      <c r="AH82" s="368"/>
    </row>
    <row r="83" spans="2:39" s="147" customFormat="1" ht="27" customHeight="1">
      <c r="B83" s="874"/>
      <c r="C83" s="875"/>
      <c r="D83" s="361">
        <v>13</v>
      </c>
      <c r="E83" s="435"/>
      <c r="F83" s="436">
        <f t="shared" si="58"/>
        <v>0</v>
      </c>
      <c r="G83" s="364"/>
      <c r="H83" s="437"/>
      <c r="I83" s="437"/>
      <c r="J83" s="439" t="str">
        <f t="shared" si="59"/>
        <v>-</v>
      </c>
      <c r="K83" s="438"/>
      <c r="L83" s="439" t="str">
        <f t="shared" si="60"/>
        <v>-</v>
      </c>
      <c r="M83" s="438"/>
      <c r="N83" s="439" t="str">
        <f t="shared" si="61"/>
        <v>-</v>
      </c>
      <c r="O83" s="440">
        <f t="shared" si="62"/>
        <v>0</v>
      </c>
      <c r="P83" s="439" t="str">
        <f t="shared" si="63"/>
        <v>-</v>
      </c>
      <c r="Q83" s="437"/>
      <c r="R83" s="439" t="str">
        <f t="shared" si="64"/>
        <v>-</v>
      </c>
      <c r="S83" s="440">
        <f t="shared" si="65"/>
        <v>0</v>
      </c>
      <c r="T83" s="439" t="str">
        <f t="shared" si="66"/>
        <v>-</v>
      </c>
      <c r="U83" s="363">
        <f t="shared" si="67"/>
        <v>0</v>
      </c>
      <c r="V83" s="451">
        <f t="shared" si="68"/>
        <v>0</v>
      </c>
      <c r="W83" s="452" t="str">
        <f t="shared" si="69"/>
        <v>-</v>
      </c>
      <c r="X83" s="453">
        <f t="shared" si="70"/>
        <v>0</v>
      </c>
      <c r="Y83" s="365" t="s">
        <v>395</v>
      </c>
      <c r="Z83" s="365" t="s">
        <v>421</v>
      </c>
      <c r="AA83" s="366"/>
      <c r="AB83" s="366"/>
      <c r="AC83" s="366">
        <v>1</v>
      </c>
      <c r="AD83" s="441"/>
    </row>
    <row r="84" spans="2:39" s="147" customFormat="1" ht="27" customHeight="1">
      <c r="B84" s="874"/>
      <c r="C84" s="875"/>
      <c r="D84" s="361">
        <v>14</v>
      </c>
      <c r="E84" s="435"/>
      <c r="F84" s="436">
        <f t="shared" si="58"/>
        <v>0</v>
      </c>
      <c r="G84" s="364"/>
      <c r="H84" s="437"/>
      <c r="I84" s="437"/>
      <c r="J84" s="439" t="str">
        <f t="shared" si="59"/>
        <v>-</v>
      </c>
      <c r="K84" s="438"/>
      <c r="L84" s="439" t="str">
        <f t="shared" si="60"/>
        <v>-</v>
      </c>
      <c r="M84" s="438"/>
      <c r="N84" s="439" t="str">
        <f t="shared" si="61"/>
        <v>-</v>
      </c>
      <c r="O84" s="440">
        <f t="shared" si="62"/>
        <v>0</v>
      </c>
      <c r="P84" s="439" t="str">
        <f t="shared" si="63"/>
        <v>-</v>
      </c>
      <c r="Q84" s="437"/>
      <c r="R84" s="439" t="str">
        <f t="shared" si="64"/>
        <v>-</v>
      </c>
      <c r="S84" s="440">
        <f t="shared" si="65"/>
        <v>0</v>
      </c>
      <c r="T84" s="439" t="str">
        <f t="shared" si="66"/>
        <v>-</v>
      </c>
      <c r="U84" s="363">
        <f t="shared" si="67"/>
        <v>0</v>
      </c>
      <c r="V84" s="451">
        <f t="shared" si="68"/>
        <v>0</v>
      </c>
      <c r="W84" s="452" t="str">
        <f t="shared" si="69"/>
        <v>-</v>
      </c>
      <c r="X84" s="453">
        <f t="shared" si="70"/>
        <v>0</v>
      </c>
      <c r="Y84" s="365" t="s">
        <v>395</v>
      </c>
      <c r="Z84" s="365" t="s">
        <v>421</v>
      </c>
      <c r="AA84" s="366"/>
      <c r="AB84" s="366"/>
      <c r="AC84" s="366">
        <v>1</v>
      </c>
      <c r="AD84" s="441"/>
    </row>
    <row r="85" spans="2:39" s="147" customFormat="1" ht="27" customHeight="1">
      <c r="B85" s="874"/>
      <c r="C85" s="875"/>
      <c r="D85" s="361">
        <v>15</v>
      </c>
      <c r="E85" s="435"/>
      <c r="F85" s="436">
        <f t="shared" si="58"/>
        <v>0</v>
      </c>
      <c r="G85" s="364"/>
      <c r="H85" s="437"/>
      <c r="I85" s="437"/>
      <c r="J85" s="439" t="str">
        <f t="shared" si="59"/>
        <v>-</v>
      </c>
      <c r="K85" s="438"/>
      <c r="L85" s="439" t="str">
        <f t="shared" si="60"/>
        <v>-</v>
      </c>
      <c r="M85" s="438"/>
      <c r="N85" s="439" t="str">
        <f t="shared" si="61"/>
        <v>-</v>
      </c>
      <c r="O85" s="440">
        <f t="shared" si="62"/>
        <v>0</v>
      </c>
      <c r="P85" s="439" t="str">
        <f t="shared" si="63"/>
        <v>-</v>
      </c>
      <c r="Q85" s="437"/>
      <c r="R85" s="439" t="str">
        <f t="shared" si="64"/>
        <v>-</v>
      </c>
      <c r="S85" s="440">
        <f t="shared" si="65"/>
        <v>0</v>
      </c>
      <c r="T85" s="439" t="str">
        <f t="shared" si="66"/>
        <v>-</v>
      </c>
      <c r="U85" s="363">
        <f t="shared" si="67"/>
        <v>0</v>
      </c>
      <c r="V85" s="451">
        <f t="shared" si="68"/>
        <v>0</v>
      </c>
      <c r="W85" s="452" t="str">
        <f t="shared" si="69"/>
        <v>-</v>
      </c>
      <c r="X85" s="453">
        <f t="shared" si="70"/>
        <v>0</v>
      </c>
      <c r="Y85" s="365" t="s">
        <v>395</v>
      </c>
      <c r="Z85" s="365" t="s">
        <v>421</v>
      </c>
      <c r="AA85" s="366"/>
      <c r="AB85" s="366"/>
      <c r="AC85" s="366">
        <v>1</v>
      </c>
      <c r="AD85" s="441"/>
    </row>
    <row r="86" spans="2:39" s="147" customFormat="1" ht="27" customHeight="1">
      <c r="B86" s="874"/>
      <c r="C86" s="875"/>
      <c r="D86" s="361">
        <v>16</v>
      </c>
      <c r="E86" s="435"/>
      <c r="F86" s="436">
        <f t="shared" si="58"/>
        <v>0</v>
      </c>
      <c r="G86" s="364"/>
      <c r="H86" s="437"/>
      <c r="I86" s="437"/>
      <c r="J86" s="439" t="str">
        <f t="shared" si="59"/>
        <v>-</v>
      </c>
      <c r="K86" s="438"/>
      <c r="L86" s="439" t="str">
        <f t="shared" si="60"/>
        <v>-</v>
      </c>
      <c r="M86" s="438"/>
      <c r="N86" s="439" t="str">
        <f t="shared" si="61"/>
        <v>-</v>
      </c>
      <c r="O86" s="440">
        <f t="shared" si="62"/>
        <v>0</v>
      </c>
      <c r="P86" s="439" t="str">
        <f t="shared" si="63"/>
        <v>-</v>
      </c>
      <c r="Q86" s="437"/>
      <c r="R86" s="439" t="str">
        <f t="shared" si="64"/>
        <v>-</v>
      </c>
      <c r="S86" s="440">
        <f t="shared" si="65"/>
        <v>0</v>
      </c>
      <c r="T86" s="439" t="str">
        <f t="shared" si="66"/>
        <v>-</v>
      </c>
      <c r="U86" s="363">
        <f t="shared" si="67"/>
        <v>0</v>
      </c>
      <c r="V86" s="451">
        <f t="shared" si="68"/>
        <v>0</v>
      </c>
      <c r="W86" s="452" t="str">
        <f t="shared" si="69"/>
        <v>-</v>
      </c>
      <c r="X86" s="453">
        <f t="shared" si="70"/>
        <v>0</v>
      </c>
      <c r="Y86" s="365" t="s">
        <v>395</v>
      </c>
      <c r="Z86" s="365" t="s">
        <v>421</v>
      </c>
      <c r="AA86" s="366"/>
      <c r="AB86" s="366"/>
      <c r="AC86" s="366">
        <v>1</v>
      </c>
      <c r="AD86" s="441"/>
    </row>
    <row r="87" spans="2:39" s="147" customFormat="1" ht="27" customHeight="1">
      <c r="B87" s="874"/>
      <c r="C87" s="875"/>
      <c r="D87" s="361">
        <v>17</v>
      </c>
      <c r="E87" s="435"/>
      <c r="F87" s="436">
        <f t="shared" si="58"/>
        <v>0</v>
      </c>
      <c r="G87" s="364"/>
      <c r="H87" s="437"/>
      <c r="I87" s="437"/>
      <c r="J87" s="439" t="str">
        <f t="shared" si="59"/>
        <v>-</v>
      </c>
      <c r="K87" s="438"/>
      <c r="L87" s="439" t="str">
        <f t="shared" si="60"/>
        <v>-</v>
      </c>
      <c r="M87" s="438"/>
      <c r="N87" s="439" t="str">
        <f t="shared" si="61"/>
        <v>-</v>
      </c>
      <c r="O87" s="440">
        <f t="shared" si="62"/>
        <v>0</v>
      </c>
      <c r="P87" s="439" t="str">
        <f t="shared" si="63"/>
        <v>-</v>
      </c>
      <c r="Q87" s="437"/>
      <c r="R87" s="439" t="str">
        <f t="shared" si="64"/>
        <v>-</v>
      </c>
      <c r="S87" s="440">
        <f t="shared" si="65"/>
        <v>0</v>
      </c>
      <c r="T87" s="439" t="str">
        <f t="shared" si="66"/>
        <v>-</v>
      </c>
      <c r="U87" s="363">
        <f t="shared" si="67"/>
        <v>0</v>
      </c>
      <c r="V87" s="451">
        <f t="shared" si="68"/>
        <v>0</v>
      </c>
      <c r="W87" s="452" t="str">
        <f t="shared" si="69"/>
        <v>-</v>
      </c>
      <c r="X87" s="453">
        <f t="shared" si="70"/>
        <v>0</v>
      </c>
      <c r="Y87" s="365" t="s">
        <v>395</v>
      </c>
      <c r="Z87" s="365" t="s">
        <v>421</v>
      </c>
      <c r="AA87" s="366"/>
      <c r="AB87" s="366"/>
      <c r="AC87" s="366">
        <v>1</v>
      </c>
      <c r="AD87" s="441"/>
    </row>
    <row r="88" spans="2:39" s="147" customFormat="1" ht="27" customHeight="1">
      <c r="B88" s="874"/>
      <c r="C88" s="875"/>
      <c r="D88" s="361">
        <v>18</v>
      </c>
      <c r="E88" s="435"/>
      <c r="F88" s="436">
        <f t="shared" si="58"/>
        <v>0</v>
      </c>
      <c r="G88" s="364"/>
      <c r="H88" s="437"/>
      <c r="I88" s="437"/>
      <c r="J88" s="439" t="str">
        <f t="shared" si="59"/>
        <v>-</v>
      </c>
      <c r="K88" s="438"/>
      <c r="L88" s="439" t="str">
        <f t="shared" si="60"/>
        <v>-</v>
      </c>
      <c r="M88" s="438"/>
      <c r="N88" s="439" t="str">
        <f t="shared" si="61"/>
        <v>-</v>
      </c>
      <c r="O88" s="440">
        <f t="shared" si="62"/>
        <v>0</v>
      </c>
      <c r="P88" s="439" t="str">
        <f t="shared" si="63"/>
        <v>-</v>
      </c>
      <c r="Q88" s="437"/>
      <c r="R88" s="439" t="str">
        <f t="shared" si="64"/>
        <v>-</v>
      </c>
      <c r="S88" s="440">
        <f t="shared" si="65"/>
        <v>0</v>
      </c>
      <c r="T88" s="439" t="str">
        <f t="shared" si="66"/>
        <v>-</v>
      </c>
      <c r="U88" s="363">
        <f t="shared" si="67"/>
        <v>0</v>
      </c>
      <c r="V88" s="451">
        <f t="shared" si="68"/>
        <v>0</v>
      </c>
      <c r="W88" s="452" t="str">
        <f t="shared" si="69"/>
        <v>-</v>
      </c>
      <c r="X88" s="453">
        <f t="shared" si="70"/>
        <v>0</v>
      </c>
      <c r="Y88" s="365" t="s">
        <v>395</v>
      </c>
      <c r="Z88" s="365" t="s">
        <v>421</v>
      </c>
      <c r="AA88" s="366"/>
      <c r="AB88" s="366"/>
      <c r="AC88" s="366">
        <v>1</v>
      </c>
      <c r="AD88" s="441"/>
    </row>
    <row r="89" spans="2:39" s="147" customFormat="1" ht="27" customHeight="1">
      <c r="B89" s="874"/>
      <c r="C89" s="875"/>
      <c r="D89" s="361">
        <v>19</v>
      </c>
      <c r="E89" s="435"/>
      <c r="F89" s="436">
        <f t="shared" si="58"/>
        <v>0</v>
      </c>
      <c r="G89" s="364"/>
      <c r="H89" s="437"/>
      <c r="I89" s="437"/>
      <c r="J89" s="439" t="str">
        <f t="shared" si="59"/>
        <v>-</v>
      </c>
      <c r="K89" s="438"/>
      <c r="L89" s="439" t="str">
        <f t="shared" si="60"/>
        <v>-</v>
      </c>
      <c r="M89" s="438"/>
      <c r="N89" s="439" t="str">
        <f t="shared" si="61"/>
        <v>-</v>
      </c>
      <c r="O89" s="440">
        <f t="shared" si="62"/>
        <v>0</v>
      </c>
      <c r="P89" s="439" t="str">
        <f t="shared" si="63"/>
        <v>-</v>
      </c>
      <c r="Q89" s="437"/>
      <c r="R89" s="439" t="str">
        <f t="shared" si="64"/>
        <v>-</v>
      </c>
      <c r="S89" s="440">
        <f t="shared" si="65"/>
        <v>0</v>
      </c>
      <c r="T89" s="439" t="str">
        <f t="shared" si="66"/>
        <v>-</v>
      </c>
      <c r="U89" s="363">
        <f t="shared" si="67"/>
        <v>0</v>
      </c>
      <c r="V89" s="451">
        <f t="shared" si="68"/>
        <v>0</v>
      </c>
      <c r="W89" s="452" t="str">
        <f t="shared" si="69"/>
        <v>-</v>
      </c>
      <c r="X89" s="453">
        <f t="shared" si="70"/>
        <v>0</v>
      </c>
      <c r="Y89" s="365" t="s">
        <v>395</v>
      </c>
      <c r="Z89" s="365" t="s">
        <v>421</v>
      </c>
      <c r="AA89" s="366"/>
      <c r="AB89" s="366"/>
      <c r="AC89" s="366">
        <v>1</v>
      </c>
      <c r="AD89" s="441"/>
    </row>
    <row r="90" spans="2:39" s="147" customFormat="1" ht="27" customHeight="1">
      <c r="B90" s="876"/>
      <c r="C90" s="877"/>
      <c r="D90" s="361">
        <v>20</v>
      </c>
      <c r="E90" s="435"/>
      <c r="F90" s="436">
        <f t="shared" si="58"/>
        <v>0</v>
      </c>
      <c r="G90" s="364"/>
      <c r="H90" s="437"/>
      <c r="I90" s="437"/>
      <c r="J90" s="439" t="str">
        <f t="shared" si="59"/>
        <v>-</v>
      </c>
      <c r="K90" s="438"/>
      <c r="L90" s="439" t="str">
        <f t="shared" si="60"/>
        <v>-</v>
      </c>
      <c r="M90" s="438"/>
      <c r="N90" s="439" t="str">
        <f t="shared" si="61"/>
        <v>-</v>
      </c>
      <c r="O90" s="440">
        <f t="shared" si="62"/>
        <v>0</v>
      </c>
      <c r="P90" s="439" t="str">
        <f t="shared" si="63"/>
        <v>-</v>
      </c>
      <c r="Q90" s="437"/>
      <c r="R90" s="439" t="str">
        <f t="shared" si="64"/>
        <v>-</v>
      </c>
      <c r="S90" s="440">
        <f t="shared" si="65"/>
        <v>0</v>
      </c>
      <c r="T90" s="439" t="str">
        <f t="shared" si="66"/>
        <v>-</v>
      </c>
      <c r="U90" s="363">
        <f t="shared" si="67"/>
        <v>0</v>
      </c>
      <c r="V90" s="451">
        <f t="shared" si="68"/>
        <v>0</v>
      </c>
      <c r="W90" s="452" t="str">
        <f t="shared" si="69"/>
        <v>-</v>
      </c>
      <c r="X90" s="453">
        <f t="shared" si="70"/>
        <v>0</v>
      </c>
      <c r="Y90" s="365" t="s">
        <v>395</v>
      </c>
      <c r="Z90" s="365" t="s">
        <v>421</v>
      </c>
      <c r="AA90" s="366"/>
      <c r="AB90" s="366"/>
      <c r="AC90" s="366">
        <v>1</v>
      </c>
      <c r="AD90" s="441"/>
    </row>
    <row r="91" spans="2:39" ht="16.5" customHeight="1">
      <c r="B91" s="878" t="s">
        <v>419</v>
      </c>
      <c r="C91" s="879"/>
      <c r="D91" s="882" t="s">
        <v>502</v>
      </c>
      <c r="E91" s="883" t="s">
        <v>503</v>
      </c>
      <c r="F91" s="884" t="s">
        <v>504</v>
      </c>
      <c r="G91" s="861" t="s">
        <v>505</v>
      </c>
      <c r="H91" s="885" t="s">
        <v>506</v>
      </c>
      <c r="I91" s="886" t="s">
        <v>507</v>
      </c>
      <c r="J91" s="887"/>
      <c r="K91" s="886" t="s">
        <v>508</v>
      </c>
      <c r="L91" s="887"/>
      <c r="M91" s="886" t="s">
        <v>509</v>
      </c>
      <c r="N91" s="887"/>
      <c r="O91" s="886" t="s">
        <v>510</v>
      </c>
      <c r="P91" s="887"/>
      <c r="Q91" s="886" t="s">
        <v>396</v>
      </c>
      <c r="R91" s="887"/>
      <c r="S91" s="888" t="s">
        <v>397</v>
      </c>
      <c r="T91" s="889"/>
      <c r="U91" s="890"/>
      <c r="V91" s="891" t="s">
        <v>568</v>
      </c>
      <c r="W91" s="892"/>
      <c r="X91" s="893"/>
      <c r="Y91" s="894" t="s">
        <v>168</v>
      </c>
      <c r="Z91" s="894" t="s">
        <v>228</v>
      </c>
      <c r="AA91" s="894" t="s">
        <v>511</v>
      </c>
      <c r="AB91" s="894" t="s">
        <v>420</v>
      </c>
      <c r="AC91" s="894" t="s">
        <v>229</v>
      </c>
      <c r="AD91" s="861" t="s">
        <v>169</v>
      </c>
      <c r="AF91" s="863" t="s">
        <v>230</v>
      </c>
      <c r="AG91" s="864"/>
      <c r="AH91" s="864"/>
      <c r="AI91" s="864"/>
      <c r="AJ91" s="864"/>
      <c r="AK91" s="864"/>
      <c r="AL91" s="864"/>
      <c r="AM91" s="865"/>
    </row>
    <row r="92" spans="2:39" ht="16.5" customHeight="1">
      <c r="B92" s="880"/>
      <c r="C92" s="881"/>
      <c r="D92" s="882"/>
      <c r="E92" s="882"/>
      <c r="F92" s="884"/>
      <c r="G92" s="862"/>
      <c r="H92" s="862"/>
      <c r="I92" s="434" t="s">
        <v>512</v>
      </c>
      <c r="J92" s="362" t="s">
        <v>513</v>
      </c>
      <c r="K92" s="434" t="s">
        <v>512</v>
      </c>
      <c r="L92" s="362" t="s">
        <v>513</v>
      </c>
      <c r="M92" s="434" t="s">
        <v>512</v>
      </c>
      <c r="N92" s="362" t="s">
        <v>513</v>
      </c>
      <c r="O92" s="434" t="s">
        <v>512</v>
      </c>
      <c r="P92" s="362" t="s">
        <v>513</v>
      </c>
      <c r="Q92" s="434" t="s">
        <v>512</v>
      </c>
      <c r="R92" s="362" t="s">
        <v>513</v>
      </c>
      <c r="S92" s="434" t="s">
        <v>512</v>
      </c>
      <c r="T92" s="362" t="s">
        <v>513</v>
      </c>
      <c r="U92" s="362" t="s">
        <v>514</v>
      </c>
      <c r="V92" s="434" t="s">
        <v>512</v>
      </c>
      <c r="W92" s="362" t="s">
        <v>513</v>
      </c>
      <c r="X92" s="362" t="s">
        <v>514</v>
      </c>
      <c r="Y92" s="895"/>
      <c r="Z92" s="895"/>
      <c r="AA92" s="895"/>
      <c r="AB92" s="895"/>
      <c r="AC92" s="895"/>
      <c r="AD92" s="862"/>
      <c r="AF92" s="866"/>
      <c r="AG92" s="867"/>
      <c r="AH92" s="867"/>
      <c r="AI92" s="867"/>
      <c r="AJ92" s="867"/>
      <c r="AK92" s="867"/>
      <c r="AL92" s="867"/>
      <c r="AM92" s="868"/>
    </row>
    <row r="93" spans="2:39" s="147" customFormat="1" ht="27" customHeight="1">
      <c r="B93" s="872" t="s">
        <v>678</v>
      </c>
      <c r="C93" s="873"/>
      <c r="D93" s="361">
        <v>1</v>
      </c>
      <c r="E93" s="435"/>
      <c r="F93" s="436">
        <f>IFERROR(Q93*G93,"-")</f>
        <v>0</v>
      </c>
      <c r="G93" s="364"/>
      <c r="H93" s="437"/>
      <c r="I93" s="437"/>
      <c r="J93" s="439" t="str">
        <f>IFERROR(I93/H93,"-")</f>
        <v>-</v>
      </c>
      <c r="K93" s="438"/>
      <c r="L93" s="439" t="str">
        <f>IFERROR(K93/H93,"-")</f>
        <v>-</v>
      </c>
      <c r="M93" s="438"/>
      <c r="N93" s="439" t="str">
        <f>IFERROR(M93/H93,"-")</f>
        <v>-</v>
      </c>
      <c r="O93" s="440">
        <f>IFERROR(K93+M93,"-")</f>
        <v>0</v>
      </c>
      <c r="P93" s="439" t="str">
        <f>IFERROR(O93/H93,"-")</f>
        <v>-</v>
      </c>
      <c r="Q93" s="437"/>
      <c r="R93" s="439" t="str">
        <f>IFERROR(Q93/H93,"-")</f>
        <v>-</v>
      </c>
      <c r="S93" s="440">
        <f>IFERROR(O93-H93,"-")</f>
        <v>0</v>
      </c>
      <c r="T93" s="439" t="str">
        <f>IFERROR(S93/H93,"-")</f>
        <v>-</v>
      </c>
      <c r="U93" s="363">
        <f>IFERROR(S93*G93,"-")</f>
        <v>0</v>
      </c>
      <c r="V93" s="451">
        <f>S93-Q93</f>
        <v>0</v>
      </c>
      <c r="W93" s="452" t="str">
        <f>IFERROR(V93/H93,"-")</f>
        <v>-</v>
      </c>
      <c r="X93" s="453">
        <f>IFERROR(V93*G93,"-")</f>
        <v>0</v>
      </c>
      <c r="Y93" s="365" t="s">
        <v>395</v>
      </c>
      <c r="Z93" s="365" t="s">
        <v>199</v>
      </c>
      <c r="AA93" s="366"/>
      <c r="AB93" s="366"/>
      <c r="AC93" s="366">
        <v>1</v>
      </c>
      <c r="AD93" s="441"/>
      <c r="AF93" s="869"/>
      <c r="AG93" s="870"/>
      <c r="AH93" s="870"/>
      <c r="AI93" s="870"/>
      <c r="AJ93" s="870"/>
      <c r="AK93" s="870"/>
      <c r="AL93" s="870"/>
      <c r="AM93" s="871"/>
    </row>
    <row r="94" spans="2:39" s="147" customFormat="1" ht="27" customHeight="1">
      <c r="B94" s="874"/>
      <c r="C94" s="875"/>
      <c r="D94" s="361">
        <v>2</v>
      </c>
      <c r="E94" s="435"/>
      <c r="F94" s="436">
        <f t="shared" ref="F94:F112" si="73">IFERROR(Q94*G94,"-")</f>
        <v>0</v>
      </c>
      <c r="G94" s="364"/>
      <c r="H94" s="437"/>
      <c r="I94" s="437"/>
      <c r="J94" s="439" t="str">
        <f t="shared" ref="J94:J112" si="74">IFERROR(I94/H94,"-")</f>
        <v>-</v>
      </c>
      <c r="K94" s="438"/>
      <c r="L94" s="439" t="str">
        <f t="shared" ref="L94:L112" si="75">IFERROR(K94/H94,"-")</f>
        <v>-</v>
      </c>
      <c r="M94" s="438"/>
      <c r="N94" s="439" t="str">
        <f t="shared" ref="N94:N112" si="76">IFERROR(M94/H94,"-")</f>
        <v>-</v>
      </c>
      <c r="O94" s="440">
        <f t="shared" ref="O94:O112" si="77">IFERROR(K94+M94,"-")</f>
        <v>0</v>
      </c>
      <c r="P94" s="439" t="str">
        <f t="shared" ref="P94:P112" si="78">IFERROR(O94/H94,"-")</f>
        <v>-</v>
      </c>
      <c r="Q94" s="437"/>
      <c r="R94" s="439" t="str">
        <f t="shared" ref="R94:R112" si="79">IFERROR(Q94/H94,"-")</f>
        <v>-</v>
      </c>
      <c r="S94" s="440">
        <f t="shared" ref="S94:S112" si="80">IFERROR(O94-H94,"-")</f>
        <v>0</v>
      </c>
      <c r="T94" s="439" t="str">
        <f t="shared" ref="T94:T112" si="81">IFERROR(S94/H94,"-")</f>
        <v>-</v>
      </c>
      <c r="U94" s="363">
        <f t="shared" ref="U94:U112" si="82">IFERROR(S94*G94,"-")</f>
        <v>0</v>
      </c>
      <c r="V94" s="451">
        <f t="shared" ref="V94:V112" si="83">S94-Q94</f>
        <v>0</v>
      </c>
      <c r="W94" s="452" t="str">
        <f t="shared" ref="W94:W112" si="84">IFERROR(V94/H94,"-")</f>
        <v>-</v>
      </c>
      <c r="X94" s="453">
        <f t="shared" ref="X94:X112" si="85">IFERROR(V94*G94,"-")</f>
        <v>0</v>
      </c>
      <c r="Y94" s="365" t="s">
        <v>395</v>
      </c>
      <c r="Z94" s="365" t="s">
        <v>316</v>
      </c>
      <c r="AA94" s="366"/>
      <c r="AB94" s="366"/>
      <c r="AC94" s="366">
        <v>1</v>
      </c>
      <c r="AD94" s="441"/>
      <c r="AF94" s="160" t="s">
        <v>227</v>
      </c>
      <c r="AG94" s="160" t="s">
        <v>421</v>
      </c>
      <c r="AH94" s="155" t="s">
        <v>515</v>
      </c>
      <c r="AI94" s="155" t="s">
        <v>316</v>
      </c>
      <c r="AJ94" s="155" t="s">
        <v>406</v>
      </c>
      <c r="AK94" s="155" t="s">
        <v>198</v>
      </c>
      <c r="AL94" s="155" t="s">
        <v>199</v>
      </c>
      <c r="AM94" s="155" t="s">
        <v>362</v>
      </c>
    </row>
    <row r="95" spans="2:39" s="147" customFormat="1" ht="27" customHeight="1">
      <c r="B95" s="874"/>
      <c r="C95" s="875"/>
      <c r="D95" s="361">
        <v>3</v>
      </c>
      <c r="E95" s="435"/>
      <c r="F95" s="436">
        <f t="shared" si="73"/>
        <v>0</v>
      </c>
      <c r="G95" s="364"/>
      <c r="H95" s="437"/>
      <c r="I95" s="437"/>
      <c r="J95" s="439" t="str">
        <f t="shared" si="74"/>
        <v>-</v>
      </c>
      <c r="K95" s="438"/>
      <c r="L95" s="439" t="str">
        <f t="shared" si="75"/>
        <v>-</v>
      </c>
      <c r="M95" s="438"/>
      <c r="N95" s="439" t="str">
        <f t="shared" si="76"/>
        <v>-</v>
      </c>
      <c r="O95" s="440">
        <f t="shared" si="77"/>
        <v>0</v>
      </c>
      <c r="P95" s="439" t="str">
        <f t="shared" si="78"/>
        <v>-</v>
      </c>
      <c r="Q95" s="437"/>
      <c r="R95" s="439" t="str">
        <f t="shared" si="79"/>
        <v>-</v>
      </c>
      <c r="S95" s="440">
        <f t="shared" si="80"/>
        <v>0</v>
      </c>
      <c r="T95" s="439" t="str">
        <f t="shared" si="81"/>
        <v>-</v>
      </c>
      <c r="U95" s="363">
        <f t="shared" si="82"/>
        <v>0</v>
      </c>
      <c r="V95" s="451">
        <f t="shared" si="83"/>
        <v>0</v>
      </c>
      <c r="W95" s="452" t="str">
        <f t="shared" si="84"/>
        <v>-</v>
      </c>
      <c r="X95" s="453">
        <f t="shared" si="85"/>
        <v>0</v>
      </c>
      <c r="Y95" s="365" t="s">
        <v>395</v>
      </c>
      <c r="Z95" s="365" t="s">
        <v>316</v>
      </c>
      <c r="AA95" s="366"/>
      <c r="AB95" s="366"/>
      <c r="AC95" s="366">
        <v>1</v>
      </c>
      <c r="AD95" s="441"/>
      <c r="AF95" s="371">
        <f>SUM(AC93:AC112)</f>
        <v>20</v>
      </c>
      <c r="AG95" s="367">
        <f>SUMIF($Z$93:$Z$112,TRIM(AG94),$AC$93:$AC$112)</f>
        <v>8</v>
      </c>
      <c r="AH95" s="367">
        <f t="shared" ref="AH95:AM95" si="86">SUMIF($Z$93:$Z$112,TRIM(AH94),$AC$93:$AC$112)</f>
        <v>0</v>
      </c>
      <c r="AI95" s="367">
        <f t="shared" si="86"/>
        <v>6</v>
      </c>
      <c r="AJ95" s="367">
        <f t="shared" si="86"/>
        <v>0</v>
      </c>
      <c r="AK95" s="367">
        <f t="shared" si="86"/>
        <v>1</v>
      </c>
      <c r="AL95" s="367">
        <f t="shared" si="86"/>
        <v>5</v>
      </c>
      <c r="AM95" s="367">
        <f t="shared" si="86"/>
        <v>0</v>
      </c>
    </row>
    <row r="96" spans="2:39" s="147" customFormat="1" ht="27" customHeight="1">
      <c r="B96" s="874"/>
      <c r="C96" s="875"/>
      <c r="D96" s="361">
        <v>4</v>
      </c>
      <c r="E96" s="435"/>
      <c r="F96" s="436">
        <f t="shared" si="73"/>
        <v>0</v>
      </c>
      <c r="G96" s="364"/>
      <c r="H96" s="437"/>
      <c r="I96" s="437"/>
      <c r="J96" s="439" t="str">
        <f t="shared" si="74"/>
        <v>-</v>
      </c>
      <c r="K96" s="438"/>
      <c r="L96" s="439" t="str">
        <f t="shared" si="75"/>
        <v>-</v>
      </c>
      <c r="M96" s="438"/>
      <c r="N96" s="439" t="str">
        <f t="shared" si="76"/>
        <v>-</v>
      </c>
      <c r="O96" s="440">
        <f t="shared" si="77"/>
        <v>0</v>
      </c>
      <c r="P96" s="439" t="str">
        <f t="shared" si="78"/>
        <v>-</v>
      </c>
      <c r="Q96" s="437"/>
      <c r="R96" s="439" t="str">
        <f t="shared" si="79"/>
        <v>-</v>
      </c>
      <c r="S96" s="440">
        <f t="shared" si="80"/>
        <v>0</v>
      </c>
      <c r="T96" s="439" t="str">
        <f t="shared" si="81"/>
        <v>-</v>
      </c>
      <c r="U96" s="363">
        <f t="shared" si="82"/>
        <v>0</v>
      </c>
      <c r="V96" s="451">
        <f t="shared" si="83"/>
        <v>0</v>
      </c>
      <c r="W96" s="452" t="str">
        <f t="shared" si="84"/>
        <v>-</v>
      </c>
      <c r="X96" s="453">
        <f t="shared" si="85"/>
        <v>0</v>
      </c>
      <c r="Y96" s="365" t="s">
        <v>395</v>
      </c>
      <c r="Z96" s="365" t="s">
        <v>198</v>
      </c>
      <c r="AA96" s="366"/>
      <c r="AB96" s="366"/>
      <c r="AC96" s="366">
        <v>1</v>
      </c>
      <c r="AD96" s="441"/>
      <c r="AF96" s="372" t="s">
        <v>11</v>
      </c>
      <c r="AG96" s="369">
        <f>SUMIF($Z$93:$Z112,TRIM(AG94),$F$93:$F$112)</f>
        <v>0</v>
      </c>
      <c r="AH96" s="369">
        <f>SUMIF($Z$93:$Z112,TRIM(AH94),$F$93:$F$112)</f>
        <v>0</v>
      </c>
      <c r="AI96" s="369">
        <f>SUMIF($Z$93:$Z112,TRIM(AI94),$F$93:$F$112)</f>
        <v>0</v>
      </c>
      <c r="AJ96" s="369">
        <f>SUMIF($Z$93:$Z112,TRIM(AJ94),$F$93:$F$112)</f>
        <v>0</v>
      </c>
      <c r="AK96" s="369">
        <f>SUMIF($Z$93:$Z112,TRIM(AK94),$F$93:$F$112)</f>
        <v>0</v>
      </c>
      <c r="AL96" s="369">
        <f>SUMIF($Z$93:$Z112,TRIM(AL94),$F$93:$F$112)</f>
        <v>0</v>
      </c>
      <c r="AM96" s="369">
        <f>SUMIF($Z$93:$Z112,TRIM(AM94),$F$93:$F$112)</f>
        <v>0</v>
      </c>
    </row>
    <row r="97" spans="2:39" s="147" customFormat="1" ht="27" customHeight="1">
      <c r="B97" s="874"/>
      <c r="C97" s="875"/>
      <c r="D97" s="361">
        <v>5</v>
      </c>
      <c r="E97" s="435"/>
      <c r="F97" s="436">
        <f t="shared" si="73"/>
        <v>0</v>
      </c>
      <c r="G97" s="364"/>
      <c r="H97" s="437"/>
      <c r="I97" s="437"/>
      <c r="J97" s="439" t="str">
        <f t="shared" si="74"/>
        <v>-</v>
      </c>
      <c r="K97" s="438"/>
      <c r="L97" s="439" t="str">
        <f t="shared" si="75"/>
        <v>-</v>
      </c>
      <c r="M97" s="438"/>
      <c r="N97" s="439" t="str">
        <f t="shared" si="76"/>
        <v>-</v>
      </c>
      <c r="O97" s="440">
        <f t="shared" si="77"/>
        <v>0</v>
      </c>
      <c r="P97" s="439" t="str">
        <f t="shared" si="78"/>
        <v>-</v>
      </c>
      <c r="Q97" s="437"/>
      <c r="R97" s="439" t="str">
        <f t="shared" si="79"/>
        <v>-</v>
      </c>
      <c r="S97" s="440">
        <f t="shared" si="80"/>
        <v>0</v>
      </c>
      <c r="T97" s="439" t="str">
        <f t="shared" si="81"/>
        <v>-</v>
      </c>
      <c r="U97" s="363">
        <f t="shared" si="82"/>
        <v>0</v>
      </c>
      <c r="V97" s="451">
        <f t="shared" si="83"/>
        <v>0</v>
      </c>
      <c r="W97" s="452" t="str">
        <f t="shared" si="84"/>
        <v>-</v>
      </c>
      <c r="X97" s="453">
        <f t="shared" si="85"/>
        <v>0</v>
      </c>
      <c r="Y97" s="365" t="s">
        <v>395</v>
      </c>
      <c r="Z97" s="365" t="s">
        <v>316</v>
      </c>
      <c r="AA97" s="366"/>
      <c r="AB97" s="366"/>
      <c r="AC97" s="366">
        <v>1</v>
      </c>
      <c r="AD97" s="441"/>
      <c r="AF97" s="361" t="s">
        <v>516</v>
      </c>
      <c r="AG97" s="442">
        <f>AG95/$AF95</f>
        <v>0.4</v>
      </c>
      <c r="AH97" s="442">
        <f t="shared" ref="AH97:AM97" si="87">AH95/$AF95</f>
        <v>0</v>
      </c>
      <c r="AI97" s="442">
        <f t="shared" si="87"/>
        <v>0.3</v>
      </c>
      <c r="AJ97" s="442">
        <f t="shared" si="87"/>
        <v>0</v>
      </c>
      <c r="AK97" s="442">
        <f t="shared" si="87"/>
        <v>0.05</v>
      </c>
      <c r="AL97" s="442">
        <f t="shared" si="87"/>
        <v>0.25</v>
      </c>
      <c r="AM97" s="442">
        <f t="shared" si="87"/>
        <v>0</v>
      </c>
    </row>
    <row r="98" spans="2:39" s="147" customFormat="1" ht="27" customHeight="1">
      <c r="B98" s="874"/>
      <c r="C98" s="875"/>
      <c r="D98" s="361">
        <v>6</v>
      </c>
      <c r="E98" s="435"/>
      <c r="F98" s="436">
        <f t="shared" si="73"/>
        <v>0</v>
      </c>
      <c r="G98" s="364"/>
      <c r="H98" s="437"/>
      <c r="I98" s="437"/>
      <c r="J98" s="439" t="str">
        <f t="shared" si="74"/>
        <v>-</v>
      </c>
      <c r="K98" s="438"/>
      <c r="L98" s="439" t="str">
        <f t="shared" si="75"/>
        <v>-</v>
      </c>
      <c r="M98" s="438"/>
      <c r="N98" s="439" t="str">
        <f t="shared" si="76"/>
        <v>-</v>
      </c>
      <c r="O98" s="440">
        <f t="shared" si="77"/>
        <v>0</v>
      </c>
      <c r="P98" s="439" t="str">
        <f t="shared" si="78"/>
        <v>-</v>
      </c>
      <c r="Q98" s="437"/>
      <c r="R98" s="439" t="str">
        <f t="shared" si="79"/>
        <v>-</v>
      </c>
      <c r="S98" s="440">
        <f t="shared" si="80"/>
        <v>0</v>
      </c>
      <c r="T98" s="439" t="str">
        <f t="shared" si="81"/>
        <v>-</v>
      </c>
      <c r="U98" s="363">
        <f t="shared" si="82"/>
        <v>0</v>
      </c>
      <c r="V98" s="451">
        <f t="shared" si="83"/>
        <v>0</v>
      </c>
      <c r="W98" s="452" t="str">
        <f t="shared" si="84"/>
        <v>-</v>
      </c>
      <c r="X98" s="453">
        <f t="shared" si="85"/>
        <v>0</v>
      </c>
      <c r="Y98" s="365" t="s">
        <v>395</v>
      </c>
      <c r="Z98" s="365" t="s">
        <v>316</v>
      </c>
      <c r="AA98" s="366"/>
      <c r="AB98" s="366"/>
      <c r="AC98" s="366">
        <v>1</v>
      </c>
      <c r="AD98" s="441"/>
    </row>
    <row r="99" spans="2:39" s="147" customFormat="1" ht="27" customHeight="1">
      <c r="B99" s="874"/>
      <c r="C99" s="875"/>
      <c r="D99" s="361">
        <v>7</v>
      </c>
      <c r="E99" s="435"/>
      <c r="F99" s="436">
        <f t="shared" si="73"/>
        <v>0</v>
      </c>
      <c r="G99" s="364"/>
      <c r="H99" s="437"/>
      <c r="I99" s="437"/>
      <c r="J99" s="439" t="str">
        <f t="shared" si="74"/>
        <v>-</v>
      </c>
      <c r="K99" s="438"/>
      <c r="L99" s="439" t="str">
        <f t="shared" si="75"/>
        <v>-</v>
      </c>
      <c r="M99" s="438"/>
      <c r="N99" s="439" t="str">
        <f t="shared" si="76"/>
        <v>-</v>
      </c>
      <c r="O99" s="440">
        <f t="shared" si="77"/>
        <v>0</v>
      </c>
      <c r="P99" s="439" t="str">
        <f t="shared" si="78"/>
        <v>-</v>
      </c>
      <c r="Q99" s="437"/>
      <c r="R99" s="439" t="str">
        <f t="shared" si="79"/>
        <v>-</v>
      </c>
      <c r="S99" s="440">
        <f t="shared" si="80"/>
        <v>0</v>
      </c>
      <c r="T99" s="439" t="str">
        <f t="shared" si="81"/>
        <v>-</v>
      </c>
      <c r="U99" s="363">
        <f t="shared" si="82"/>
        <v>0</v>
      </c>
      <c r="V99" s="451">
        <f t="shared" si="83"/>
        <v>0</v>
      </c>
      <c r="W99" s="452" t="str">
        <f t="shared" si="84"/>
        <v>-</v>
      </c>
      <c r="X99" s="453">
        <f t="shared" si="85"/>
        <v>0</v>
      </c>
      <c r="Y99" s="365" t="s">
        <v>395</v>
      </c>
      <c r="Z99" s="365" t="s">
        <v>421</v>
      </c>
      <c r="AA99" s="366"/>
      <c r="AB99" s="366"/>
      <c r="AC99" s="366">
        <v>1</v>
      </c>
      <c r="AD99" s="441"/>
    </row>
    <row r="100" spans="2:39" s="147" customFormat="1" ht="27" customHeight="1">
      <c r="B100" s="874"/>
      <c r="C100" s="875"/>
      <c r="D100" s="361">
        <v>8</v>
      </c>
      <c r="E100" s="435"/>
      <c r="F100" s="436">
        <f t="shared" si="73"/>
        <v>0</v>
      </c>
      <c r="G100" s="364"/>
      <c r="H100" s="437"/>
      <c r="I100" s="437"/>
      <c r="J100" s="439" t="str">
        <f t="shared" si="74"/>
        <v>-</v>
      </c>
      <c r="K100" s="438"/>
      <c r="L100" s="439" t="str">
        <f t="shared" si="75"/>
        <v>-</v>
      </c>
      <c r="M100" s="438"/>
      <c r="N100" s="439" t="str">
        <f t="shared" si="76"/>
        <v>-</v>
      </c>
      <c r="O100" s="440">
        <f t="shared" si="77"/>
        <v>0</v>
      </c>
      <c r="P100" s="439" t="str">
        <f t="shared" si="78"/>
        <v>-</v>
      </c>
      <c r="Q100" s="437"/>
      <c r="R100" s="439" t="str">
        <f t="shared" si="79"/>
        <v>-</v>
      </c>
      <c r="S100" s="440">
        <f t="shared" si="80"/>
        <v>0</v>
      </c>
      <c r="T100" s="439" t="str">
        <f t="shared" si="81"/>
        <v>-</v>
      </c>
      <c r="U100" s="363">
        <f t="shared" si="82"/>
        <v>0</v>
      </c>
      <c r="V100" s="451">
        <f t="shared" si="83"/>
        <v>0</v>
      </c>
      <c r="W100" s="452" t="str">
        <f t="shared" si="84"/>
        <v>-</v>
      </c>
      <c r="X100" s="453">
        <f t="shared" si="85"/>
        <v>0</v>
      </c>
      <c r="Y100" s="365" t="s">
        <v>395</v>
      </c>
      <c r="Z100" s="365" t="s">
        <v>199</v>
      </c>
      <c r="AA100" s="366"/>
      <c r="AB100" s="366"/>
      <c r="AC100" s="366">
        <v>1</v>
      </c>
      <c r="AD100" s="441"/>
    </row>
    <row r="101" spans="2:39" s="147" customFormat="1" ht="27" customHeight="1">
      <c r="B101" s="874"/>
      <c r="C101" s="875"/>
      <c r="D101" s="361">
        <v>9</v>
      </c>
      <c r="E101" s="435"/>
      <c r="F101" s="436">
        <f t="shared" si="73"/>
        <v>0</v>
      </c>
      <c r="G101" s="364"/>
      <c r="H101" s="437"/>
      <c r="I101" s="437"/>
      <c r="J101" s="439" t="str">
        <f t="shared" si="74"/>
        <v>-</v>
      </c>
      <c r="K101" s="438"/>
      <c r="L101" s="439" t="str">
        <f t="shared" si="75"/>
        <v>-</v>
      </c>
      <c r="M101" s="438"/>
      <c r="N101" s="439" t="str">
        <f t="shared" si="76"/>
        <v>-</v>
      </c>
      <c r="O101" s="440">
        <f t="shared" si="77"/>
        <v>0</v>
      </c>
      <c r="P101" s="439" t="str">
        <f t="shared" si="78"/>
        <v>-</v>
      </c>
      <c r="Q101" s="437"/>
      <c r="R101" s="439" t="str">
        <f t="shared" si="79"/>
        <v>-</v>
      </c>
      <c r="S101" s="440">
        <f t="shared" si="80"/>
        <v>0</v>
      </c>
      <c r="T101" s="439" t="str">
        <f t="shared" si="81"/>
        <v>-</v>
      </c>
      <c r="U101" s="363">
        <f t="shared" si="82"/>
        <v>0</v>
      </c>
      <c r="V101" s="451">
        <f t="shared" si="83"/>
        <v>0</v>
      </c>
      <c r="W101" s="452" t="str">
        <f t="shared" si="84"/>
        <v>-</v>
      </c>
      <c r="X101" s="453">
        <f t="shared" si="85"/>
        <v>0</v>
      </c>
      <c r="Y101" s="365" t="s">
        <v>395</v>
      </c>
      <c r="Z101" s="365" t="s">
        <v>421</v>
      </c>
      <c r="AA101" s="366"/>
      <c r="AB101" s="377"/>
      <c r="AC101" s="366">
        <v>1</v>
      </c>
      <c r="AD101" s="441"/>
      <c r="AH101" s="368"/>
    </row>
    <row r="102" spans="2:39" s="147" customFormat="1" ht="27" customHeight="1">
      <c r="B102" s="874"/>
      <c r="C102" s="875"/>
      <c r="D102" s="361">
        <v>10</v>
      </c>
      <c r="E102" s="435"/>
      <c r="F102" s="436">
        <f t="shared" si="73"/>
        <v>0</v>
      </c>
      <c r="G102" s="364"/>
      <c r="H102" s="437"/>
      <c r="I102" s="437"/>
      <c r="J102" s="439" t="str">
        <f t="shared" si="74"/>
        <v>-</v>
      </c>
      <c r="K102" s="438"/>
      <c r="L102" s="439" t="str">
        <f t="shared" si="75"/>
        <v>-</v>
      </c>
      <c r="M102" s="438"/>
      <c r="N102" s="439" t="str">
        <f t="shared" si="76"/>
        <v>-</v>
      </c>
      <c r="O102" s="440">
        <f t="shared" si="77"/>
        <v>0</v>
      </c>
      <c r="P102" s="439" t="str">
        <f t="shared" si="78"/>
        <v>-</v>
      </c>
      <c r="Q102" s="437"/>
      <c r="R102" s="439" t="str">
        <f t="shared" si="79"/>
        <v>-</v>
      </c>
      <c r="S102" s="440">
        <f t="shared" si="80"/>
        <v>0</v>
      </c>
      <c r="T102" s="439" t="str">
        <f t="shared" si="81"/>
        <v>-</v>
      </c>
      <c r="U102" s="363">
        <f t="shared" si="82"/>
        <v>0</v>
      </c>
      <c r="V102" s="451">
        <f t="shared" si="83"/>
        <v>0</v>
      </c>
      <c r="W102" s="452" t="str">
        <f t="shared" si="84"/>
        <v>-</v>
      </c>
      <c r="X102" s="453">
        <f t="shared" si="85"/>
        <v>0</v>
      </c>
      <c r="Y102" s="365" t="s">
        <v>395</v>
      </c>
      <c r="Z102" s="365" t="s">
        <v>199</v>
      </c>
      <c r="AA102" s="366"/>
      <c r="AB102" s="366"/>
      <c r="AC102" s="366">
        <v>1</v>
      </c>
      <c r="AD102" s="441"/>
      <c r="AH102" s="368"/>
    </row>
    <row r="103" spans="2:39" s="147" customFormat="1" ht="27" customHeight="1">
      <c r="B103" s="874"/>
      <c r="C103" s="875"/>
      <c r="D103" s="361">
        <v>11</v>
      </c>
      <c r="E103" s="435"/>
      <c r="F103" s="436">
        <f t="shared" si="73"/>
        <v>0</v>
      </c>
      <c r="G103" s="364"/>
      <c r="H103" s="437"/>
      <c r="I103" s="437"/>
      <c r="J103" s="439" t="str">
        <f t="shared" si="74"/>
        <v>-</v>
      </c>
      <c r="K103" s="438"/>
      <c r="L103" s="439" t="str">
        <f t="shared" si="75"/>
        <v>-</v>
      </c>
      <c r="M103" s="438"/>
      <c r="N103" s="439" t="str">
        <f t="shared" si="76"/>
        <v>-</v>
      </c>
      <c r="O103" s="440">
        <f t="shared" si="77"/>
        <v>0</v>
      </c>
      <c r="P103" s="439" t="str">
        <f t="shared" si="78"/>
        <v>-</v>
      </c>
      <c r="Q103" s="437"/>
      <c r="R103" s="439" t="str">
        <f t="shared" si="79"/>
        <v>-</v>
      </c>
      <c r="S103" s="440">
        <f t="shared" si="80"/>
        <v>0</v>
      </c>
      <c r="T103" s="439" t="str">
        <f t="shared" si="81"/>
        <v>-</v>
      </c>
      <c r="U103" s="363">
        <f t="shared" si="82"/>
        <v>0</v>
      </c>
      <c r="V103" s="451">
        <f t="shared" si="83"/>
        <v>0</v>
      </c>
      <c r="W103" s="452" t="str">
        <f t="shared" si="84"/>
        <v>-</v>
      </c>
      <c r="X103" s="453">
        <f t="shared" si="85"/>
        <v>0</v>
      </c>
      <c r="Y103" s="365" t="s">
        <v>395</v>
      </c>
      <c r="Z103" s="365" t="s">
        <v>199</v>
      </c>
      <c r="AA103" s="366"/>
      <c r="AB103" s="366"/>
      <c r="AC103" s="366">
        <v>1</v>
      </c>
      <c r="AD103" s="441"/>
      <c r="AH103" s="368"/>
    </row>
    <row r="104" spans="2:39" s="147" customFormat="1" ht="26.25" customHeight="1">
      <c r="B104" s="874"/>
      <c r="C104" s="875"/>
      <c r="D104" s="361">
        <v>12</v>
      </c>
      <c r="E104" s="435"/>
      <c r="F104" s="436">
        <f t="shared" si="73"/>
        <v>0</v>
      </c>
      <c r="G104" s="364"/>
      <c r="H104" s="437"/>
      <c r="I104" s="437"/>
      <c r="J104" s="439" t="str">
        <f t="shared" si="74"/>
        <v>-</v>
      </c>
      <c r="K104" s="438"/>
      <c r="L104" s="439" t="str">
        <f t="shared" si="75"/>
        <v>-</v>
      </c>
      <c r="M104" s="438"/>
      <c r="N104" s="439" t="str">
        <f t="shared" si="76"/>
        <v>-</v>
      </c>
      <c r="O104" s="440">
        <f t="shared" si="77"/>
        <v>0</v>
      </c>
      <c r="P104" s="439" t="str">
        <f t="shared" si="78"/>
        <v>-</v>
      </c>
      <c r="Q104" s="437"/>
      <c r="R104" s="439" t="str">
        <f t="shared" si="79"/>
        <v>-</v>
      </c>
      <c r="S104" s="440">
        <f t="shared" si="80"/>
        <v>0</v>
      </c>
      <c r="T104" s="439" t="str">
        <f t="shared" si="81"/>
        <v>-</v>
      </c>
      <c r="U104" s="363">
        <f t="shared" si="82"/>
        <v>0</v>
      </c>
      <c r="V104" s="451">
        <f t="shared" si="83"/>
        <v>0</v>
      </c>
      <c r="W104" s="452" t="str">
        <f t="shared" si="84"/>
        <v>-</v>
      </c>
      <c r="X104" s="453">
        <f t="shared" si="85"/>
        <v>0</v>
      </c>
      <c r="Y104" s="365" t="s">
        <v>395</v>
      </c>
      <c r="Z104" s="365" t="s">
        <v>316</v>
      </c>
      <c r="AA104" s="366"/>
      <c r="AB104" s="366"/>
      <c r="AC104" s="366">
        <v>1</v>
      </c>
      <c r="AD104" s="441"/>
      <c r="AH104" s="368"/>
    </row>
    <row r="105" spans="2:39" s="147" customFormat="1" ht="27" customHeight="1">
      <c r="B105" s="874"/>
      <c r="C105" s="875"/>
      <c r="D105" s="361">
        <v>13</v>
      </c>
      <c r="E105" s="435"/>
      <c r="F105" s="436">
        <f t="shared" si="73"/>
        <v>0</v>
      </c>
      <c r="G105" s="364"/>
      <c r="H105" s="437"/>
      <c r="I105" s="437"/>
      <c r="J105" s="439" t="str">
        <f t="shared" si="74"/>
        <v>-</v>
      </c>
      <c r="K105" s="438"/>
      <c r="L105" s="439" t="str">
        <f t="shared" si="75"/>
        <v>-</v>
      </c>
      <c r="M105" s="438"/>
      <c r="N105" s="439" t="str">
        <f t="shared" si="76"/>
        <v>-</v>
      </c>
      <c r="O105" s="440">
        <f t="shared" si="77"/>
        <v>0</v>
      </c>
      <c r="P105" s="439" t="str">
        <f t="shared" si="78"/>
        <v>-</v>
      </c>
      <c r="Q105" s="437"/>
      <c r="R105" s="439" t="str">
        <f t="shared" si="79"/>
        <v>-</v>
      </c>
      <c r="S105" s="440">
        <f t="shared" si="80"/>
        <v>0</v>
      </c>
      <c r="T105" s="439" t="str">
        <f t="shared" si="81"/>
        <v>-</v>
      </c>
      <c r="U105" s="363">
        <f t="shared" si="82"/>
        <v>0</v>
      </c>
      <c r="V105" s="451">
        <f t="shared" si="83"/>
        <v>0</v>
      </c>
      <c r="W105" s="452" t="str">
        <f t="shared" si="84"/>
        <v>-</v>
      </c>
      <c r="X105" s="453">
        <f t="shared" si="85"/>
        <v>0</v>
      </c>
      <c r="Y105" s="365" t="s">
        <v>395</v>
      </c>
      <c r="Z105" s="365" t="s">
        <v>199</v>
      </c>
      <c r="AA105" s="366"/>
      <c r="AB105" s="366"/>
      <c r="AC105" s="366">
        <v>1</v>
      </c>
      <c r="AD105" s="441"/>
    </row>
    <row r="106" spans="2:39" s="147" customFormat="1" ht="27" customHeight="1">
      <c r="B106" s="874"/>
      <c r="C106" s="875"/>
      <c r="D106" s="361">
        <v>14</v>
      </c>
      <c r="E106" s="435"/>
      <c r="F106" s="436">
        <f t="shared" si="73"/>
        <v>0</v>
      </c>
      <c r="G106" s="364"/>
      <c r="H106" s="437"/>
      <c r="I106" s="437"/>
      <c r="J106" s="439" t="str">
        <f t="shared" si="74"/>
        <v>-</v>
      </c>
      <c r="K106" s="438"/>
      <c r="L106" s="439" t="str">
        <f t="shared" si="75"/>
        <v>-</v>
      </c>
      <c r="M106" s="438"/>
      <c r="N106" s="439" t="str">
        <f t="shared" si="76"/>
        <v>-</v>
      </c>
      <c r="O106" s="440">
        <f t="shared" si="77"/>
        <v>0</v>
      </c>
      <c r="P106" s="439" t="str">
        <f t="shared" si="78"/>
        <v>-</v>
      </c>
      <c r="Q106" s="437"/>
      <c r="R106" s="439" t="str">
        <f t="shared" si="79"/>
        <v>-</v>
      </c>
      <c r="S106" s="440">
        <f t="shared" si="80"/>
        <v>0</v>
      </c>
      <c r="T106" s="439" t="str">
        <f t="shared" si="81"/>
        <v>-</v>
      </c>
      <c r="U106" s="363">
        <f t="shared" si="82"/>
        <v>0</v>
      </c>
      <c r="V106" s="451">
        <f t="shared" si="83"/>
        <v>0</v>
      </c>
      <c r="W106" s="452" t="str">
        <f t="shared" si="84"/>
        <v>-</v>
      </c>
      <c r="X106" s="453">
        <f t="shared" si="85"/>
        <v>0</v>
      </c>
      <c r="Y106" s="365" t="s">
        <v>395</v>
      </c>
      <c r="Z106" s="365" t="s">
        <v>421</v>
      </c>
      <c r="AA106" s="365"/>
      <c r="AB106" s="366"/>
      <c r="AC106" s="366">
        <v>1</v>
      </c>
      <c r="AD106" s="441"/>
      <c r="AF106" s="898" t="s">
        <v>230</v>
      </c>
      <c r="AG106" s="899"/>
      <c r="AH106" s="899"/>
      <c r="AI106" s="899"/>
      <c r="AJ106" s="899"/>
      <c r="AK106" s="899"/>
      <c r="AL106" s="899"/>
      <c r="AM106" s="900"/>
    </row>
    <row r="107" spans="2:39" s="147" customFormat="1" ht="27" customHeight="1">
      <c r="B107" s="874"/>
      <c r="C107" s="875"/>
      <c r="D107" s="361">
        <v>15</v>
      </c>
      <c r="E107" s="435"/>
      <c r="F107" s="436">
        <f t="shared" si="73"/>
        <v>0</v>
      </c>
      <c r="G107" s="364"/>
      <c r="H107" s="437"/>
      <c r="I107" s="437"/>
      <c r="J107" s="439" t="str">
        <f t="shared" si="74"/>
        <v>-</v>
      </c>
      <c r="K107" s="438"/>
      <c r="L107" s="439" t="str">
        <f t="shared" si="75"/>
        <v>-</v>
      </c>
      <c r="M107" s="438"/>
      <c r="N107" s="439" t="str">
        <f t="shared" si="76"/>
        <v>-</v>
      </c>
      <c r="O107" s="440">
        <f t="shared" si="77"/>
        <v>0</v>
      </c>
      <c r="P107" s="439" t="str">
        <f t="shared" si="78"/>
        <v>-</v>
      </c>
      <c r="Q107" s="437"/>
      <c r="R107" s="439" t="str">
        <f t="shared" si="79"/>
        <v>-</v>
      </c>
      <c r="S107" s="440">
        <f t="shared" si="80"/>
        <v>0</v>
      </c>
      <c r="T107" s="439" t="str">
        <f t="shared" si="81"/>
        <v>-</v>
      </c>
      <c r="U107" s="363">
        <f t="shared" si="82"/>
        <v>0</v>
      </c>
      <c r="V107" s="451">
        <f t="shared" si="83"/>
        <v>0</v>
      </c>
      <c r="W107" s="452" t="str">
        <f t="shared" si="84"/>
        <v>-</v>
      </c>
      <c r="X107" s="453">
        <f t="shared" si="85"/>
        <v>0</v>
      </c>
      <c r="Y107" s="365" t="s">
        <v>395</v>
      </c>
      <c r="Z107" s="365" t="s">
        <v>421</v>
      </c>
      <c r="AA107" s="366"/>
      <c r="AB107" s="366"/>
      <c r="AC107" s="366">
        <v>1</v>
      </c>
      <c r="AD107" s="441"/>
      <c r="AF107" s="901"/>
      <c r="AG107" s="902"/>
      <c r="AH107" s="902"/>
      <c r="AI107" s="902"/>
      <c r="AJ107" s="902"/>
      <c r="AK107" s="902"/>
      <c r="AL107" s="902"/>
      <c r="AM107" s="903"/>
    </row>
    <row r="108" spans="2:39" s="147" customFormat="1" ht="27" customHeight="1">
      <c r="B108" s="874"/>
      <c r="C108" s="875"/>
      <c r="D108" s="361">
        <v>16</v>
      </c>
      <c r="E108" s="435"/>
      <c r="F108" s="436">
        <f t="shared" si="73"/>
        <v>0</v>
      </c>
      <c r="G108" s="364"/>
      <c r="H108" s="437"/>
      <c r="I108" s="437"/>
      <c r="J108" s="439" t="str">
        <f t="shared" si="74"/>
        <v>-</v>
      </c>
      <c r="K108" s="438"/>
      <c r="L108" s="439" t="str">
        <f t="shared" si="75"/>
        <v>-</v>
      </c>
      <c r="M108" s="438"/>
      <c r="N108" s="439" t="str">
        <f t="shared" si="76"/>
        <v>-</v>
      </c>
      <c r="O108" s="440">
        <f t="shared" si="77"/>
        <v>0</v>
      </c>
      <c r="P108" s="439" t="str">
        <f t="shared" si="78"/>
        <v>-</v>
      </c>
      <c r="Q108" s="437"/>
      <c r="R108" s="439" t="str">
        <f t="shared" si="79"/>
        <v>-</v>
      </c>
      <c r="S108" s="440">
        <f t="shared" si="80"/>
        <v>0</v>
      </c>
      <c r="T108" s="439" t="str">
        <f t="shared" si="81"/>
        <v>-</v>
      </c>
      <c r="U108" s="363">
        <f t="shared" si="82"/>
        <v>0</v>
      </c>
      <c r="V108" s="451">
        <f t="shared" si="83"/>
        <v>0</v>
      </c>
      <c r="W108" s="452" t="str">
        <f t="shared" si="84"/>
        <v>-</v>
      </c>
      <c r="X108" s="453">
        <f t="shared" si="85"/>
        <v>0</v>
      </c>
      <c r="Y108" s="365" t="s">
        <v>395</v>
      </c>
      <c r="Z108" s="365" t="s">
        <v>316</v>
      </c>
      <c r="AA108" s="377"/>
      <c r="AB108" s="366"/>
      <c r="AC108" s="366">
        <v>1</v>
      </c>
      <c r="AD108" s="441"/>
      <c r="AF108" s="904"/>
      <c r="AG108" s="905"/>
      <c r="AH108" s="905"/>
      <c r="AI108" s="905"/>
      <c r="AJ108" s="905"/>
      <c r="AK108" s="905"/>
      <c r="AL108" s="905"/>
      <c r="AM108" s="906"/>
    </row>
    <row r="109" spans="2:39" s="147" customFormat="1" ht="27" customHeight="1">
      <c r="B109" s="874"/>
      <c r="C109" s="875"/>
      <c r="D109" s="361">
        <v>17</v>
      </c>
      <c r="E109" s="435"/>
      <c r="F109" s="436">
        <f t="shared" si="73"/>
        <v>0</v>
      </c>
      <c r="G109" s="364"/>
      <c r="H109" s="437"/>
      <c r="I109" s="437"/>
      <c r="J109" s="439" t="str">
        <f t="shared" si="74"/>
        <v>-</v>
      </c>
      <c r="K109" s="438"/>
      <c r="L109" s="439" t="str">
        <f t="shared" si="75"/>
        <v>-</v>
      </c>
      <c r="M109" s="438"/>
      <c r="N109" s="439" t="str">
        <f t="shared" si="76"/>
        <v>-</v>
      </c>
      <c r="O109" s="440">
        <f t="shared" si="77"/>
        <v>0</v>
      </c>
      <c r="P109" s="439" t="str">
        <f t="shared" si="78"/>
        <v>-</v>
      </c>
      <c r="Q109" s="437"/>
      <c r="R109" s="439" t="str">
        <f t="shared" si="79"/>
        <v>-</v>
      </c>
      <c r="S109" s="440">
        <f t="shared" si="80"/>
        <v>0</v>
      </c>
      <c r="T109" s="439" t="str">
        <f t="shared" si="81"/>
        <v>-</v>
      </c>
      <c r="U109" s="363">
        <f t="shared" si="82"/>
        <v>0</v>
      </c>
      <c r="V109" s="451">
        <f t="shared" si="83"/>
        <v>0</v>
      </c>
      <c r="W109" s="452" t="str">
        <f t="shared" si="84"/>
        <v>-</v>
      </c>
      <c r="X109" s="453">
        <f t="shared" si="85"/>
        <v>0</v>
      </c>
      <c r="Y109" s="365" t="s">
        <v>395</v>
      </c>
      <c r="Z109" s="365" t="s">
        <v>421</v>
      </c>
      <c r="AA109" s="366"/>
      <c r="AB109" s="366"/>
      <c r="AC109" s="366">
        <v>1</v>
      </c>
      <c r="AD109" s="441"/>
      <c r="AF109" s="160" t="s">
        <v>227</v>
      </c>
      <c r="AG109" s="160" t="s">
        <v>421</v>
      </c>
      <c r="AH109" s="155" t="s">
        <v>361</v>
      </c>
      <c r="AI109" s="155" t="s">
        <v>316</v>
      </c>
      <c r="AJ109" s="155" t="s">
        <v>406</v>
      </c>
      <c r="AK109" s="155" t="s">
        <v>198</v>
      </c>
      <c r="AL109" s="155" t="s">
        <v>199</v>
      </c>
      <c r="AM109" s="155" t="s">
        <v>362</v>
      </c>
    </row>
    <row r="110" spans="2:39" s="147" customFormat="1" ht="27" customHeight="1">
      <c r="B110" s="874"/>
      <c r="C110" s="875"/>
      <c r="D110" s="361">
        <v>18</v>
      </c>
      <c r="E110" s="435"/>
      <c r="F110" s="436">
        <f t="shared" si="73"/>
        <v>0</v>
      </c>
      <c r="G110" s="364"/>
      <c r="H110" s="437"/>
      <c r="I110" s="437"/>
      <c r="J110" s="439" t="str">
        <f t="shared" si="74"/>
        <v>-</v>
      </c>
      <c r="K110" s="438"/>
      <c r="L110" s="439" t="str">
        <f t="shared" si="75"/>
        <v>-</v>
      </c>
      <c r="M110" s="438"/>
      <c r="N110" s="439" t="str">
        <f t="shared" si="76"/>
        <v>-</v>
      </c>
      <c r="O110" s="440">
        <f t="shared" si="77"/>
        <v>0</v>
      </c>
      <c r="P110" s="439" t="str">
        <f t="shared" si="78"/>
        <v>-</v>
      </c>
      <c r="Q110" s="437"/>
      <c r="R110" s="439" t="str">
        <f t="shared" si="79"/>
        <v>-</v>
      </c>
      <c r="S110" s="440">
        <f t="shared" si="80"/>
        <v>0</v>
      </c>
      <c r="T110" s="439" t="str">
        <f t="shared" si="81"/>
        <v>-</v>
      </c>
      <c r="U110" s="363">
        <f t="shared" si="82"/>
        <v>0</v>
      </c>
      <c r="V110" s="451">
        <f t="shared" si="83"/>
        <v>0</v>
      </c>
      <c r="W110" s="452" t="str">
        <f t="shared" si="84"/>
        <v>-</v>
      </c>
      <c r="X110" s="453">
        <f t="shared" si="85"/>
        <v>0</v>
      </c>
      <c r="Y110" s="365" t="s">
        <v>395</v>
      </c>
      <c r="Z110" s="365" t="s">
        <v>421</v>
      </c>
      <c r="AA110" s="377"/>
      <c r="AB110" s="366"/>
      <c r="AC110" s="366">
        <v>1</v>
      </c>
      <c r="AD110" s="441"/>
      <c r="AE110" s="448" t="s">
        <v>533</v>
      </c>
      <c r="AF110" s="371">
        <f>AF7+AF29+AF51+AF73+AF95</f>
        <v>100</v>
      </c>
      <c r="AG110" s="371">
        <f>AG7+AG29+AG51+AG73+AG95</f>
        <v>46</v>
      </c>
      <c r="AH110" s="371">
        <f t="shared" ref="AH110:AM110" si="88">AH7+AH29+AH51+AH73+AH95</f>
        <v>0</v>
      </c>
      <c r="AI110" s="371">
        <f t="shared" si="88"/>
        <v>27</v>
      </c>
      <c r="AJ110" s="371">
        <f t="shared" si="88"/>
        <v>0</v>
      </c>
      <c r="AK110" s="371">
        <f t="shared" si="88"/>
        <v>5</v>
      </c>
      <c r="AL110" s="371">
        <f t="shared" si="88"/>
        <v>22</v>
      </c>
      <c r="AM110" s="371">
        <f t="shared" si="88"/>
        <v>0</v>
      </c>
    </row>
    <row r="111" spans="2:39" s="147" customFormat="1" ht="27" customHeight="1">
      <c r="B111" s="874"/>
      <c r="C111" s="875"/>
      <c r="D111" s="361">
        <v>19</v>
      </c>
      <c r="E111" s="435"/>
      <c r="F111" s="436">
        <f t="shared" si="73"/>
        <v>0</v>
      </c>
      <c r="G111" s="364"/>
      <c r="H111" s="437"/>
      <c r="I111" s="437"/>
      <c r="J111" s="439" t="str">
        <f t="shared" si="74"/>
        <v>-</v>
      </c>
      <c r="K111" s="438"/>
      <c r="L111" s="439" t="str">
        <f t="shared" si="75"/>
        <v>-</v>
      </c>
      <c r="M111" s="438"/>
      <c r="N111" s="439" t="str">
        <f t="shared" si="76"/>
        <v>-</v>
      </c>
      <c r="O111" s="440">
        <f t="shared" si="77"/>
        <v>0</v>
      </c>
      <c r="P111" s="439" t="str">
        <f t="shared" si="78"/>
        <v>-</v>
      </c>
      <c r="Q111" s="437"/>
      <c r="R111" s="439" t="str">
        <f t="shared" si="79"/>
        <v>-</v>
      </c>
      <c r="S111" s="440">
        <f t="shared" si="80"/>
        <v>0</v>
      </c>
      <c r="T111" s="439" t="str">
        <f t="shared" si="81"/>
        <v>-</v>
      </c>
      <c r="U111" s="363">
        <f t="shared" si="82"/>
        <v>0</v>
      </c>
      <c r="V111" s="451">
        <f t="shared" si="83"/>
        <v>0</v>
      </c>
      <c r="W111" s="452" t="str">
        <f t="shared" si="84"/>
        <v>-</v>
      </c>
      <c r="X111" s="453">
        <f t="shared" si="85"/>
        <v>0</v>
      </c>
      <c r="Y111" s="365" t="s">
        <v>395</v>
      </c>
      <c r="Z111" s="365" t="s">
        <v>421</v>
      </c>
      <c r="AA111" s="366"/>
      <c r="AB111" s="366"/>
      <c r="AC111" s="366">
        <v>1</v>
      </c>
      <c r="AD111" s="441"/>
      <c r="AF111" s="372"/>
      <c r="AG111" s="371">
        <f>AG8+AG30+AG52+AG74+AG96</f>
        <v>23576.6005</v>
      </c>
      <c r="AH111" s="371">
        <f t="shared" ref="AH111:AM111" si="89">AH8+AH30+AH52+AH74+AH96</f>
        <v>0</v>
      </c>
      <c r="AI111" s="371">
        <f t="shared" si="89"/>
        <v>23225.286599999999</v>
      </c>
      <c r="AJ111" s="371">
        <f t="shared" si="89"/>
        <v>0</v>
      </c>
      <c r="AK111" s="371">
        <f t="shared" si="89"/>
        <v>4007.1474000000007</v>
      </c>
      <c r="AL111" s="371">
        <f t="shared" si="89"/>
        <v>14568.186600000001</v>
      </c>
      <c r="AM111" s="371">
        <f t="shared" si="89"/>
        <v>0</v>
      </c>
    </row>
    <row r="112" spans="2:39" s="147" customFormat="1" ht="27" customHeight="1">
      <c r="B112" s="876"/>
      <c r="C112" s="877"/>
      <c r="D112" s="361">
        <v>20</v>
      </c>
      <c r="E112" s="435"/>
      <c r="F112" s="436">
        <f t="shared" si="73"/>
        <v>0</v>
      </c>
      <c r="G112" s="364"/>
      <c r="H112" s="437"/>
      <c r="I112" s="437"/>
      <c r="J112" s="439" t="str">
        <f t="shared" si="74"/>
        <v>-</v>
      </c>
      <c r="K112" s="438"/>
      <c r="L112" s="439" t="str">
        <f t="shared" si="75"/>
        <v>-</v>
      </c>
      <c r="M112" s="438"/>
      <c r="N112" s="439" t="str">
        <f t="shared" si="76"/>
        <v>-</v>
      </c>
      <c r="O112" s="440">
        <f t="shared" si="77"/>
        <v>0</v>
      </c>
      <c r="P112" s="439" t="str">
        <f t="shared" si="78"/>
        <v>-</v>
      </c>
      <c r="Q112" s="437"/>
      <c r="R112" s="439" t="str">
        <f t="shared" si="79"/>
        <v>-</v>
      </c>
      <c r="S112" s="440">
        <f t="shared" si="80"/>
        <v>0</v>
      </c>
      <c r="T112" s="439" t="str">
        <f t="shared" si="81"/>
        <v>-</v>
      </c>
      <c r="U112" s="363">
        <f t="shared" si="82"/>
        <v>0</v>
      </c>
      <c r="V112" s="451">
        <f t="shared" si="83"/>
        <v>0</v>
      </c>
      <c r="W112" s="452" t="str">
        <f t="shared" si="84"/>
        <v>-</v>
      </c>
      <c r="X112" s="453">
        <f t="shared" si="85"/>
        <v>0</v>
      </c>
      <c r="Y112" s="365" t="s">
        <v>395</v>
      </c>
      <c r="Z112" s="365" t="s">
        <v>421</v>
      </c>
      <c r="AA112" s="366"/>
      <c r="AB112" s="366"/>
      <c r="AC112" s="366">
        <v>1</v>
      </c>
      <c r="AD112" s="441"/>
      <c r="AF112" s="361"/>
      <c r="AG112" s="442">
        <f>AG110/$AF110</f>
        <v>0.46</v>
      </c>
      <c r="AH112" s="442">
        <f t="shared" ref="AH112:AM112" si="90">AH110/$AF110</f>
        <v>0</v>
      </c>
      <c r="AI112" s="442">
        <f t="shared" si="90"/>
        <v>0.27</v>
      </c>
      <c r="AJ112" s="442">
        <f t="shared" si="90"/>
        <v>0</v>
      </c>
      <c r="AK112" s="442">
        <f t="shared" si="90"/>
        <v>0.05</v>
      </c>
      <c r="AL112" s="442">
        <f t="shared" si="90"/>
        <v>0.22</v>
      </c>
      <c r="AM112" s="442">
        <f t="shared" si="90"/>
        <v>0</v>
      </c>
    </row>
  </sheetData>
  <mergeCells count="107">
    <mergeCell ref="AD91:AD92"/>
    <mergeCell ref="AF91:AM93"/>
    <mergeCell ref="B93:C112"/>
    <mergeCell ref="O91:P91"/>
    <mergeCell ref="Q91:R91"/>
    <mergeCell ref="S91:U91"/>
    <mergeCell ref="V91:X91"/>
    <mergeCell ref="Y91:Y92"/>
    <mergeCell ref="Z91:Z92"/>
    <mergeCell ref="AA91:AA92"/>
    <mergeCell ref="AB91:AB92"/>
    <mergeCell ref="AC91:AC92"/>
    <mergeCell ref="B91:C92"/>
    <mergeCell ref="D91:D92"/>
    <mergeCell ref="E91:E92"/>
    <mergeCell ref="F91:F92"/>
    <mergeCell ref="G91:G92"/>
    <mergeCell ref="H91:H92"/>
    <mergeCell ref="I91:J91"/>
    <mergeCell ref="K91:L91"/>
    <mergeCell ref="M91:N91"/>
    <mergeCell ref="AF106:AM108"/>
    <mergeCell ref="M3:N3"/>
    <mergeCell ref="AD3:AD4"/>
    <mergeCell ref="B5:C24"/>
    <mergeCell ref="O3:P3"/>
    <mergeCell ref="Q3:R3"/>
    <mergeCell ref="S3:U3"/>
    <mergeCell ref="Y3:Y4"/>
    <mergeCell ref="Z3:Z4"/>
    <mergeCell ref="AA3:AA4"/>
    <mergeCell ref="AB3:AB4"/>
    <mergeCell ref="AC3:AC4"/>
    <mergeCell ref="B3:C4"/>
    <mergeCell ref="D3:D4"/>
    <mergeCell ref="E3:E4"/>
    <mergeCell ref="F3:F4"/>
    <mergeCell ref="G3:G4"/>
    <mergeCell ref="H3:H4"/>
    <mergeCell ref="I3:J3"/>
    <mergeCell ref="V3:X3"/>
    <mergeCell ref="AF3:AM5"/>
    <mergeCell ref="B2:AD2"/>
    <mergeCell ref="B25:C26"/>
    <mergeCell ref="D25:D26"/>
    <mergeCell ref="E25:E26"/>
    <mergeCell ref="F25:F26"/>
    <mergeCell ref="G25:G26"/>
    <mergeCell ref="H25:H26"/>
    <mergeCell ref="I25:J25"/>
    <mergeCell ref="K25:L25"/>
    <mergeCell ref="M25:N25"/>
    <mergeCell ref="O25:P25"/>
    <mergeCell ref="Q25:R25"/>
    <mergeCell ref="S25:U25"/>
    <mergeCell ref="V25:X25"/>
    <mergeCell ref="Y25:Y26"/>
    <mergeCell ref="Z25:Z26"/>
    <mergeCell ref="AA25:AA26"/>
    <mergeCell ref="AB25:AB26"/>
    <mergeCell ref="AC25:AC26"/>
    <mergeCell ref="AD25:AD26"/>
    <mergeCell ref="AF25:AM27"/>
    <mergeCell ref="B27:C46"/>
    <mergeCell ref="K3:L3"/>
    <mergeCell ref="B47:C48"/>
    <mergeCell ref="D47:D48"/>
    <mergeCell ref="E47:E48"/>
    <mergeCell ref="F47:F48"/>
    <mergeCell ref="G47:G48"/>
    <mergeCell ref="H47:H48"/>
    <mergeCell ref="I47:J47"/>
    <mergeCell ref="K47:L47"/>
    <mergeCell ref="M47:N47"/>
    <mergeCell ref="O47:P47"/>
    <mergeCell ref="Q47:R47"/>
    <mergeCell ref="S47:U47"/>
    <mergeCell ref="V47:X47"/>
    <mergeCell ref="Y47:Y48"/>
    <mergeCell ref="Z47:Z48"/>
    <mergeCell ref="AA47:AA48"/>
    <mergeCell ref="AB47:AB48"/>
    <mergeCell ref="AC47:AC48"/>
    <mergeCell ref="AD47:AD48"/>
    <mergeCell ref="AF47:AM49"/>
    <mergeCell ref="B49:C68"/>
    <mergeCell ref="B69:C70"/>
    <mergeCell ref="D69:D70"/>
    <mergeCell ref="E69:E70"/>
    <mergeCell ref="F69:F70"/>
    <mergeCell ref="G69:G70"/>
    <mergeCell ref="H69:H70"/>
    <mergeCell ref="I69:J69"/>
    <mergeCell ref="K69:L69"/>
    <mergeCell ref="M69:N69"/>
    <mergeCell ref="O69:P69"/>
    <mergeCell ref="Q69:R69"/>
    <mergeCell ref="S69:U69"/>
    <mergeCell ref="V69:X69"/>
    <mergeCell ref="Y69:Y70"/>
    <mergeCell ref="Z69:Z70"/>
    <mergeCell ref="AA69:AA70"/>
    <mergeCell ref="AB69:AB70"/>
    <mergeCell ref="AC69:AC70"/>
    <mergeCell ref="AD69:AD70"/>
    <mergeCell ref="AF69:AM71"/>
    <mergeCell ref="B71:C90"/>
  </mergeCells>
  <phoneticPr fontId="13" type="noConversion"/>
  <dataValidations count="1">
    <dataValidation type="list" allowBlank="1" showInputMessage="1" showErrorMessage="1" sqref="Y1:Z3 Y93:Y112 Y27:Y46 Y25:Z25 Y47:Z47 Y91:Z91 Y49:Y68 Y69:Z69 Y113:Z1048576 Y71:Y90 Y5:Y24">
      <formula1>#REF!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112"/>
  <sheetViews>
    <sheetView zoomScale="70" zoomScaleNormal="70" workbookViewId="0">
      <pane xSplit="3" ySplit="2" topLeftCell="D33" activePane="bottomRight" state="frozen"/>
      <selection pane="topRight" activeCell="D1" sqref="D1"/>
      <selection pane="bottomLeft" activeCell="A4" sqref="A4"/>
      <selection pane="bottomRight" activeCell="Z50" sqref="Z50"/>
    </sheetView>
  </sheetViews>
  <sheetFormatPr defaultColWidth="8.85546875" defaultRowHeight="14.25"/>
  <cols>
    <col min="1" max="1" width="8.85546875" style="145"/>
    <col min="2" max="2" width="12.42578125" style="145" customWidth="1"/>
    <col min="3" max="3" width="8.85546875" style="145"/>
    <col min="4" max="4" width="11.5703125" style="145" customWidth="1"/>
    <col min="5" max="5" width="39.28515625" style="145" bestFit="1" customWidth="1"/>
    <col min="6" max="6" width="11.42578125" style="145" bestFit="1" customWidth="1"/>
    <col min="7" max="8" width="15.85546875" style="145" bestFit="1" customWidth="1"/>
    <col min="9" max="9" width="16.85546875" style="145" customWidth="1"/>
    <col min="10" max="10" width="14" style="145" customWidth="1"/>
    <col min="11" max="11" width="15.42578125" style="145" bestFit="1" customWidth="1"/>
    <col min="12" max="12" width="12.28515625" style="145" bestFit="1" customWidth="1"/>
    <col min="13" max="13" width="19.140625" style="145" bestFit="1" customWidth="1"/>
    <col min="14" max="14" width="15.28515625" style="145" bestFit="1" customWidth="1"/>
    <col min="15" max="15" width="19.140625" style="145" bestFit="1" customWidth="1"/>
    <col min="16" max="16" width="12.5703125" style="145" bestFit="1" customWidth="1"/>
    <col min="17" max="17" width="9.140625" style="145" bestFit="1" customWidth="1"/>
    <col min="18" max="18" width="12.28515625" style="145" bestFit="1" customWidth="1"/>
    <col min="19" max="19" width="12.5703125" style="145" bestFit="1" customWidth="1"/>
    <col min="20" max="20" width="12.42578125" style="145" bestFit="1" customWidth="1"/>
    <col min="21" max="21" width="11.42578125" style="145" bestFit="1" customWidth="1"/>
    <col min="22" max="24" width="11.42578125" style="145" customWidth="1"/>
    <col min="25" max="25" width="12.42578125" style="145" bestFit="1" customWidth="1"/>
    <col min="26" max="26" width="15.28515625" style="145" bestFit="1" customWidth="1"/>
    <col min="27" max="27" width="66.85546875" style="145" bestFit="1" customWidth="1"/>
    <col min="28" max="28" width="113.42578125" style="145" bestFit="1" customWidth="1"/>
    <col min="29" max="29" width="11.42578125" style="145" bestFit="1" customWidth="1"/>
    <col min="30" max="30" width="37.7109375" style="145" bestFit="1" customWidth="1"/>
    <col min="31" max="31" width="19.42578125" style="145" bestFit="1" customWidth="1"/>
    <col min="32" max="32" width="21.5703125" style="145" customWidth="1"/>
    <col min="33" max="33" width="19.42578125" style="145" bestFit="1" customWidth="1"/>
    <col min="34" max="39" width="14.42578125" style="145" customWidth="1"/>
    <col min="40" max="16384" width="8.85546875" style="145"/>
  </cols>
  <sheetData>
    <row r="2" spans="2:39" ht="41.1" customHeight="1">
      <c r="B2" s="896" t="s">
        <v>424</v>
      </c>
      <c r="C2" s="897"/>
      <c r="D2" s="897"/>
      <c r="E2" s="897"/>
      <c r="F2" s="897"/>
      <c r="G2" s="897"/>
      <c r="H2" s="897"/>
      <c r="I2" s="897"/>
      <c r="J2" s="897"/>
      <c r="K2" s="897"/>
      <c r="L2" s="897"/>
      <c r="M2" s="897"/>
      <c r="N2" s="897"/>
      <c r="O2" s="897"/>
      <c r="P2" s="897"/>
      <c r="Q2" s="897"/>
      <c r="R2" s="897"/>
      <c r="S2" s="897"/>
      <c r="T2" s="897"/>
      <c r="U2" s="897"/>
      <c r="V2" s="897"/>
      <c r="W2" s="897"/>
      <c r="X2" s="897"/>
      <c r="Y2" s="897"/>
      <c r="Z2" s="897"/>
      <c r="AA2" s="897"/>
      <c r="AB2" s="897"/>
      <c r="AD2" s="146"/>
      <c r="AE2" s="146"/>
      <c r="AF2" s="146"/>
      <c r="AG2" s="146"/>
    </row>
    <row r="3" spans="2:39" ht="17.100000000000001" customHeight="1">
      <c r="B3" s="878" t="s">
        <v>419</v>
      </c>
      <c r="C3" s="879"/>
      <c r="D3" s="882" t="s">
        <v>502</v>
      </c>
      <c r="E3" s="883" t="s">
        <v>503</v>
      </c>
      <c r="F3" s="907" t="s">
        <v>519</v>
      </c>
      <c r="G3" s="861" t="s">
        <v>505</v>
      </c>
      <c r="H3" s="885" t="s">
        <v>506</v>
      </c>
      <c r="I3" s="886" t="s">
        <v>507</v>
      </c>
      <c r="J3" s="887"/>
      <c r="K3" s="886" t="s">
        <v>508</v>
      </c>
      <c r="L3" s="887"/>
      <c r="M3" s="886" t="s">
        <v>509</v>
      </c>
      <c r="N3" s="887"/>
      <c r="O3" s="886" t="s">
        <v>510</v>
      </c>
      <c r="P3" s="887"/>
      <c r="Q3" s="886" t="s">
        <v>396</v>
      </c>
      <c r="R3" s="908"/>
      <c r="S3" s="887"/>
      <c r="T3" s="888" t="s">
        <v>569</v>
      </c>
      <c r="U3" s="889"/>
      <c r="V3" s="891" t="s">
        <v>568</v>
      </c>
      <c r="W3" s="892"/>
      <c r="X3" s="893"/>
      <c r="Y3" s="894" t="s">
        <v>168</v>
      </c>
      <c r="Z3" s="894" t="s">
        <v>228</v>
      </c>
      <c r="AA3" s="894" t="s">
        <v>511</v>
      </c>
      <c r="AB3" s="894" t="s">
        <v>420</v>
      </c>
      <c r="AC3" s="894" t="s">
        <v>229</v>
      </c>
      <c r="AD3" s="861" t="s">
        <v>169</v>
      </c>
      <c r="AF3" s="863" t="s">
        <v>230</v>
      </c>
      <c r="AG3" s="864"/>
      <c r="AH3" s="864"/>
      <c r="AI3" s="864"/>
      <c r="AJ3" s="864"/>
      <c r="AK3" s="864"/>
      <c r="AL3" s="864"/>
      <c r="AM3" s="865"/>
    </row>
    <row r="4" spans="2:39" ht="16.5" customHeight="1">
      <c r="B4" s="880"/>
      <c r="C4" s="881"/>
      <c r="D4" s="882"/>
      <c r="E4" s="882"/>
      <c r="F4" s="884"/>
      <c r="G4" s="862"/>
      <c r="H4" s="862"/>
      <c r="I4" s="434" t="s">
        <v>512</v>
      </c>
      <c r="J4" s="362" t="s">
        <v>513</v>
      </c>
      <c r="K4" s="434" t="s">
        <v>512</v>
      </c>
      <c r="L4" s="362" t="s">
        <v>513</v>
      </c>
      <c r="M4" s="434" t="s">
        <v>512</v>
      </c>
      <c r="N4" s="362" t="s">
        <v>513</v>
      </c>
      <c r="O4" s="434" t="s">
        <v>512</v>
      </c>
      <c r="P4" s="362" t="s">
        <v>513</v>
      </c>
      <c r="Q4" s="434" t="s">
        <v>512</v>
      </c>
      <c r="R4" s="362" t="s">
        <v>513</v>
      </c>
      <c r="S4" s="362" t="s">
        <v>514</v>
      </c>
      <c r="T4" s="434" t="s">
        <v>512</v>
      </c>
      <c r="U4" s="362" t="s">
        <v>513</v>
      </c>
      <c r="V4" s="434" t="s">
        <v>512</v>
      </c>
      <c r="W4" s="362" t="s">
        <v>513</v>
      </c>
      <c r="X4" s="362" t="s">
        <v>514</v>
      </c>
      <c r="Y4" s="895"/>
      <c r="Z4" s="895"/>
      <c r="AA4" s="895"/>
      <c r="AB4" s="895"/>
      <c r="AC4" s="895"/>
      <c r="AD4" s="862"/>
      <c r="AF4" s="866"/>
      <c r="AG4" s="867"/>
      <c r="AH4" s="867"/>
      <c r="AI4" s="867"/>
      <c r="AJ4" s="867"/>
      <c r="AK4" s="867"/>
      <c r="AL4" s="867"/>
      <c r="AM4" s="868"/>
    </row>
    <row r="5" spans="2:39" s="147" customFormat="1" ht="27" customHeight="1">
      <c r="B5" s="872" t="s">
        <v>616</v>
      </c>
      <c r="C5" s="873"/>
      <c r="D5" s="361">
        <v>1</v>
      </c>
      <c r="E5" s="435" t="s">
        <v>315</v>
      </c>
      <c r="F5" s="363">
        <f>IFERROR(T5*G5,"-")</f>
        <v>9664.0365000000293</v>
      </c>
      <c r="G5" s="364">
        <v>147.43000000000004</v>
      </c>
      <c r="H5" s="437">
        <v>3953.68</v>
      </c>
      <c r="I5" s="437">
        <v>3953.68</v>
      </c>
      <c r="J5" s="439">
        <f>IFERROR(I5/H5,"-")</f>
        <v>1</v>
      </c>
      <c r="K5" s="438">
        <v>3953.68</v>
      </c>
      <c r="L5" s="439">
        <f>IFERROR(K5/H5,"-")</f>
        <v>1</v>
      </c>
      <c r="M5" s="438">
        <v>65.55</v>
      </c>
      <c r="N5" s="439">
        <f>IFERROR(M5/H5,"-")</f>
        <v>1.6579490499989882E-2</v>
      </c>
      <c r="O5" s="440">
        <f>IFERROR(K5+M5,"-")</f>
        <v>4019.23</v>
      </c>
      <c r="P5" s="439">
        <f>IFERROR(O5/H5,"-")</f>
        <v>1.0165794904999899</v>
      </c>
      <c r="Q5" s="437">
        <v>10.24</v>
      </c>
      <c r="R5" s="439">
        <f>IFERROR(Q5/H5,"-")</f>
        <v>2.5899921086177942E-3</v>
      </c>
      <c r="S5" s="447">
        <f>IFERROR(Q5*G5,"-")</f>
        <v>1509.6832000000004</v>
      </c>
      <c r="T5" s="440">
        <f>IFERROR(O5-H5,"-")</f>
        <v>65.550000000000182</v>
      </c>
      <c r="U5" s="439">
        <f>IFERROR(T5/H5,"-")</f>
        <v>1.657949049998993E-2</v>
      </c>
      <c r="V5" s="451">
        <f>T5-Q5</f>
        <v>55.31000000000018</v>
      </c>
      <c r="W5" s="452">
        <f>IFERROR(V5/H5,"-")</f>
        <v>1.3989498391372136E-2</v>
      </c>
      <c r="X5" s="453">
        <f>IFERROR(V5*G5,"-")</f>
        <v>8154.3533000000289</v>
      </c>
      <c r="Y5" s="365" t="s">
        <v>170</v>
      </c>
      <c r="Z5" s="365" t="s">
        <v>198</v>
      </c>
      <c r="AA5" s="366" t="s">
        <v>444</v>
      </c>
      <c r="AB5" s="366" t="s">
        <v>486</v>
      </c>
      <c r="AC5" s="366">
        <v>1</v>
      </c>
      <c r="AD5" s="441" t="s">
        <v>319</v>
      </c>
      <c r="AF5" s="869"/>
      <c r="AG5" s="870"/>
      <c r="AH5" s="870"/>
      <c r="AI5" s="870"/>
      <c r="AJ5" s="870"/>
      <c r="AK5" s="870"/>
      <c r="AL5" s="870"/>
      <c r="AM5" s="871"/>
    </row>
    <row r="6" spans="2:39" s="147" customFormat="1" ht="27" customHeight="1">
      <c r="B6" s="874"/>
      <c r="C6" s="875"/>
      <c r="D6" s="361">
        <v>2</v>
      </c>
      <c r="E6" s="435" t="s">
        <v>561</v>
      </c>
      <c r="F6" s="363">
        <f t="shared" ref="F6:F24" si="0">IFERROR(T6*G6,"-")</f>
        <v>6847.7836000000334</v>
      </c>
      <c r="G6" s="364">
        <v>625.93999999999994</v>
      </c>
      <c r="H6" s="437">
        <v>1254.52</v>
      </c>
      <c r="I6" s="437">
        <v>1254.52</v>
      </c>
      <c r="J6" s="439">
        <f t="shared" ref="J6:J24" si="1">IFERROR(I6/H6,"-")</f>
        <v>1</v>
      </c>
      <c r="K6" s="438">
        <v>1254.52</v>
      </c>
      <c r="L6" s="439">
        <f t="shared" ref="L6:L24" si="2">IFERROR(K6/H6,"-")</f>
        <v>1</v>
      </c>
      <c r="M6" s="438">
        <v>10.940000000000001</v>
      </c>
      <c r="N6" s="439">
        <f t="shared" ref="N6:N24" si="3">IFERROR(M6/H6,"-")</f>
        <v>8.7204667920798406E-3</v>
      </c>
      <c r="O6" s="440">
        <f t="shared" ref="O6:O24" si="4">IFERROR(K6+M6,"-")</f>
        <v>1265.46</v>
      </c>
      <c r="P6" s="439">
        <f t="shared" ref="P6:P24" si="5">IFERROR(O6/H6,"-")</f>
        <v>1.0087204667920799</v>
      </c>
      <c r="Q6" s="437">
        <v>2.31</v>
      </c>
      <c r="R6" s="439">
        <f t="shared" ref="R6:R24" si="6">IFERROR(Q6/H6,"-")</f>
        <v>1.841341708382489E-3</v>
      </c>
      <c r="S6" s="447">
        <f t="shared" ref="S6:S24" si="7">IFERROR(Q6*G6,"-")</f>
        <v>1445.9213999999999</v>
      </c>
      <c r="T6" s="440">
        <f t="shared" ref="T6:T24" si="8">IFERROR(O6-H6,"-")</f>
        <v>10.940000000000055</v>
      </c>
      <c r="U6" s="439">
        <f t="shared" ref="U6:U24" si="9">IFERROR(T6/H6,"-")</f>
        <v>8.7204667920798822E-3</v>
      </c>
      <c r="V6" s="451">
        <f t="shared" ref="V6:V24" si="10">T6-Q6</f>
        <v>8.6300000000000541</v>
      </c>
      <c r="W6" s="452">
        <f t="shared" ref="W6:W24" si="11">IFERROR(V6/H6,"-")</f>
        <v>6.8791250836973935E-3</v>
      </c>
      <c r="X6" s="453">
        <f t="shared" ref="X6:X24" si="12">IFERROR(V6*G6,"-")</f>
        <v>5401.8622000000332</v>
      </c>
      <c r="Y6" s="365" t="s">
        <v>170</v>
      </c>
      <c r="Z6" s="365" t="s">
        <v>199</v>
      </c>
      <c r="AA6" s="366" t="s">
        <v>620</v>
      </c>
      <c r="AB6" s="366" t="s">
        <v>621</v>
      </c>
      <c r="AC6" s="366">
        <v>1</v>
      </c>
      <c r="AD6" s="441" t="s">
        <v>562</v>
      </c>
      <c r="AF6" s="160" t="s">
        <v>227</v>
      </c>
      <c r="AG6" s="160" t="s">
        <v>421</v>
      </c>
      <c r="AH6" s="155" t="s">
        <v>515</v>
      </c>
      <c r="AI6" s="155" t="s">
        <v>316</v>
      </c>
      <c r="AJ6" s="155" t="s">
        <v>406</v>
      </c>
      <c r="AK6" s="155" t="s">
        <v>198</v>
      </c>
      <c r="AL6" s="155" t="s">
        <v>199</v>
      </c>
      <c r="AM6" s="155" t="s">
        <v>362</v>
      </c>
    </row>
    <row r="7" spans="2:39" s="147" customFormat="1" ht="27" customHeight="1">
      <c r="B7" s="874"/>
      <c r="C7" s="875"/>
      <c r="D7" s="361">
        <v>3</v>
      </c>
      <c r="E7" s="435" t="s">
        <v>364</v>
      </c>
      <c r="F7" s="363">
        <f t="shared" si="0"/>
        <v>6379.2160000000122</v>
      </c>
      <c r="G7" s="364">
        <v>127.84000000000002</v>
      </c>
      <c r="H7" s="437">
        <v>3677.04</v>
      </c>
      <c r="I7" s="437">
        <v>3677.04</v>
      </c>
      <c r="J7" s="439">
        <f t="shared" si="1"/>
        <v>1</v>
      </c>
      <c r="K7" s="438">
        <v>3677.04</v>
      </c>
      <c r="L7" s="439">
        <f t="shared" si="2"/>
        <v>1</v>
      </c>
      <c r="M7" s="438">
        <v>49.9</v>
      </c>
      <c r="N7" s="439">
        <f t="shared" si="3"/>
        <v>1.357069817026739E-2</v>
      </c>
      <c r="O7" s="440">
        <f t="shared" si="4"/>
        <v>3726.94</v>
      </c>
      <c r="P7" s="439">
        <f t="shared" si="5"/>
        <v>1.0135706981702675</v>
      </c>
      <c r="Q7" s="437">
        <v>9.27</v>
      </c>
      <c r="R7" s="439">
        <f t="shared" si="6"/>
        <v>2.5210495398472685E-3</v>
      </c>
      <c r="S7" s="447">
        <f t="shared" si="7"/>
        <v>1185.0768</v>
      </c>
      <c r="T7" s="440">
        <f t="shared" si="8"/>
        <v>49.900000000000091</v>
      </c>
      <c r="U7" s="439">
        <f t="shared" si="9"/>
        <v>1.3570698170267414E-2</v>
      </c>
      <c r="V7" s="451">
        <f t="shared" si="10"/>
        <v>40.630000000000095</v>
      </c>
      <c r="W7" s="452">
        <f t="shared" si="11"/>
        <v>1.1049648630420147E-2</v>
      </c>
      <c r="X7" s="453">
        <f t="shared" si="12"/>
        <v>5194.1392000000133</v>
      </c>
      <c r="Y7" s="365" t="s">
        <v>170</v>
      </c>
      <c r="Z7" s="365" t="s">
        <v>406</v>
      </c>
      <c r="AA7" s="366" t="s">
        <v>577</v>
      </c>
      <c r="AB7" s="366" t="s">
        <v>603</v>
      </c>
      <c r="AC7" s="366">
        <v>1</v>
      </c>
      <c r="AD7" s="441" t="s">
        <v>319</v>
      </c>
      <c r="AF7" s="371">
        <f>SUM(AC5:AC24)</f>
        <v>20</v>
      </c>
      <c r="AG7" s="367">
        <f>SUMIF($Z$5:$Z$24,TRIM(AG6),$AC$5:$AC$24)</f>
        <v>0</v>
      </c>
      <c r="AH7" s="367">
        <f t="shared" ref="AH7:AM7" si="13">SUMIF($Z$5:$Z$24,TRIM(AH6),$AC$5:$AC$24)</f>
        <v>0</v>
      </c>
      <c r="AI7" s="367">
        <f t="shared" si="13"/>
        <v>0</v>
      </c>
      <c r="AJ7" s="367">
        <f t="shared" si="13"/>
        <v>13</v>
      </c>
      <c r="AK7" s="367">
        <f t="shared" si="13"/>
        <v>1</v>
      </c>
      <c r="AL7" s="367">
        <f t="shared" si="13"/>
        <v>6</v>
      </c>
      <c r="AM7" s="367">
        <f t="shared" si="13"/>
        <v>0</v>
      </c>
    </row>
    <row r="8" spans="2:39" s="147" customFormat="1" ht="27" customHeight="1">
      <c r="B8" s="874"/>
      <c r="C8" s="875"/>
      <c r="D8" s="361">
        <v>4</v>
      </c>
      <c r="E8" s="435" t="s">
        <v>495</v>
      </c>
      <c r="F8" s="363">
        <f t="shared" si="0"/>
        <v>5476.3916999999528</v>
      </c>
      <c r="G8" s="364">
        <v>39.389999999999993</v>
      </c>
      <c r="H8" s="437">
        <v>25178.400000000001</v>
      </c>
      <c r="I8" s="437">
        <v>25178.400000000001</v>
      </c>
      <c r="J8" s="439">
        <f t="shared" si="1"/>
        <v>1</v>
      </c>
      <c r="K8" s="438">
        <v>25178.400000000001</v>
      </c>
      <c r="L8" s="439">
        <f t="shared" si="2"/>
        <v>1</v>
      </c>
      <c r="M8" s="438">
        <v>139.03</v>
      </c>
      <c r="N8" s="439">
        <f t="shared" si="3"/>
        <v>5.5217964604581705E-3</v>
      </c>
      <c r="O8" s="440">
        <f t="shared" si="4"/>
        <v>25317.43</v>
      </c>
      <c r="P8" s="439">
        <f t="shared" si="5"/>
        <v>1.0055217964604581</v>
      </c>
      <c r="Q8" s="437">
        <v>28.92</v>
      </c>
      <c r="R8" s="439">
        <f t="shared" si="6"/>
        <v>1.1486035649604424E-3</v>
      </c>
      <c r="S8" s="447">
        <f t="shared" si="7"/>
        <v>1139.1587999999999</v>
      </c>
      <c r="T8" s="440">
        <f t="shared" si="8"/>
        <v>139.02999999999884</v>
      </c>
      <c r="U8" s="439">
        <f t="shared" si="9"/>
        <v>5.5217964604581237E-3</v>
      </c>
      <c r="V8" s="451">
        <f t="shared" si="10"/>
        <v>110.10999999999883</v>
      </c>
      <c r="W8" s="452">
        <f t="shared" si="11"/>
        <v>4.3731928954976818E-3</v>
      </c>
      <c r="X8" s="453">
        <f t="shared" si="12"/>
        <v>4337.2328999999536</v>
      </c>
      <c r="Y8" s="365" t="s">
        <v>170</v>
      </c>
      <c r="Z8" s="365" t="s">
        <v>199</v>
      </c>
      <c r="AA8" s="366" t="s">
        <v>576</v>
      </c>
      <c r="AB8" s="366" t="s">
        <v>605</v>
      </c>
      <c r="AC8" s="366">
        <v>1</v>
      </c>
      <c r="AD8" s="441" t="s">
        <v>319</v>
      </c>
      <c r="AF8" s="372" t="s">
        <v>11</v>
      </c>
      <c r="AG8" s="369">
        <f t="shared" ref="AG8:AM8" si="14">SUMIF($Z$5:$Z$24,TRIM(AG6),$F$5:$F$24)</f>
        <v>0</v>
      </c>
      <c r="AH8" s="369">
        <f t="shared" si="14"/>
        <v>0</v>
      </c>
      <c r="AI8" s="369">
        <f t="shared" si="14"/>
        <v>0</v>
      </c>
      <c r="AJ8" s="369">
        <f t="shared" si="14"/>
        <v>51502.644800000031</v>
      </c>
      <c r="AK8" s="369">
        <f t="shared" si="14"/>
        <v>9664.0365000000293</v>
      </c>
      <c r="AL8" s="369">
        <f t="shared" si="14"/>
        <v>28695.622699999996</v>
      </c>
      <c r="AM8" s="369">
        <f t="shared" si="14"/>
        <v>0</v>
      </c>
    </row>
    <row r="9" spans="2:39" s="147" customFormat="1" ht="27" customHeight="1">
      <c r="B9" s="874"/>
      <c r="C9" s="875"/>
      <c r="D9" s="361">
        <v>5</v>
      </c>
      <c r="E9" s="435" t="s">
        <v>434</v>
      </c>
      <c r="F9" s="363">
        <f t="shared" si="0"/>
        <v>5153.8336000000418</v>
      </c>
      <c r="G9" s="364">
        <v>407.74000000000007</v>
      </c>
      <c r="H9" s="437">
        <v>1055.45</v>
      </c>
      <c r="I9" s="437">
        <v>1055.45</v>
      </c>
      <c r="J9" s="439">
        <f t="shared" si="1"/>
        <v>1</v>
      </c>
      <c r="K9" s="438">
        <v>1055.45</v>
      </c>
      <c r="L9" s="439">
        <f t="shared" si="2"/>
        <v>1</v>
      </c>
      <c r="M9" s="438">
        <v>12.64</v>
      </c>
      <c r="N9" s="439">
        <f t="shared" si="3"/>
        <v>1.1975934435548818E-2</v>
      </c>
      <c r="O9" s="440">
        <f t="shared" si="4"/>
        <v>1068.0900000000001</v>
      </c>
      <c r="P9" s="439">
        <f t="shared" si="5"/>
        <v>1.011975934435549</v>
      </c>
      <c r="Q9" s="437">
        <v>2.98</v>
      </c>
      <c r="R9" s="439">
        <f t="shared" si="6"/>
        <v>2.8234402387607182E-3</v>
      </c>
      <c r="S9" s="447">
        <f t="shared" si="7"/>
        <v>1215.0652000000002</v>
      </c>
      <c r="T9" s="440">
        <f t="shared" si="8"/>
        <v>12.6400000000001</v>
      </c>
      <c r="U9" s="439">
        <f t="shared" si="9"/>
        <v>1.1975934435548912E-2</v>
      </c>
      <c r="V9" s="451">
        <f t="shared" si="10"/>
        <v>9.6600000000000996</v>
      </c>
      <c r="W9" s="452">
        <f t="shared" si="11"/>
        <v>9.152494196788194E-3</v>
      </c>
      <c r="X9" s="453">
        <f t="shared" si="12"/>
        <v>3938.7684000000413</v>
      </c>
      <c r="Y9" s="365" t="s">
        <v>170</v>
      </c>
      <c r="Z9" s="365" t="s">
        <v>199</v>
      </c>
      <c r="AA9" s="366" t="s">
        <v>446</v>
      </c>
      <c r="AB9" s="366" t="s">
        <v>604</v>
      </c>
      <c r="AC9" s="366">
        <v>1</v>
      </c>
      <c r="AD9" s="441" t="s">
        <v>436</v>
      </c>
      <c r="AF9" s="361" t="s">
        <v>516</v>
      </c>
      <c r="AG9" s="370">
        <f t="shared" ref="AG9:AM9" si="15">AG7/$AF7</f>
        <v>0</v>
      </c>
      <c r="AH9" s="370">
        <f t="shared" si="15"/>
        <v>0</v>
      </c>
      <c r="AI9" s="370">
        <f t="shared" si="15"/>
        <v>0</v>
      </c>
      <c r="AJ9" s="370">
        <f t="shared" si="15"/>
        <v>0.65</v>
      </c>
      <c r="AK9" s="370">
        <f t="shared" si="15"/>
        <v>0.05</v>
      </c>
      <c r="AL9" s="370">
        <f t="shared" si="15"/>
        <v>0.3</v>
      </c>
      <c r="AM9" s="370">
        <f t="shared" si="15"/>
        <v>0</v>
      </c>
    </row>
    <row r="10" spans="2:39" s="147" customFormat="1" ht="27" customHeight="1">
      <c r="B10" s="874"/>
      <c r="C10" s="875"/>
      <c r="D10" s="361">
        <v>6</v>
      </c>
      <c r="E10" s="435" t="s">
        <v>547</v>
      </c>
      <c r="F10" s="363">
        <f t="shared" si="0"/>
        <v>4425.0879999999916</v>
      </c>
      <c r="G10" s="364">
        <v>144.79999999999998</v>
      </c>
      <c r="H10" s="437">
        <v>1788.5900000000001</v>
      </c>
      <c r="I10" s="437">
        <v>1788.5900000000001</v>
      </c>
      <c r="J10" s="439">
        <f t="shared" si="1"/>
        <v>1</v>
      </c>
      <c r="K10" s="438">
        <v>1788.5900000000001</v>
      </c>
      <c r="L10" s="439">
        <f t="shared" si="2"/>
        <v>1</v>
      </c>
      <c r="M10" s="438">
        <v>30.560000000000002</v>
      </c>
      <c r="N10" s="439">
        <f t="shared" si="3"/>
        <v>1.7086084569409424E-2</v>
      </c>
      <c r="O10" s="440">
        <f t="shared" si="4"/>
        <v>1819.15</v>
      </c>
      <c r="P10" s="439">
        <f t="shared" si="5"/>
        <v>1.0170860845694094</v>
      </c>
      <c r="Q10" s="437">
        <v>5.85</v>
      </c>
      <c r="R10" s="439">
        <f t="shared" si="6"/>
        <v>3.2707328118797485E-3</v>
      </c>
      <c r="S10" s="447">
        <f t="shared" si="7"/>
        <v>847.07999999999981</v>
      </c>
      <c r="T10" s="440">
        <f t="shared" si="8"/>
        <v>30.559999999999945</v>
      </c>
      <c r="U10" s="439">
        <f t="shared" si="9"/>
        <v>1.7086084569409393E-2</v>
      </c>
      <c r="V10" s="451">
        <f t="shared" si="10"/>
        <v>24.709999999999944</v>
      </c>
      <c r="W10" s="452">
        <f t="shared" si="11"/>
        <v>1.3815351757529641E-2</v>
      </c>
      <c r="X10" s="453">
        <f t="shared" si="12"/>
        <v>3578.0079999999916</v>
      </c>
      <c r="Y10" s="365" t="s">
        <v>170</v>
      </c>
      <c r="Z10" s="365" t="s">
        <v>406</v>
      </c>
      <c r="AA10" s="366" t="s">
        <v>447</v>
      </c>
      <c r="AB10" s="366" t="s">
        <v>487</v>
      </c>
      <c r="AC10" s="366">
        <v>1</v>
      </c>
      <c r="AD10" s="441" t="s">
        <v>319</v>
      </c>
    </row>
    <row r="11" spans="2:39" s="147" customFormat="1" ht="27" customHeight="1">
      <c r="B11" s="874"/>
      <c r="C11" s="875"/>
      <c r="D11" s="361">
        <v>7</v>
      </c>
      <c r="E11" s="435" t="s">
        <v>592</v>
      </c>
      <c r="F11" s="363">
        <f t="shared" si="0"/>
        <v>4284.7973999999886</v>
      </c>
      <c r="G11" s="364">
        <v>52.26</v>
      </c>
      <c r="H11" s="437">
        <v>4942.3499999999995</v>
      </c>
      <c r="I11" s="437">
        <v>4942.3499999999995</v>
      </c>
      <c r="J11" s="439">
        <f t="shared" si="1"/>
        <v>1</v>
      </c>
      <c r="K11" s="438">
        <v>4942.3499999999995</v>
      </c>
      <c r="L11" s="439">
        <f t="shared" si="2"/>
        <v>1</v>
      </c>
      <c r="M11" s="438">
        <v>81.990000000000009</v>
      </c>
      <c r="N11" s="439">
        <f t="shared" si="3"/>
        <v>1.6589274333060188E-2</v>
      </c>
      <c r="O11" s="440">
        <f t="shared" si="4"/>
        <v>5024.3399999999992</v>
      </c>
      <c r="P11" s="439">
        <f t="shared" si="5"/>
        <v>1.0165892743330602</v>
      </c>
      <c r="Q11" s="437">
        <v>17.259999999999998</v>
      </c>
      <c r="R11" s="439">
        <f t="shared" si="6"/>
        <v>3.4922658249618098E-3</v>
      </c>
      <c r="S11" s="447">
        <f t="shared" si="7"/>
        <v>902.00759999999991</v>
      </c>
      <c r="T11" s="440">
        <f t="shared" si="8"/>
        <v>81.989999999999782</v>
      </c>
      <c r="U11" s="439">
        <f t="shared" si="9"/>
        <v>1.6589274333060143E-2</v>
      </c>
      <c r="V11" s="451">
        <f t="shared" si="10"/>
        <v>64.729999999999791</v>
      </c>
      <c r="W11" s="452">
        <f t="shared" si="11"/>
        <v>1.3097008508098333E-2</v>
      </c>
      <c r="X11" s="453">
        <f t="shared" si="12"/>
        <v>3382.7897999999891</v>
      </c>
      <c r="Y11" s="365" t="s">
        <v>170</v>
      </c>
      <c r="Z11" s="365" t="s">
        <v>199</v>
      </c>
      <c r="AA11" s="366" t="s">
        <v>576</v>
      </c>
      <c r="AB11" s="366" t="s">
        <v>605</v>
      </c>
      <c r="AC11" s="366">
        <v>1</v>
      </c>
      <c r="AD11" s="441" t="s">
        <v>581</v>
      </c>
    </row>
    <row r="12" spans="2:39" s="147" customFormat="1" ht="27" customHeight="1">
      <c r="B12" s="874"/>
      <c r="C12" s="875"/>
      <c r="D12" s="361">
        <v>8</v>
      </c>
      <c r="E12" s="435" t="s">
        <v>398</v>
      </c>
      <c r="F12" s="363">
        <f t="shared" si="0"/>
        <v>4230.9159999999938</v>
      </c>
      <c r="G12" s="364">
        <v>157.87000000000003</v>
      </c>
      <c r="H12" s="437">
        <v>1547.94</v>
      </c>
      <c r="I12" s="437">
        <v>1547.94</v>
      </c>
      <c r="J12" s="439">
        <f t="shared" si="1"/>
        <v>1</v>
      </c>
      <c r="K12" s="438">
        <v>1547.94</v>
      </c>
      <c r="L12" s="439">
        <f t="shared" si="2"/>
        <v>1</v>
      </c>
      <c r="M12" s="438">
        <v>26.799999999999997</v>
      </c>
      <c r="N12" s="439">
        <f t="shared" si="3"/>
        <v>1.7313332558109486E-2</v>
      </c>
      <c r="O12" s="440">
        <f t="shared" si="4"/>
        <v>1574.74</v>
      </c>
      <c r="P12" s="439">
        <f t="shared" si="5"/>
        <v>1.0173133325581094</v>
      </c>
      <c r="Q12" s="437">
        <v>4.53</v>
      </c>
      <c r="R12" s="439">
        <f t="shared" si="6"/>
        <v>2.9264700182177602E-3</v>
      </c>
      <c r="S12" s="447">
        <f t="shared" si="7"/>
        <v>715.15110000000016</v>
      </c>
      <c r="T12" s="440">
        <f t="shared" si="8"/>
        <v>26.799999999999955</v>
      </c>
      <c r="U12" s="439">
        <f t="shared" si="9"/>
        <v>1.7313332558109459E-2</v>
      </c>
      <c r="V12" s="451">
        <f t="shared" si="10"/>
        <v>22.269999999999953</v>
      </c>
      <c r="W12" s="452">
        <f t="shared" si="11"/>
        <v>1.4386862539891696E-2</v>
      </c>
      <c r="X12" s="453">
        <f t="shared" si="12"/>
        <v>3515.7648999999933</v>
      </c>
      <c r="Y12" s="365" t="s">
        <v>170</v>
      </c>
      <c r="Z12" s="365" t="s">
        <v>406</v>
      </c>
      <c r="AA12" s="366" t="s">
        <v>497</v>
      </c>
      <c r="AB12" s="366" t="s">
        <v>578</v>
      </c>
      <c r="AC12" s="366">
        <v>1</v>
      </c>
      <c r="AD12" s="441" t="s">
        <v>319</v>
      </c>
    </row>
    <row r="13" spans="2:39" s="147" customFormat="1" ht="27" customHeight="1">
      <c r="B13" s="874"/>
      <c r="C13" s="875"/>
      <c r="D13" s="361">
        <v>9</v>
      </c>
      <c r="E13" s="435" t="s">
        <v>565</v>
      </c>
      <c r="F13" s="363">
        <f t="shared" si="0"/>
        <v>4190.095800000021</v>
      </c>
      <c r="G13" s="364">
        <v>426.69</v>
      </c>
      <c r="H13" s="437">
        <v>905.77</v>
      </c>
      <c r="I13" s="437">
        <v>905.77</v>
      </c>
      <c r="J13" s="439">
        <f t="shared" si="1"/>
        <v>1</v>
      </c>
      <c r="K13" s="438">
        <v>905.77</v>
      </c>
      <c r="L13" s="439">
        <f t="shared" si="2"/>
        <v>1</v>
      </c>
      <c r="M13" s="438">
        <v>9.82</v>
      </c>
      <c r="N13" s="439">
        <f t="shared" si="3"/>
        <v>1.0841604380803074E-2</v>
      </c>
      <c r="O13" s="440">
        <f t="shared" si="4"/>
        <v>915.59</v>
      </c>
      <c r="P13" s="439">
        <f t="shared" si="5"/>
        <v>1.0108416043808031</v>
      </c>
      <c r="Q13" s="437">
        <v>2.4</v>
      </c>
      <c r="R13" s="439">
        <f t="shared" si="6"/>
        <v>2.6496792784040098E-3</v>
      </c>
      <c r="S13" s="447">
        <f t="shared" si="7"/>
        <v>1024.056</v>
      </c>
      <c r="T13" s="440">
        <f t="shared" si="8"/>
        <v>9.82000000000005</v>
      </c>
      <c r="U13" s="439">
        <f t="shared" si="9"/>
        <v>1.084160438080313E-2</v>
      </c>
      <c r="V13" s="451">
        <f t="shared" si="10"/>
        <v>7.4200000000000497</v>
      </c>
      <c r="W13" s="452">
        <f t="shared" si="11"/>
        <v>8.1919251023991196E-3</v>
      </c>
      <c r="X13" s="453">
        <f t="shared" si="12"/>
        <v>3166.0398000000214</v>
      </c>
      <c r="Y13" s="365" t="s">
        <v>170</v>
      </c>
      <c r="Z13" s="365" t="s">
        <v>406</v>
      </c>
      <c r="AA13" s="366" t="s">
        <v>447</v>
      </c>
      <c r="AB13" s="366" t="s">
        <v>487</v>
      </c>
      <c r="AC13" s="366">
        <v>1</v>
      </c>
      <c r="AD13" s="441" t="s">
        <v>336</v>
      </c>
      <c r="AH13" s="368"/>
    </row>
    <row r="14" spans="2:39" s="147" customFormat="1" ht="27" customHeight="1">
      <c r="B14" s="874"/>
      <c r="C14" s="875"/>
      <c r="D14" s="361">
        <v>10</v>
      </c>
      <c r="E14" s="435" t="s">
        <v>441</v>
      </c>
      <c r="F14" s="363">
        <f t="shared" si="0"/>
        <v>4106.0376000000188</v>
      </c>
      <c r="G14" s="364">
        <v>266.27999999999997</v>
      </c>
      <c r="H14" s="437">
        <v>1054.8400000000001</v>
      </c>
      <c r="I14" s="437">
        <v>1054.8400000000001</v>
      </c>
      <c r="J14" s="439">
        <f t="shared" si="1"/>
        <v>1</v>
      </c>
      <c r="K14" s="438">
        <v>1054.8400000000001</v>
      </c>
      <c r="L14" s="439">
        <f t="shared" si="2"/>
        <v>1</v>
      </c>
      <c r="M14" s="438">
        <v>15.42</v>
      </c>
      <c r="N14" s="439">
        <f t="shared" si="3"/>
        <v>1.4618330742103065E-2</v>
      </c>
      <c r="O14" s="440">
        <f t="shared" si="4"/>
        <v>1070.2600000000002</v>
      </c>
      <c r="P14" s="439">
        <f t="shared" si="5"/>
        <v>1.0146183307421031</v>
      </c>
      <c r="Q14" s="437">
        <v>2.6</v>
      </c>
      <c r="R14" s="439">
        <f t="shared" si="6"/>
        <v>2.4648287892002577E-3</v>
      </c>
      <c r="S14" s="447">
        <f t="shared" si="7"/>
        <v>692.32799999999997</v>
      </c>
      <c r="T14" s="440">
        <f t="shared" si="8"/>
        <v>15.420000000000073</v>
      </c>
      <c r="U14" s="439">
        <f t="shared" si="9"/>
        <v>1.4618330742103135E-2</v>
      </c>
      <c r="V14" s="451">
        <f t="shared" si="10"/>
        <v>12.820000000000073</v>
      </c>
      <c r="W14" s="452">
        <f t="shared" si="11"/>
        <v>1.2153501952902877E-2</v>
      </c>
      <c r="X14" s="453">
        <f t="shared" si="12"/>
        <v>3413.7096000000192</v>
      </c>
      <c r="Y14" s="365" t="s">
        <v>170</v>
      </c>
      <c r="Z14" s="365" t="s">
        <v>406</v>
      </c>
      <c r="AA14" s="366" t="s">
        <v>446</v>
      </c>
      <c r="AB14" s="366" t="s">
        <v>487</v>
      </c>
      <c r="AC14" s="366">
        <v>1</v>
      </c>
      <c r="AD14" s="441" t="s">
        <v>442</v>
      </c>
      <c r="AH14" s="368"/>
    </row>
    <row r="15" spans="2:39" s="147" customFormat="1" ht="27" customHeight="1">
      <c r="B15" s="874"/>
      <c r="C15" s="875"/>
      <c r="D15" s="361">
        <v>11</v>
      </c>
      <c r="E15" s="435" t="s">
        <v>618</v>
      </c>
      <c r="F15" s="363">
        <f t="shared" si="0"/>
        <v>4088.7999999999965</v>
      </c>
      <c r="G15" s="364">
        <v>760</v>
      </c>
      <c r="H15" s="437">
        <v>250</v>
      </c>
      <c r="I15" s="437">
        <v>250</v>
      </c>
      <c r="J15" s="439">
        <f t="shared" si="1"/>
        <v>1</v>
      </c>
      <c r="K15" s="438">
        <v>250</v>
      </c>
      <c r="L15" s="439">
        <f t="shared" si="2"/>
        <v>1</v>
      </c>
      <c r="M15" s="438">
        <v>5.3800000000000008</v>
      </c>
      <c r="N15" s="439">
        <f t="shared" si="3"/>
        <v>2.1520000000000004E-2</v>
      </c>
      <c r="O15" s="440">
        <f t="shared" si="4"/>
        <v>255.38</v>
      </c>
      <c r="P15" s="439">
        <f t="shared" si="5"/>
        <v>1.02152</v>
      </c>
      <c r="Q15" s="437">
        <v>0.94000000000000006</v>
      </c>
      <c r="R15" s="439">
        <f t="shared" si="6"/>
        <v>3.7600000000000003E-3</v>
      </c>
      <c r="S15" s="447">
        <f t="shared" si="7"/>
        <v>714.40000000000009</v>
      </c>
      <c r="T15" s="440">
        <f t="shared" si="8"/>
        <v>5.3799999999999955</v>
      </c>
      <c r="U15" s="439">
        <f t="shared" si="9"/>
        <v>2.151999999999998E-2</v>
      </c>
      <c r="V15" s="451">
        <f t="shared" si="10"/>
        <v>4.4399999999999951</v>
      </c>
      <c r="W15" s="452">
        <f t="shared" si="11"/>
        <v>1.7759999999999981E-2</v>
      </c>
      <c r="X15" s="453">
        <f t="shared" si="12"/>
        <v>3374.3999999999965</v>
      </c>
      <c r="Y15" s="365" t="s">
        <v>170</v>
      </c>
      <c r="Z15" s="365" t="s">
        <v>406</v>
      </c>
      <c r="AA15" s="366" t="s">
        <v>447</v>
      </c>
      <c r="AB15" s="366" t="s">
        <v>487</v>
      </c>
      <c r="AC15" s="366">
        <v>1</v>
      </c>
      <c r="AD15" s="441" t="s">
        <v>612</v>
      </c>
      <c r="AH15" s="368"/>
    </row>
    <row r="16" spans="2:39" s="147" customFormat="1" ht="27" customHeight="1">
      <c r="B16" s="874"/>
      <c r="C16" s="875"/>
      <c r="D16" s="361">
        <v>12</v>
      </c>
      <c r="E16" s="435" t="s">
        <v>499</v>
      </c>
      <c r="F16" s="363">
        <f t="shared" si="0"/>
        <v>3758.2859999999887</v>
      </c>
      <c r="G16" s="364">
        <v>62.43</v>
      </c>
      <c r="H16" s="437">
        <v>3651.6099999999997</v>
      </c>
      <c r="I16" s="437">
        <v>3651.6099999999997</v>
      </c>
      <c r="J16" s="439">
        <f t="shared" si="1"/>
        <v>1</v>
      </c>
      <c r="K16" s="438">
        <v>3651.6099999999997</v>
      </c>
      <c r="L16" s="439">
        <f t="shared" si="2"/>
        <v>1</v>
      </c>
      <c r="M16" s="438">
        <v>60.2</v>
      </c>
      <c r="N16" s="439">
        <f t="shared" si="3"/>
        <v>1.6485878831529108E-2</v>
      </c>
      <c r="O16" s="440">
        <f t="shared" si="4"/>
        <v>3711.8099999999995</v>
      </c>
      <c r="P16" s="439">
        <f t="shared" si="5"/>
        <v>1.016485878831529</v>
      </c>
      <c r="Q16" s="437">
        <v>16.23</v>
      </c>
      <c r="R16" s="439">
        <f t="shared" si="6"/>
        <v>4.4446148411248741E-3</v>
      </c>
      <c r="S16" s="447">
        <f t="shared" si="7"/>
        <v>1013.2389000000001</v>
      </c>
      <c r="T16" s="440">
        <f t="shared" si="8"/>
        <v>60.199999999999818</v>
      </c>
      <c r="U16" s="439">
        <f t="shared" si="9"/>
        <v>1.6485878831529056E-2</v>
      </c>
      <c r="V16" s="451">
        <f t="shared" si="10"/>
        <v>43.969999999999814</v>
      </c>
      <c r="W16" s="452">
        <f t="shared" si="11"/>
        <v>1.2041263990404182E-2</v>
      </c>
      <c r="X16" s="453">
        <f t="shared" si="12"/>
        <v>2745.0470999999884</v>
      </c>
      <c r="Y16" s="365" t="s">
        <v>170</v>
      </c>
      <c r="Z16" s="365" t="s">
        <v>199</v>
      </c>
      <c r="AA16" s="366" t="s">
        <v>576</v>
      </c>
      <c r="AB16" s="366" t="s">
        <v>605</v>
      </c>
      <c r="AC16" s="366">
        <v>1</v>
      </c>
      <c r="AD16" s="441" t="s">
        <v>614</v>
      </c>
      <c r="AH16" s="368"/>
    </row>
    <row r="17" spans="2:39" s="147" customFormat="1" ht="27" customHeight="1">
      <c r="B17" s="874"/>
      <c r="C17" s="875"/>
      <c r="D17" s="361">
        <v>13</v>
      </c>
      <c r="E17" s="435" t="s">
        <v>632</v>
      </c>
      <c r="F17" s="363">
        <f t="shared" si="0"/>
        <v>3713.1876000000011</v>
      </c>
      <c r="G17" s="364">
        <v>126.99</v>
      </c>
      <c r="H17" s="437">
        <v>1043.52</v>
      </c>
      <c r="I17" s="437">
        <v>1043.52</v>
      </c>
      <c r="J17" s="439">
        <f t="shared" si="1"/>
        <v>1</v>
      </c>
      <c r="K17" s="438">
        <v>1043.52</v>
      </c>
      <c r="L17" s="439">
        <f t="shared" si="2"/>
        <v>1</v>
      </c>
      <c r="M17" s="438">
        <v>29.24</v>
      </c>
      <c r="N17" s="439">
        <f t="shared" si="3"/>
        <v>2.8020545844832871E-2</v>
      </c>
      <c r="O17" s="440">
        <f t="shared" si="4"/>
        <v>1072.76</v>
      </c>
      <c r="P17" s="439">
        <f t="shared" si="5"/>
        <v>1.0280205458448328</v>
      </c>
      <c r="Q17" s="437">
        <v>6.66</v>
      </c>
      <c r="R17" s="439">
        <f t="shared" si="6"/>
        <v>6.3822447102115914E-3</v>
      </c>
      <c r="S17" s="447">
        <f t="shared" si="7"/>
        <v>845.75339999999994</v>
      </c>
      <c r="T17" s="440">
        <f t="shared" si="8"/>
        <v>29.240000000000009</v>
      </c>
      <c r="U17" s="439">
        <f t="shared" si="9"/>
        <v>2.8020545844832882E-2</v>
      </c>
      <c r="V17" s="451">
        <f t="shared" si="10"/>
        <v>22.580000000000009</v>
      </c>
      <c r="W17" s="452">
        <f t="shared" si="11"/>
        <v>2.1638301134621292E-2</v>
      </c>
      <c r="X17" s="453">
        <f t="shared" si="12"/>
        <v>2867.4342000000011</v>
      </c>
      <c r="Y17" s="365" t="s">
        <v>170</v>
      </c>
      <c r="Z17" s="365" t="s">
        <v>406</v>
      </c>
      <c r="AA17" s="366" t="s">
        <v>497</v>
      </c>
      <c r="AB17" s="366" t="s">
        <v>578</v>
      </c>
      <c r="AC17" s="366">
        <v>1</v>
      </c>
      <c r="AD17" s="441" t="s">
        <v>319</v>
      </c>
    </row>
    <row r="18" spans="2:39" s="147" customFormat="1" ht="27" customHeight="1">
      <c r="B18" s="874"/>
      <c r="C18" s="875"/>
      <c r="D18" s="361">
        <v>14</v>
      </c>
      <c r="E18" s="435" t="s">
        <v>410</v>
      </c>
      <c r="F18" s="363">
        <f t="shared" si="0"/>
        <v>3651.9488000000051</v>
      </c>
      <c r="G18" s="364">
        <v>368.13999999999993</v>
      </c>
      <c r="H18" s="437">
        <v>395.5</v>
      </c>
      <c r="I18" s="437">
        <v>395.5</v>
      </c>
      <c r="J18" s="439">
        <f t="shared" si="1"/>
        <v>1</v>
      </c>
      <c r="K18" s="438">
        <v>395.5</v>
      </c>
      <c r="L18" s="439">
        <f t="shared" si="2"/>
        <v>1</v>
      </c>
      <c r="M18" s="438">
        <v>9.9200000000000017</v>
      </c>
      <c r="N18" s="439">
        <f t="shared" si="3"/>
        <v>2.5082174462705442E-2</v>
      </c>
      <c r="O18" s="440">
        <f t="shared" si="4"/>
        <v>405.42</v>
      </c>
      <c r="P18" s="439">
        <f t="shared" si="5"/>
        <v>1.0250821744627054</v>
      </c>
      <c r="Q18" s="437">
        <v>2.37</v>
      </c>
      <c r="R18" s="439">
        <f t="shared" si="6"/>
        <v>5.992414664981037E-3</v>
      </c>
      <c r="S18" s="447">
        <f t="shared" si="7"/>
        <v>872.4917999999999</v>
      </c>
      <c r="T18" s="440">
        <f t="shared" si="8"/>
        <v>9.9200000000000159</v>
      </c>
      <c r="U18" s="439">
        <f t="shared" si="9"/>
        <v>2.5082174462705477E-2</v>
      </c>
      <c r="V18" s="451">
        <f t="shared" si="10"/>
        <v>7.5500000000000158</v>
      </c>
      <c r="W18" s="452">
        <f t="shared" si="11"/>
        <v>1.908975979772444E-2</v>
      </c>
      <c r="X18" s="453">
        <f t="shared" si="12"/>
        <v>2779.4570000000053</v>
      </c>
      <c r="Y18" s="365" t="s">
        <v>170</v>
      </c>
      <c r="Z18" s="365" t="s">
        <v>406</v>
      </c>
      <c r="AA18" s="366" t="s">
        <v>636</v>
      </c>
      <c r="AB18" s="366" t="s">
        <v>487</v>
      </c>
      <c r="AC18" s="366">
        <v>1</v>
      </c>
      <c r="AD18" s="441" t="s">
        <v>411</v>
      </c>
    </row>
    <row r="19" spans="2:39" s="147" customFormat="1" ht="27" customHeight="1">
      <c r="B19" s="874"/>
      <c r="C19" s="875"/>
      <c r="D19" s="361">
        <v>15</v>
      </c>
      <c r="E19" s="435" t="s">
        <v>617</v>
      </c>
      <c r="F19" s="363">
        <f t="shared" si="0"/>
        <v>3571.354799999991</v>
      </c>
      <c r="G19" s="364">
        <v>339.16</v>
      </c>
      <c r="H19" s="437">
        <v>612.54</v>
      </c>
      <c r="I19" s="437">
        <v>612.54</v>
      </c>
      <c r="J19" s="439">
        <f t="shared" si="1"/>
        <v>1</v>
      </c>
      <c r="K19" s="438">
        <v>612.54</v>
      </c>
      <c r="L19" s="439">
        <f t="shared" si="2"/>
        <v>1</v>
      </c>
      <c r="M19" s="438">
        <v>10.53</v>
      </c>
      <c r="N19" s="439">
        <f t="shared" si="3"/>
        <v>1.7190714075815457E-2</v>
      </c>
      <c r="O19" s="440">
        <f t="shared" si="4"/>
        <v>623.06999999999994</v>
      </c>
      <c r="P19" s="439">
        <f t="shared" si="5"/>
        <v>1.0171907140758154</v>
      </c>
      <c r="Q19" s="437">
        <v>1.51</v>
      </c>
      <c r="R19" s="439">
        <f t="shared" si="6"/>
        <v>2.465145133379045E-3</v>
      </c>
      <c r="S19" s="447">
        <f t="shared" si="7"/>
        <v>512.13160000000005</v>
      </c>
      <c r="T19" s="440">
        <f t="shared" si="8"/>
        <v>10.529999999999973</v>
      </c>
      <c r="U19" s="439">
        <f t="shared" si="9"/>
        <v>1.7190714075815412E-2</v>
      </c>
      <c r="V19" s="451">
        <f t="shared" si="10"/>
        <v>9.0199999999999729</v>
      </c>
      <c r="W19" s="452">
        <f t="shared" si="11"/>
        <v>1.4725568942436368E-2</v>
      </c>
      <c r="X19" s="453">
        <f t="shared" si="12"/>
        <v>3059.2231999999913</v>
      </c>
      <c r="Y19" s="365" t="s">
        <v>170</v>
      </c>
      <c r="Z19" s="365" t="s">
        <v>406</v>
      </c>
      <c r="AA19" s="366" t="s">
        <v>447</v>
      </c>
      <c r="AB19" s="366" t="s">
        <v>487</v>
      </c>
      <c r="AC19" s="366">
        <v>1</v>
      </c>
      <c r="AD19" s="441" t="s">
        <v>619</v>
      </c>
    </row>
    <row r="20" spans="2:39" s="147" customFormat="1" ht="27" customHeight="1">
      <c r="B20" s="874"/>
      <c r="C20" s="875"/>
      <c r="D20" s="361">
        <v>16</v>
      </c>
      <c r="E20" s="435" t="s">
        <v>555</v>
      </c>
      <c r="F20" s="363">
        <f t="shared" si="0"/>
        <v>3461.2120000000032</v>
      </c>
      <c r="G20" s="364">
        <v>127.72000000000001</v>
      </c>
      <c r="H20" s="437">
        <v>813</v>
      </c>
      <c r="I20" s="437">
        <v>813</v>
      </c>
      <c r="J20" s="439">
        <f t="shared" si="1"/>
        <v>1</v>
      </c>
      <c r="K20" s="438">
        <v>813</v>
      </c>
      <c r="L20" s="439">
        <f t="shared" si="2"/>
        <v>1</v>
      </c>
      <c r="M20" s="438">
        <v>27.1</v>
      </c>
      <c r="N20" s="439">
        <f t="shared" si="3"/>
        <v>3.3333333333333333E-2</v>
      </c>
      <c r="O20" s="440">
        <f t="shared" si="4"/>
        <v>840.1</v>
      </c>
      <c r="P20" s="439">
        <f t="shared" si="5"/>
        <v>1.0333333333333334</v>
      </c>
      <c r="Q20" s="437">
        <v>6.65</v>
      </c>
      <c r="R20" s="439">
        <f t="shared" si="6"/>
        <v>8.1795817958179584E-3</v>
      </c>
      <c r="S20" s="447">
        <f t="shared" si="7"/>
        <v>849.33800000000008</v>
      </c>
      <c r="T20" s="440">
        <f t="shared" si="8"/>
        <v>27.100000000000023</v>
      </c>
      <c r="U20" s="439">
        <f t="shared" si="9"/>
        <v>3.3333333333333361E-2</v>
      </c>
      <c r="V20" s="451">
        <f t="shared" si="10"/>
        <v>20.450000000000024</v>
      </c>
      <c r="W20" s="452">
        <f t="shared" si="11"/>
        <v>2.5153751537515406E-2</v>
      </c>
      <c r="X20" s="453">
        <f t="shared" si="12"/>
        <v>2611.8740000000034</v>
      </c>
      <c r="Y20" s="365" t="s">
        <v>170</v>
      </c>
      <c r="Z20" s="365" t="s">
        <v>406</v>
      </c>
      <c r="AA20" s="366" t="s">
        <v>447</v>
      </c>
      <c r="AB20" s="366" t="s">
        <v>487</v>
      </c>
      <c r="AC20" s="366">
        <v>1</v>
      </c>
      <c r="AD20" s="441" t="s">
        <v>525</v>
      </c>
    </row>
    <row r="21" spans="2:39" s="147" customFormat="1" ht="27" customHeight="1">
      <c r="B21" s="874"/>
      <c r="C21" s="875"/>
      <c r="D21" s="361">
        <v>17</v>
      </c>
      <c r="E21" s="435" t="s">
        <v>541</v>
      </c>
      <c r="F21" s="363">
        <f t="shared" si="0"/>
        <v>3299.3607999999936</v>
      </c>
      <c r="G21" s="364">
        <v>95.439999999999984</v>
      </c>
      <c r="H21" s="437">
        <v>1379.25</v>
      </c>
      <c r="I21" s="437">
        <v>1379.25</v>
      </c>
      <c r="J21" s="439">
        <f t="shared" si="1"/>
        <v>1</v>
      </c>
      <c r="K21" s="438">
        <v>1379.25</v>
      </c>
      <c r="L21" s="439">
        <f t="shared" si="2"/>
        <v>1</v>
      </c>
      <c r="M21" s="438">
        <v>34.57</v>
      </c>
      <c r="N21" s="439">
        <f t="shared" si="3"/>
        <v>2.5064346565162227E-2</v>
      </c>
      <c r="O21" s="440">
        <f t="shared" si="4"/>
        <v>1413.82</v>
      </c>
      <c r="P21" s="439">
        <f t="shared" si="5"/>
        <v>1.0250643465651621</v>
      </c>
      <c r="Q21" s="437">
        <v>8.9</v>
      </c>
      <c r="R21" s="439">
        <f t="shared" si="6"/>
        <v>6.4527823092260291E-3</v>
      </c>
      <c r="S21" s="447">
        <f t="shared" si="7"/>
        <v>849.41599999999994</v>
      </c>
      <c r="T21" s="440">
        <f t="shared" si="8"/>
        <v>34.569999999999936</v>
      </c>
      <c r="U21" s="439">
        <f t="shared" si="9"/>
        <v>2.5064346565162179E-2</v>
      </c>
      <c r="V21" s="451">
        <f t="shared" si="10"/>
        <v>25.669999999999938</v>
      </c>
      <c r="W21" s="452">
        <f t="shared" si="11"/>
        <v>1.8611564255936151E-2</v>
      </c>
      <c r="X21" s="453">
        <f t="shared" si="12"/>
        <v>2449.9447999999938</v>
      </c>
      <c r="Y21" s="365" t="s">
        <v>170</v>
      </c>
      <c r="Z21" s="365" t="s">
        <v>406</v>
      </c>
      <c r="AA21" s="366" t="s">
        <v>447</v>
      </c>
      <c r="AB21" s="366" t="s">
        <v>487</v>
      </c>
      <c r="AC21" s="366">
        <v>1</v>
      </c>
      <c r="AD21" s="441" t="s">
        <v>319</v>
      </c>
    </row>
    <row r="22" spans="2:39" s="147" customFormat="1" ht="27" customHeight="1">
      <c r="B22" s="874"/>
      <c r="C22" s="875"/>
      <c r="D22" s="361">
        <v>18</v>
      </c>
      <c r="E22" s="435" t="s">
        <v>500</v>
      </c>
      <c r="F22" s="363">
        <f t="shared" si="0"/>
        <v>3255.5799000000011</v>
      </c>
      <c r="G22" s="364">
        <v>66.13</v>
      </c>
      <c r="H22" s="437">
        <v>1930.46</v>
      </c>
      <c r="I22" s="437">
        <v>1930.46</v>
      </c>
      <c r="J22" s="439">
        <f t="shared" si="1"/>
        <v>1</v>
      </c>
      <c r="K22" s="438">
        <v>1930.46</v>
      </c>
      <c r="L22" s="439">
        <f t="shared" si="2"/>
        <v>1</v>
      </c>
      <c r="M22" s="438">
        <v>49.230000000000004</v>
      </c>
      <c r="N22" s="439">
        <f t="shared" si="3"/>
        <v>2.5501693896791439E-2</v>
      </c>
      <c r="O22" s="440">
        <f t="shared" si="4"/>
        <v>1979.69</v>
      </c>
      <c r="P22" s="439">
        <f t="shared" si="5"/>
        <v>1.0255016938967914</v>
      </c>
      <c r="Q22" s="437">
        <v>12.86</v>
      </c>
      <c r="R22" s="439">
        <f t="shared" si="6"/>
        <v>6.6616246904882773E-3</v>
      </c>
      <c r="S22" s="447">
        <f t="shared" si="7"/>
        <v>850.43179999999995</v>
      </c>
      <c r="T22" s="440">
        <f t="shared" si="8"/>
        <v>49.230000000000018</v>
      </c>
      <c r="U22" s="439">
        <f t="shared" si="9"/>
        <v>2.5501693896791446E-2</v>
      </c>
      <c r="V22" s="451">
        <f t="shared" si="10"/>
        <v>36.370000000000019</v>
      </c>
      <c r="W22" s="452">
        <f t="shared" si="11"/>
        <v>1.884006920630317E-2</v>
      </c>
      <c r="X22" s="453">
        <f t="shared" si="12"/>
        <v>2405.1481000000013</v>
      </c>
      <c r="Y22" s="365" t="s">
        <v>170</v>
      </c>
      <c r="Z22" s="365" t="s">
        <v>406</v>
      </c>
      <c r="AA22" s="366" t="s">
        <v>445</v>
      </c>
      <c r="AB22" s="366" t="s">
        <v>622</v>
      </c>
      <c r="AC22" s="366">
        <v>1</v>
      </c>
      <c r="AD22" s="441" t="s">
        <v>320</v>
      </c>
    </row>
    <row r="23" spans="2:39" s="147" customFormat="1" ht="27" customHeight="1">
      <c r="B23" s="874"/>
      <c r="C23" s="875"/>
      <c r="D23" s="361">
        <v>19</v>
      </c>
      <c r="E23" s="435" t="s">
        <v>549</v>
      </c>
      <c r="F23" s="363">
        <f t="shared" si="0"/>
        <v>3174.5303999999901</v>
      </c>
      <c r="G23" s="364">
        <v>49.82</v>
      </c>
      <c r="H23" s="437">
        <v>2538.25</v>
      </c>
      <c r="I23" s="437">
        <v>2538.25</v>
      </c>
      <c r="J23" s="439">
        <f t="shared" si="1"/>
        <v>1</v>
      </c>
      <c r="K23" s="438">
        <v>2538.25</v>
      </c>
      <c r="L23" s="439">
        <f t="shared" si="2"/>
        <v>1</v>
      </c>
      <c r="M23" s="438">
        <v>63.72</v>
      </c>
      <c r="N23" s="439">
        <f t="shared" si="3"/>
        <v>2.5103910174332708E-2</v>
      </c>
      <c r="O23" s="440">
        <f t="shared" si="4"/>
        <v>2601.9699999999998</v>
      </c>
      <c r="P23" s="439">
        <f t="shared" si="5"/>
        <v>1.0251039101743327</v>
      </c>
      <c r="Q23" s="437">
        <v>17.059999999999999</v>
      </c>
      <c r="R23" s="439">
        <f t="shared" si="6"/>
        <v>6.7211661577858753E-3</v>
      </c>
      <c r="S23" s="447">
        <f t="shared" si="7"/>
        <v>849.92919999999992</v>
      </c>
      <c r="T23" s="440">
        <f t="shared" si="8"/>
        <v>63.7199999999998</v>
      </c>
      <c r="U23" s="439">
        <f t="shared" si="9"/>
        <v>2.5103910174332632E-2</v>
      </c>
      <c r="V23" s="451">
        <f t="shared" si="10"/>
        <v>46.659999999999798</v>
      </c>
      <c r="W23" s="452">
        <f t="shared" si="11"/>
        <v>1.8382744016546753E-2</v>
      </c>
      <c r="X23" s="453">
        <f t="shared" si="12"/>
        <v>2324.6011999999901</v>
      </c>
      <c r="Y23" s="365" t="s">
        <v>170</v>
      </c>
      <c r="Z23" s="365" t="s">
        <v>199</v>
      </c>
      <c r="AA23" s="366" t="s">
        <v>497</v>
      </c>
      <c r="AB23" s="366" t="s">
        <v>578</v>
      </c>
      <c r="AC23" s="366">
        <v>1</v>
      </c>
      <c r="AD23" s="441" t="s">
        <v>538</v>
      </c>
    </row>
    <row r="24" spans="2:39" s="147" customFormat="1" ht="27" customHeight="1">
      <c r="B24" s="876"/>
      <c r="C24" s="877"/>
      <c r="D24" s="361">
        <v>20</v>
      </c>
      <c r="E24" s="435" t="s">
        <v>335</v>
      </c>
      <c r="F24" s="363">
        <f t="shared" si="0"/>
        <v>3129.8475000000012</v>
      </c>
      <c r="G24" s="364">
        <v>152.75</v>
      </c>
      <c r="H24" s="437">
        <v>1086.05</v>
      </c>
      <c r="I24" s="437">
        <v>1086.05</v>
      </c>
      <c r="J24" s="439">
        <f t="shared" si="1"/>
        <v>1</v>
      </c>
      <c r="K24" s="438">
        <v>1086.05</v>
      </c>
      <c r="L24" s="439">
        <f t="shared" si="2"/>
        <v>1</v>
      </c>
      <c r="M24" s="438">
        <v>20.490000000000002</v>
      </c>
      <c r="N24" s="439">
        <f t="shared" si="3"/>
        <v>1.8866534689931404E-2</v>
      </c>
      <c r="O24" s="440">
        <f t="shared" si="4"/>
        <v>1106.54</v>
      </c>
      <c r="P24" s="439">
        <f t="shared" si="5"/>
        <v>1.0188665346899315</v>
      </c>
      <c r="Q24" s="437">
        <v>5.5600000000000005</v>
      </c>
      <c r="R24" s="439">
        <f t="shared" si="6"/>
        <v>5.1194696376778244E-3</v>
      </c>
      <c r="S24" s="447">
        <f t="shared" si="7"/>
        <v>849.29000000000008</v>
      </c>
      <c r="T24" s="440">
        <f t="shared" si="8"/>
        <v>20.490000000000009</v>
      </c>
      <c r="U24" s="439">
        <f t="shared" si="9"/>
        <v>1.8866534689931411E-2</v>
      </c>
      <c r="V24" s="451">
        <f t="shared" si="10"/>
        <v>14.930000000000009</v>
      </c>
      <c r="W24" s="452">
        <f t="shared" si="11"/>
        <v>1.3747065052253588E-2</v>
      </c>
      <c r="X24" s="453">
        <f t="shared" si="12"/>
        <v>2280.5575000000013</v>
      </c>
      <c r="Y24" s="365" t="s">
        <v>170</v>
      </c>
      <c r="Z24" s="365" t="s">
        <v>406</v>
      </c>
      <c r="AA24" s="366" t="s">
        <v>447</v>
      </c>
      <c r="AB24" s="366" t="s">
        <v>487</v>
      </c>
      <c r="AC24" s="366">
        <v>1</v>
      </c>
      <c r="AD24" s="441" t="s">
        <v>336</v>
      </c>
    </row>
    <row r="25" spans="2:39" ht="17.100000000000001" customHeight="1">
      <c r="B25" s="878" t="s">
        <v>419</v>
      </c>
      <c r="C25" s="879"/>
      <c r="D25" s="882" t="s">
        <v>502</v>
      </c>
      <c r="E25" s="883" t="s">
        <v>503</v>
      </c>
      <c r="F25" s="907" t="s">
        <v>519</v>
      </c>
      <c r="G25" s="861" t="s">
        <v>505</v>
      </c>
      <c r="H25" s="885" t="s">
        <v>506</v>
      </c>
      <c r="I25" s="886" t="s">
        <v>507</v>
      </c>
      <c r="J25" s="887"/>
      <c r="K25" s="886" t="s">
        <v>508</v>
      </c>
      <c r="L25" s="887"/>
      <c r="M25" s="886" t="s">
        <v>509</v>
      </c>
      <c r="N25" s="887"/>
      <c r="O25" s="886" t="s">
        <v>510</v>
      </c>
      <c r="P25" s="887"/>
      <c r="Q25" s="886" t="s">
        <v>396</v>
      </c>
      <c r="R25" s="908"/>
      <c r="S25" s="887"/>
      <c r="T25" s="888" t="s">
        <v>569</v>
      </c>
      <c r="U25" s="889"/>
      <c r="V25" s="891" t="s">
        <v>568</v>
      </c>
      <c r="W25" s="892"/>
      <c r="X25" s="893"/>
      <c r="Y25" s="894" t="s">
        <v>168</v>
      </c>
      <c r="Z25" s="894" t="s">
        <v>228</v>
      </c>
      <c r="AA25" s="894" t="s">
        <v>511</v>
      </c>
      <c r="AB25" s="894" t="s">
        <v>420</v>
      </c>
      <c r="AC25" s="894" t="s">
        <v>229</v>
      </c>
      <c r="AD25" s="861" t="s">
        <v>169</v>
      </c>
      <c r="AF25" s="863" t="s">
        <v>230</v>
      </c>
      <c r="AG25" s="864"/>
      <c r="AH25" s="864"/>
      <c r="AI25" s="864"/>
      <c r="AJ25" s="864"/>
      <c r="AK25" s="864"/>
      <c r="AL25" s="864"/>
      <c r="AM25" s="865"/>
    </row>
    <row r="26" spans="2:39" ht="16.5" customHeight="1">
      <c r="B26" s="880"/>
      <c r="C26" s="881"/>
      <c r="D26" s="882"/>
      <c r="E26" s="882"/>
      <c r="F26" s="884"/>
      <c r="G26" s="862"/>
      <c r="H26" s="862"/>
      <c r="I26" s="434" t="s">
        <v>512</v>
      </c>
      <c r="J26" s="362" t="s">
        <v>513</v>
      </c>
      <c r="K26" s="434" t="s">
        <v>512</v>
      </c>
      <c r="L26" s="362" t="s">
        <v>513</v>
      </c>
      <c r="M26" s="434" t="s">
        <v>512</v>
      </c>
      <c r="N26" s="362" t="s">
        <v>513</v>
      </c>
      <c r="O26" s="434" t="s">
        <v>512</v>
      </c>
      <c r="P26" s="362" t="s">
        <v>513</v>
      </c>
      <c r="Q26" s="434" t="s">
        <v>512</v>
      </c>
      <c r="R26" s="362" t="s">
        <v>513</v>
      </c>
      <c r="S26" s="362" t="s">
        <v>514</v>
      </c>
      <c r="T26" s="434" t="s">
        <v>512</v>
      </c>
      <c r="U26" s="362" t="s">
        <v>513</v>
      </c>
      <c r="V26" s="434" t="s">
        <v>512</v>
      </c>
      <c r="W26" s="362" t="s">
        <v>513</v>
      </c>
      <c r="X26" s="362" t="s">
        <v>514</v>
      </c>
      <c r="Y26" s="895"/>
      <c r="Z26" s="895"/>
      <c r="AA26" s="895"/>
      <c r="AB26" s="895"/>
      <c r="AC26" s="895"/>
      <c r="AD26" s="862"/>
      <c r="AF26" s="866"/>
      <c r="AG26" s="867"/>
      <c r="AH26" s="867"/>
      <c r="AI26" s="867"/>
      <c r="AJ26" s="867"/>
      <c r="AK26" s="867"/>
      <c r="AL26" s="867"/>
      <c r="AM26" s="868"/>
    </row>
    <row r="27" spans="2:39" s="147" customFormat="1" ht="27" customHeight="1">
      <c r="B27" s="872" t="s">
        <v>675</v>
      </c>
      <c r="C27" s="873"/>
      <c r="D27" s="361">
        <v>1</v>
      </c>
      <c r="E27" s="435" t="s">
        <v>315</v>
      </c>
      <c r="F27" s="363">
        <f>IFERROR(T27*G27,"-")</f>
        <v>8752.9190999999864</v>
      </c>
      <c r="G27" s="364">
        <v>147.43000000000004</v>
      </c>
      <c r="H27" s="437">
        <v>3543.6600000000003</v>
      </c>
      <c r="I27" s="437">
        <v>3543.6600000000003</v>
      </c>
      <c r="J27" s="439">
        <f>IFERROR(I27/H27,"-")</f>
        <v>1</v>
      </c>
      <c r="K27" s="438">
        <v>3543.6600000000003</v>
      </c>
      <c r="L27" s="439">
        <f>IFERROR(K27/H27,"-")</f>
        <v>1</v>
      </c>
      <c r="M27" s="438">
        <v>59.37</v>
      </c>
      <c r="N27" s="439">
        <f>IFERROR(M27/H27,"-")</f>
        <v>1.675386464841435E-2</v>
      </c>
      <c r="O27" s="440">
        <f>IFERROR(K27+M27,"-")</f>
        <v>3603.03</v>
      </c>
      <c r="P27" s="439">
        <f>IFERROR(O27/H27,"-")</f>
        <v>1.0167538646484142</v>
      </c>
      <c r="Q27" s="437">
        <v>8.7800000000000011</v>
      </c>
      <c r="R27" s="439">
        <f>IFERROR(Q27/H27,"-")</f>
        <v>2.4776643357432714E-3</v>
      </c>
      <c r="S27" s="447">
        <f>IFERROR(Q27*G27,"-")</f>
        <v>1294.4354000000005</v>
      </c>
      <c r="T27" s="440">
        <f>IFERROR(O27-H27,"-")</f>
        <v>59.369999999999891</v>
      </c>
      <c r="U27" s="439">
        <f>IFERROR(T27/H27,"-")</f>
        <v>1.6753864648414319E-2</v>
      </c>
      <c r="V27" s="451">
        <f>T27-Q27</f>
        <v>50.58999999999989</v>
      </c>
      <c r="W27" s="452">
        <f>IFERROR(V27/H27,"-")</f>
        <v>1.4276200312671048E-2</v>
      </c>
      <c r="X27" s="453">
        <f>IFERROR(V27*G27,"-")</f>
        <v>7458.4836999999852</v>
      </c>
      <c r="Y27" s="365" t="s">
        <v>170</v>
      </c>
      <c r="Z27" s="365" t="s">
        <v>198</v>
      </c>
      <c r="AA27" s="366" t="s">
        <v>444</v>
      </c>
      <c r="AB27" s="366" t="s">
        <v>486</v>
      </c>
      <c r="AC27" s="366">
        <v>1</v>
      </c>
      <c r="AD27" s="441" t="s">
        <v>319</v>
      </c>
      <c r="AF27" s="869"/>
      <c r="AG27" s="870"/>
      <c r="AH27" s="870"/>
      <c r="AI27" s="870"/>
      <c r="AJ27" s="870"/>
      <c r="AK27" s="870"/>
      <c r="AL27" s="870"/>
      <c r="AM27" s="871"/>
    </row>
    <row r="28" spans="2:39" s="147" customFormat="1" ht="27" customHeight="1">
      <c r="B28" s="874"/>
      <c r="C28" s="875"/>
      <c r="D28" s="361">
        <v>2</v>
      </c>
      <c r="E28" s="435" t="s">
        <v>561</v>
      </c>
      <c r="F28" s="363">
        <f t="shared" ref="F28:F46" si="16">IFERROR(T28*G28,"-")</f>
        <v>6697.5580000000282</v>
      </c>
      <c r="G28" s="364">
        <v>625.93999999999994</v>
      </c>
      <c r="H28" s="437">
        <v>1221.19</v>
      </c>
      <c r="I28" s="437">
        <v>1221.19</v>
      </c>
      <c r="J28" s="439">
        <f t="shared" ref="J28:J46" si="17">IFERROR(I28/H28,"-")</f>
        <v>1</v>
      </c>
      <c r="K28" s="438">
        <v>1221.19</v>
      </c>
      <c r="L28" s="439">
        <f t="shared" ref="L28:L46" si="18">IFERROR(K28/H28,"-")</f>
        <v>1</v>
      </c>
      <c r="M28" s="438">
        <v>10.7</v>
      </c>
      <c r="N28" s="439">
        <f t="shared" ref="N28:N46" si="19">IFERROR(M28/H28,"-")</f>
        <v>8.7619453156347494E-3</v>
      </c>
      <c r="O28" s="440">
        <f t="shared" ref="O28:O46" si="20">IFERROR(K28+M28,"-")</f>
        <v>1231.8900000000001</v>
      </c>
      <c r="P28" s="439">
        <f t="shared" ref="P28:P46" si="21">IFERROR(O28/H28,"-")</f>
        <v>1.0087619453156347</v>
      </c>
      <c r="Q28" s="437">
        <v>1.96</v>
      </c>
      <c r="R28" s="439">
        <f t="shared" ref="R28:R46" si="22">IFERROR(Q28/H28,"-")</f>
        <v>1.6049918522097297E-3</v>
      </c>
      <c r="S28" s="447">
        <f t="shared" ref="S28:S46" si="23">IFERROR(Q28*G28,"-")</f>
        <v>1226.8423999999998</v>
      </c>
      <c r="T28" s="440">
        <f t="shared" ref="T28:T46" si="24">IFERROR(O28-H28,"-")</f>
        <v>10.700000000000045</v>
      </c>
      <c r="U28" s="439">
        <f t="shared" ref="U28:U46" si="25">IFERROR(T28/H28,"-")</f>
        <v>8.7619453156347858E-3</v>
      </c>
      <c r="V28" s="451">
        <f t="shared" ref="V28:V46" si="26">T28-Q28</f>
        <v>8.7400000000000446</v>
      </c>
      <c r="W28" s="452">
        <f t="shared" ref="W28:W46" si="27">IFERROR(V28/H28,"-")</f>
        <v>7.1569534634250559E-3</v>
      </c>
      <c r="X28" s="453">
        <f t="shared" ref="X28:X46" si="28">IFERROR(V28*G28,"-")</f>
        <v>5470.7156000000277</v>
      </c>
      <c r="Y28" s="365" t="s">
        <v>170</v>
      </c>
      <c r="Z28" s="365" t="s">
        <v>406</v>
      </c>
      <c r="AA28" s="366" t="s">
        <v>620</v>
      </c>
      <c r="AB28" s="366" t="s">
        <v>621</v>
      </c>
      <c r="AC28" s="366">
        <v>1</v>
      </c>
      <c r="AD28" s="441" t="s">
        <v>562</v>
      </c>
      <c r="AF28" s="160" t="s">
        <v>227</v>
      </c>
      <c r="AG28" s="160" t="s">
        <v>421</v>
      </c>
      <c r="AH28" s="155" t="s">
        <v>515</v>
      </c>
      <c r="AI28" s="155" t="s">
        <v>316</v>
      </c>
      <c r="AJ28" s="155" t="s">
        <v>406</v>
      </c>
      <c r="AK28" s="155" t="s">
        <v>198</v>
      </c>
      <c r="AL28" s="155" t="s">
        <v>199</v>
      </c>
      <c r="AM28" s="155" t="s">
        <v>362</v>
      </c>
    </row>
    <row r="29" spans="2:39" s="147" customFormat="1" ht="27" customHeight="1">
      <c r="B29" s="874"/>
      <c r="C29" s="875"/>
      <c r="D29" s="361">
        <v>3</v>
      </c>
      <c r="E29" s="435" t="s">
        <v>364</v>
      </c>
      <c r="F29" s="363">
        <f t="shared" si="16"/>
        <v>5336.0415999999732</v>
      </c>
      <c r="G29" s="364">
        <v>127.84000000000002</v>
      </c>
      <c r="H29" s="437">
        <v>3184.1</v>
      </c>
      <c r="I29" s="437">
        <v>3184.1</v>
      </c>
      <c r="J29" s="439">
        <f t="shared" si="17"/>
        <v>1</v>
      </c>
      <c r="K29" s="438">
        <v>3184.1</v>
      </c>
      <c r="L29" s="439">
        <f t="shared" si="18"/>
        <v>1</v>
      </c>
      <c r="M29" s="438">
        <v>41.74</v>
      </c>
      <c r="N29" s="439">
        <f t="shared" si="19"/>
        <v>1.3108884771206936E-2</v>
      </c>
      <c r="O29" s="440">
        <f t="shared" si="20"/>
        <v>3225.8399999999997</v>
      </c>
      <c r="P29" s="439">
        <f t="shared" si="21"/>
        <v>1.0131088847712069</v>
      </c>
      <c r="Q29" s="437">
        <v>7.9499999999999993</v>
      </c>
      <c r="R29" s="439">
        <f t="shared" si="22"/>
        <v>2.4967808799974873E-3</v>
      </c>
      <c r="S29" s="447">
        <f t="shared" si="23"/>
        <v>1016.3280000000001</v>
      </c>
      <c r="T29" s="440">
        <f t="shared" si="24"/>
        <v>41.739999999999782</v>
      </c>
      <c r="U29" s="439">
        <f t="shared" si="25"/>
        <v>1.3108884771206867E-2</v>
      </c>
      <c r="V29" s="451">
        <f t="shared" si="26"/>
        <v>33.789999999999779</v>
      </c>
      <c r="W29" s="452">
        <f t="shared" si="27"/>
        <v>1.0612103891209378E-2</v>
      </c>
      <c r="X29" s="453">
        <f t="shared" si="28"/>
        <v>4319.7135999999728</v>
      </c>
      <c r="Y29" s="365" t="s">
        <v>170</v>
      </c>
      <c r="Z29" s="365" t="s">
        <v>406</v>
      </c>
      <c r="AA29" s="366" t="s">
        <v>577</v>
      </c>
      <c r="AB29" s="366" t="s">
        <v>702</v>
      </c>
      <c r="AC29" s="366">
        <v>1</v>
      </c>
      <c r="AD29" s="441" t="s">
        <v>319</v>
      </c>
      <c r="AF29" s="371">
        <f>SUM(AC27:AC46)</f>
        <v>20</v>
      </c>
      <c r="AG29" s="367">
        <f>SUMIF($Z$27:$Z$46,TRIM(AG28),$AC$27:$AC$46)</f>
        <v>0</v>
      </c>
      <c r="AH29" s="367">
        <f t="shared" ref="AH29:AM29" si="29">SUMIF($Z$27:$Z$46,TRIM(AH28),$AC$27:$AC$46)</f>
        <v>0</v>
      </c>
      <c r="AI29" s="367">
        <f t="shared" si="29"/>
        <v>0</v>
      </c>
      <c r="AJ29" s="367">
        <f t="shared" si="29"/>
        <v>18</v>
      </c>
      <c r="AK29" s="367">
        <f t="shared" si="29"/>
        <v>1</v>
      </c>
      <c r="AL29" s="367">
        <f t="shared" si="29"/>
        <v>1</v>
      </c>
      <c r="AM29" s="367">
        <f t="shared" si="29"/>
        <v>0</v>
      </c>
    </row>
    <row r="30" spans="2:39" s="147" customFormat="1" ht="27" customHeight="1">
      <c r="B30" s="874"/>
      <c r="C30" s="875"/>
      <c r="D30" s="361">
        <v>4</v>
      </c>
      <c r="E30" s="435" t="s">
        <v>495</v>
      </c>
      <c r="F30" s="363">
        <f t="shared" si="16"/>
        <v>4941.4755000000278</v>
      </c>
      <c r="G30" s="364">
        <v>39.389999999999993</v>
      </c>
      <c r="H30" s="437">
        <v>26239.200000000001</v>
      </c>
      <c r="I30" s="437">
        <v>26239.200000000001</v>
      </c>
      <c r="J30" s="439">
        <f t="shared" si="17"/>
        <v>1</v>
      </c>
      <c r="K30" s="438">
        <v>26239.200000000001</v>
      </c>
      <c r="L30" s="439">
        <f t="shared" si="18"/>
        <v>1</v>
      </c>
      <c r="M30" s="438">
        <v>125.45</v>
      </c>
      <c r="N30" s="439">
        <f t="shared" si="19"/>
        <v>4.7810146650812523E-3</v>
      </c>
      <c r="O30" s="440">
        <f t="shared" si="20"/>
        <v>26364.65</v>
      </c>
      <c r="P30" s="439">
        <f t="shared" si="21"/>
        <v>1.0047810146650813</v>
      </c>
      <c r="Q30" s="437">
        <v>27.18</v>
      </c>
      <c r="R30" s="439">
        <f t="shared" si="22"/>
        <v>1.0358547516692582E-3</v>
      </c>
      <c r="S30" s="447">
        <f t="shared" si="23"/>
        <v>1070.6201999999998</v>
      </c>
      <c r="T30" s="440">
        <f t="shared" si="24"/>
        <v>125.45000000000073</v>
      </c>
      <c r="U30" s="439">
        <f t="shared" si="25"/>
        <v>4.7810146650812801E-3</v>
      </c>
      <c r="V30" s="451">
        <f t="shared" si="26"/>
        <v>98.270000000000721</v>
      </c>
      <c r="W30" s="452">
        <f t="shared" si="27"/>
        <v>3.7451599134120214E-3</v>
      </c>
      <c r="X30" s="453">
        <f t="shared" si="28"/>
        <v>3870.8553000000279</v>
      </c>
      <c r="Y30" s="365" t="s">
        <v>170</v>
      </c>
      <c r="Z30" s="365" t="s">
        <v>406</v>
      </c>
      <c r="AA30" s="366" t="s">
        <v>576</v>
      </c>
      <c r="AB30" s="366" t="s">
        <v>605</v>
      </c>
      <c r="AC30" s="366">
        <v>1</v>
      </c>
      <c r="AD30" s="441" t="s">
        <v>319</v>
      </c>
      <c r="AF30" s="372" t="s">
        <v>11</v>
      </c>
      <c r="AG30" s="369">
        <f>SUMIF($Z$27:$Z$46,TRIM(AG28),$F$27:$F$46)</f>
        <v>0</v>
      </c>
      <c r="AH30" s="369">
        <f t="shared" ref="AH30:AM30" si="30">SUMIF($Z$27:$Z$46,TRIM(AH28),$F$27:$F$46)</f>
        <v>0</v>
      </c>
      <c r="AI30" s="369">
        <f t="shared" si="30"/>
        <v>0</v>
      </c>
      <c r="AJ30" s="369">
        <f t="shared" si="30"/>
        <v>69862.741700000028</v>
      </c>
      <c r="AK30" s="369">
        <f t="shared" si="30"/>
        <v>8752.9190999999864</v>
      </c>
      <c r="AL30" s="369">
        <f t="shared" si="30"/>
        <v>4089.6321999999896</v>
      </c>
      <c r="AM30" s="369">
        <f t="shared" si="30"/>
        <v>0</v>
      </c>
    </row>
    <row r="31" spans="2:39" s="147" customFormat="1" ht="27" customHeight="1">
      <c r="B31" s="874"/>
      <c r="C31" s="875"/>
      <c r="D31" s="361">
        <v>5</v>
      </c>
      <c r="E31" s="435" t="s">
        <v>592</v>
      </c>
      <c r="F31" s="363">
        <f t="shared" si="16"/>
        <v>4313.0177999999869</v>
      </c>
      <c r="G31" s="364">
        <v>52.26</v>
      </c>
      <c r="H31" s="437">
        <v>5274.57</v>
      </c>
      <c r="I31" s="437">
        <v>5274.57</v>
      </c>
      <c r="J31" s="439">
        <f t="shared" si="17"/>
        <v>1</v>
      </c>
      <c r="K31" s="438">
        <v>5274.57</v>
      </c>
      <c r="L31" s="439">
        <f t="shared" si="18"/>
        <v>1</v>
      </c>
      <c r="M31" s="438">
        <v>82.53</v>
      </c>
      <c r="N31" s="439">
        <f t="shared" si="19"/>
        <v>1.5646773101883189E-2</v>
      </c>
      <c r="O31" s="440">
        <f t="shared" si="20"/>
        <v>5357.0999999999995</v>
      </c>
      <c r="P31" s="439">
        <f t="shared" si="21"/>
        <v>1.0156467731018832</v>
      </c>
      <c r="Q31" s="437">
        <v>18.66</v>
      </c>
      <c r="R31" s="439">
        <f t="shared" si="22"/>
        <v>3.5377291419016149E-3</v>
      </c>
      <c r="S31" s="447">
        <f t="shared" si="23"/>
        <v>975.17160000000001</v>
      </c>
      <c r="T31" s="440">
        <f t="shared" si="24"/>
        <v>82.529999999999745</v>
      </c>
      <c r="U31" s="439">
        <f t="shared" si="25"/>
        <v>1.564677310188314E-2</v>
      </c>
      <c r="V31" s="451">
        <f t="shared" si="26"/>
        <v>63.869999999999749</v>
      </c>
      <c r="W31" s="452">
        <f t="shared" si="27"/>
        <v>1.2109043959981525E-2</v>
      </c>
      <c r="X31" s="453">
        <f t="shared" si="28"/>
        <v>3337.8461999999868</v>
      </c>
      <c r="Y31" s="365" t="s">
        <v>170</v>
      </c>
      <c r="Z31" s="365" t="s">
        <v>406</v>
      </c>
      <c r="AA31" s="366" t="s">
        <v>576</v>
      </c>
      <c r="AB31" s="366" t="s">
        <v>605</v>
      </c>
      <c r="AC31" s="366">
        <v>1</v>
      </c>
      <c r="AD31" s="441" t="s">
        <v>581</v>
      </c>
      <c r="AF31" s="361" t="s">
        <v>516</v>
      </c>
      <c r="AG31" s="370">
        <f t="shared" ref="AG31:AM31" si="31">AG29/$AF29</f>
        <v>0</v>
      </c>
      <c r="AH31" s="370">
        <f t="shared" si="31"/>
        <v>0</v>
      </c>
      <c r="AI31" s="370">
        <f t="shared" si="31"/>
        <v>0</v>
      </c>
      <c r="AJ31" s="370">
        <f t="shared" si="31"/>
        <v>0.9</v>
      </c>
      <c r="AK31" s="370">
        <f t="shared" si="31"/>
        <v>0.05</v>
      </c>
      <c r="AL31" s="370">
        <f t="shared" si="31"/>
        <v>0.05</v>
      </c>
      <c r="AM31" s="370">
        <f t="shared" si="31"/>
        <v>0</v>
      </c>
    </row>
    <row r="32" spans="2:39" s="147" customFormat="1" ht="27" customHeight="1">
      <c r="B32" s="874"/>
      <c r="C32" s="875"/>
      <c r="D32" s="361">
        <v>6</v>
      </c>
      <c r="E32" s="435" t="s">
        <v>434</v>
      </c>
      <c r="F32" s="363">
        <f t="shared" si="16"/>
        <v>4089.6321999999896</v>
      </c>
      <c r="G32" s="364">
        <v>407.74000000000007</v>
      </c>
      <c r="H32" s="437">
        <v>1091.8000000000002</v>
      </c>
      <c r="I32" s="437">
        <v>1091.8000000000002</v>
      </c>
      <c r="J32" s="439">
        <f t="shared" si="17"/>
        <v>1</v>
      </c>
      <c r="K32" s="438">
        <v>1091.8000000000002</v>
      </c>
      <c r="L32" s="439">
        <f t="shared" si="18"/>
        <v>1</v>
      </c>
      <c r="M32" s="438">
        <v>10.029999999999999</v>
      </c>
      <c r="N32" s="439">
        <f t="shared" si="19"/>
        <v>9.186664224216887E-3</v>
      </c>
      <c r="O32" s="440">
        <f t="shared" si="20"/>
        <v>1101.8300000000002</v>
      </c>
      <c r="P32" s="439">
        <f t="shared" si="21"/>
        <v>1.0091866642242169</v>
      </c>
      <c r="Q32" s="437">
        <v>2.5599999999999996</v>
      </c>
      <c r="R32" s="439">
        <f t="shared" si="22"/>
        <v>2.3447517860413986E-3</v>
      </c>
      <c r="S32" s="447">
        <f t="shared" si="23"/>
        <v>1043.8144</v>
      </c>
      <c r="T32" s="440">
        <f t="shared" si="24"/>
        <v>10.029999999999973</v>
      </c>
      <c r="U32" s="439">
        <f t="shared" si="25"/>
        <v>9.1866642242168627E-3</v>
      </c>
      <c r="V32" s="451">
        <f t="shared" si="26"/>
        <v>7.4699999999999731</v>
      </c>
      <c r="W32" s="452">
        <f t="shared" si="27"/>
        <v>6.8419124381754641E-3</v>
      </c>
      <c r="X32" s="453">
        <f t="shared" si="28"/>
        <v>3045.8177999999893</v>
      </c>
      <c r="Y32" s="365" t="s">
        <v>170</v>
      </c>
      <c r="Z32" s="365" t="s">
        <v>199</v>
      </c>
      <c r="AA32" s="366" t="s">
        <v>446</v>
      </c>
      <c r="AB32" s="366" t="s">
        <v>604</v>
      </c>
      <c r="AC32" s="366">
        <v>1</v>
      </c>
      <c r="AD32" s="441" t="s">
        <v>436</v>
      </c>
    </row>
    <row r="33" spans="2:39" s="147" customFormat="1" ht="27" customHeight="1">
      <c r="B33" s="874"/>
      <c r="C33" s="875"/>
      <c r="D33" s="361">
        <v>7</v>
      </c>
      <c r="E33" s="435" t="s">
        <v>547</v>
      </c>
      <c r="F33" s="363">
        <f t="shared" si="16"/>
        <v>4041.3680000000113</v>
      </c>
      <c r="G33" s="364">
        <v>144.79999999999998</v>
      </c>
      <c r="H33" s="437">
        <v>1791.18</v>
      </c>
      <c r="I33" s="437">
        <v>1791.18</v>
      </c>
      <c r="J33" s="439">
        <f t="shared" si="17"/>
        <v>1</v>
      </c>
      <c r="K33" s="438">
        <v>1791.18</v>
      </c>
      <c r="L33" s="439">
        <f t="shared" si="18"/>
        <v>1</v>
      </c>
      <c r="M33" s="438">
        <v>27.91</v>
      </c>
      <c r="N33" s="439">
        <f t="shared" si="19"/>
        <v>1.5581906899362431E-2</v>
      </c>
      <c r="O33" s="440">
        <f t="shared" si="20"/>
        <v>1819.0900000000001</v>
      </c>
      <c r="P33" s="439">
        <f t="shared" si="21"/>
        <v>1.0155819068993626</v>
      </c>
      <c r="Q33" s="437">
        <v>6.07</v>
      </c>
      <c r="R33" s="439">
        <f t="shared" si="22"/>
        <v>3.3888274768588307E-3</v>
      </c>
      <c r="S33" s="447">
        <f t="shared" si="23"/>
        <v>878.93599999999992</v>
      </c>
      <c r="T33" s="440">
        <f t="shared" si="24"/>
        <v>27.910000000000082</v>
      </c>
      <c r="U33" s="439">
        <f t="shared" si="25"/>
        <v>1.5581906899362476E-2</v>
      </c>
      <c r="V33" s="451">
        <f t="shared" si="26"/>
        <v>21.840000000000082</v>
      </c>
      <c r="W33" s="452">
        <f t="shared" si="27"/>
        <v>1.2193079422503646E-2</v>
      </c>
      <c r="X33" s="453">
        <f t="shared" si="28"/>
        <v>3162.4320000000116</v>
      </c>
      <c r="Y33" s="365" t="s">
        <v>170</v>
      </c>
      <c r="Z33" s="365" t="s">
        <v>406</v>
      </c>
      <c r="AA33" s="366" t="s">
        <v>447</v>
      </c>
      <c r="AB33" s="366" t="s">
        <v>487</v>
      </c>
      <c r="AC33" s="366">
        <v>1</v>
      </c>
      <c r="AD33" s="441" t="s">
        <v>319</v>
      </c>
    </row>
    <row r="34" spans="2:39" s="147" customFormat="1" ht="27" customHeight="1">
      <c r="B34" s="874"/>
      <c r="C34" s="875"/>
      <c r="D34" s="361">
        <v>8</v>
      </c>
      <c r="E34" s="435" t="s">
        <v>565</v>
      </c>
      <c r="F34" s="363">
        <f t="shared" si="16"/>
        <v>3614.0643000000118</v>
      </c>
      <c r="G34" s="364">
        <v>426.69</v>
      </c>
      <c r="H34" s="437">
        <v>835.94</v>
      </c>
      <c r="I34" s="437">
        <v>835.94</v>
      </c>
      <c r="J34" s="439">
        <f t="shared" si="17"/>
        <v>1</v>
      </c>
      <c r="K34" s="438">
        <v>835.94</v>
      </c>
      <c r="L34" s="439">
        <f t="shared" si="18"/>
        <v>1</v>
      </c>
      <c r="M34" s="438">
        <v>8.4700000000000006</v>
      </c>
      <c r="N34" s="439">
        <f t="shared" si="19"/>
        <v>1.0132306146374143E-2</v>
      </c>
      <c r="O34" s="440">
        <f t="shared" si="20"/>
        <v>844.41000000000008</v>
      </c>
      <c r="P34" s="439">
        <f t="shared" si="21"/>
        <v>1.0101323061463743</v>
      </c>
      <c r="Q34" s="437">
        <v>1.6300000000000001</v>
      </c>
      <c r="R34" s="439">
        <f t="shared" si="22"/>
        <v>1.9499007105773141E-3</v>
      </c>
      <c r="S34" s="447">
        <f t="shared" si="23"/>
        <v>695.50470000000007</v>
      </c>
      <c r="T34" s="440">
        <f t="shared" si="24"/>
        <v>8.4700000000000273</v>
      </c>
      <c r="U34" s="439">
        <f t="shared" si="25"/>
        <v>1.0132306146374174E-2</v>
      </c>
      <c r="V34" s="451">
        <f t="shared" si="26"/>
        <v>6.8400000000000274</v>
      </c>
      <c r="W34" s="452">
        <f t="shared" si="27"/>
        <v>8.1824054357968589E-3</v>
      </c>
      <c r="X34" s="453">
        <f t="shared" si="28"/>
        <v>2918.5596000000119</v>
      </c>
      <c r="Y34" s="365" t="s">
        <v>170</v>
      </c>
      <c r="Z34" s="365" t="s">
        <v>406</v>
      </c>
      <c r="AA34" s="366" t="s">
        <v>447</v>
      </c>
      <c r="AB34" s="366" t="s">
        <v>487</v>
      </c>
      <c r="AC34" s="366">
        <v>1</v>
      </c>
      <c r="AD34" s="441" t="s">
        <v>336</v>
      </c>
    </row>
    <row r="35" spans="2:39" s="147" customFormat="1" ht="27" customHeight="1">
      <c r="B35" s="874"/>
      <c r="C35" s="875"/>
      <c r="D35" s="361">
        <v>9</v>
      </c>
      <c r="E35" s="435" t="s">
        <v>691</v>
      </c>
      <c r="F35" s="363">
        <f t="shared" si="16"/>
        <v>3602.4688000000165</v>
      </c>
      <c r="G35" s="364">
        <v>48.920000000000009</v>
      </c>
      <c r="H35" s="437">
        <v>4978.1900000000005</v>
      </c>
      <c r="I35" s="437">
        <v>4978.1900000000005</v>
      </c>
      <c r="J35" s="439">
        <f t="shared" si="17"/>
        <v>1</v>
      </c>
      <c r="K35" s="438">
        <v>4978.1900000000005</v>
      </c>
      <c r="L35" s="439">
        <f t="shared" si="18"/>
        <v>1</v>
      </c>
      <c r="M35" s="438">
        <v>73.639999999999986</v>
      </c>
      <c r="N35" s="439">
        <f t="shared" si="19"/>
        <v>1.4792524994023929E-2</v>
      </c>
      <c r="O35" s="440">
        <f t="shared" si="20"/>
        <v>5051.8300000000008</v>
      </c>
      <c r="P35" s="439">
        <f t="shared" si="21"/>
        <v>1.0147925249940239</v>
      </c>
      <c r="Q35" s="437">
        <v>20.439999999999998</v>
      </c>
      <c r="R35" s="439">
        <f t="shared" si="22"/>
        <v>4.1059099793298356E-3</v>
      </c>
      <c r="S35" s="447">
        <f t="shared" si="23"/>
        <v>999.92480000000012</v>
      </c>
      <c r="T35" s="440">
        <f t="shared" si="24"/>
        <v>73.640000000000327</v>
      </c>
      <c r="U35" s="439">
        <f t="shared" si="25"/>
        <v>1.4792524994023996E-2</v>
      </c>
      <c r="V35" s="451">
        <f t="shared" si="26"/>
        <v>53.20000000000033</v>
      </c>
      <c r="W35" s="452">
        <f t="shared" si="27"/>
        <v>1.0686615014694161E-2</v>
      </c>
      <c r="X35" s="453">
        <f t="shared" si="28"/>
        <v>2602.5440000000167</v>
      </c>
      <c r="Y35" s="365" t="s">
        <v>170</v>
      </c>
      <c r="Z35" s="365" t="s">
        <v>406</v>
      </c>
      <c r="AA35" s="366" t="s">
        <v>576</v>
      </c>
      <c r="AB35" s="366" t="s">
        <v>605</v>
      </c>
      <c r="AC35" s="366">
        <v>1</v>
      </c>
      <c r="AD35" s="441" t="s">
        <v>690</v>
      </c>
      <c r="AH35" s="368"/>
    </row>
    <row r="36" spans="2:39" s="147" customFormat="1" ht="27" customHeight="1">
      <c r="B36" s="874"/>
      <c r="C36" s="875"/>
      <c r="D36" s="361">
        <v>10</v>
      </c>
      <c r="E36" s="435" t="s">
        <v>546</v>
      </c>
      <c r="F36" s="363">
        <f t="shared" si="16"/>
        <v>3599.4231000000314</v>
      </c>
      <c r="G36" s="364">
        <v>193.82999999999998</v>
      </c>
      <c r="H36" s="437">
        <v>2274.2999999999997</v>
      </c>
      <c r="I36" s="437">
        <v>2274.2999999999997</v>
      </c>
      <c r="J36" s="439">
        <f t="shared" si="17"/>
        <v>1</v>
      </c>
      <c r="K36" s="438">
        <v>2274.2999999999997</v>
      </c>
      <c r="L36" s="439">
        <f t="shared" si="18"/>
        <v>1</v>
      </c>
      <c r="M36" s="438">
        <v>18.569999999999997</v>
      </c>
      <c r="N36" s="439">
        <f t="shared" si="19"/>
        <v>8.1651497163962531E-3</v>
      </c>
      <c r="O36" s="440">
        <f t="shared" si="20"/>
        <v>2292.87</v>
      </c>
      <c r="P36" s="439">
        <f t="shared" si="21"/>
        <v>1.0081651497163964</v>
      </c>
      <c r="Q36" s="437">
        <v>2.04</v>
      </c>
      <c r="R36" s="439">
        <f t="shared" si="22"/>
        <v>8.9697929033109099E-4</v>
      </c>
      <c r="S36" s="447">
        <f t="shared" si="23"/>
        <v>395.41319999999996</v>
      </c>
      <c r="T36" s="440">
        <f t="shared" si="24"/>
        <v>18.570000000000164</v>
      </c>
      <c r="U36" s="439">
        <f t="shared" si="25"/>
        <v>8.165149716396326E-3</v>
      </c>
      <c r="V36" s="451">
        <f t="shared" si="26"/>
        <v>16.530000000000165</v>
      </c>
      <c r="W36" s="452">
        <f t="shared" si="27"/>
        <v>7.2681704260652361E-3</v>
      </c>
      <c r="X36" s="453">
        <f t="shared" si="28"/>
        <v>3204.0099000000318</v>
      </c>
      <c r="Y36" s="365" t="s">
        <v>170</v>
      </c>
      <c r="Z36" s="365" t="s">
        <v>406</v>
      </c>
      <c r="AA36" s="366" t="s">
        <v>447</v>
      </c>
      <c r="AB36" s="366" t="s">
        <v>487</v>
      </c>
      <c r="AC36" s="366">
        <v>1</v>
      </c>
      <c r="AD36" s="441" t="s">
        <v>550</v>
      </c>
      <c r="AH36" s="368"/>
    </row>
    <row r="37" spans="2:39" s="147" customFormat="1" ht="27" customHeight="1">
      <c r="B37" s="874"/>
      <c r="C37" s="875"/>
      <c r="D37" s="361">
        <v>11</v>
      </c>
      <c r="E37" s="435" t="s">
        <v>410</v>
      </c>
      <c r="F37" s="363">
        <f t="shared" si="16"/>
        <v>3596.7277999999928</v>
      </c>
      <c r="G37" s="364">
        <v>368.13999999999993</v>
      </c>
      <c r="H37" s="437">
        <v>408.74</v>
      </c>
      <c r="I37" s="437">
        <v>408.74</v>
      </c>
      <c r="J37" s="439">
        <f t="shared" si="17"/>
        <v>1</v>
      </c>
      <c r="K37" s="438">
        <v>408.74</v>
      </c>
      <c r="L37" s="439">
        <f t="shared" si="18"/>
        <v>1</v>
      </c>
      <c r="M37" s="438">
        <v>9.77</v>
      </c>
      <c r="N37" s="439">
        <f t="shared" si="19"/>
        <v>2.3902725448940645E-2</v>
      </c>
      <c r="O37" s="440">
        <f t="shared" si="20"/>
        <v>418.51</v>
      </c>
      <c r="P37" s="439">
        <f t="shared" si="21"/>
        <v>1.0239027254489406</v>
      </c>
      <c r="Q37" s="437">
        <v>2.2800000000000002</v>
      </c>
      <c r="R37" s="439">
        <f t="shared" si="22"/>
        <v>5.5781181190977152E-3</v>
      </c>
      <c r="S37" s="447">
        <f t="shared" si="23"/>
        <v>839.35919999999999</v>
      </c>
      <c r="T37" s="440">
        <f t="shared" si="24"/>
        <v>9.7699999999999818</v>
      </c>
      <c r="U37" s="439">
        <f t="shared" si="25"/>
        <v>2.3902725448940603E-2</v>
      </c>
      <c r="V37" s="451">
        <f t="shared" si="26"/>
        <v>7.4899999999999816</v>
      </c>
      <c r="W37" s="452">
        <f t="shared" si="27"/>
        <v>1.8324607329842885E-2</v>
      </c>
      <c r="X37" s="453">
        <f t="shared" si="28"/>
        <v>2757.3685999999925</v>
      </c>
      <c r="Y37" s="365" t="s">
        <v>170</v>
      </c>
      <c r="Z37" s="365" t="s">
        <v>406</v>
      </c>
      <c r="AA37" s="366" t="s">
        <v>636</v>
      </c>
      <c r="AB37" s="366" t="s">
        <v>487</v>
      </c>
      <c r="AC37" s="366">
        <v>1</v>
      </c>
      <c r="AD37" s="441" t="s">
        <v>411</v>
      </c>
      <c r="AH37" s="368"/>
    </row>
    <row r="38" spans="2:39" s="147" customFormat="1" ht="27" customHeight="1">
      <c r="B38" s="874"/>
      <c r="C38" s="875"/>
      <c r="D38" s="361">
        <v>12</v>
      </c>
      <c r="E38" s="435" t="s">
        <v>695</v>
      </c>
      <c r="F38" s="363">
        <f t="shared" si="16"/>
        <v>3575.7515999999978</v>
      </c>
      <c r="G38" s="364">
        <v>145.83000000000001</v>
      </c>
      <c r="H38" s="437">
        <v>1100.4399999999998</v>
      </c>
      <c r="I38" s="437">
        <v>1100.4399999999998</v>
      </c>
      <c r="J38" s="439">
        <f t="shared" si="17"/>
        <v>1</v>
      </c>
      <c r="K38" s="438">
        <v>1100.4399999999998</v>
      </c>
      <c r="L38" s="439">
        <f t="shared" si="18"/>
        <v>1</v>
      </c>
      <c r="M38" s="438">
        <v>24.52</v>
      </c>
      <c r="N38" s="439">
        <f t="shared" si="19"/>
        <v>2.2281996292392137E-2</v>
      </c>
      <c r="O38" s="440">
        <f t="shared" si="20"/>
        <v>1124.9599999999998</v>
      </c>
      <c r="P38" s="439">
        <f t="shared" si="21"/>
        <v>1.0222819962923921</v>
      </c>
      <c r="Q38" s="437">
        <v>5.66</v>
      </c>
      <c r="R38" s="439">
        <f t="shared" si="22"/>
        <v>5.1433971865799148E-3</v>
      </c>
      <c r="S38" s="447">
        <f t="shared" si="23"/>
        <v>825.39780000000007</v>
      </c>
      <c r="T38" s="440">
        <f t="shared" si="24"/>
        <v>24.519999999999982</v>
      </c>
      <c r="U38" s="439">
        <f t="shared" si="25"/>
        <v>2.2281996292392119E-2</v>
      </c>
      <c r="V38" s="451">
        <f t="shared" si="26"/>
        <v>18.859999999999982</v>
      </c>
      <c r="W38" s="452">
        <f t="shared" si="27"/>
        <v>1.7138599105812207E-2</v>
      </c>
      <c r="X38" s="453">
        <f t="shared" si="28"/>
        <v>2750.3537999999976</v>
      </c>
      <c r="Y38" s="365" t="s">
        <v>170</v>
      </c>
      <c r="Z38" s="365" t="s">
        <v>406</v>
      </c>
      <c r="AA38" s="366" t="s">
        <v>703</v>
      </c>
      <c r="AB38" s="366" t="s">
        <v>704</v>
      </c>
      <c r="AC38" s="366">
        <v>1</v>
      </c>
      <c r="AD38" s="441" t="s">
        <v>690</v>
      </c>
      <c r="AH38" s="368"/>
    </row>
    <row r="39" spans="2:39" s="147" customFormat="1" ht="27" customHeight="1">
      <c r="B39" s="874"/>
      <c r="C39" s="875"/>
      <c r="D39" s="361">
        <v>13</v>
      </c>
      <c r="E39" s="435" t="s">
        <v>696</v>
      </c>
      <c r="F39" s="363">
        <f t="shared" si="16"/>
        <v>3489.7499999999918</v>
      </c>
      <c r="G39" s="364">
        <v>705</v>
      </c>
      <c r="H39" s="437">
        <v>217.35</v>
      </c>
      <c r="I39" s="437">
        <v>217.35</v>
      </c>
      <c r="J39" s="439">
        <f t="shared" si="17"/>
        <v>1</v>
      </c>
      <c r="K39" s="438">
        <v>217.35</v>
      </c>
      <c r="L39" s="439">
        <f t="shared" si="18"/>
        <v>1</v>
      </c>
      <c r="M39" s="438">
        <v>4.95</v>
      </c>
      <c r="N39" s="439">
        <f t="shared" si="19"/>
        <v>2.2774327122153212E-2</v>
      </c>
      <c r="O39" s="440">
        <f t="shared" si="20"/>
        <v>222.29999999999998</v>
      </c>
      <c r="P39" s="439">
        <f t="shared" si="21"/>
        <v>1.0227743271221532</v>
      </c>
      <c r="Q39" s="437">
        <v>1.19</v>
      </c>
      <c r="R39" s="439">
        <f t="shared" si="22"/>
        <v>5.475040257648953E-3</v>
      </c>
      <c r="S39" s="447">
        <f t="shared" si="23"/>
        <v>838.94999999999993</v>
      </c>
      <c r="T39" s="440">
        <f t="shared" si="24"/>
        <v>4.9499999999999886</v>
      </c>
      <c r="U39" s="439">
        <f t="shared" si="25"/>
        <v>2.2774327122153156E-2</v>
      </c>
      <c r="V39" s="451">
        <f t="shared" si="26"/>
        <v>3.7599999999999887</v>
      </c>
      <c r="W39" s="452">
        <f t="shared" si="27"/>
        <v>1.7299286864504205E-2</v>
      </c>
      <c r="X39" s="453">
        <f t="shared" si="28"/>
        <v>2650.799999999992</v>
      </c>
      <c r="Y39" s="365" t="s">
        <v>170</v>
      </c>
      <c r="Z39" s="365" t="s">
        <v>406</v>
      </c>
      <c r="AA39" s="366" t="s">
        <v>447</v>
      </c>
      <c r="AB39" s="366" t="s">
        <v>487</v>
      </c>
      <c r="AC39" s="366">
        <v>1</v>
      </c>
      <c r="AD39" s="441" t="s">
        <v>319</v>
      </c>
    </row>
    <row r="40" spans="2:39" s="147" customFormat="1" ht="27" customHeight="1">
      <c r="B40" s="874"/>
      <c r="C40" s="875"/>
      <c r="D40" s="361">
        <v>14</v>
      </c>
      <c r="E40" s="435" t="s">
        <v>697</v>
      </c>
      <c r="F40" s="363">
        <f t="shared" si="16"/>
        <v>3489.225599999967</v>
      </c>
      <c r="G40" s="364">
        <v>153.44000000000003</v>
      </c>
      <c r="H40" s="437">
        <v>2052.0700000000002</v>
      </c>
      <c r="I40" s="437">
        <v>2052.0700000000002</v>
      </c>
      <c r="J40" s="439">
        <f t="shared" si="17"/>
        <v>1</v>
      </c>
      <c r="K40" s="438">
        <v>2052.0700000000002</v>
      </c>
      <c r="L40" s="439">
        <f t="shared" si="18"/>
        <v>1</v>
      </c>
      <c r="M40" s="438">
        <v>22.74</v>
      </c>
      <c r="N40" s="439">
        <f t="shared" si="19"/>
        <v>1.1081493321377924E-2</v>
      </c>
      <c r="O40" s="440">
        <f t="shared" si="20"/>
        <v>2074.81</v>
      </c>
      <c r="P40" s="439">
        <f t="shared" si="21"/>
        <v>1.0110814933213779</v>
      </c>
      <c r="Q40" s="437">
        <v>5.47</v>
      </c>
      <c r="R40" s="439">
        <f t="shared" si="22"/>
        <v>2.6656010759866862E-3</v>
      </c>
      <c r="S40" s="447">
        <f t="shared" si="23"/>
        <v>839.31680000000006</v>
      </c>
      <c r="T40" s="440">
        <f t="shared" si="24"/>
        <v>22.739999999999782</v>
      </c>
      <c r="U40" s="439">
        <f t="shared" si="25"/>
        <v>1.1081493321377818E-2</v>
      </c>
      <c r="V40" s="451">
        <f t="shared" si="26"/>
        <v>17.269999999999783</v>
      </c>
      <c r="W40" s="452">
        <f t="shared" si="27"/>
        <v>8.4158922453911322E-3</v>
      </c>
      <c r="X40" s="453">
        <f t="shared" si="28"/>
        <v>2649.908799999967</v>
      </c>
      <c r="Y40" s="365" t="s">
        <v>170</v>
      </c>
      <c r="Z40" s="365" t="s">
        <v>406</v>
      </c>
      <c r="AA40" s="366" t="s">
        <v>447</v>
      </c>
      <c r="AB40" s="366" t="s">
        <v>487</v>
      </c>
      <c r="AC40" s="366">
        <v>1</v>
      </c>
      <c r="AD40" s="441" t="s">
        <v>698</v>
      </c>
    </row>
    <row r="41" spans="2:39" s="147" customFormat="1" ht="27" customHeight="1">
      <c r="B41" s="874"/>
      <c r="C41" s="875"/>
      <c r="D41" s="361">
        <v>15</v>
      </c>
      <c r="E41" s="435" t="s">
        <v>617</v>
      </c>
      <c r="F41" s="363">
        <f t="shared" si="16"/>
        <v>3340.7260000000078</v>
      </c>
      <c r="G41" s="364">
        <v>339.16</v>
      </c>
      <c r="H41" s="437">
        <v>625.37000000000012</v>
      </c>
      <c r="I41" s="437">
        <v>625.37000000000012</v>
      </c>
      <c r="J41" s="439">
        <f t="shared" si="17"/>
        <v>1</v>
      </c>
      <c r="K41" s="438">
        <v>625.37000000000012</v>
      </c>
      <c r="L41" s="439">
        <f t="shared" si="18"/>
        <v>1</v>
      </c>
      <c r="M41" s="438">
        <v>9.85</v>
      </c>
      <c r="N41" s="439">
        <f t="shared" si="19"/>
        <v>1.575067560004477E-2</v>
      </c>
      <c r="O41" s="440">
        <f t="shared" si="20"/>
        <v>635.22000000000014</v>
      </c>
      <c r="P41" s="439">
        <f t="shared" si="21"/>
        <v>1.0157506756000447</v>
      </c>
      <c r="Q41" s="437">
        <v>0.83000000000000007</v>
      </c>
      <c r="R41" s="439">
        <f t="shared" si="22"/>
        <v>1.3272142891408284E-3</v>
      </c>
      <c r="S41" s="447">
        <f t="shared" si="23"/>
        <v>281.50280000000004</v>
      </c>
      <c r="T41" s="440">
        <f t="shared" si="24"/>
        <v>9.8500000000000227</v>
      </c>
      <c r="U41" s="439">
        <f t="shared" si="25"/>
        <v>1.5750675600044808E-2</v>
      </c>
      <c r="V41" s="451">
        <f t="shared" si="26"/>
        <v>9.0200000000000227</v>
      </c>
      <c r="W41" s="452">
        <f t="shared" si="27"/>
        <v>1.4423461310903978E-2</v>
      </c>
      <c r="X41" s="453">
        <f t="shared" si="28"/>
        <v>3059.2232000000081</v>
      </c>
      <c r="Y41" s="365" t="s">
        <v>170</v>
      </c>
      <c r="Z41" s="365" t="s">
        <v>406</v>
      </c>
      <c r="AA41" s="366" t="s">
        <v>447</v>
      </c>
      <c r="AB41" s="366" t="s">
        <v>487</v>
      </c>
      <c r="AC41" s="366">
        <v>1</v>
      </c>
      <c r="AD41" s="441" t="s">
        <v>619</v>
      </c>
    </row>
    <row r="42" spans="2:39" s="147" customFormat="1" ht="27" customHeight="1">
      <c r="B42" s="874"/>
      <c r="C42" s="875"/>
      <c r="D42" s="361">
        <v>16</v>
      </c>
      <c r="E42" s="435" t="s">
        <v>500</v>
      </c>
      <c r="F42" s="363">
        <f t="shared" si="16"/>
        <v>3313.1129999999939</v>
      </c>
      <c r="G42" s="364">
        <v>66.13</v>
      </c>
      <c r="H42" s="437">
        <v>1949.4999999999998</v>
      </c>
      <c r="I42" s="437">
        <v>1949.4999999999998</v>
      </c>
      <c r="J42" s="439">
        <f t="shared" si="17"/>
        <v>1</v>
      </c>
      <c r="K42" s="438">
        <v>1949.4999999999998</v>
      </c>
      <c r="L42" s="439">
        <f t="shared" si="18"/>
        <v>1</v>
      </c>
      <c r="M42" s="438">
        <v>50.1</v>
      </c>
      <c r="N42" s="439">
        <f t="shared" si="19"/>
        <v>2.5698897153116188E-2</v>
      </c>
      <c r="O42" s="440">
        <f t="shared" si="20"/>
        <v>1999.5999999999997</v>
      </c>
      <c r="P42" s="439">
        <f t="shared" si="21"/>
        <v>1.0256988971531162</v>
      </c>
      <c r="Q42" s="437">
        <v>12.69</v>
      </c>
      <c r="R42" s="439">
        <f t="shared" si="22"/>
        <v>6.5093613747114649E-3</v>
      </c>
      <c r="S42" s="447">
        <f t="shared" si="23"/>
        <v>839.1896999999999</v>
      </c>
      <c r="T42" s="440">
        <f t="shared" si="24"/>
        <v>50.099999999999909</v>
      </c>
      <c r="U42" s="439">
        <f t="shared" si="25"/>
        <v>2.569889715311614E-2</v>
      </c>
      <c r="V42" s="451">
        <f t="shared" si="26"/>
        <v>37.409999999999911</v>
      </c>
      <c r="W42" s="452">
        <f t="shared" si="27"/>
        <v>1.9189535778404675E-2</v>
      </c>
      <c r="X42" s="453">
        <f t="shared" si="28"/>
        <v>2473.923299999994</v>
      </c>
      <c r="Y42" s="365" t="s">
        <v>170</v>
      </c>
      <c r="Z42" s="365" t="s">
        <v>406</v>
      </c>
      <c r="AA42" s="366" t="s">
        <v>445</v>
      </c>
      <c r="AB42" s="366" t="s">
        <v>622</v>
      </c>
      <c r="AC42" s="366">
        <v>1</v>
      </c>
      <c r="AD42" s="441" t="s">
        <v>320</v>
      </c>
    </row>
    <row r="43" spans="2:39" s="147" customFormat="1" ht="27" customHeight="1">
      <c r="B43" s="874"/>
      <c r="C43" s="875"/>
      <c r="D43" s="361">
        <v>17</v>
      </c>
      <c r="E43" s="435" t="s">
        <v>549</v>
      </c>
      <c r="F43" s="363">
        <f t="shared" si="16"/>
        <v>3252.2496000000101</v>
      </c>
      <c r="G43" s="364">
        <v>49.82</v>
      </c>
      <c r="H43" s="437">
        <v>2532.5</v>
      </c>
      <c r="I43" s="437">
        <v>2532.5</v>
      </c>
      <c r="J43" s="439">
        <f t="shared" si="17"/>
        <v>1</v>
      </c>
      <c r="K43" s="438">
        <v>2532.5</v>
      </c>
      <c r="L43" s="439">
        <f t="shared" si="18"/>
        <v>1</v>
      </c>
      <c r="M43" s="438">
        <v>65.28</v>
      </c>
      <c r="N43" s="439">
        <f t="shared" si="19"/>
        <v>2.5776900296150051E-2</v>
      </c>
      <c r="O43" s="440">
        <f t="shared" si="20"/>
        <v>2597.7800000000002</v>
      </c>
      <c r="P43" s="439">
        <f t="shared" si="21"/>
        <v>1.0257769002961501</v>
      </c>
      <c r="Q43" s="437">
        <v>16.899999999999999</v>
      </c>
      <c r="R43" s="439">
        <f t="shared" si="22"/>
        <v>6.6732477788746291E-3</v>
      </c>
      <c r="S43" s="447">
        <f t="shared" si="23"/>
        <v>841.95799999999997</v>
      </c>
      <c r="T43" s="440">
        <f t="shared" si="24"/>
        <v>65.2800000000002</v>
      </c>
      <c r="U43" s="439">
        <f t="shared" si="25"/>
        <v>2.5776900296150127E-2</v>
      </c>
      <c r="V43" s="451">
        <f t="shared" si="26"/>
        <v>48.380000000000202</v>
      </c>
      <c r="W43" s="452">
        <f t="shared" si="27"/>
        <v>1.9103652517275499E-2</v>
      </c>
      <c r="X43" s="453">
        <f t="shared" si="28"/>
        <v>2410.29160000001</v>
      </c>
      <c r="Y43" s="365" t="s">
        <v>170</v>
      </c>
      <c r="Z43" s="365" t="s">
        <v>406</v>
      </c>
      <c r="AA43" s="366" t="s">
        <v>497</v>
      </c>
      <c r="AB43" s="366" t="s">
        <v>578</v>
      </c>
      <c r="AC43" s="366">
        <v>1</v>
      </c>
      <c r="AD43" s="441" t="s">
        <v>538</v>
      </c>
    </row>
    <row r="44" spans="2:39" s="147" customFormat="1" ht="27" customHeight="1">
      <c r="B44" s="874"/>
      <c r="C44" s="875"/>
      <c r="D44" s="361">
        <v>18</v>
      </c>
      <c r="E44" s="435" t="s">
        <v>541</v>
      </c>
      <c r="F44" s="363">
        <f t="shared" si="16"/>
        <v>3228.7351999999923</v>
      </c>
      <c r="G44" s="364">
        <v>95.439999999999984</v>
      </c>
      <c r="H44" s="437">
        <v>1438.5</v>
      </c>
      <c r="I44" s="437">
        <v>1438.5</v>
      </c>
      <c r="J44" s="439">
        <f t="shared" si="17"/>
        <v>1</v>
      </c>
      <c r="K44" s="438">
        <v>1438.5</v>
      </c>
      <c r="L44" s="439">
        <f t="shared" si="18"/>
        <v>1</v>
      </c>
      <c r="M44" s="438">
        <v>33.830000000000005</v>
      </c>
      <c r="N44" s="439">
        <f t="shared" si="19"/>
        <v>2.3517553006604106E-2</v>
      </c>
      <c r="O44" s="440">
        <f t="shared" si="20"/>
        <v>1472.33</v>
      </c>
      <c r="P44" s="439">
        <f t="shared" si="21"/>
        <v>1.0235175530066041</v>
      </c>
      <c r="Q44" s="437">
        <v>8.64</v>
      </c>
      <c r="R44" s="439">
        <f t="shared" si="22"/>
        <v>6.0062565172054223E-3</v>
      </c>
      <c r="S44" s="447">
        <f t="shared" si="23"/>
        <v>824.60159999999996</v>
      </c>
      <c r="T44" s="440">
        <f t="shared" si="24"/>
        <v>33.829999999999927</v>
      </c>
      <c r="U44" s="439">
        <f t="shared" si="25"/>
        <v>2.3517553006604051E-2</v>
      </c>
      <c r="V44" s="451">
        <f t="shared" si="26"/>
        <v>25.189999999999927</v>
      </c>
      <c r="W44" s="452">
        <f t="shared" si="27"/>
        <v>1.7511296489398628E-2</v>
      </c>
      <c r="X44" s="453">
        <f t="shared" si="28"/>
        <v>2404.1335999999924</v>
      </c>
      <c r="Y44" s="365" t="s">
        <v>170</v>
      </c>
      <c r="Z44" s="365" t="s">
        <v>406</v>
      </c>
      <c r="AA44" s="366" t="s">
        <v>447</v>
      </c>
      <c r="AB44" s="366" t="s">
        <v>487</v>
      </c>
      <c r="AC44" s="366">
        <v>1</v>
      </c>
      <c r="AD44" s="441" t="s">
        <v>319</v>
      </c>
    </row>
    <row r="45" spans="2:39" s="147" customFormat="1" ht="27" customHeight="1">
      <c r="B45" s="874"/>
      <c r="C45" s="875"/>
      <c r="D45" s="361">
        <v>19</v>
      </c>
      <c r="E45" s="435" t="s">
        <v>335</v>
      </c>
      <c r="F45" s="363">
        <f t="shared" si="16"/>
        <v>3219.9699999999889</v>
      </c>
      <c r="G45" s="364">
        <v>152.75</v>
      </c>
      <c r="H45" s="437">
        <v>1110.19</v>
      </c>
      <c r="I45" s="437">
        <v>1110.19</v>
      </c>
      <c r="J45" s="439">
        <f t="shared" si="17"/>
        <v>1</v>
      </c>
      <c r="K45" s="438">
        <v>1110.19</v>
      </c>
      <c r="L45" s="439">
        <f t="shared" si="18"/>
        <v>1</v>
      </c>
      <c r="M45" s="438">
        <v>21.08</v>
      </c>
      <c r="N45" s="439">
        <f t="shared" si="19"/>
        <v>1.8987740837153998E-2</v>
      </c>
      <c r="O45" s="440">
        <f t="shared" si="20"/>
        <v>1131.27</v>
      </c>
      <c r="P45" s="439">
        <f t="shared" si="21"/>
        <v>1.0189877408371539</v>
      </c>
      <c r="Q45" s="437">
        <v>4.7300000000000004</v>
      </c>
      <c r="R45" s="439">
        <f t="shared" si="22"/>
        <v>4.260531981012259E-3</v>
      </c>
      <c r="S45" s="447">
        <f t="shared" si="23"/>
        <v>722.50750000000005</v>
      </c>
      <c r="T45" s="440">
        <f t="shared" si="24"/>
        <v>21.079999999999927</v>
      </c>
      <c r="U45" s="439">
        <f t="shared" si="25"/>
        <v>1.8987740837153932E-2</v>
      </c>
      <c r="V45" s="451">
        <f t="shared" si="26"/>
        <v>16.349999999999927</v>
      </c>
      <c r="W45" s="452">
        <f t="shared" si="27"/>
        <v>1.4727208856141675E-2</v>
      </c>
      <c r="X45" s="453">
        <f t="shared" si="28"/>
        <v>2497.4624999999887</v>
      </c>
      <c r="Y45" s="365" t="s">
        <v>170</v>
      </c>
      <c r="Z45" s="365" t="s">
        <v>406</v>
      </c>
      <c r="AA45" s="366" t="s">
        <v>447</v>
      </c>
      <c r="AB45" s="366" t="s">
        <v>487</v>
      </c>
      <c r="AC45" s="366">
        <v>1</v>
      </c>
      <c r="AD45" s="441" t="s">
        <v>336</v>
      </c>
    </row>
    <row r="46" spans="2:39" s="147" customFormat="1" ht="27" customHeight="1">
      <c r="B46" s="876"/>
      <c r="C46" s="877"/>
      <c r="D46" s="361">
        <v>20</v>
      </c>
      <c r="E46" s="435" t="s">
        <v>398</v>
      </c>
      <c r="F46" s="363">
        <f t="shared" si="16"/>
        <v>3211.0757999999878</v>
      </c>
      <c r="G46" s="364">
        <v>157.87000000000003</v>
      </c>
      <c r="H46" s="437">
        <v>1105.1399999999999</v>
      </c>
      <c r="I46" s="437">
        <v>1105.1399999999999</v>
      </c>
      <c r="J46" s="439">
        <f t="shared" si="17"/>
        <v>1</v>
      </c>
      <c r="K46" s="438">
        <v>1105.1399999999999</v>
      </c>
      <c r="L46" s="439">
        <f t="shared" si="18"/>
        <v>1</v>
      </c>
      <c r="M46" s="438">
        <v>20.340000000000003</v>
      </c>
      <c r="N46" s="439">
        <f t="shared" si="19"/>
        <v>1.8404907975460127E-2</v>
      </c>
      <c r="O46" s="440">
        <f t="shared" si="20"/>
        <v>1125.4799999999998</v>
      </c>
      <c r="P46" s="439">
        <f t="shared" si="21"/>
        <v>1.01840490797546</v>
      </c>
      <c r="Q46" s="437">
        <v>4.2200000000000006</v>
      </c>
      <c r="R46" s="439">
        <f t="shared" si="22"/>
        <v>3.8185207304051987E-3</v>
      </c>
      <c r="S46" s="447">
        <f t="shared" si="23"/>
        <v>666.21140000000025</v>
      </c>
      <c r="T46" s="440">
        <f t="shared" si="24"/>
        <v>20.339999999999918</v>
      </c>
      <c r="U46" s="439">
        <f t="shared" si="25"/>
        <v>1.8404907975460051E-2</v>
      </c>
      <c r="V46" s="451">
        <f t="shared" si="26"/>
        <v>16.119999999999919</v>
      </c>
      <c r="W46" s="452">
        <f t="shared" si="27"/>
        <v>1.4586387245054854E-2</v>
      </c>
      <c r="X46" s="453">
        <f t="shared" si="28"/>
        <v>2544.8643999999877</v>
      </c>
      <c r="Y46" s="365" t="s">
        <v>170</v>
      </c>
      <c r="Z46" s="365" t="s">
        <v>406</v>
      </c>
      <c r="AA46" s="366" t="s">
        <v>497</v>
      </c>
      <c r="AB46" s="366" t="s">
        <v>578</v>
      </c>
      <c r="AC46" s="366">
        <v>1</v>
      </c>
      <c r="AD46" s="441" t="s">
        <v>319</v>
      </c>
    </row>
    <row r="47" spans="2:39" ht="17.100000000000001" customHeight="1">
      <c r="B47" s="878" t="s">
        <v>419</v>
      </c>
      <c r="C47" s="879"/>
      <c r="D47" s="882" t="s">
        <v>502</v>
      </c>
      <c r="E47" s="883" t="s">
        <v>503</v>
      </c>
      <c r="F47" s="907" t="s">
        <v>519</v>
      </c>
      <c r="G47" s="861" t="s">
        <v>505</v>
      </c>
      <c r="H47" s="885" t="s">
        <v>506</v>
      </c>
      <c r="I47" s="886" t="s">
        <v>507</v>
      </c>
      <c r="J47" s="887"/>
      <c r="K47" s="886" t="s">
        <v>508</v>
      </c>
      <c r="L47" s="887"/>
      <c r="M47" s="886" t="s">
        <v>509</v>
      </c>
      <c r="N47" s="887"/>
      <c r="O47" s="886" t="s">
        <v>510</v>
      </c>
      <c r="P47" s="887"/>
      <c r="Q47" s="886" t="s">
        <v>396</v>
      </c>
      <c r="R47" s="908"/>
      <c r="S47" s="887"/>
      <c r="T47" s="888" t="s">
        <v>569</v>
      </c>
      <c r="U47" s="889"/>
      <c r="V47" s="891" t="s">
        <v>568</v>
      </c>
      <c r="W47" s="892"/>
      <c r="X47" s="893"/>
      <c r="Y47" s="894" t="s">
        <v>168</v>
      </c>
      <c r="Z47" s="894" t="s">
        <v>228</v>
      </c>
      <c r="AA47" s="894" t="s">
        <v>511</v>
      </c>
      <c r="AB47" s="894" t="s">
        <v>420</v>
      </c>
      <c r="AC47" s="894" t="s">
        <v>229</v>
      </c>
      <c r="AD47" s="861" t="s">
        <v>169</v>
      </c>
      <c r="AF47" s="863" t="s">
        <v>230</v>
      </c>
      <c r="AG47" s="864"/>
      <c r="AH47" s="864"/>
      <c r="AI47" s="864"/>
      <c r="AJ47" s="864"/>
      <c r="AK47" s="864"/>
      <c r="AL47" s="864"/>
      <c r="AM47" s="865"/>
    </row>
    <row r="48" spans="2:39" ht="16.5" customHeight="1">
      <c r="B48" s="880"/>
      <c r="C48" s="881"/>
      <c r="D48" s="882"/>
      <c r="E48" s="882"/>
      <c r="F48" s="884"/>
      <c r="G48" s="862"/>
      <c r="H48" s="862"/>
      <c r="I48" s="434" t="s">
        <v>512</v>
      </c>
      <c r="J48" s="362" t="s">
        <v>513</v>
      </c>
      <c r="K48" s="434" t="s">
        <v>512</v>
      </c>
      <c r="L48" s="362" t="s">
        <v>513</v>
      </c>
      <c r="M48" s="434" t="s">
        <v>512</v>
      </c>
      <c r="N48" s="362" t="s">
        <v>513</v>
      </c>
      <c r="O48" s="434" t="s">
        <v>512</v>
      </c>
      <c r="P48" s="362" t="s">
        <v>513</v>
      </c>
      <c r="Q48" s="434" t="s">
        <v>512</v>
      </c>
      <c r="R48" s="362" t="s">
        <v>513</v>
      </c>
      <c r="S48" s="362" t="s">
        <v>514</v>
      </c>
      <c r="T48" s="434" t="s">
        <v>512</v>
      </c>
      <c r="U48" s="362" t="s">
        <v>513</v>
      </c>
      <c r="V48" s="434" t="s">
        <v>512</v>
      </c>
      <c r="W48" s="362" t="s">
        <v>513</v>
      </c>
      <c r="X48" s="362" t="s">
        <v>514</v>
      </c>
      <c r="Y48" s="895"/>
      <c r="Z48" s="895"/>
      <c r="AA48" s="895"/>
      <c r="AB48" s="895"/>
      <c r="AC48" s="895"/>
      <c r="AD48" s="862"/>
      <c r="AF48" s="866"/>
      <c r="AG48" s="867"/>
      <c r="AH48" s="867"/>
      <c r="AI48" s="867"/>
      <c r="AJ48" s="867"/>
      <c r="AK48" s="867"/>
      <c r="AL48" s="867"/>
      <c r="AM48" s="868"/>
    </row>
    <row r="49" spans="2:39" s="147" customFormat="1" ht="27" customHeight="1">
      <c r="B49" s="872" t="s">
        <v>676</v>
      </c>
      <c r="C49" s="873"/>
      <c r="D49" s="361">
        <v>1</v>
      </c>
      <c r="E49" s="435" t="s">
        <v>315</v>
      </c>
      <c r="F49" s="363">
        <f>IFERROR(T49*G49,"-")</f>
        <v>7589.6964000000044</v>
      </c>
      <c r="G49" s="364">
        <v>147.43000000000004</v>
      </c>
      <c r="H49" s="437">
        <v>3326.3900000000003</v>
      </c>
      <c r="I49" s="437">
        <v>3326.3900000000003</v>
      </c>
      <c r="J49" s="439">
        <f>IFERROR(I49/H49,"-")</f>
        <v>1</v>
      </c>
      <c r="K49" s="438">
        <v>3326.3900000000003</v>
      </c>
      <c r="L49" s="439">
        <f>IFERROR(K49/H49,"-")</f>
        <v>1</v>
      </c>
      <c r="M49" s="438">
        <v>51.47999999999999</v>
      </c>
      <c r="N49" s="439">
        <f>IFERROR(M49/H49,"-")</f>
        <v>1.5476237001674484E-2</v>
      </c>
      <c r="O49" s="440">
        <f>IFERROR(K49+M49,"-")</f>
        <v>3377.8700000000003</v>
      </c>
      <c r="P49" s="439">
        <f>IFERROR(O49/H49,"-")</f>
        <v>1.0154762370016746</v>
      </c>
      <c r="Q49" s="437">
        <v>8.16</v>
      </c>
      <c r="R49" s="439">
        <f>IFERROR(Q49/H49,"-")</f>
        <v>2.4531098277712471E-3</v>
      </c>
      <c r="S49" s="447">
        <f>IFERROR(Q49*G49,"-")</f>
        <v>1203.0288000000003</v>
      </c>
      <c r="T49" s="440">
        <f>IFERROR(O49-H49,"-")</f>
        <v>51.480000000000018</v>
      </c>
      <c r="U49" s="439">
        <f>IFERROR(T49/H49,"-")</f>
        <v>1.5476237001674492E-2</v>
      </c>
      <c r="V49" s="451">
        <f>T49-Q49</f>
        <v>43.320000000000022</v>
      </c>
      <c r="W49" s="452">
        <f>IFERROR(V49/H49,"-")</f>
        <v>1.3023127173903245E-2</v>
      </c>
      <c r="X49" s="453">
        <f>IFERROR(V49*G49,"-")</f>
        <v>6386.6676000000043</v>
      </c>
      <c r="Y49" s="365" t="s">
        <v>170</v>
      </c>
      <c r="Z49" s="365" t="s">
        <v>198</v>
      </c>
      <c r="AA49" s="366"/>
      <c r="AB49" s="366"/>
      <c r="AC49" s="366">
        <v>1</v>
      </c>
      <c r="AD49" s="441" t="s">
        <v>319</v>
      </c>
      <c r="AF49" s="869"/>
      <c r="AG49" s="870"/>
      <c r="AH49" s="870"/>
      <c r="AI49" s="870"/>
      <c r="AJ49" s="870"/>
      <c r="AK49" s="870"/>
      <c r="AL49" s="870"/>
      <c r="AM49" s="871"/>
    </row>
    <row r="50" spans="2:39" s="147" customFormat="1" ht="27" customHeight="1">
      <c r="B50" s="874"/>
      <c r="C50" s="875"/>
      <c r="D50" s="361">
        <v>2</v>
      </c>
      <c r="E50" s="435" t="s">
        <v>561</v>
      </c>
      <c r="F50" s="363">
        <f t="shared" ref="F50:F68" si="32">IFERROR(T50*G50,"-")</f>
        <v>6278.1781999999821</v>
      </c>
      <c r="G50" s="364">
        <v>625.93999999999994</v>
      </c>
      <c r="H50" s="437">
        <v>1230.1400000000001</v>
      </c>
      <c r="I50" s="437">
        <v>1230.1400000000001</v>
      </c>
      <c r="J50" s="439">
        <f t="shared" ref="J50:J68" si="33">IFERROR(I50/H50,"-")</f>
        <v>1</v>
      </c>
      <c r="K50" s="438">
        <v>1230.1400000000001</v>
      </c>
      <c r="L50" s="439">
        <f t="shared" ref="L50:L68" si="34">IFERROR(K50/H50,"-")</f>
        <v>1</v>
      </c>
      <c r="M50" s="438">
        <v>10.029999999999999</v>
      </c>
      <c r="N50" s="439">
        <f t="shared" ref="N50:N68" si="35">IFERROR(M50/H50,"-")</f>
        <v>8.1535434991139213E-3</v>
      </c>
      <c r="O50" s="440">
        <f t="shared" ref="O50:O68" si="36">IFERROR(K50+M50,"-")</f>
        <v>1240.17</v>
      </c>
      <c r="P50" s="439">
        <f t="shared" ref="P50:P68" si="37">IFERROR(O50/H50,"-")</f>
        <v>1.0081535434991138</v>
      </c>
      <c r="Q50" s="437">
        <v>2.1800000000000002</v>
      </c>
      <c r="R50" s="439">
        <f t="shared" ref="R50:R68" si="38">IFERROR(Q50/H50,"-")</f>
        <v>1.7721560147625473E-3</v>
      </c>
      <c r="S50" s="447">
        <f t="shared" ref="S50:S68" si="39">IFERROR(Q50*G50,"-")</f>
        <v>1364.5491999999999</v>
      </c>
      <c r="T50" s="440">
        <f t="shared" ref="T50:T68" si="40">IFERROR(O50-H50,"-")</f>
        <v>10.029999999999973</v>
      </c>
      <c r="U50" s="439">
        <f t="shared" ref="U50:U68" si="41">IFERROR(T50/H50,"-")</f>
        <v>8.1535434991138987E-3</v>
      </c>
      <c r="V50" s="451">
        <f t="shared" ref="V50:V68" si="42">T50-Q50</f>
        <v>7.849999999999973</v>
      </c>
      <c r="W50" s="452">
        <f t="shared" ref="W50:W68" si="43">IFERROR(V50/H50,"-")</f>
        <v>6.3813874843513521E-3</v>
      </c>
      <c r="X50" s="453">
        <f t="shared" ref="X50:X68" si="44">IFERROR(V50*G50,"-")</f>
        <v>4913.6289999999826</v>
      </c>
      <c r="Y50" s="365" t="s">
        <v>170</v>
      </c>
      <c r="Z50" s="365" t="s">
        <v>406</v>
      </c>
      <c r="AA50" s="366"/>
      <c r="AB50" s="366"/>
      <c r="AC50" s="366">
        <v>1</v>
      </c>
      <c r="AD50" s="441" t="s">
        <v>562</v>
      </c>
      <c r="AF50" s="160" t="s">
        <v>227</v>
      </c>
      <c r="AG50" s="160" t="s">
        <v>421</v>
      </c>
      <c r="AH50" s="155" t="s">
        <v>515</v>
      </c>
      <c r="AI50" s="155" t="s">
        <v>316</v>
      </c>
      <c r="AJ50" s="155" t="s">
        <v>406</v>
      </c>
      <c r="AK50" s="155" t="s">
        <v>198</v>
      </c>
      <c r="AL50" s="155" t="s">
        <v>199</v>
      </c>
      <c r="AM50" s="155" t="s">
        <v>362</v>
      </c>
    </row>
    <row r="51" spans="2:39" s="147" customFormat="1" ht="27" customHeight="1">
      <c r="B51" s="874"/>
      <c r="C51" s="875"/>
      <c r="D51" s="361">
        <v>3</v>
      </c>
      <c r="E51" s="435" t="s">
        <v>364</v>
      </c>
      <c r="F51" s="363">
        <f t="shared" si="32"/>
        <v>5359.0528000000104</v>
      </c>
      <c r="G51" s="364">
        <v>127.84000000000002</v>
      </c>
      <c r="H51" s="437">
        <v>2934.47</v>
      </c>
      <c r="I51" s="437">
        <v>2934.47</v>
      </c>
      <c r="J51" s="439">
        <f t="shared" si="33"/>
        <v>1</v>
      </c>
      <c r="K51" s="438">
        <v>2934.47</v>
      </c>
      <c r="L51" s="439">
        <f t="shared" si="34"/>
        <v>1</v>
      </c>
      <c r="M51" s="438">
        <v>41.92</v>
      </c>
      <c r="N51" s="439">
        <f t="shared" si="35"/>
        <v>1.4285373508674482E-2</v>
      </c>
      <c r="O51" s="440">
        <f t="shared" si="36"/>
        <v>2976.39</v>
      </c>
      <c r="P51" s="439">
        <f t="shared" si="37"/>
        <v>1.0142853735086745</v>
      </c>
      <c r="Q51" s="437">
        <v>8.09</v>
      </c>
      <c r="R51" s="439">
        <f t="shared" si="38"/>
        <v>2.7568862520318833E-3</v>
      </c>
      <c r="S51" s="447">
        <f t="shared" si="39"/>
        <v>1034.2256000000002</v>
      </c>
      <c r="T51" s="440">
        <f t="shared" si="40"/>
        <v>41.920000000000073</v>
      </c>
      <c r="U51" s="439">
        <f t="shared" si="41"/>
        <v>1.4285373508674506E-2</v>
      </c>
      <c r="V51" s="451">
        <f t="shared" si="42"/>
        <v>33.830000000000069</v>
      </c>
      <c r="W51" s="452">
        <f t="shared" si="43"/>
        <v>1.1528487256642621E-2</v>
      </c>
      <c r="X51" s="453">
        <f t="shared" si="44"/>
        <v>4324.8272000000097</v>
      </c>
      <c r="Y51" s="365" t="s">
        <v>170</v>
      </c>
      <c r="Z51" s="365" t="s">
        <v>406</v>
      </c>
      <c r="AA51" s="366"/>
      <c r="AB51" s="366"/>
      <c r="AC51" s="366">
        <v>1</v>
      </c>
      <c r="AD51" s="441" t="s">
        <v>319</v>
      </c>
      <c r="AF51" s="371">
        <f>SUM(AC49:AC68)</f>
        <v>20</v>
      </c>
      <c r="AG51" s="367">
        <f>SUMIF($Z$49:$Z$68,TRIM(AG50),$AC$49:$AC$68)</f>
        <v>0</v>
      </c>
      <c r="AH51" s="367">
        <f t="shared" ref="AH51:AM51" si="45">SUMIF($Z$49:$Z$68,TRIM(AH50),$AC$49:$AC$68)</f>
        <v>0</v>
      </c>
      <c r="AI51" s="367">
        <f t="shared" si="45"/>
        <v>0</v>
      </c>
      <c r="AJ51" s="367">
        <f t="shared" si="45"/>
        <v>18</v>
      </c>
      <c r="AK51" s="367">
        <f t="shared" si="45"/>
        <v>1</v>
      </c>
      <c r="AL51" s="367">
        <f t="shared" si="45"/>
        <v>1</v>
      </c>
      <c r="AM51" s="367">
        <f t="shared" si="45"/>
        <v>0</v>
      </c>
    </row>
    <row r="52" spans="2:39" s="147" customFormat="1" ht="27" customHeight="1">
      <c r="B52" s="874"/>
      <c r="C52" s="875"/>
      <c r="D52" s="361">
        <v>4</v>
      </c>
      <c r="E52" s="435" t="s">
        <v>565</v>
      </c>
      <c r="F52" s="363">
        <f t="shared" si="32"/>
        <v>4936.8032999999732</v>
      </c>
      <c r="G52" s="364">
        <v>426.69</v>
      </c>
      <c r="H52" s="437">
        <v>1283.5899999999999</v>
      </c>
      <c r="I52" s="437">
        <v>1283.5899999999999</v>
      </c>
      <c r="J52" s="439">
        <f t="shared" si="33"/>
        <v>1</v>
      </c>
      <c r="K52" s="438">
        <v>1283.5899999999999</v>
      </c>
      <c r="L52" s="439">
        <f t="shared" si="34"/>
        <v>1</v>
      </c>
      <c r="M52" s="438">
        <v>11.57</v>
      </c>
      <c r="N52" s="439">
        <f t="shared" si="35"/>
        <v>9.013781659252566E-3</v>
      </c>
      <c r="O52" s="440">
        <f t="shared" si="36"/>
        <v>1295.1599999999999</v>
      </c>
      <c r="P52" s="439">
        <f t="shared" si="37"/>
        <v>1.0090137816592526</v>
      </c>
      <c r="Q52" s="437">
        <v>2.41</v>
      </c>
      <c r="R52" s="439">
        <f t="shared" si="38"/>
        <v>1.8775465686083565E-3</v>
      </c>
      <c r="S52" s="447">
        <f t="shared" si="39"/>
        <v>1028.3229000000001</v>
      </c>
      <c r="T52" s="440">
        <f t="shared" si="40"/>
        <v>11.569999999999936</v>
      </c>
      <c r="U52" s="439">
        <f t="shared" si="41"/>
        <v>9.0137816592525156E-3</v>
      </c>
      <c r="V52" s="451">
        <f t="shared" si="42"/>
        <v>9.1599999999999362</v>
      </c>
      <c r="W52" s="452">
        <f t="shared" si="43"/>
        <v>7.1362350906441592E-3</v>
      </c>
      <c r="X52" s="453">
        <f t="shared" si="44"/>
        <v>3908.4803999999726</v>
      </c>
      <c r="Y52" s="365" t="s">
        <v>170</v>
      </c>
      <c r="Z52" s="365" t="s">
        <v>406</v>
      </c>
      <c r="AA52" s="366"/>
      <c r="AB52" s="366"/>
      <c r="AC52" s="366">
        <v>1</v>
      </c>
      <c r="AD52" s="441" t="s">
        <v>336</v>
      </c>
      <c r="AF52" s="372" t="s">
        <v>11</v>
      </c>
      <c r="AG52" s="369">
        <f>SUMIF($Z$49:$Z$68,TRIM(AG50),$F$49:$F$68)</f>
        <v>0</v>
      </c>
      <c r="AH52" s="369">
        <f t="shared" ref="AH52:AM52" si="46">SUMIF($Z$49:$Z$68,TRIM(AH50),$F$49:$F$68)</f>
        <v>0</v>
      </c>
      <c r="AI52" s="369">
        <f t="shared" si="46"/>
        <v>0</v>
      </c>
      <c r="AJ52" s="369">
        <f t="shared" si="46"/>
        <v>68609.218599999964</v>
      </c>
      <c r="AK52" s="369">
        <f t="shared" si="46"/>
        <v>7589.6964000000044</v>
      </c>
      <c r="AL52" s="369">
        <f t="shared" si="46"/>
        <v>4040.703400000034</v>
      </c>
      <c r="AM52" s="369">
        <f t="shared" si="46"/>
        <v>0</v>
      </c>
    </row>
    <row r="53" spans="2:39" s="147" customFormat="1" ht="27" customHeight="1">
      <c r="B53" s="874"/>
      <c r="C53" s="875"/>
      <c r="D53" s="361">
        <v>5</v>
      </c>
      <c r="E53" s="435" t="s">
        <v>495</v>
      </c>
      <c r="F53" s="363">
        <f t="shared" si="32"/>
        <v>4451.4638999999361</v>
      </c>
      <c r="G53" s="364">
        <v>39.389999999999993</v>
      </c>
      <c r="H53" s="437">
        <v>23524.2</v>
      </c>
      <c r="I53" s="437">
        <v>23524.2</v>
      </c>
      <c r="J53" s="439">
        <f t="shared" si="33"/>
        <v>1</v>
      </c>
      <c r="K53" s="438">
        <v>23524.2</v>
      </c>
      <c r="L53" s="439">
        <f t="shared" si="34"/>
        <v>1</v>
      </c>
      <c r="M53" s="438">
        <v>113.00999999999999</v>
      </c>
      <c r="N53" s="439">
        <f t="shared" si="35"/>
        <v>4.8039890835820127E-3</v>
      </c>
      <c r="O53" s="440">
        <f t="shared" si="36"/>
        <v>23637.21</v>
      </c>
      <c r="P53" s="439">
        <f t="shared" si="37"/>
        <v>1.004803989083582</v>
      </c>
      <c r="Q53" s="437">
        <v>33.86</v>
      </c>
      <c r="R53" s="439">
        <f t="shared" si="38"/>
        <v>1.4393688201936729E-3</v>
      </c>
      <c r="S53" s="447">
        <f t="shared" si="39"/>
        <v>1333.7453999999998</v>
      </c>
      <c r="T53" s="440">
        <f t="shared" si="40"/>
        <v>113.0099999999984</v>
      </c>
      <c r="U53" s="439">
        <f t="shared" si="41"/>
        <v>4.803989083581945E-3</v>
      </c>
      <c r="V53" s="451">
        <f t="shared" si="42"/>
        <v>79.1499999999984</v>
      </c>
      <c r="W53" s="452">
        <f t="shared" si="43"/>
        <v>3.3646202633882726E-3</v>
      </c>
      <c r="X53" s="453">
        <f t="shared" si="44"/>
        <v>3117.7184999999363</v>
      </c>
      <c r="Y53" s="365" t="s">
        <v>170</v>
      </c>
      <c r="Z53" s="365" t="s">
        <v>406</v>
      </c>
      <c r="AA53" s="366"/>
      <c r="AB53" s="366"/>
      <c r="AC53" s="366">
        <v>1</v>
      </c>
      <c r="AD53" s="441" t="s">
        <v>319</v>
      </c>
      <c r="AF53" s="361" t="s">
        <v>516</v>
      </c>
      <c r="AG53" s="370">
        <f t="shared" ref="AG53:AM53" si="47">AG51/$AF51</f>
        <v>0</v>
      </c>
      <c r="AH53" s="370">
        <f t="shared" si="47"/>
        <v>0</v>
      </c>
      <c r="AI53" s="370">
        <f t="shared" si="47"/>
        <v>0</v>
      </c>
      <c r="AJ53" s="370">
        <f t="shared" si="47"/>
        <v>0.9</v>
      </c>
      <c r="AK53" s="370">
        <f t="shared" si="47"/>
        <v>0.05</v>
      </c>
      <c r="AL53" s="370">
        <f t="shared" si="47"/>
        <v>0.05</v>
      </c>
      <c r="AM53" s="370">
        <f t="shared" si="47"/>
        <v>0</v>
      </c>
    </row>
    <row r="54" spans="2:39" s="147" customFormat="1" ht="27" customHeight="1">
      <c r="B54" s="874"/>
      <c r="C54" s="875"/>
      <c r="D54" s="361">
        <v>6</v>
      </c>
      <c r="E54" s="435" t="s">
        <v>434</v>
      </c>
      <c r="F54" s="363">
        <f t="shared" si="32"/>
        <v>4040.703400000034</v>
      </c>
      <c r="G54" s="364">
        <v>407.74000000000007</v>
      </c>
      <c r="H54" s="437">
        <v>1086.67</v>
      </c>
      <c r="I54" s="437">
        <v>1086.67</v>
      </c>
      <c r="J54" s="439">
        <f t="shared" si="33"/>
        <v>1</v>
      </c>
      <c r="K54" s="438">
        <v>1086.67</v>
      </c>
      <c r="L54" s="439">
        <f t="shared" si="34"/>
        <v>1</v>
      </c>
      <c r="M54" s="438">
        <v>9.91</v>
      </c>
      <c r="N54" s="439">
        <f t="shared" si="35"/>
        <v>9.1196039275953135E-3</v>
      </c>
      <c r="O54" s="440">
        <f t="shared" si="36"/>
        <v>1096.5800000000002</v>
      </c>
      <c r="P54" s="439">
        <f t="shared" si="37"/>
        <v>1.0091196039275954</v>
      </c>
      <c r="Q54" s="437">
        <v>3.0300000000000002</v>
      </c>
      <c r="R54" s="439">
        <f t="shared" si="38"/>
        <v>2.7883350051073463E-3</v>
      </c>
      <c r="S54" s="447">
        <f t="shared" si="39"/>
        <v>1235.4522000000004</v>
      </c>
      <c r="T54" s="440">
        <f t="shared" si="40"/>
        <v>9.9100000000000819</v>
      </c>
      <c r="U54" s="439">
        <f t="shared" si="41"/>
        <v>9.1196039275953881E-3</v>
      </c>
      <c r="V54" s="451">
        <f t="shared" si="42"/>
        <v>6.8800000000000816</v>
      </c>
      <c r="W54" s="452">
        <f t="shared" si="43"/>
        <v>6.3312689224880427E-3</v>
      </c>
      <c r="X54" s="453">
        <f t="shared" si="44"/>
        <v>2805.2512000000338</v>
      </c>
      <c r="Y54" s="365" t="s">
        <v>170</v>
      </c>
      <c r="Z54" s="365" t="s">
        <v>199</v>
      </c>
      <c r="AA54" s="366"/>
      <c r="AB54" s="366"/>
      <c r="AC54" s="366">
        <v>1</v>
      </c>
      <c r="AD54" s="441" t="s">
        <v>436</v>
      </c>
    </row>
    <row r="55" spans="2:39" s="147" customFormat="1" ht="27" customHeight="1">
      <c r="B55" s="874"/>
      <c r="C55" s="875"/>
      <c r="D55" s="361">
        <v>7</v>
      </c>
      <c r="E55" s="435" t="s">
        <v>592</v>
      </c>
      <c r="F55" s="363">
        <f t="shared" si="32"/>
        <v>4022.4522000000134</v>
      </c>
      <c r="G55" s="364">
        <v>52.26</v>
      </c>
      <c r="H55" s="437">
        <v>4800.18</v>
      </c>
      <c r="I55" s="437">
        <v>4800.18</v>
      </c>
      <c r="J55" s="439">
        <f t="shared" si="33"/>
        <v>1</v>
      </c>
      <c r="K55" s="438">
        <v>4800.18</v>
      </c>
      <c r="L55" s="439">
        <f t="shared" si="34"/>
        <v>1</v>
      </c>
      <c r="M55" s="438">
        <v>76.97</v>
      </c>
      <c r="N55" s="439">
        <f t="shared" si="35"/>
        <v>1.6034815361090624E-2</v>
      </c>
      <c r="O55" s="440">
        <f t="shared" si="36"/>
        <v>4877.1500000000005</v>
      </c>
      <c r="P55" s="439">
        <f t="shared" si="37"/>
        <v>1.0160348153610907</v>
      </c>
      <c r="Q55" s="437">
        <v>14.920000000000002</v>
      </c>
      <c r="R55" s="439">
        <f t="shared" si="38"/>
        <v>3.1082167752042632E-3</v>
      </c>
      <c r="S55" s="447">
        <f t="shared" si="39"/>
        <v>779.71920000000011</v>
      </c>
      <c r="T55" s="440">
        <f t="shared" si="40"/>
        <v>76.970000000000255</v>
      </c>
      <c r="U55" s="439">
        <f t="shared" si="41"/>
        <v>1.6034815361090679E-2</v>
      </c>
      <c r="V55" s="451">
        <f t="shared" si="42"/>
        <v>62.050000000000253</v>
      </c>
      <c r="W55" s="452">
        <f t="shared" si="43"/>
        <v>1.2926598585886415E-2</v>
      </c>
      <c r="X55" s="453">
        <f t="shared" si="44"/>
        <v>3242.7330000000129</v>
      </c>
      <c r="Y55" s="365" t="s">
        <v>170</v>
      </c>
      <c r="Z55" s="365" t="s">
        <v>406</v>
      </c>
      <c r="AA55" s="366"/>
      <c r="AB55" s="366"/>
      <c r="AC55" s="366">
        <v>1</v>
      </c>
      <c r="AD55" s="441" t="s">
        <v>581</v>
      </c>
    </row>
    <row r="56" spans="2:39" s="147" customFormat="1" ht="27" customHeight="1">
      <c r="B56" s="874"/>
      <c r="C56" s="875"/>
      <c r="D56" s="361">
        <v>8</v>
      </c>
      <c r="E56" s="435" t="s">
        <v>547</v>
      </c>
      <c r="F56" s="363">
        <f t="shared" si="32"/>
        <v>3685.1600000000062</v>
      </c>
      <c r="G56" s="364">
        <v>144.79999999999998</v>
      </c>
      <c r="H56" s="437">
        <v>1605.5700000000002</v>
      </c>
      <c r="I56" s="437">
        <v>1605.5700000000002</v>
      </c>
      <c r="J56" s="439">
        <f t="shared" si="33"/>
        <v>1</v>
      </c>
      <c r="K56" s="438">
        <v>1605.5700000000002</v>
      </c>
      <c r="L56" s="439">
        <f t="shared" si="34"/>
        <v>1</v>
      </c>
      <c r="M56" s="438">
        <v>25.450000000000003</v>
      </c>
      <c r="N56" s="439">
        <f t="shared" si="35"/>
        <v>1.5851068467896138E-2</v>
      </c>
      <c r="O56" s="440">
        <f t="shared" si="36"/>
        <v>1631.0200000000002</v>
      </c>
      <c r="P56" s="439">
        <f t="shared" si="37"/>
        <v>1.0158510684678961</v>
      </c>
      <c r="Q56" s="437">
        <v>5.98</v>
      </c>
      <c r="R56" s="439">
        <f t="shared" si="38"/>
        <v>3.7245339661304082E-3</v>
      </c>
      <c r="S56" s="447">
        <f t="shared" si="39"/>
        <v>865.904</v>
      </c>
      <c r="T56" s="440">
        <f t="shared" si="40"/>
        <v>25.450000000000045</v>
      </c>
      <c r="U56" s="439">
        <f t="shared" si="41"/>
        <v>1.5851068467896162E-2</v>
      </c>
      <c r="V56" s="451">
        <f t="shared" si="42"/>
        <v>19.470000000000045</v>
      </c>
      <c r="W56" s="452">
        <f t="shared" si="43"/>
        <v>1.2126534501765755E-2</v>
      </c>
      <c r="X56" s="453">
        <f t="shared" si="44"/>
        <v>2819.2560000000062</v>
      </c>
      <c r="Y56" s="365" t="s">
        <v>170</v>
      </c>
      <c r="Z56" s="365" t="s">
        <v>406</v>
      </c>
      <c r="AA56" s="366"/>
      <c r="AB56" s="366"/>
      <c r="AC56" s="366">
        <v>1</v>
      </c>
      <c r="AD56" s="441" t="s">
        <v>319</v>
      </c>
    </row>
    <row r="57" spans="2:39" s="147" customFormat="1" ht="27" customHeight="1">
      <c r="B57" s="874"/>
      <c r="C57" s="875"/>
      <c r="D57" s="361">
        <v>9</v>
      </c>
      <c r="E57" s="435" t="s">
        <v>410</v>
      </c>
      <c r="F57" s="363">
        <f t="shared" si="32"/>
        <v>3626.1790000000078</v>
      </c>
      <c r="G57" s="364">
        <v>368.13999999999993</v>
      </c>
      <c r="H57" s="437">
        <v>402.56</v>
      </c>
      <c r="I57" s="437">
        <v>402.56</v>
      </c>
      <c r="J57" s="439">
        <f t="shared" si="33"/>
        <v>1</v>
      </c>
      <c r="K57" s="438">
        <v>402.56</v>
      </c>
      <c r="L57" s="439">
        <f t="shared" si="34"/>
        <v>1</v>
      </c>
      <c r="M57" s="438">
        <v>9.85</v>
      </c>
      <c r="N57" s="439">
        <f t="shared" si="35"/>
        <v>2.4468402225755165E-2</v>
      </c>
      <c r="O57" s="440">
        <f t="shared" si="36"/>
        <v>412.41</v>
      </c>
      <c r="P57" s="439">
        <f t="shared" si="37"/>
        <v>1.0244684022257553</v>
      </c>
      <c r="Q57" s="437">
        <v>2.02</v>
      </c>
      <c r="R57" s="439">
        <f t="shared" si="38"/>
        <v>5.0178855325914151E-3</v>
      </c>
      <c r="S57" s="447">
        <f t="shared" si="39"/>
        <v>743.64279999999985</v>
      </c>
      <c r="T57" s="440">
        <f t="shared" si="40"/>
        <v>9.8500000000000227</v>
      </c>
      <c r="U57" s="439">
        <f t="shared" si="41"/>
        <v>2.4468402225755224E-2</v>
      </c>
      <c r="V57" s="451">
        <f t="shared" si="42"/>
        <v>7.8300000000000232</v>
      </c>
      <c r="W57" s="452">
        <f t="shared" si="43"/>
        <v>1.9450516693163809E-2</v>
      </c>
      <c r="X57" s="453">
        <f t="shared" si="44"/>
        <v>2882.5362000000082</v>
      </c>
      <c r="Y57" s="365" t="s">
        <v>170</v>
      </c>
      <c r="Z57" s="365" t="s">
        <v>406</v>
      </c>
      <c r="AA57" s="366"/>
      <c r="AB57" s="366"/>
      <c r="AC57" s="366">
        <v>1</v>
      </c>
      <c r="AD57" s="441" t="s">
        <v>411</v>
      </c>
      <c r="AH57" s="368"/>
    </row>
    <row r="58" spans="2:39" s="147" customFormat="1" ht="27" customHeight="1">
      <c r="B58" s="874"/>
      <c r="C58" s="875"/>
      <c r="D58" s="361">
        <v>10</v>
      </c>
      <c r="E58" s="435" t="s">
        <v>617</v>
      </c>
      <c r="F58" s="363">
        <f t="shared" si="32"/>
        <v>3584.9212000000171</v>
      </c>
      <c r="G58" s="364">
        <v>339.16</v>
      </c>
      <c r="H58" s="437">
        <v>621.78</v>
      </c>
      <c r="I58" s="437">
        <v>621.78</v>
      </c>
      <c r="J58" s="439">
        <f t="shared" si="33"/>
        <v>1</v>
      </c>
      <c r="K58" s="438">
        <v>621.78</v>
      </c>
      <c r="L58" s="439">
        <f t="shared" si="34"/>
        <v>1</v>
      </c>
      <c r="M58" s="438">
        <v>10.569999999999999</v>
      </c>
      <c r="N58" s="439">
        <f t="shared" si="35"/>
        <v>1.6999581845668885E-2</v>
      </c>
      <c r="O58" s="440">
        <f t="shared" si="36"/>
        <v>632.35</v>
      </c>
      <c r="P58" s="439">
        <f t="shared" si="37"/>
        <v>1.016999581845669</v>
      </c>
      <c r="Q58" s="437">
        <v>1.7100000000000002</v>
      </c>
      <c r="R58" s="439">
        <f t="shared" si="38"/>
        <v>2.750168870018335E-3</v>
      </c>
      <c r="S58" s="447">
        <f t="shared" si="39"/>
        <v>579.96360000000016</v>
      </c>
      <c r="T58" s="440">
        <f t="shared" si="40"/>
        <v>10.57000000000005</v>
      </c>
      <c r="U58" s="439">
        <f t="shared" si="41"/>
        <v>1.6999581845668969E-2</v>
      </c>
      <c r="V58" s="451">
        <f t="shared" si="42"/>
        <v>8.8600000000000492</v>
      </c>
      <c r="W58" s="452">
        <f t="shared" si="43"/>
        <v>1.4249412975650631E-2</v>
      </c>
      <c r="X58" s="453">
        <f t="shared" si="44"/>
        <v>3004.957600000017</v>
      </c>
      <c r="Y58" s="365" t="s">
        <v>170</v>
      </c>
      <c r="Z58" s="365" t="s">
        <v>406</v>
      </c>
      <c r="AA58" s="366"/>
      <c r="AB58" s="366"/>
      <c r="AC58" s="366">
        <v>1</v>
      </c>
      <c r="AD58" s="441" t="s">
        <v>619</v>
      </c>
      <c r="AH58" s="368"/>
    </row>
    <row r="59" spans="2:39" s="147" customFormat="1" ht="27" customHeight="1">
      <c r="B59" s="874"/>
      <c r="C59" s="875"/>
      <c r="D59" s="361">
        <v>11</v>
      </c>
      <c r="E59" s="435" t="s">
        <v>335</v>
      </c>
      <c r="F59" s="363">
        <f t="shared" si="32"/>
        <v>3551.4375</v>
      </c>
      <c r="G59" s="364">
        <v>152.75</v>
      </c>
      <c r="H59" s="437">
        <v>1109.06</v>
      </c>
      <c r="I59" s="437">
        <v>1109.06</v>
      </c>
      <c r="J59" s="439">
        <f t="shared" si="33"/>
        <v>1</v>
      </c>
      <c r="K59" s="438">
        <v>1109.06</v>
      </c>
      <c r="L59" s="439">
        <f t="shared" si="34"/>
        <v>1</v>
      </c>
      <c r="M59" s="438">
        <v>23.250000000000004</v>
      </c>
      <c r="N59" s="439">
        <f t="shared" si="35"/>
        <v>2.0963698988332467E-2</v>
      </c>
      <c r="O59" s="440">
        <f t="shared" si="36"/>
        <v>1132.31</v>
      </c>
      <c r="P59" s="439">
        <f t="shared" si="37"/>
        <v>1.0209636989883324</v>
      </c>
      <c r="Q59" s="437">
        <v>4.78</v>
      </c>
      <c r="R59" s="439">
        <f t="shared" si="38"/>
        <v>4.3099561791066316E-3</v>
      </c>
      <c r="S59" s="447">
        <f t="shared" si="39"/>
        <v>730.14499999999998</v>
      </c>
      <c r="T59" s="440">
        <f t="shared" si="40"/>
        <v>23.25</v>
      </c>
      <c r="U59" s="439">
        <f t="shared" si="41"/>
        <v>2.0963698988332464E-2</v>
      </c>
      <c r="V59" s="451">
        <f t="shared" si="42"/>
        <v>18.47</v>
      </c>
      <c r="W59" s="452">
        <f t="shared" si="43"/>
        <v>1.6653742809225831E-2</v>
      </c>
      <c r="X59" s="453">
        <f t="shared" si="44"/>
        <v>2821.2925</v>
      </c>
      <c r="Y59" s="365" t="s">
        <v>170</v>
      </c>
      <c r="Z59" s="365" t="s">
        <v>406</v>
      </c>
      <c r="AA59" s="366"/>
      <c r="AB59" s="366"/>
      <c r="AC59" s="366">
        <v>1</v>
      </c>
      <c r="AD59" s="441" t="s">
        <v>336</v>
      </c>
      <c r="AH59" s="368"/>
    </row>
    <row r="60" spans="2:39" s="147" customFormat="1" ht="27" customHeight="1">
      <c r="B60" s="874"/>
      <c r="C60" s="875"/>
      <c r="D60" s="361">
        <v>12</v>
      </c>
      <c r="E60" s="435" t="s">
        <v>632</v>
      </c>
      <c r="F60" s="363">
        <f t="shared" si="32"/>
        <v>3421.1106000000068</v>
      </c>
      <c r="G60" s="364">
        <v>126.99</v>
      </c>
      <c r="H60" s="437">
        <v>1070.1500000000001</v>
      </c>
      <c r="I60" s="437">
        <v>1070.1500000000001</v>
      </c>
      <c r="J60" s="439">
        <f t="shared" si="33"/>
        <v>1</v>
      </c>
      <c r="K60" s="438">
        <v>1070.1500000000001</v>
      </c>
      <c r="L60" s="439">
        <f t="shared" si="34"/>
        <v>1</v>
      </c>
      <c r="M60" s="438">
        <v>26.94</v>
      </c>
      <c r="N60" s="439">
        <f t="shared" si="35"/>
        <v>2.5174041022286594E-2</v>
      </c>
      <c r="O60" s="440">
        <f t="shared" si="36"/>
        <v>1097.0900000000001</v>
      </c>
      <c r="P60" s="439">
        <f t="shared" si="37"/>
        <v>1.0251740410222867</v>
      </c>
      <c r="Q60" s="437">
        <v>5.5600000000000005</v>
      </c>
      <c r="R60" s="439">
        <f t="shared" si="38"/>
        <v>5.1955333364481614E-3</v>
      </c>
      <c r="S60" s="447">
        <f t="shared" si="39"/>
        <v>706.06440000000009</v>
      </c>
      <c r="T60" s="440">
        <f t="shared" si="40"/>
        <v>26.940000000000055</v>
      </c>
      <c r="U60" s="439">
        <f t="shared" si="41"/>
        <v>2.5174041022286646E-2</v>
      </c>
      <c r="V60" s="451">
        <f t="shared" si="42"/>
        <v>21.380000000000052</v>
      </c>
      <c r="W60" s="452">
        <f t="shared" si="43"/>
        <v>1.9978507685838483E-2</v>
      </c>
      <c r="X60" s="453">
        <f t="shared" si="44"/>
        <v>2715.0462000000066</v>
      </c>
      <c r="Y60" s="365" t="s">
        <v>170</v>
      </c>
      <c r="Z60" s="365" t="s">
        <v>406</v>
      </c>
      <c r="AA60" s="366"/>
      <c r="AB60" s="366"/>
      <c r="AC60" s="366">
        <v>1</v>
      </c>
      <c r="AD60" s="441" t="s">
        <v>319</v>
      </c>
      <c r="AH60" s="368"/>
    </row>
    <row r="61" spans="2:39" s="147" customFormat="1" ht="27" customHeight="1">
      <c r="B61" s="874"/>
      <c r="C61" s="875"/>
      <c r="D61" s="361">
        <v>13</v>
      </c>
      <c r="E61" s="435" t="s">
        <v>500</v>
      </c>
      <c r="F61" s="363">
        <f t="shared" si="32"/>
        <v>3323.0324999999998</v>
      </c>
      <c r="G61" s="364">
        <v>66.13</v>
      </c>
      <c r="H61" s="437">
        <v>1995.14</v>
      </c>
      <c r="I61" s="437">
        <v>1995.14</v>
      </c>
      <c r="J61" s="439">
        <f t="shared" si="33"/>
        <v>1</v>
      </c>
      <c r="K61" s="438">
        <v>1995.14</v>
      </c>
      <c r="L61" s="439">
        <f t="shared" si="34"/>
        <v>1</v>
      </c>
      <c r="M61" s="438">
        <v>50.25</v>
      </c>
      <c r="N61" s="439">
        <f t="shared" si="35"/>
        <v>2.5186202472006976E-2</v>
      </c>
      <c r="O61" s="440">
        <f t="shared" si="36"/>
        <v>2045.39</v>
      </c>
      <c r="P61" s="439">
        <f t="shared" si="37"/>
        <v>1.0251862024720069</v>
      </c>
      <c r="Q61" s="437">
        <v>9.73</v>
      </c>
      <c r="R61" s="439">
        <f t="shared" si="38"/>
        <v>4.8768507473159776E-3</v>
      </c>
      <c r="S61" s="447">
        <f t="shared" si="39"/>
        <v>643.44489999999996</v>
      </c>
      <c r="T61" s="440">
        <f t="shared" si="40"/>
        <v>50.25</v>
      </c>
      <c r="U61" s="439">
        <f t="shared" si="41"/>
        <v>2.5186202472006976E-2</v>
      </c>
      <c r="V61" s="451">
        <f t="shared" si="42"/>
        <v>40.519999999999996</v>
      </c>
      <c r="W61" s="452">
        <f t="shared" si="43"/>
        <v>2.0309351724690995E-2</v>
      </c>
      <c r="X61" s="453">
        <f t="shared" si="44"/>
        <v>2679.5875999999994</v>
      </c>
      <c r="Y61" s="365" t="s">
        <v>170</v>
      </c>
      <c r="Z61" s="365" t="s">
        <v>406</v>
      </c>
      <c r="AA61" s="366"/>
      <c r="AB61" s="366"/>
      <c r="AC61" s="366">
        <v>1</v>
      </c>
      <c r="AD61" s="441" t="s">
        <v>320</v>
      </c>
    </row>
    <row r="62" spans="2:39" s="147" customFormat="1" ht="27" customHeight="1">
      <c r="B62" s="874"/>
      <c r="C62" s="875"/>
      <c r="D62" s="361">
        <v>14</v>
      </c>
      <c r="E62" s="435" t="s">
        <v>546</v>
      </c>
      <c r="F62" s="363">
        <f t="shared" si="32"/>
        <v>3318.3695999999786</v>
      </c>
      <c r="G62" s="364">
        <v>193.82999999999998</v>
      </c>
      <c r="H62" s="437">
        <v>2260.2399999999998</v>
      </c>
      <c r="I62" s="437">
        <v>2260.2399999999998</v>
      </c>
      <c r="J62" s="439">
        <f t="shared" si="33"/>
        <v>1</v>
      </c>
      <c r="K62" s="438">
        <v>2260.2399999999998</v>
      </c>
      <c r="L62" s="439">
        <f t="shared" si="34"/>
        <v>1</v>
      </c>
      <c r="M62" s="438">
        <v>17.12</v>
      </c>
      <c r="N62" s="439">
        <f t="shared" si="35"/>
        <v>7.5744168760839567E-3</v>
      </c>
      <c r="O62" s="440">
        <f t="shared" si="36"/>
        <v>2277.3599999999997</v>
      </c>
      <c r="P62" s="439">
        <f t="shared" si="37"/>
        <v>1.0075744168760838</v>
      </c>
      <c r="Q62" s="437">
        <v>3.25</v>
      </c>
      <c r="R62" s="439">
        <f t="shared" si="38"/>
        <v>1.4379003999575267E-3</v>
      </c>
      <c r="S62" s="447">
        <f t="shared" si="39"/>
        <v>629.94749999999999</v>
      </c>
      <c r="T62" s="440">
        <f t="shared" si="40"/>
        <v>17.119999999999891</v>
      </c>
      <c r="U62" s="439">
        <f t="shared" si="41"/>
        <v>7.5744168760839082E-3</v>
      </c>
      <c r="V62" s="451">
        <f t="shared" si="42"/>
        <v>13.869999999999891</v>
      </c>
      <c r="W62" s="452">
        <f t="shared" si="43"/>
        <v>6.1365164761263812E-3</v>
      </c>
      <c r="X62" s="453">
        <f t="shared" si="44"/>
        <v>2688.4220999999784</v>
      </c>
      <c r="Y62" s="365" t="s">
        <v>170</v>
      </c>
      <c r="Z62" s="365" t="s">
        <v>406</v>
      </c>
      <c r="AA62" s="366"/>
      <c r="AB62" s="366"/>
      <c r="AC62" s="366">
        <v>1</v>
      </c>
      <c r="AD62" s="441" t="s">
        <v>550</v>
      </c>
    </row>
    <row r="63" spans="2:39" s="147" customFormat="1" ht="27" customHeight="1">
      <c r="B63" s="874"/>
      <c r="C63" s="875"/>
      <c r="D63" s="361">
        <v>15</v>
      </c>
      <c r="E63" s="435" t="s">
        <v>441</v>
      </c>
      <c r="F63" s="363">
        <f t="shared" si="32"/>
        <v>3304.5348000000213</v>
      </c>
      <c r="G63" s="364">
        <v>266.27999999999997</v>
      </c>
      <c r="H63" s="437">
        <v>1082.21</v>
      </c>
      <c r="I63" s="437">
        <v>1082.21</v>
      </c>
      <c r="J63" s="439">
        <f t="shared" si="33"/>
        <v>1</v>
      </c>
      <c r="K63" s="438">
        <v>1082.21</v>
      </c>
      <c r="L63" s="439">
        <f t="shared" si="34"/>
        <v>1</v>
      </c>
      <c r="M63" s="438">
        <v>12.41</v>
      </c>
      <c r="N63" s="439">
        <f t="shared" si="35"/>
        <v>1.1467275297770304E-2</v>
      </c>
      <c r="O63" s="440">
        <f t="shared" si="36"/>
        <v>1094.6200000000001</v>
      </c>
      <c r="P63" s="439">
        <f t="shared" si="37"/>
        <v>1.0114672752977705</v>
      </c>
      <c r="Q63" s="437">
        <v>2.4400000000000004</v>
      </c>
      <c r="R63" s="439">
        <f t="shared" si="38"/>
        <v>2.2546455863464579E-3</v>
      </c>
      <c r="S63" s="447">
        <f t="shared" si="39"/>
        <v>649.72320000000002</v>
      </c>
      <c r="T63" s="440">
        <f t="shared" si="40"/>
        <v>12.410000000000082</v>
      </c>
      <c r="U63" s="439">
        <f t="shared" si="41"/>
        <v>1.1467275297770379E-2</v>
      </c>
      <c r="V63" s="451">
        <f t="shared" si="42"/>
        <v>9.9700000000000806</v>
      </c>
      <c r="W63" s="452">
        <f t="shared" si="43"/>
        <v>9.2126297114239197E-3</v>
      </c>
      <c r="X63" s="453">
        <f t="shared" si="44"/>
        <v>2654.8116000000214</v>
      </c>
      <c r="Y63" s="365" t="s">
        <v>170</v>
      </c>
      <c r="Z63" s="365" t="s">
        <v>406</v>
      </c>
      <c r="AA63" s="366"/>
      <c r="AB63" s="366"/>
      <c r="AC63" s="366">
        <v>1</v>
      </c>
      <c r="AD63" s="441" t="s">
        <v>442</v>
      </c>
    </row>
    <row r="64" spans="2:39" s="147" customFormat="1" ht="27" customHeight="1">
      <c r="B64" s="874"/>
      <c r="C64" s="875"/>
      <c r="D64" s="361">
        <v>16</v>
      </c>
      <c r="E64" s="435" t="s">
        <v>718</v>
      </c>
      <c r="F64" s="363">
        <f t="shared" si="32"/>
        <v>3289.9574000000066</v>
      </c>
      <c r="G64" s="364">
        <v>655.37</v>
      </c>
      <c r="H64" s="437">
        <v>214.91</v>
      </c>
      <c r="I64" s="437">
        <v>214.91</v>
      </c>
      <c r="J64" s="439">
        <f t="shared" si="33"/>
        <v>1</v>
      </c>
      <c r="K64" s="438">
        <v>214.91</v>
      </c>
      <c r="L64" s="439">
        <f t="shared" si="34"/>
        <v>1</v>
      </c>
      <c r="M64" s="438">
        <v>5.0200000000000005</v>
      </c>
      <c r="N64" s="439">
        <f t="shared" si="35"/>
        <v>2.3358615234284123E-2</v>
      </c>
      <c r="O64" s="440">
        <f t="shared" si="36"/>
        <v>219.93</v>
      </c>
      <c r="P64" s="439">
        <f t="shared" si="37"/>
        <v>1.0233586152342842</v>
      </c>
      <c r="Q64" s="437">
        <v>1.1300000000000001</v>
      </c>
      <c r="R64" s="439">
        <f t="shared" si="38"/>
        <v>5.2580149830161469E-3</v>
      </c>
      <c r="S64" s="447">
        <f t="shared" si="39"/>
        <v>740.56810000000007</v>
      </c>
      <c r="T64" s="440">
        <f t="shared" si="40"/>
        <v>5.0200000000000102</v>
      </c>
      <c r="U64" s="439">
        <f t="shared" si="41"/>
        <v>2.3358615234284168E-2</v>
      </c>
      <c r="V64" s="451">
        <f t="shared" si="42"/>
        <v>3.8900000000000103</v>
      </c>
      <c r="W64" s="452">
        <f t="shared" si="43"/>
        <v>1.8100600251268022E-2</v>
      </c>
      <c r="X64" s="453">
        <f t="shared" si="44"/>
        <v>2549.3893000000066</v>
      </c>
      <c r="Y64" s="365" t="s">
        <v>170</v>
      </c>
      <c r="Z64" s="365" t="s">
        <v>406</v>
      </c>
      <c r="AA64" s="366"/>
      <c r="AB64" s="366"/>
      <c r="AC64" s="366">
        <v>1</v>
      </c>
      <c r="AD64" s="441" t="s">
        <v>551</v>
      </c>
    </row>
    <row r="65" spans="2:39" s="147" customFormat="1" ht="27" customHeight="1">
      <c r="B65" s="874"/>
      <c r="C65" s="875"/>
      <c r="D65" s="361">
        <v>17</v>
      </c>
      <c r="E65" s="435" t="s">
        <v>719</v>
      </c>
      <c r="F65" s="363">
        <f t="shared" si="32"/>
        <v>3187.2858000000078</v>
      </c>
      <c r="G65" s="364">
        <v>70.220000000000013</v>
      </c>
      <c r="H65" s="437">
        <v>1743.98</v>
      </c>
      <c r="I65" s="437">
        <v>1743.98</v>
      </c>
      <c r="J65" s="439">
        <f t="shared" si="33"/>
        <v>1</v>
      </c>
      <c r="K65" s="438">
        <v>1743.98</v>
      </c>
      <c r="L65" s="439">
        <f t="shared" si="34"/>
        <v>1</v>
      </c>
      <c r="M65" s="438">
        <v>45.39</v>
      </c>
      <c r="N65" s="439">
        <f t="shared" si="35"/>
        <v>2.6026674617828188E-2</v>
      </c>
      <c r="O65" s="440">
        <f t="shared" si="36"/>
        <v>1789.3700000000001</v>
      </c>
      <c r="P65" s="439">
        <f t="shared" si="37"/>
        <v>1.0260266746178281</v>
      </c>
      <c r="Q65" s="437">
        <v>10.540000000000001</v>
      </c>
      <c r="R65" s="439">
        <f t="shared" si="38"/>
        <v>6.0436472895331371E-3</v>
      </c>
      <c r="S65" s="447">
        <f t="shared" si="39"/>
        <v>740.11880000000019</v>
      </c>
      <c r="T65" s="440">
        <f t="shared" si="40"/>
        <v>45.3900000000001</v>
      </c>
      <c r="U65" s="439">
        <f t="shared" si="41"/>
        <v>2.6026674617828243E-2</v>
      </c>
      <c r="V65" s="451">
        <f t="shared" si="42"/>
        <v>34.850000000000101</v>
      </c>
      <c r="W65" s="452">
        <f t="shared" si="43"/>
        <v>1.9983027328295107E-2</v>
      </c>
      <c r="X65" s="453">
        <f t="shared" si="44"/>
        <v>2447.1670000000076</v>
      </c>
      <c r="Y65" s="365" t="s">
        <v>170</v>
      </c>
      <c r="Z65" s="365" t="s">
        <v>406</v>
      </c>
      <c r="AA65" s="366"/>
      <c r="AB65" s="366"/>
      <c r="AC65" s="366">
        <v>1</v>
      </c>
      <c r="AD65" s="441" t="s">
        <v>322</v>
      </c>
    </row>
    <row r="66" spans="2:39" s="147" customFormat="1" ht="27" customHeight="1">
      <c r="B66" s="874"/>
      <c r="C66" s="875"/>
      <c r="D66" s="361">
        <v>18</v>
      </c>
      <c r="E66" s="435" t="s">
        <v>557</v>
      </c>
      <c r="F66" s="363">
        <f t="shared" si="32"/>
        <v>3117.648299999993</v>
      </c>
      <c r="G66" s="364">
        <v>99.51</v>
      </c>
      <c r="H66" s="437">
        <v>1226.04</v>
      </c>
      <c r="I66" s="437">
        <v>1226.04</v>
      </c>
      <c r="J66" s="439">
        <f t="shared" si="33"/>
        <v>1</v>
      </c>
      <c r="K66" s="438">
        <v>1226.04</v>
      </c>
      <c r="L66" s="439">
        <f t="shared" si="34"/>
        <v>1</v>
      </c>
      <c r="M66" s="438">
        <v>31.330000000000002</v>
      </c>
      <c r="N66" s="439">
        <f t="shared" si="35"/>
        <v>2.5553815536197844E-2</v>
      </c>
      <c r="O66" s="440">
        <f t="shared" si="36"/>
        <v>1257.3699999999999</v>
      </c>
      <c r="P66" s="439">
        <f t="shared" si="37"/>
        <v>1.0255538155361978</v>
      </c>
      <c r="Q66" s="437">
        <v>7.41</v>
      </c>
      <c r="R66" s="439">
        <f t="shared" si="38"/>
        <v>6.043848487814427E-3</v>
      </c>
      <c r="S66" s="447">
        <f t="shared" si="39"/>
        <v>737.3691</v>
      </c>
      <c r="T66" s="440">
        <f t="shared" si="40"/>
        <v>31.329999999999927</v>
      </c>
      <c r="U66" s="439">
        <f t="shared" si="41"/>
        <v>2.5553815536197781E-2</v>
      </c>
      <c r="V66" s="451">
        <f t="shared" si="42"/>
        <v>23.919999999999927</v>
      </c>
      <c r="W66" s="452">
        <f t="shared" si="43"/>
        <v>1.9509967048383356E-2</v>
      </c>
      <c r="X66" s="453">
        <f t="shared" si="44"/>
        <v>2380.2791999999927</v>
      </c>
      <c r="Y66" s="365" t="s">
        <v>170</v>
      </c>
      <c r="Z66" s="365" t="s">
        <v>406</v>
      </c>
      <c r="AA66" s="366"/>
      <c r="AB66" s="366"/>
      <c r="AC66" s="366">
        <v>1</v>
      </c>
      <c r="AD66" s="441" t="s">
        <v>328</v>
      </c>
    </row>
    <row r="67" spans="2:39" s="147" customFormat="1" ht="27" customHeight="1">
      <c r="B67" s="874"/>
      <c r="C67" s="875"/>
      <c r="D67" s="361">
        <v>19</v>
      </c>
      <c r="E67" s="435" t="s">
        <v>555</v>
      </c>
      <c r="F67" s="363">
        <f t="shared" si="32"/>
        <v>3080.606400000001</v>
      </c>
      <c r="G67" s="364">
        <v>127.72000000000001</v>
      </c>
      <c r="H67" s="437">
        <v>830.16</v>
      </c>
      <c r="I67" s="437">
        <v>830.16</v>
      </c>
      <c r="J67" s="439">
        <f t="shared" si="33"/>
        <v>1</v>
      </c>
      <c r="K67" s="438">
        <v>830.16</v>
      </c>
      <c r="L67" s="439">
        <f t="shared" si="34"/>
        <v>1</v>
      </c>
      <c r="M67" s="438">
        <v>24.12</v>
      </c>
      <c r="N67" s="439">
        <f t="shared" si="35"/>
        <v>2.9054640069384217E-2</v>
      </c>
      <c r="O67" s="440">
        <f t="shared" si="36"/>
        <v>854.28</v>
      </c>
      <c r="P67" s="439">
        <f t="shared" si="37"/>
        <v>1.0290546400693843</v>
      </c>
      <c r="Q67" s="437">
        <v>5.61</v>
      </c>
      <c r="R67" s="439">
        <f t="shared" si="38"/>
        <v>6.7577334489736926E-3</v>
      </c>
      <c r="S67" s="447">
        <f t="shared" si="39"/>
        <v>716.50920000000008</v>
      </c>
      <c r="T67" s="440">
        <f t="shared" si="40"/>
        <v>24.120000000000005</v>
      </c>
      <c r="U67" s="439">
        <f t="shared" si="41"/>
        <v>2.905464006938422E-2</v>
      </c>
      <c r="V67" s="451">
        <f t="shared" si="42"/>
        <v>18.510000000000005</v>
      </c>
      <c r="W67" s="452">
        <f t="shared" si="43"/>
        <v>2.229690662041053E-2</v>
      </c>
      <c r="X67" s="453">
        <f t="shared" si="44"/>
        <v>2364.0972000000011</v>
      </c>
      <c r="Y67" s="365" t="s">
        <v>170</v>
      </c>
      <c r="Z67" s="365" t="s">
        <v>406</v>
      </c>
      <c r="AA67" s="366"/>
      <c r="AB67" s="366"/>
      <c r="AC67" s="366">
        <v>1</v>
      </c>
      <c r="AD67" s="441" t="s">
        <v>525</v>
      </c>
    </row>
    <row r="68" spans="2:39" s="147" customFormat="1" ht="27" customHeight="1">
      <c r="B68" s="876"/>
      <c r="C68" s="877"/>
      <c r="D68" s="361">
        <v>20</v>
      </c>
      <c r="E68" s="435" t="s">
        <v>720</v>
      </c>
      <c r="F68" s="363">
        <f t="shared" si="32"/>
        <v>3071.0251000000044</v>
      </c>
      <c r="G68" s="364">
        <v>181.60999999999999</v>
      </c>
      <c r="H68" s="437">
        <v>476.41</v>
      </c>
      <c r="I68" s="437">
        <v>476.41</v>
      </c>
      <c r="J68" s="439">
        <f t="shared" si="33"/>
        <v>1</v>
      </c>
      <c r="K68" s="438">
        <v>476.41</v>
      </c>
      <c r="L68" s="439">
        <f t="shared" si="34"/>
        <v>1</v>
      </c>
      <c r="M68" s="438">
        <v>16.91</v>
      </c>
      <c r="N68" s="439">
        <f t="shared" si="35"/>
        <v>3.5494636972355741E-2</v>
      </c>
      <c r="O68" s="440">
        <f t="shared" si="36"/>
        <v>493.32000000000005</v>
      </c>
      <c r="P68" s="439">
        <f t="shared" si="37"/>
        <v>1.0354946369723559</v>
      </c>
      <c r="Q68" s="437">
        <v>4.08</v>
      </c>
      <c r="R68" s="439">
        <f t="shared" si="38"/>
        <v>8.5640519720408884E-3</v>
      </c>
      <c r="S68" s="447">
        <f t="shared" si="39"/>
        <v>740.96879999999999</v>
      </c>
      <c r="T68" s="440">
        <f t="shared" si="40"/>
        <v>16.910000000000025</v>
      </c>
      <c r="U68" s="439">
        <f t="shared" si="41"/>
        <v>3.5494636972355796E-2</v>
      </c>
      <c r="V68" s="451">
        <f t="shared" si="42"/>
        <v>12.830000000000025</v>
      </c>
      <c r="W68" s="452">
        <f t="shared" si="43"/>
        <v>2.6930585000314904E-2</v>
      </c>
      <c r="X68" s="453">
        <f t="shared" si="44"/>
        <v>2330.0563000000043</v>
      </c>
      <c r="Y68" s="365" t="s">
        <v>170</v>
      </c>
      <c r="Z68" s="365" t="s">
        <v>406</v>
      </c>
      <c r="AA68" s="366"/>
      <c r="AB68" s="366"/>
      <c r="AC68" s="366">
        <v>1</v>
      </c>
      <c r="AD68" s="441" t="s">
        <v>415</v>
      </c>
    </row>
    <row r="69" spans="2:39" ht="17.100000000000001" customHeight="1">
      <c r="B69" s="878" t="s">
        <v>419</v>
      </c>
      <c r="C69" s="879"/>
      <c r="D69" s="882" t="s">
        <v>502</v>
      </c>
      <c r="E69" s="883" t="s">
        <v>503</v>
      </c>
      <c r="F69" s="907" t="s">
        <v>519</v>
      </c>
      <c r="G69" s="861" t="s">
        <v>505</v>
      </c>
      <c r="H69" s="885" t="s">
        <v>506</v>
      </c>
      <c r="I69" s="886" t="s">
        <v>507</v>
      </c>
      <c r="J69" s="887"/>
      <c r="K69" s="886" t="s">
        <v>508</v>
      </c>
      <c r="L69" s="887"/>
      <c r="M69" s="886" t="s">
        <v>509</v>
      </c>
      <c r="N69" s="887"/>
      <c r="O69" s="886" t="s">
        <v>510</v>
      </c>
      <c r="P69" s="887"/>
      <c r="Q69" s="886" t="s">
        <v>396</v>
      </c>
      <c r="R69" s="908"/>
      <c r="S69" s="887"/>
      <c r="T69" s="888" t="s">
        <v>569</v>
      </c>
      <c r="U69" s="889"/>
      <c r="V69" s="891" t="s">
        <v>568</v>
      </c>
      <c r="W69" s="892"/>
      <c r="X69" s="893"/>
      <c r="Y69" s="894" t="s">
        <v>168</v>
      </c>
      <c r="Z69" s="894" t="s">
        <v>228</v>
      </c>
      <c r="AA69" s="894" t="s">
        <v>511</v>
      </c>
      <c r="AB69" s="894" t="s">
        <v>420</v>
      </c>
      <c r="AC69" s="894" t="s">
        <v>229</v>
      </c>
      <c r="AD69" s="861" t="s">
        <v>169</v>
      </c>
      <c r="AF69" s="863" t="s">
        <v>230</v>
      </c>
      <c r="AG69" s="864"/>
      <c r="AH69" s="864"/>
      <c r="AI69" s="864"/>
      <c r="AJ69" s="864"/>
      <c r="AK69" s="864"/>
      <c r="AL69" s="864"/>
      <c r="AM69" s="865"/>
    </row>
    <row r="70" spans="2:39" ht="16.5" customHeight="1">
      <c r="B70" s="880"/>
      <c r="C70" s="881"/>
      <c r="D70" s="882"/>
      <c r="E70" s="882"/>
      <c r="F70" s="884"/>
      <c r="G70" s="862"/>
      <c r="H70" s="862"/>
      <c r="I70" s="434" t="s">
        <v>512</v>
      </c>
      <c r="J70" s="362" t="s">
        <v>513</v>
      </c>
      <c r="K70" s="434" t="s">
        <v>512</v>
      </c>
      <c r="L70" s="362" t="s">
        <v>513</v>
      </c>
      <c r="M70" s="434" t="s">
        <v>512</v>
      </c>
      <c r="N70" s="362" t="s">
        <v>513</v>
      </c>
      <c r="O70" s="434" t="s">
        <v>512</v>
      </c>
      <c r="P70" s="362" t="s">
        <v>513</v>
      </c>
      <c r="Q70" s="434" t="s">
        <v>512</v>
      </c>
      <c r="R70" s="362" t="s">
        <v>513</v>
      </c>
      <c r="S70" s="362" t="s">
        <v>514</v>
      </c>
      <c r="T70" s="434" t="s">
        <v>512</v>
      </c>
      <c r="U70" s="362" t="s">
        <v>513</v>
      </c>
      <c r="V70" s="434" t="s">
        <v>512</v>
      </c>
      <c r="W70" s="362" t="s">
        <v>513</v>
      </c>
      <c r="X70" s="362" t="s">
        <v>514</v>
      </c>
      <c r="Y70" s="895"/>
      <c r="Z70" s="895"/>
      <c r="AA70" s="895"/>
      <c r="AB70" s="895"/>
      <c r="AC70" s="895"/>
      <c r="AD70" s="862"/>
      <c r="AF70" s="866"/>
      <c r="AG70" s="867"/>
      <c r="AH70" s="867"/>
      <c r="AI70" s="867"/>
      <c r="AJ70" s="867"/>
      <c r="AK70" s="867"/>
      <c r="AL70" s="867"/>
      <c r="AM70" s="868"/>
    </row>
    <row r="71" spans="2:39" s="147" customFormat="1" ht="27" customHeight="1">
      <c r="B71" s="872" t="s">
        <v>677</v>
      </c>
      <c r="C71" s="873"/>
      <c r="D71" s="361">
        <v>1</v>
      </c>
      <c r="E71" s="435"/>
      <c r="F71" s="363">
        <f>IFERROR(T71*G71,"-")</f>
        <v>0</v>
      </c>
      <c r="G71" s="364"/>
      <c r="H71" s="437"/>
      <c r="I71" s="437"/>
      <c r="J71" s="439" t="str">
        <f>IFERROR(I71/H71,"-")</f>
        <v>-</v>
      </c>
      <c r="K71" s="438"/>
      <c r="L71" s="439" t="str">
        <f>IFERROR(K71/H71,"-")</f>
        <v>-</v>
      </c>
      <c r="M71" s="438"/>
      <c r="N71" s="439" t="str">
        <f>IFERROR(M71/H71,"-")</f>
        <v>-</v>
      </c>
      <c r="O71" s="440">
        <f>IFERROR(K71+M71,"-")</f>
        <v>0</v>
      </c>
      <c r="P71" s="439" t="str">
        <f>IFERROR(O71/H71,"-")</f>
        <v>-</v>
      </c>
      <c r="Q71" s="437"/>
      <c r="R71" s="439" t="str">
        <f>IFERROR(Q71/H71,"-")</f>
        <v>-</v>
      </c>
      <c r="S71" s="447">
        <f>IFERROR(Q71*G71,"-")</f>
        <v>0</v>
      </c>
      <c r="T71" s="440">
        <f>IFERROR(O71-H71,"-")</f>
        <v>0</v>
      </c>
      <c r="U71" s="439" t="str">
        <f>IFERROR(T71/H71,"-")</f>
        <v>-</v>
      </c>
      <c r="V71" s="451">
        <f>T71-Q71</f>
        <v>0</v>
      </c>
      <c r="W71" s="452" t="str">
        <f>IFERROR(V71/H71,"-")</f>
        <v>-</v>
      </c>
      <c r="X71" s="453">
        <f>IFERROR(V71*G71,"-")</f>
        <v>0</v>
      </c>
      <c r="Y71" s="365" t="s">
        <v>170</v>
      </c>
      <c r="Z71" s="365" t="s">
        <v>198</v>
      </c>
      <c r="AA71" s="366"/>
      <c r="AB71" s="366"/>
      <c r="AC71" s="366">
        <v>1</v>
      </c>
      <c r="AD71" s="441"/>
      <c r="AF71" s="869"/>
      <c r="AG71" s="870"/>
      <c r="AH71" s="870"/>
      <c r="AI71" s="870"/>
      <c r="AJ71" s="870"/>
      <c r="AK71" s="870"/>
      <c r="AL71" s="870"/>
      <c r="AM71" s="871"/>
    </row>
    <row r="72" spans="2:39" s="147" customFormat="1" ht="27" customHeight="1">
      <c r="B72" s="874"/>
      <c r="C72" s="875"/>
      <c r="D72" s="361">
        <v>2</v>
      </c>
      <c r="E72" s="435"/>
      <c r="F72" s="363">
        <f t="shared" ref="F72:F90" si="48">IFERROR(T72*G72,"-")</f>
        <v>0</v>
      </c>
      <c r="G72" s="364"/>
      <c r="H72" s="437"/>
      <c r="I72" s="437"/>
      <c r="J72" s="439" t="str">
        <f t="shared" ref="J72:J90" si="49">IFERROR(I72/H72,"-")</f>
        <v>-</v>
      </c>
      <c r="K72" s="438"/>
      <c r="L72" s="439" t="str">
        <f t="shared" ref="L72:L90" si="50">IFERROR(K72/H72,"-")</f>
        <v>-</v>
      </c>
      <c r="M72" s="438"/>
      <c r="N72" s="439" t="str">
        <f t="shared" ref="N72:N90" si="51">IFERROR(M72/H72,"-")</f>
        <v>-</v>
      </c>
      <c r="O72" s="440">
        <f t="shared" ref="O72:O90" si="52">IFERROR(K72+M72,"-")</f>
        <v>0</v>
      </c>
      <c r="P72" s="439" t="str">
        <f t="shared" ref="P72:P90" si="53">IFERROR(O72/H72,"-")</f>
        <v>-</v>
      </c>
      <c r="Q72" s="437"/>
      <c r="R72" s="439" t="str">
        <f t="shared" ref="R72:R90" si="54">IFERROR(Q72/H72,"-")</f>
        <v>-</v>
      </c>
      <c r="S72" s="447">
        <f t="shared" ref="S72:S90" si="55">IFERROR(Q72*G72,"-")</f>
        <v>0</v>
      </c>
      <c r="T72" s="440">
        <f t="shared" ref="T72:T90" si="56">IFERROR(O72-H72,"-")</f>
        <v>0</v>
      </c>
      <c r="U72" s="439" t="str">
        <f t="shared" ref="U72:U90" si="57">IFERROR(T72/H72,"-")</f>
        <v>-</v>
      </c>
      <c r="V72" s="451">
        <f t="shared" ref="V72:V90" si="58">T72-Q72</f>
        <v>0</v>
      </c>
      <c r="W72" s="452" t="str">
        <f t="shared" ref="W72:W90" si="59">IFERROR(V72/H72,"-")</f>
        <v>-</v>
      </c>
      <c r="X72" s="453">
        <f t="shared" ref="X72:X90" si="60">IFERROR(V72*G72,"-")</f>
        <v>0</v>
      </c>
      <c r="Y72" s="365" t="s">
        <v>170</v>
      </c>
      <c r="Z72" s="365" t="s">
        <v>199</v>
      </c>
      <c r="AA72" s="366"/>
      <c r="AB72" s="366"/>
      <c r="AC72" s="366">
        <v>1</v>
      </c>
      <c r="AD72" s="441"/>
      <c r="AF72" s="160" t="s">
        <v>227</v>
      </c>
      <c r="AG72" s="160" t="s">
        <v>421</v>
      </c>
      <c r="AH72" s="155" t="s">
        <v>515</v>
      </c>
      <c r="AI72" s="155" t="s">
        <v>316</v>
      </c>
      <c r="AJ72" s="155" t="s">
        <v>406</v>
      </c>
      <c r="AK72" s="155" t="s">
        <v>198</v>
      </c>
      <c r="AL72" s="155" t="s">
        <v>199</v>
      </c>
      <c r="AM72" s="155" t="s">
        <v>362</v>
      </c>
    </row>
    <row r="73" spans="2:39" s="147" customFormat="1" ht="27" customHeight="1">
      <c r="B73" s="874"/>
      <c r="C73" s="875"/>
      <c r="D73" s="361">
        <v>3</v>
      </c>
      <c r="E73" s="435"/>
      <c r="F73" s="363">
        <f t="shared" si="48"/>
        <v>0</v>
      </c>
      <c r="G73" s="364"/>
      <c r="H73" s="437"/>
      <c r="I73" s="437"/>
      <c r="J73" s="439" t="str">
        <f t="shared" si="49"/>
        <v>-</v>
      </c>
      <c r="K73" s="438"/>
      <c r="L73" s="439" t="str">
        <f t="shared" si="50"/>
        <v>-</v>
      </c>
      <c r="M73" s="438"/>
      <c r="N73" s="439" t="str">
        <f t="shared" si="51"/>
        <v>-</v>
      </c>
      <c r="O73" s="440">
        <f t="shared" si="52"/>
        <v>0</v>
      </c>
      <c r="P73" s="439" t="str">
        <f t="shared" si="53"/>
        <v>-</v>
      </c>
      <c r="Q73" s="437"/>
      <c r="R73" s="439" t="str">
        <f t="shared" si="54"/>
        <v>-</v>
      </c>
      <c r="S73" s="447">
        <f t="shared" si="55"/>
        <v>0</v>
      </c>
      <c r="T73" s="440">
        <f t="shared" si="56"/>
        <v>0</v>
      </c>
      <c r="U73" s="439" t="str">
        <f t="shared" si="57"/>
        <v>-</v>
      </c>
      <c r="V73" s="451">
        <f t="shared" si="58"/>
        <v>0</v>
      </c>
      <c r="W73" s="452" t="str">
        <f t="shared" si="59"/>
        <v>-</v>
      </c>
      <c r="X73" s="453">
        <f t="shared" si="60"/>
        <v>0</v>
      </c>
      <c r="Y73" s="365" t="s">
        <v>170</v>
      </c>
      <c r="Z73" s="365" t="s">
        <v>406</v>
      </c>
      <c r="AA73" s="366"/>
      <c r="AB73" s="366"/>
      <c r="AC73" s="366">
        <v>1</v>
      </c>
      <c r="AD73" s="441"/>
      <c r="AF73" s="371">
        <f>SUM(AC71:AC90)</f>
        <v>20</v>
      </c>
      <c r="AG73" s="367">
        <f>SUMIF($Z$71:$Z$90,TRIM(AG72),$AC$71:$AC$90)</f>
        <v>0</v>
      </c>
      <c r="AH73" s="367">
        <f t="shared" ref="AH73:AM73" si="61">SUMIF($Z$71:$Z$90,TRIM(AH72),$AC$71:$AC$90)</f>
        <v>0</v>
      </c>
      <c r="AI73" s="367">
        <f t="shared" si="61"/>
        <v>0</v>
      </c>
      <c r="AJ73" s="367">
        <f t="shared" si="61"/>
        <v>13</v>
      </c>
      <c r="AK73" s="367">
        <f t="shared" si="61"/>
        <v>1</v>
      </c>
      <c r="AL73" s="367">
        <f t="shared" si="61"/>
        <v>6</v>
      </c>
      <c r="AM73" s="367">
        <f t="shared" si="61"/>
        <v>0</v>
      </c>
    </row>
    <row r="74" spans="2:39" s="147" customFormat="1" ht="27" customHeight="1">
      <c r="B74" s="874"/>
      <c r="C74" s="875"/>
      <c r="D74" s="361">
        <v>4</v>
      </c>
      <c r="E74" s="435"/>
      <c r="F74" s="363">
        <f t="shared" si="48"/>
        <v>0</v>
      </c>
      <c r="G74" s="364"/>
      <c r="H74" s="437"/>
      <c r="I74" s="437"/>
      <c r="J74" s="439" t="str">
        <f t="shared" si="49"/>
        <v>-</v>
      </c>
      <c r="K74" s="438"/>
      <c r="L74" s="439" t="str">
        <f t="shared" si="50"/>
        <v>-</v>
      </c>
      <c r="M74" s="438"/>
      <c r="N74" s="439" t="str">
        <f t="shared" si="51"/>
        <v>-</v>
      </c>
      <c r="O74" s="440">
        <f t="shared" si="52"/>
        <v>0</v>
      </c>
      <c r="P74" s="439" t="str">
        <f t="shared" si="53"/>
        <v>-</v>
      </c>
      <c r="Q74" s="437"/>
      <c r="R74" s="439" t="str">
        <f t="shared" si="54"/>
        <v>-</v>
      </c>
      <c r="S74" s="447">
        <f t="shared" si="55"/>
        <v>0</v>
      </c>
      <c r="T74" s="440">
        <f t="shared" si="56"/>
        <v>0</v>
      </c>
      <c r="U74" s="439" t="str">
        <f t="shared" si="57"/>
        <v>-</v>
      </c>
      <c r="V74" s="451">
        <f t="shared" si="58"/>
        <v>0</v>
      </c>
      <c r="W74" s="452" t="str">
        <f t="shared" si="59"/>
        <v>-</v>
      </c>
      <c r="X74" s="453">
        <f t="shared" si="60"/>
        <v>0</v>
      </c>
      <c r="Y74" s="365" t="s">
        <v>170</v>
      </c>
      <c r="Z74" s="365" t="s">
        <v>199</v>
      </c>
      <c r="AA74" s="366"/>
      <c r="AB74" s="366"/>
      <c r="AC74" s="366">
        <v>1</v>
      </c>
      <c r="AD74" s="441"/>
      <c r="AF74" s="372" t="s">
        <v>11</v>
      </c>
      <c r="AG74" s="369">
        <f>SUMIF($Z$71:$Z$90,TRIM(AG72),$F$71:$F$90)</f>
        <v>0</v>
      </c>
      <c r="AH74" s="369">
        <f t="shared" ref="AH74:AM74" si="62">SUMIF($Z$71:$Z$90,TRIM(AH72),$F$71:$F$90)</f>
        <v>0</v>
      </c>
      <c r="AI74" s="369">
        <f t="shared" si="62"/>
        <v>0</v>
      </c>
      <c r="AJ74" s="369">
        <f t="shared" si="62"/>
        <v>0</v>
      </c>
      <c r="AK74" s="369">
        <f t="shared" si="62"/>
        <v>0</v>
      </c>
      <c r="AL74" s="369">
        <f t="shared" si="62"/>
        <v>0</v>
      </c>
      <c r="AM74" s="369">
        <f t="shared" si="62"/>
        <v>0</v>
      </c>
    </row>
    <row r="75" spans="2:39" s="147" customFormat="1" ht="27" customHeight="1">
      <c r="B75" s="874"/>
      <c r="C75" s="875"/>
      <c r="D75" s="361">
        <v>5</v>
      </c>
      <c r="E75" s="435"/>
      <c r="F75" s="363">
        <f t="shared" si="48"/>
        <v>0</v>
      </c>
      <c r="G75" s="364"/>
      <c r="H75" s="437"/>
      <c r="I75" s="437"/>
      <c r="J75" s="439" t="str">
        <f t="shared" si="49"/>
        <v>-</v>
      </c>
      <c r="K75" s="438"/>
      <c r="L75" s="439" t="str">
        <f t="shared" si="50"/>
        <v>-</v>
      </c>
      <c r="M75" s="438"/>
      <c r="N75" s="439" t="str">
        <f t="shared" si="51"/>
        <v>-</v>
      </c>
      <c r="O75" s="440">
        <f t="shared" si="52"/>
        <v>0</v>
      </c>
      <c r="P75" s="439" t="str">
        <f t="shared" si="53"/>
        <v>-</v>
      </c>
      <c r="Q75" s="437"/>
      <c r="R75" s="439" t="str">
        <f t="shared" si="54"/>
        <v>-</v>
      </c>
      <c r="S75" s="447">
        <f t="shared" si="55"/>
        <v>0</v>
      </c>
      <c r="T75" s="440">
        <f t="shared" si="56"/>
        <v>0</v>
      </c>
      <c r="U75" s="439" t="str">
        <f t="shared" si="57"/>
        <v>-</v>
      </c>
      <c r="V75" s="451">
        <f t="shared" si="58"/>
        <v>0</v>
      </c>
      <c r="W75" s="452" t="str">
        <f t="shared" si="59"/>
        <v>-</v>
      </c>
      <c r="X75" s="453">
        <f t="shared" si="60"/>
        <v>0</v>
      </c>
      <c r="Y75" s="365" t="s">
        <v>170</v>
      </c>
      <c r="Z75" s="365" t="s">
        <v>199</v>
      </c>
      <c r="AA75" s="366"/>
      <c r="AB75" s="366"/>
      <c r="AC75" s="366">
        <v>1</v>
      </c>
      <c r="AD75" s="441"/>
      <c r="AF75" s="361" t="s">
        <v>516</v>
      </c>
      <c r="AG75" s="370">
        <f t="shared" ref="AG75:AM75" si="63">AG73/$AF73</f>
        <v>0</v>
      </c>
      <c r="AH75" s="370">
        <f t="shared" si="63"/>
        <v>0</v>
      </c>
      <c r="AI75" s="370">
        <f t="shared" si="63"/>
        <v>0</v>
      </c>
      <c r="AJ75" s="370">
        <f t="shared" si="63"/>
        <v>0.65</v>
      </c>
      <c r="AK75" s="370">
        <f t="shared" si="63"/>
        <v>0.05</v>
      </c>
      <c r="AL75" s="370">
        <f t="shared" si="63"/>
        <v>0.3</v>
      </c>
      <c r="AM75" s="370">
        <f t="shared" si="63"/>
        <v>0</v>
      </c>
    </row>
    <row r="76" spans="2:39" s="147" customFormat="1" ht="27" customHeight="1">
      <c r="B76" s="874"/>
      <c r="C76" s="875"/>
      <c r="D76" s="361">
        <v>6</v>
      </c>
      <c r="E76" s="435"/>
      <c r="F76" s="363">
        <f t="shared" si="48"/>
        <v>0</v>
      </c>
      <c r="G76" s="364"/>
      <c r="H76" s="437"/>
      <c r="I76" s="437"/>
      <c r="J76" s="439" t="str">
        <f t="shared" si="49"/>
        <v>-</v>
      </c>
      <c r="K76" s="438"/>
      <c r="L76" s="439" t="str">
        <f t="shared" si="50"/>
        <v>-</v>
      </c>
      <c r="M76" s="438"/>
      <c r="N76" s="439" t="str">
        <f t="shared" si="51"/>
        <v>-</v>
      </c>
      <c r="O76" s="440">
        <f t="shared" si="52"/>
        <v>0</v>
      </c>
      <c r="P76" s="439" t="str">
        <f t="shared" si="53"/>
        <v>-</v>
      </c>
      <c r="Q76" s="437"/>
      <c r="R76" s="439" t="str">
        <f t="shared" si="54"/>
        <v>-</v>
      </c>
      <c r="S76" s="447">
        <f t="shared" si="55"/>
        <v>0</v>
      </c>
      <c r="T76" s="440">
        <f t="shared" si="56"/>
        <v>0</v>
      </c>
      <c r="U76" s="439" t="str">
        <f t="shared" si="57"/>
        <v>-</v>
      </c>
      <c r="V76" s="451">
        <f t="shared" si="58"/>
        <v>0</v>
      </c>
      <c r="W76" s="452" t="str">
        <f t="shared" si="59"/>
        <v>-</v>
      </c>
      <c r="X76" s="453">
        <f t="shared" si="60"/>
        <v>0</v>
      </c>
      <c r="Y76" s="365" t="s">
        <v>170</v>
      </c>
      <c r="Z76" s="365" t="s">
        <v>199</v>
      </c>
      <c r="AA76" s="366"/>
      <c r="AB76" s="366"/>
      <c r="AC76" s="366">
        <v>1</v>
      </c>
      <c r="AD76" s="441"/>
    </row>
    <row r="77" spans="2:39" s="147" customFormat="1" ht="27" customHeight="1">
      <c r="B77" s="874"/>
      <c r="C77" s="875"/>
      <c r="D77" s="361">
        <v>7</v>
      </c>
      <c r="E77" s="435"/>
      <c r="F77" s="363">
        <f t="shared" si="48"/>
        <v>0</v>
      </c>
      <c r="G77" s="364"/>
      <c r="H77" s="437"/>
      <c r="I77" s="437"/>
      <c r="J77" s="439" t="str">
        <f t="shared" si="49"/>
        <v>-</v>
      </c>
      <c r="K77" s="438"/>
      <c r="L77" s="439" t="str">
        <f t="shared" si="50"/>
        <v>-</v>
      </c>
      <c r="M77" s="438"/>
      <c r="N77" s="439" t="str">
        <f t="shared" si="51"/>
        <v>-</v>
      </c>
      <c r="O77" s="440">
        <f t="shared" si="52"/>
        <v>0</v>
      </c>
      <c r="P77" s="439" t="str">
        <f t="shared" si="53"/>
        <v>-</v>
      </c>
      <c r="Q77" s="437"/>
      <c r="R77" s="439" t="str">
        <f t="shared" si="54"/>
        <v>-</v>
      </c>
      <c r="S77" s="447">
        <f t="shared" si="55"/>
        <v>0</v>
      </c>
      <c r="T77" s="440">
        <f t="shared" si="56"/>
        <v>0</v>
      </c>
      <c r="U77" s="439" t="str">
        <f t="shared" si="57"/>
        <v>-</v>
      </c>
      <c r="V77" s="451">
        <f t="shared" si="58"/>
        <v>0</v>
      </c>
      <c r="W77" s="452" t="str">
        <f t="shared" si="59"/>
        <v>-</v>
      </c>
      <c r="X77" s="453">
        <f t="shared" si="60"/>
        <v>0</v>
      </c>
      <c r="Y77" s="365" t="s">
        <v>170</v>
      </c>
      <c r="Z77" s="365" t="s">
        <v>199</v>
      </c>
      <c r="AA77" s="366"/>
      <c r="AB77" s="366"/>
      <c r="AC77" s="366">
        <v>1</v>
      </c>
      <c r="AD77" s="441"/>
    </row>
    <row r="78" spans="2:39" s="147" customFormat="1" ht="27" customHeight="1">
      <c r="B78" s="874"/>
      <c r="C78" s="875"/>
      <c r="D78" s="361">
        <v>8</v>
      </c>
      <c r="E78" s="435"/>
      <c r="F78" s="363">
        <f t="shared" si="48"/>
        <v>0</v>
      </c>
      <c r="G78" s="364"/>
      <c r="H78" s="437"/>
      <c r="I78" s="437"/>
      <c r="J78" s="439" t="str">
        <f t="shared" si="49"/>
        <v>-</v>
      </c>
      <c r="K78" s="438"/>
      <c r="L78" s="439" t="str">
        <f t="shared" si="50"/>
        <v>-</v>
      </c>
      <c r="M78" s="438"/>
      <c r="N78" s="439" t="str">
        <f t="shared" si="51"/>
        <v>-</v>
      </c>
      <c r="O78" s="440">
        <f t="shared" si="52"/>
        <v>0</v>
      </c>
      <c r="P78" s="439" t="str">
        <f t="shared" si="53"/>
        <v>-</v>
      </c>
      <c r="Q78" s="437"/>
      <c r="R78" s="439" t="str">
        <f t="shared" si="54"/>
        <v>-</v>
      </c>
      <c r="S78" s="447">
        <f t="shared" si="55"/>
        <v>0</v>
      </c>
      <c r="T78" s="440">
        <f t="shared" si="56"/>
        <v>0</v>
      </c>
      <c r="U78" s="439" t="str">
        <f t="shared" si="57"/>
        <v>-</v>
      </c>
      <c r="V78" s="451">
        <f t="shared" si="58"/>
        <v>0</v>
      </c>
      <c r="W78" s="452" t="str">
        <f t="shared" si="59"/>
        <v>-</v>
      </c>
      <c r="X78" s="453">
        <f t="shared" si="60"/>
        <v>0</v>
      </c>
      <c r="Y78" s="365" t="s">
        <v>170</v>
      </c>
      <c r="Z78" s="365" t="s">
        <v>406</v>
      </c>
      <c r="AA78" s="366"/>
      <c r="AB78" s="366"/>
      <c r="AC78" s="366">
        <v>1</v>
      </c>
      <c r="AD78" s="441"/>
    </row>
    <row r="79" spans="2:39" s="147" customFormat="1" ht="27" customHeight="1">
      <c r="B79" s="874"/>
      <c r="C79" s="875"/>
      <c r="D79" s="361">
        <v>9</v>
      </c>
      <c r="E79" s="435"/>
      <c r="F79" s="363">
        <f t="shared" si="48"/>
        <v>0</v>
      </c>
      <c r="G79" s="364"/>
      <c r="H79" s="437"/>
      <c r="I79" s="437"/>
      <c r="J79" s="439" t="str">
        <f t="shared" si="49"/>
        <v>-</v>
      </c>
      <c r="K79" s="438"/>
      <c r="L79" s="439" t="str">
        <f t="shared" si="50"/>
        <v>-</v>
      </c>
      <c r="M79" s="438"/>
      <c r="N79" s="439" t="str">
        <f t="shared" si="51"/>
        <v>-</v>
      </c>
      <c r="O79" s="440">
        <f t="shared" si="52"/>
        <v>0</v>
      </c>
      <c r="P79" s="439" t="str">
        <f t="shared" si="53"/>
        <v>-</v>
      </c>
      <c r="Q79" s="437"/>
      <c r="R79" s="439" t="str">
        <f t="shared" si="54"/>
        <v>-</v>
      </c>
      <c r="S79" s="447">
        <f t="shared" si="55"/>
        <v>0</v>
      </c>
      <c r="T79" s="440">
        <f t="shared" si="56"/>
        <v>0</v>
      </c>
      <c r="U79" s="439" t="str">
        <f t="shared" si="57"/>
        <v>-</v>
      </c>
      <c r="V79" s="451">
        <f t="shared" si="58"/>
        <v>0</v>
      </c>
      <c r="W79" s="452" t="str">
        <f t="shared" si="59"/>
        <v>-</v>
      </c>
      <c r="X79" s="453">
        <f t="shared" si="60"/>
        <v>0</v>
      </c>
      <c r="Y79" s="365" t="s">
        <v>170</v>
      </c>
      <c r="Z79" s="365" t="s">
        <v>406</v>
      </c>
      <c r="AA79" s="366"/>
      <c r="AB79" s="366"/>
      <c r="AC79" s="366">
        <v>1</v>
      </c>
      <c r="AD79" s="441"/>
      <c r="AH79" s="368"/>
    </row>
    <row r="80" spans="2:39" s="147" customFormat="1" ht="27" customHeight="1">
      <c r="B80" s="874"/>
      <c r="C80" s="875"/>
      <c r="D80" s="361">
        <v>10</v>
      </c>
      <c r="E80" s="435"/>
      <c r="F80" s="363">
        <f t="shared" si="48"/>
        <v>0</v>
      </c>
      <c r="G80" s="364"/>
      <c r="H80" s="437"/>
      <c r="I80" s="437"/>
      <c r="J80" s="439" t="str">
        <f t="shared" si="49"/>
        <v>-</v>
      </c>
      <c r="K80" s="438"/>
      <c r="L80" s="439" t="str">
        <f t="shared" si="50"/>
        <v>-</v>
      </c>
      <c r="M80" s="438"/>
      <c r="N80" s="439" t="str">
        <f t="shared" si="51"/>
        <v>-</v>
      </c>
      <c r="O80" s="440">
        <f t="shared" si="52"/>
        <v>0</v>
      </c>
      <c r="P80" s="439" t="str">
        <f t="shared" si="53"/>
        <v>-</v>
      </c>
      <c r="Q80" s="437"/>
      <c r="R80" s="439" t="str">
        <f t="shared" si="54"/>
        <v>-</v>
      </c>
      <c r="S80" s="447">
        <f t="shared" si="55"/>
        <v>0</v>
      </c>
      <c r="T80" s="440">
        <f t="shared" si="56"/>
        <v>0</v>
      </c>
      <c r="U80" s="439" t="str">
        <f t="shared" si="57"/>
        <v>-</v>
      </c>
      <c r="V80" s="451">
        <f t="shared" si="58"/>
        <v>0</v>
      </c>
      <c r="W80" s="452" t="str">
        <f t="shared" si="59"/>
        <v>-</v>
      </c>
      <c r="X80" s="453">
        <f t="shared" si="60"/>
        <v>0</v>
      </c>
      <c r="Y80" s="365" t="s">
        <v>170</v>
      </c>
      <c r="Z80" s="365" t="s">
        <v>406</v>
      </c>
      <c r="AA80" s="366"/>
      <c r="AB80" s="366"/>
      <c r="AC80" s="366">
        <v>1</v>
      </c>
      <c r="AD80" s="441"/>
      <c r="AH80" s="368"/>
    </row>
    <row r="81" spans="2:39" s="147" customFormat="1" ht="27" customHeight="1">
      <c r="B81" s="874"/>
      <c r="C81" s="875"/>
      <c r="D81" s="361">
        <v>11</v>
      </c>
      <c r="E81" s="435"/>
      <c r="F81" s="363">
        <f t="shared" si="48"/>
        <v>0</v>
      </c>
      <c r="G81" s="364"/>
      <c r="H81" s="437"/>
      <c r="I81" s="437"/>
      <c r="J81" s="439" t="str">
        <f t="shared" si="49"/>
        <v>-</v>
      </c>
      <c r="K81" s="438"/>
      <c r="L81" s="439" t="str">
        <f t="shared" si="50"/>
        <v>-</v>
      </c>
      <c r="M81" s="438"/>
      <c r="N81" s="439" t="str">
        <f t="shared" si="51"/>
        <v>-</v>
      </c>
      <c r="O81" s="440">
        <f t="shared" si="52"/>
        <v>0</v>
      </c>
      <c r="P81" s="439" t="str">
        <f t="shared" si="53"/>
        <v>-</v>
      </c>
      <c r="Q81" s="437"/>
      <c r="R81" s="439" t="str">
        <f t="shared" si="54"/>
        <v>-</v>
      </c>
      <c r="S81" s="447">
        <f t="shared" si="55"/>
        <v>0</v>
      </c>
      <c r="T81" s="440">
        <f t="shared" si="56"/>
        <v>0</v>
      </c>
      <c r="U81" s="439" t="str">
        <f t="shared" si="57"/>
        <v>-</v>
      </c>
      <c r="V81" s="451">
        <f t="shared" si="58"/>
        <v>0</v>
      </c>
      <c r="W81" s="452" t="str">
        <f t="shared" si="59"/>
        <v>-</v>
      </c>
      <c r="X81" s="453">
        <f t="shared" si="60"/>
        <v>0</v>
      </c>
      <c r="Y81" s="365" t="s">
        <v>170</v>
      </c>
      <c r="Z81" s="365" t="s">
        <v>406</v>
      </c>
      <c r="AA81" s="366"/>
      <c r="AB81" s="366"/>
      <c r="AC81" s="366">
        <v>1</v>
      </c>
      <c r="AD81" s="441"/>
      <c r="AH81" s="368"/>
    </row>
    <row r="82" spans="2:39" s="147" customFormat="1" ht="27" customHeight="1">
      <c r="B82" s="874"/>
      <c r="C82" s="875"/>
      <c r="D82" s="361">
        <v>12</v>
      </c>
      <c r="E82" s="435"/>
      <c r="F82" s="363">
        <f t="shared" si="48"/>
        <v>0</v>
      </c>
      <c r="G82" s="364"/>
      <c r="H82" s="437"/>
      <c r="I82" s="437"/>
      <c r="J82" s="439" t="str">
        <f t="shared" si="49"/>
        <v>-</v>
      </c>
      <c r="K82" s="438"/>
      <c r="L82" s="439" t="str">
        <f t="shared" si="50"/>
        <v>-</v>
      </c>
      <c r="M82" s="438"/>
      <c r="N82" s="439" t="str">
        <f t="shared" si="51"/>
        <v>-</v>
      </c>
      <c r="O82" s="440">
        <f t="shared" si="52"/>
        <v>0</v>
      </c>
      <c r="P82" s="439" t="str">
        <f t="shared" si="53"/>
        <v>-</v>
      </c>
      <c r="Q82" s="437"/>
      <c r="R82" s="439" t="str">
        <f t="shared" si="54"/>
        <v>-</v>
      </c>
      <c r="S82" s="447">
        <f t="shared" si="55"/>
        <v>0</v>
      </c>
      <c r="T82" s="440">
        <f t="shared" si="56"/>
        <v>0</v>
      </c>
      <c r="U82" s="439" t="str">
        <f t="shared" si="57"/>
        <v>-</v>
      </c>
      <c r="V82" s="451">
        <f t="shared" si="58"/>
        <v>0</v>
      </c>
      <c r="W82" s="452" t="str">
        <f t="shared" si="59"/>
        <v>-</v>
      </c>
      <c r="X82" s="453">
        <f t="shared" si="60"/>
        <v>0</v>
      </c>
      <c r="Y82" s="365" t="s">
        <v>170</v>
      </c>
      <c r="Z82" s="365" t="s">
        <v>406</v>
      </c>
      <c r="AA82" s="366"/>
      <c r="AB82" s="366"/>
      <c r="AC82" s="366">
        <v>1</v>
      </c>
      <c r="AD82" s="441"/>
      <c r="AH82" s="368"/>
    </row>
    <row r="83" spans="2:39" s="147" customFormat="1" ht="27" customHeight="1">
      <c r="B83" s="874"/>
      <c r="C83" s="875"/>
      <c r="D83" s="361">
        <v>13</v>
      </c>
      <c r="E83" s="435"/>
      <c r="F83" s="363">
        <f t="shared" si="48"/>
        <v>0</v>
      </c>
      <c r="G83" s="364"/>
      <c r="H83" s="437"/>
      <c r="I83" s="437"/>
      <c r="J83" s="439" t="str">
        <f t="shared" si="49"/>
        <v>-</v>
      </c>
      <c r="K83" s="438"/>
      <c r="L83" s="439" t="str">
        <f t="shared" si="50"/>
        <v>-</v>
      </c>
      <c r="M83" s="438"/>
      <c r="N83" s="439" t="str">
        <f t="shared" si="51"/>
        <v>-</v>
      </c>
      <c r="O83" s="440">
        <f t="shared" si="52"/>
        <v>0</v>
      </c>
      <c r="P83" s="439" t="str">
        <f t="shared" si="53"/>
        <v>-</v>
      </c>
      <c r="Q83" s="437"/>
      <c r="R83" s="439" t="str">
        <f t="shared" si="54"/>
        <v>-</v>
      </c>
      <c r="S83" s="447">
        <f t="shared" si="55"/>
        <v>0</v>
      </c>
      <c r="T83" s="440">
        <f t="shared" si="56"/>
        <v>0</v>
      </c>
      <c r="U83" s="439" t="str">
        <f t="shared" si="57"/>
        <v>-</v>
      </c>
      <c r="V83" s="451">
        <f t="shared" si="58"/>
        <v>0</v>
      </c>
      <c r="W83" s="452" t="str">
        <f t="shared" si="59"/>
        <v>-</v>
      </c>
      <c r="X83" s="453">
        <f t="shared" si="60"/>
        <v>0</v>
      </c>
      <c r="Y83" s="365" t="s">
        <v>170</v>
      </c>
      <c r="Z83" s="365" t="s">
        <v>406</v>
      </c>
      <c r="AA83" s="366"/>
      <c r="AB83" s="366"/>
      <c r="AC83" s="366">
        <v>1</v>
      </c>
      <c r="AD83" s="441"/>
    </row>
    <row r="84" spans="2:39" s="147" customFormat="1" ht="27" customHeight="1">
      <c r="B84" s="874"/>
      <c r="C84" s="875"/>
      <c r="D84" s="361">
        <v>14</v>
      </c>
      <c r="E84" s="435"/>
      <c r="F84" s="363">
        <f t="shared" si="48"/>
        <v>0</v>
      </c>
      <c r="G84" s="364"/>
      <c r="H84" s="437"/>
      <c r="I84" s="437"/>
      <c r="J84" s="439" t="str">
        <f t="shared" si="49"/>
        <v>-</v>
      </c>
      <c r="K84" s="438"/>
      <c r="L84" s="439" t="str">
        <f t="shared" si="50"/>
        <v>-</v>
      </c>
      <c r="M84" s="438"/>
      <c r="N84" s="439" t="str">
        <f t="shared" si="51"/>
        <v>-</v>
      </c>
      <c r="O84" s="440">
        <f t="shared" si="52"/>
        <v>0</v>
      </c>
      <c r="P84" s="439" t="str">
        <f t="shared" si="53"/>
        <v>-</v>
      </c>
      <c r="Q84" s="437"/>
      <c r="R84" s="439" t="str">
        <f t="shared" si="54"/>
        <v>-</v>
      </c>
      <c r="S84" s="447">
        <f t="shared" si="55"/>
        <v>0</v>
      </c>
      <c r="T84" s="440">
        <f t="shared" si="56"/>
        <v>0</v>
      </c>
      <c r="U84" s="439" t="str">
        <f t="shared" si="57"/>
        <v>-</v>
      </c>
      <c r="V84" s="451">
        <f t="shared" si="58"/>
        <v>0</v>
      </c>
      <c r="W84" s="452" t="str">
        <f t="shared" si="59"/>
        <v>-</v>
      </c>
      <c r="X84" s="453">
        <f t="shared" si="60"/>
        <v>0</v>
      </c>
      <c r="Y84" s="365" t="s">
        <v>170</v>
      </c>
      <c r="Z84" s="365" t="s">
        <v>406</v>
      </c>
      <c r="AA84" s="366"/>
      <c r="AB84" s="366"/>
      <c r="AC84" s="366">
        <v>1</v>
      </c>
      <c r="AD84" s="441"/>
    </row>
    <row r="85" spans="2:39" s="147" customFormat="1" ht="27" customHeight="1">
      <c r="B85" s="874"/>
      <c r="C85" s="875"/>
      <c r="D85" s="361">
        <v>15</v>
      </c>
      <c r="E85" s="435"/>
      <c r="F85" s="363">
        <f t="shared" si="48"/>
        <v>0</v>
      </c>
      <c r="G85" s="364"/>
      <c r="H85" s="437"/>
      <c r="I85" s="437"/>
      <c r="J85" s="439" t="str">
        <f t="shared" si="49"/>
        <v>-</v>
      </c>
      <c r="K85" s="438"/>
      <c r="L85" s="439" t="str">
        <f t="shared" si="50"/>
        <v>-</v>
      </c>
      <c r="M85" s="438"/>
      <c r="N85" s="439" t="str">
        <f t="shared" si="51"/>
        <v>-</v>
      </c>
      <c r="O85" s="440">
        <f t="shared" si="52"/>
        <v>0</v>
      </c>
      <c r="P85" s="439" t="str">
        <f t="shared" si="53"/>
        <v>-</v>
      </c>
      <c r="Q85" s="437"/>
      <c r="R85" s="439" t="str">
        <f t="shared" si="54"/>
        <v>-</v>
      </c>
      <c r="S85" s="447">
        <f t="shared" si="55"/>
        <v>0</v>
      </c>
      <c r="T85" s="440">
        <f t="shared" si="56"/>
        <v>0</v>
      </c>
      <c r="U85" s="439" t="str">
        <f t="shared" si="57"/>
        <v>-</v>
      </c>
      <c r="V85" s="451">
        <f t="shared" si="58"/>
        <v>0</v>
      </c>
      <c r="W85" s="452" t="str">
        <f t="shared" si="59"/>
        <v>-</v>
      </c>
      <c r="X85" s="453">
        <f t="shared" si="60"/>
        <v>0</v>
      </c>
      <c r="Y85" s="365" t="s">
        <v>170</v>
      </c>
      <c r="Z85" s="365" t="s">
        <v>406</v>
      </c>
      <c r="AA85" s="366"/>
      <c r="AB85" s="366"/>
      <c r="AC85" s="366">
        <v>1</v>
      </c>
      <c r="AD85" s="441"/>
    </row>
    <row r="86" spans="2:39" s="147" customFormat="1" ht="27" customHeight="1">
      <c r="B86" s="874"/>
      <c r="C86" s="875"/>
      <c r="D86" s="361">
        <v>16</v>
      </c>
      <c r="E86" s="435"/>
      <c r="F86" s="363">
        <f t="shared" si="48"/>
        <v>0</v>
      </c>
      <c r="G86" s="364"/>
      <c r="H86" s="437"/>
      <c r="I86" s="437"/>
      <c r="J86" s="439" t="str">
        <f t="shared" si="49"/>
        <v>-</v>
      </c>
      <c r="K86" s="438"/>
      <c r="L86" s="439" t="str">
        <f t="shared" si="50"/>
        <v>-</v>
      </c>
      <c r="M86" s="438"/>
      <c r="N86" s="439" t="str">
        <f t="shared" si="51"/>
        <v>-</v>
      </c>
      <c r="O86" s="440">
        <f t="shared" si="52"/>
        <v>0</v>
      </c>
      <c r="P86" s="439" t="str">
        <f t="shared" si="53"/>
        <v>-</v>
      </c>
      <c r="Q86" s="437"/>
      <c r="R86" s="439" t="str">
        <f t="shared" si="54"/>
        <v>-</v>
      </c>
      <c r="S86" s="447">
        <f t="shared" si="55"/>
        <v>0</v>
      </c>
      <c r="T86" s="440">
        <f t="shared" si="56"/>
        <v>0</v>
      </c>
      <c r="U86" s="439" t="str">
        <f t="shared" si="57"/>
        <v>-</v>
      </c>
      <c r="V86" s="451">
        <f t="shared" si="58"/>
        <v>0</v>
      </c>
      <c r="W86" s="452" t="str">
        <f t="shared" si="59"/>
        <v>-</v>
      </c>
      <c r="X86" s="453">
        <f t="shared" si="60"/>
        <v>0</v>
      </c>
      <c r="Y86" s="365" t="s">
        <v>170</v>
      </c>
      <c r="Z86" s="365" t="s">
        <v>406</v>
      </c>
      <c r="AA86" s="366"/>
      <c r="AB86" s="366"/>
      <c r="AC86" s="366">
        <v>1</v>
      </c>
      <c r="AD86" s="441"/>
    </row>
    <row r="87" spans="2:39" s="147" customFormat="1" ht="27" customHeight="1">
      <c r="B87" s="874"/>
      <c r="C87" s="875"/>
      <c r="D87" s="361">
        <v>17</v>
      </c>
      <c r="E87" s="435"/>
      <c r="F87" s="363">
        <f t="shared" si="48"/>
        <v>0</v>
      </c>
      <c r="G87" s="364"/>
      <c r="H87" s="437"/>
      <c r="I87" s="437"/>
      <c r="J87" s="439" t="str">
        <f t="shared" si="49"/>
        <v>-</v>
      </c>
      <c r="K87" s="438"/>
      <c r="L87" s="439" t="str">
        <f t="shared" si="50"/>
        <v>-</v>
      </c>
      <c r="M87" s="438"/>
      <c r="N87" s="439" t="str">
        <f t="shared" si="51"/>
        <v>-</v>
      </c>
      <c r="O87" s="440">
        <f t="shared" si="52"/>
        <v>0</v>
      </c>
      <c r="P87" s="439" t="str">
        <f t="shared" si="53"/>
        <v>-</v>
      </c>
      <c r="Q87" s="437"/>
      <c r="R87" s="439" t="str">
        <f t="shared" si="54"/>
        <v>-</v>
      </c>
      <c r="S87" s="447">
        <f t="shared" si="55"/>
        <v>0</v>
      </c>
      <c r="T87" s="440">
        <f t="shared" si="56"/>
        <v>0</v>
      </c>
      <c r="U87" s="439" t="str">
        <f t="shared" si="57"/>
        <v>-</v>
      </c>
      <c r="V87" s="451">
        <f t="shared" si="58"/>
        <v>0</v>
      </c>
      <c r="W87" s="452" t="str">
        <f t="shared" si="59"/>
        <v>-</v>
      </c>
      <c r="X87" s="453">
        <f t="shared" si="60"/>
        <v>0</v>
      </c>
      <c r="Y87" s="365" t="s">
        <v>170</v>
      </c>
      <c r="Z87" s="365" t="s">
        <v>406</v>
      </c>
      <c r="AA87" s="366"/>
      <c r="AB87" s="366"/>
      <c r="AC87" s="366">
        <v>1</v>
      </c>
      <c r="AD87" s="441"/>
    </row>
    <row r="88" spans="2:39" s="147" customFormat="1" ht="27" customHeight="1">
      <c r="B88" s="874"/>
      <c r="C88" s="875"/>
      <c r="D88" s="361">
        <v>18</v>
      </c>
      <c r="E88" s="435"/>
      <c r="F88" s="363">
        <f t="shared" si="48"/>
        <v>0</v>
      </c>
      <c r="G88" s="364"/>
      <c r="H88" s="437"/>
      <c r="I88" s="437"/>
      <c r="J88" s="439" t="str">
        <f t="shared" si="49"/>
        <v>-</v>
      </c>
      <c r="K88" s="438"/>
      <c r="L88" s="439" t="str">
        <f t="shared" si="50"/>
        <v>-</v>
      </c>
      <c r="M88" s="438"/>
      <c r="N88" s="439" t="str">
        <f t="shared" si="51"/>
        <v>-</v>
      </c>
      <c r="O88" s="440">
        <f t="shared" si="52"/>
        <v>0</v>
      </c>
      <c r="P88" s="439" t="str">
        <f t="shared" si="53"/>
        <v>-</v>
      </c>
      <c r="Q88" s="437"/>
      <c r="R88" s="439" t="str">
        <f t="shared" si="54"/>
        <v>-</v>
      </c>
      <c r="S88" s="447">
        <f t="shared" si="55"/>
        <v>0</v>
      </c>
      <c r="T88" s="440">
        <f t="shared" si="56"/>
        <v>0</v>
      </c>
      <c r="U88" s="439" t="str">
        <f t="shared" si="57"/>
        <v>-</v>
      </c>
      <c r="V88" s="451">
        <f t="shared" si="58"/>
        <v>0</v>
      </c>
      <c r="W88" s="452" t="str">
        <f t="shared" si="59"/>
        <v>-</v>
      </c>
      <c r="X88" s="453">
        <f t="shared" si="60"/>
        <v>0</v>
      </c>
      <c r="Y88" s="365" t="s">
        <v>170</v>
      </c>
      <c r="Z88" s="365" t="s">
        <v>406</v>
      </c>
      <c r="AA88" s="366"/>
      <c r="AB88" s="366"/>
      <c r="AC88" s="366">
        <v>1</v>
      </c>
      <c r="AD88" s="441"/>
    </row>
    <row r="89" spans="2:39" s="147" customFormat="1" ht="27" customHeight="1">
      <c r="B89" s="874"/>
      <c r="C89" s="875"/>
      <c r="D89" s="361">
        <v>19</v>
      </c>
      <c r="E89" s="435"/>
      <c r="F89" s="363">
        <f t="shared" si="48"/>
        <v>0</v>
      </c>
      <c r="G89" s="364"/>
      <c r="H89" s="437"/>
      <c r="I89" s="437"/>
      <c r="J89" s="439" t="str">
        <f t="shared" si="49"/>
        <v>-</v>
      </c>
      <c r="K89" s="438"/>
      <c r="L89" s="439" t="str">
        <f t="shared" si="50"/>
        <v>-</v>
      </c>
      <c r="M89" s="438"/>
      <c r="N89" s="439" t="str">
        <f t="shared" si="51"/>
        <v>-</v>
      </c>
      <c r="O89" s="440">
        <f t="shared" si="52"/>
        <v>0</v>
      </c>
      <c r="P89" s="439" t="str">
        <f t="shared" si="53"/>
        <v>-</v>
      </c>
      <c r="Q89" s="437"/>
      <c r="R89" s="439" t="str">
        <f t="shared" si="54"/>
        <v>-</v>
      </c>
      <c r="S89" s="447">
        <f t="shared" si="55"/>
        <v>0</v>
      </c>
      <c r="T89" s="440">
        <f t="shared" si="56"/>
        <v>0</v>
      </c>
      <c r="U89" s="439" t="str">
        <f t="shared" si="57"/>
        <v>-</v>
      </c>
      <c r="V89" s="451">
        <f t="shared" si="58"/>
        <v>0</v>
      </c>
      <c r="W89" s="452" t="str">
        <f t="shared" si="59"/>
        <v>-</v>
      </c>
      <c r="X89" s="453">
        <f t="shared" si="60"/>
        <v>0</v>
      </c>
      <c r="Y89" s="365" t="s">
        <v>170</v>
      </c>
      <c r="Z89" s="365" t="s">
        <v>199</v>
      </c>
      <c r="AA89" s="366"/>
      <c r="AB89" s="366"/>
      <c r="AC89" s="366">
        <v>1</v>
      </c>
      <c r="AD89" s="441"/>
    </row>
    <row r="90" spans="2:39" s="147" customFormat="1" ht="27" customHeight="1">
      <c r="B90" s="876"/>
      <c r="C90" s="877"/>
      <c r="D90" s="361">
        <v>20</v>
      </c>
      <c r="E90" s="435"/>
      <c r="F90" s="363">
        <f t="shared" si="48"/>
        <v>0</v>
      </c>
      <c r="G90" s="364"/>
      <c r="H90" s="437"/>
      <c r="I90" s="437"/>
      <c r="J90" s="439" t="str">
        <f t="shared" si="49"/>
        <v>-</v>
      </c>
      <c r="K90" s="438"/>
      <c r="L90" s="439" t="str">
        <f t="shared" si="50"/>
        <v>-</v>
      </c>
      <c r="M90" s="438"/>
      <c r="N90" s="439" t="str">
        <f t="shared" si="51"/>
        <v>-</v>
      </c>
      <c r="O90" s="440">
        <f t="shared" si="52"/>
        <v>0</v>
      </c>
      <c r="P90" s="439" t="str">
        <f t="shared" si="53"/>
        <v>-</v>
      </c>
      <c r="Q90" s="437"/>
      <c r="R90" s="439" t="str">
        <f t="shared" si="54"/>
        <v>-</v>
      </c>
      <c r="S90" s="447">
        <f t="shared" si="55"/>
        <v>0</v>
      </c>
      <c r="T90" s="440">
        <f t="shared" si="56"/>
        <v>0</v>
      </c>
      <c r="U90" s="439" t="str">
        <f t="shared" si="57"/>
        <v>-</v>
      </c>
      <c r="V90" s="451">
        <f t="shared" si="58"/>
        <v>0</v>
      </c>
      <c r="W90" s="452" t="str">
        <f t="shared" si="59"/>
        <v>-</v>
      </c>
      <c r="X90" s="453">
        <f t="shared" si="60"/>
        <v>0</v>
      </c>
      <c r="Y90" s="365" t="s">
        <v>170</v>
      </c>
      <c r="Z90" s="365" t="s">
        <v>406</v>
      </c>
      <c r="AA90" s="366"/>
      <c r="AB90" s="366"/>
      <c r="AC90" s="366">
        <v>1</v>
      </c>
      <c r="AD90" s="441"/>
    </row>
    <row r="91" spans="2:39" ht="17.100000000000001" customHeight="1">
      <c r="B91" s="878" t="s">
        <v>419</v>
      </c>
      <c r="C91" s="879"/>
      <c r="D91" s="882" t="s">
        <v>502</v>
      </c>
      <c r="E91" s="883" t="s">
        <v>503</v>
      </c>
      <c r="F91" s="907" t="s">
        <v>519</v>
      </c>
      <c r="G91" s="861" t="s">
        <v>505</v>
      </c>
      <c r="H91" s="885" t="s">
        <v>506</v>
      </c>
      <c r="I91" s="886" t="s">
        <v>507</v>
      </c>
      <c r="J91" s="887"/>
      <c r="K91" s="886" t="s">
        <v>508</v>
      </c>
      <c r="L91" s="887"/>
      <c r="M91" s="886" t="s">
        <v>509</v>
      </c>
      <c r="N91" s="887"/>
      <c r="O91" s="886" t="s">
        <v>510</v>
      </c>
      <c r="P91" s="887"/>
      <c r="Q91" s="886" t="s">
        <v>396</v>
      </c>
      <c r="R91" s="908"/>
      <c r="S91" s="887"/>
      <c r="T91" s="888" t="s">
        <v>569</v>
      </c>
      <c r="U91" s="889"/>
      <c r="V91" s="891" t="s">
        <v>568</v>
      </c>
      <c r="W91" s="892"/>
      <c r="X91" s="893"/>
      <c r="Y91" s="894" t="s">
        <v>168</v>
      </c>
      <c r="Z91" s="894" t="s">
        <v>228</v>
      </c>
      <c r="AA91" s="894" t="s">
        <v>511</v>
      </c>
      <c r="AB91" s="894" t="s">
        <v>420</v>
      </c>
      <c r="AC91" s="894" t="s">
        <v>229</v>
      </c>
      <c r="AD91" s="861" t="s">
        <v>169</v>
      </c>
      <c r="AF91" s="863" t="s">
        <v>230</v>
      </c>
      <c r="AG91" s="864"/>
      <c r="AH91" s="864"/>
      <c r="AI91" s="864"/>
      <c r="AJ91" s="864"/>
      <c r="AK91" s="864"/>
      <c r="AL91" s="864"/>
      <c r="AM91" s="865"/>
    </row>
    <row r="92" spans="2:39" ht="16.5" customHeight="1">
      <c r="B92" s="880"/>
      <c r="C92" s="881"/>
      <c r="D92" s="882"/>
      <c r="E92" s="882"/>
      <c r="F92" s="884"/>
      <c r="G92" s="862"/>
      <c r="H92" s="862"/>
      <c r="I92" s="434" t="s">
        <v>512</v>
      </c>
      <c r="J92" s="362" t="s">
        <v>513</v>
      </c>
      <c r="K92" s="434" t="s">
        <v>512</v>
      </c>
      <c r="L92" s="362" t="s">
        <v>513</v>
      </c>
      <c r="M92" s="434" t="s">
        <v>512</v>
      </c>
      <c r="N92" s="362" t="s">
        <v>513</v>
      </c>
      <c r="O92" s="434" t="s">
        <v>512</v>
      </c>
      <c r="P92" s="362" t="s">
        <v>513</v>
      </c>
      <c r="Q92" s="434" t="s">
        <v>512</v>
      </c>
      <c r="R92" s="362" t="s">
        <v>513</v>
      </c>
      <c r="S92" s="362" t="s">
        <v>514</v>
      </c>
      <c r="T92" s="434" t="s">
        <v>512</v>
      </c>
      <c r="U92" s="362" t="s">
        <v>513</v>
      </c>
      <c r="V92" s="434" t="s">
        <v>512</v>
      </c>
      <c r="W92" s="362" t="s">
        <v>513</v>
      </c>
      <c r="X92" s="362" t="s">
        <v>514</v>
      </c>
      <c r="Y92" s="895"/>
      <c r="Z92" s="895"/>
      <c r="AA92" s="895"/>
      <c r="AB92" s="895"/>
      <c r="AC92" s="895"/>
      <c r="AD92" s="862"/>
      <c r="AF92" s="866"/>
      <c r="AG92" s="867"/>
      <c r="AH92" s="867"/>
      <c r="AI92" s="867"/>
      <c r="AJ92" s="867"/>
      <c r="AK92" s="867"/>
      <c r="AL92" s="867"/>
      <c r="AM92" s="868"/>
    </row>
    <row r="93" spans="2:39" s="147" customFormat="1" ht="27" customHeight="1">
      <c r="B93" s="872" t="s">
        <v>678</v>
      </c>
      <c r="C93" s="873"/>
      <c r="D93" s="361">
        <v>1</v>
      </c>
      <c r="E93" s="435"/>
      <c r="F93" s="363">
        <f>IFERROR(T93*G93,"-")</f>
        <v>0</v>
      </c>
      <c r="G93" s="364"/>
      <c r="H93" s="437"/>
      <c r="I93" s="437"/>
      <c r="J93" s="439" t="str">
        <f>IFERROR(I93/H93,"-")</f>
        <v>-</v>
      </c>
      <c r="K93" s="438"/>
      <c r="L93" s="439" t="str">
        <f>IFERROR(K93/H93,"-")</f>
        <v>-</v>
      </c>
      <c r="M93" s="438"/>
      <c r="N93" s="439" t="str">
        <f>IFERROR(M93/H93,"-")</f>
        <v>-</v>
      </c>
      <c r="O93" s="440">
        <f>IFERROR(K93+M93,"-")</f>
        <v>0</v>
      </c>
      <c r="P93" s="439" t="str">
        <f>IFERROR(O93/H93,"-")</f>
        <v>-</v>
      </c>
      <c r="Q93" s="437"/>
      <c r="R93" s="439" t="str">
        <f>IFERROR(Q93/H93,"-")</f>
        <v>-</v>
      </c>
      <c r="S93" s="447">
        <f>IFERROR(Q93*G93,"-")</f>
        <v>0</v>
      </c>
      <c r="T93" s="440">
        <f>IFERROR(O93-H93,"-")</f>
        <v>0</v>
      </c>
      <c r="U93" s="439" t="str">
        <f>IFERROR(T93/H93,"-")</f>
        <v>-</v>
      </c>
      <c r="V93" s="451">
        <f>T93-Q93</f>
        <v>0</v>
      </c>
      <c r="W93" s="452" t="str">
        <f>IFERROR(V93/H93,"-")</f>
        <v>-</v>
      </c>
      <c r="X93" s="453">
        <f>IFERROR(V93*G93,"-")</f>
        <v>0</v>
      </c>
      <c r="Y93" s="365" t="s">
        <v>170</v>
      </c>
      <c r="Z93" s="365" t="s">
        <v>198</v>
      </c>
      <c r="AA93" s="366"/>
      <c r="AB93" s="366"/>
      <c r="AC93" s="366">
        <v>1</v>
      </c>
      <c r="AD93" s="441"/>
      <c r="AF93" s="869"/>
      <c r="AG93" s="870"/>
      <c r="AH93" s="870"/>
      <c r="AI93" s="870"/>
      <c r="AJ93" s="870"/>
      <c r="AK93" s="870"/>
      <c r="AL93" s="870"/>
      <c r="AM93" s="871"/>
    </row>
    <row r="94" spans="2:39" s="147" customFormat="1" ht="27" customHeight="1">
      <c r="B94" s="874"/>
      <c r="C94" s="875"/>
      <c r="D94" s="361">
        <v>2</v>
      </c>
      <c r="E94" s="435"/>
      <c r="F94" s="363">
        <f t="shared" ref="F94:F112" si="64">IFERROR(T94*G94,"-")</f>
        <v>0</v>
      </c>
      <c r="G94" s="364"/>
      <c r="H94" s="437"/>
      <c r="I94" s="437"/>
      <c r="J94" s="439" t="str">
        <f t="shared" ref="J94:J112" si="65">IFERROR(I94/H94,"-")</f>
        <v>-</v>
      </c>
      <c r="K94" s="438"/>
      <c r="L94" s="439" t="str">
        <f t="shared" ref="L94:L112" si="66">IFERROR(K94/H94,"-")</f>
        <v>-</v>
      </c>
      <c r="M94" s="438"/>
      <c r="N94" s="439" t="str">
        <f t="shared" ref="N94:N112" si="67">IFERROR(M94/H94,"-")</f>
        <v>-</v>
      </c>
      <c r="O94" s="440">
        <f t="shared" ref="O94:O112" si="68">IFERROR(K94+M94,"-")</f>
        <v>0</v>
      </c>
      <c r="P94" s="439" t="str">
        <f t="shared" ref="P94:P112" si="69">IFERROR(O94/H94,"-")</f>
        <v>-</v>
      </c>
      <c r="Q94" s="437"/>
      <c r="R94" s="439" t="str">
        <f t="shared" ref="R94:R112" si="70">IFERROR(Q94/H94,"-")</f>
        <v>-</v>
      </c>
      <c r="S94" s="447">
        <f t="shared" ref="S94:S112" si="71">IFERROR(Q94*G94,"-")</f>
        <v>0</v>
      </c>
      <c r="T94" s="440">
        <f t="shared" ref="T94:T112" si="72">IFERROR(O94-H94,"-")</f>
        <v>0</v>
      </c>
      <c r="U94" s="439" t="str">
        <f t="shared" ref="U94:U112" si="73">IFERROR(T94/H94,"-")</f>
        <v>-</v>
      </c>
      <c r="V94" s="451">
        <f t="shared" ref="V94:V112" si="74">T94-Q94</f>
        <v>0</v>
      </c>
      <c r="W94" s="452" t="str">
        <f t="shared" ref="W94:W112" si="75">IFERROR(V94/H94,"-")</f>
        <v>-</v>
      </c>
      <c r="X94" s="453">
        <f t="shared" ref="X94:X112" si="76">IFERROR(V94*G94,"-")</f>
        <v>0</v>
      </c>
      <c r="Y94" s="365" t="s">
        <v>170</v>
      </c>
      <c r="Z94" s="365" t="s">
        <v>199</v>
      </c>
      <c r="AA94" s="366"/>
      <c r="AB94" s="366"/>
      <c r="AC94" s="366">
        <v>1</v>
      </c>
      <c r="AD94" s="441"/>
      <c r="AF94" s="160" t="s">
        <v>227</v>
      </c>
      <c r="AG94" s="160" t="s">
        <v>421</v>
      </c>
      <c r="AH94" s="155" t="s">
        <v>515</v>
      </c>
      <c r="AI94" s="155" t="s">
        <v>316</v>
      </c>
      <c r="AJ94" s="155" t="s">
        <v>406</v>
      </c>
      <c r="AK94" s="155" t="s">
        <v>198</v>
      </c>
      <c r="AL94" s="155" t="s">
        <v>199</v>
      </c>
      <c r="AM94" s="155" t="s">
        <v>362</v>
      </c>
    </row>
    <row r="95" spans="2:39" s="147" customFormat="1" ht="27" customHeight="1">
      <c r="B95" s="874"/>
      <c r="C95" s="875"/>
      <c r="D95" s="361">
        <v>3</v>
      </c>
      <c r="E95" s="435"/>
      <c r="F95" s="363">
        <f t="shared" si="64"/>
        <v>0</v>
      </c>
      <c r="G95" s="364"/>
      <c r="H95" s="437"/>
      <c r="I95" s="437"/>
      <c r="J95" s="439" t="str">
        <f t="shared" si="65"/>
        <v>-</v>
      </c>
      <c r="K95" s="438"/>
      <c r="L95" s="439" t="str">
        <f t="shared" si="66"/>
        <v>-</v>
      </c>
      <c r="M95" s="438"/>
      <c r="N95" s="439" t="str">
        <f t="shared" si="67"/>
        <v>-</v>
      </c>
      <c r="O95" s="440">
        <f t="shared" si="68"/>
        <v>0</v>
      </c>
      <c r="P95" s="439" t="str">
        <f t="shared" si="69"/>
        <v>-</v>
      </c>
      <c r="Q95" s="437"/>
      <c r="R95" s="439" t="str">
        <f t="shared" si="70"/>
        <v>-</v>
      </c>
      <c r="S95" s="447">
        <f t="shared" si="71"/>
        <v>0</v>
      </c>
      <c r="T95" s="440">
        <f t="shared" si="72"/>
        <v>0</v>
      </c>
      <c r="U95" s="439" t="str">
        <f t="shared" si="73"/>
        <v>-</v>
      </c>
      <c r="V95" s="451">
        <f t="shared" si="74"/>
        <v>0</v>
      </c>
      <c r="W95" s="452" t="str">
        <f t="shared" si="75"/>
        <v>-</v>
      </c>
      <c r="X95" s="453">
        <f t="shared" si="76"/>
        <v>0</v>
      </c>
      <c r="Y95" s="365" t="s">
        <v>170</v>
      </c>
      <c r="Z95" s="365" t="s">
        <v>406</v>
      </c>
      <c r="AA95" s="366"/>
      <c r="AB95" s="366"/>
      <c r="AC95" s="366">
        <v>1</v>
      </c>
      <c r="AD95" s="441"/>
      <c r="AF95" s="371">
        <f>SUM(AC93:AC112)</f>
        <v>20</v>
      </c>
      <c r="AG95" s="367">
        <f>SUMIF($Z$93:$Z$112,TRIM(AG94),$AC$93:$AC$112)</f>
        <v>0</v>
      </c>
      <c r="AH95" s="367">
        <f t="shared" ref="AH95:AM95" si="77">SUMIF($Z$93:$Z$112,TRIM(AH94),$AC$93:$AC$112)</f>
        <v>0</v>
      </c>
      <c r="AI95" s="367">
        <f t="shared" si="77"/>
        <v>0</v>
      </c>
      <c r="AJ95" s="367">
        <f t="shared" si="77"/>
        <v>13</v>
      </c>
      <c r="AK95" s="367">
        <f t="shared" si="77"/>
        <v>1</v>
      </c>
      <c r="AL95" s="367">
        <f t="shared" si="77"/>
        <v>6</v>
      </c>
      <c r="AM95" s="367">
        <f t="shared" si="77"/>
        <v>0</v>
      </c>
    </row>
    <row r="96" spans="2:39" s="147" customFormat="1" ht="27" customHeight="1">
      <c r="B96" s="874"/>
      <c r="C96" s="875"/>
      <c r="D96" s="361">
        <v>4</v>
      </c>
      <c r="E96" s="435"/>
      <c r="F96" s="363">
        <f t="shared" si="64"/>
        <v>0</v>
      </c>
      <c r="G96" s="364"/>
      <c r="H96" s="437"/>
      <c r="I96" s="437"/>
      <c r="J96" s="439" t="str">
        <f t="shared" si="65"/>
        <v>-</v>
      </c>
      <c r="K96" s="438"/>
      <c r="L96" s="439" t="str">
        <f t="shared" si="66"/>
        <v>-</v>
      </c>
      <c r="M96" s="438"/>
      <c r="N96" s="439" t="str">
        <f t="shared" si="67"/>
        <v>-</v>
      </c>
      <c r="O96" s="440">
        <f t="shared" si="68"/>
        <v>0</v>
      </c>
      <c r="P96" s="439" t="str">
        <f t="shared" si="69"/>
        <v>-</v>
      </c>
      <c r="Q96" s="437"/>
      <c r="R96" s="439" t="str">
        <f t="shared" si="70"/>
        <v>-</v>
      </c>
      <c r="S96" s="447">
        <f t="shared" si="71"/>
        <v>0</v>
      </c>
      <c r="T96" s="440">
        <f t="shared" si="72"/>
        <v>0</v>
      </c>
      <c r="U96" s="439" t="str">
        <f t="shared" si="73"/>
        <v>-</v>
      </c>
      <c r="V96" s="451">
        <f t="shared" si="74"/>
        <v>0</v>
      </c>
      <c r="W96" s="452" t="str">
        <f t="shared" si="75"/>
        <v>-</v>
      </c>
      <c r="X96" s="453">
        <f t="shared" si="76"/>
        <v>0</v>
      </c>
      <c r="Y96" s="365" t="s">
        <v>170</v>
      </c>
      <c r="Z96" s="365" t="s">
        <v>199</v>
      </c>
      <c r="AA96" s="366"/>
      <c r="AB96" s="366"/>
      <c r="AC96" s="366">
        <v>1</v>
      </c>
      <c r="AD96" s="441"/>
      <c r="AF96" s="372" t="s">
        <v>11</v>
      </c>
      <c r="AG96" s="369">
        <f>SUMIF($Z$93:$Z$112,TRIM(AG94),$F$93:$F$112)</f>
        <v>0</v>
      </c>
      <c r="AH96" s="369">
        <f t="shared" ref="AH96:AM96" si="78">SUMIF($Z$93:$Z$112,TRIM(AH94),$F$93:$F$112)</f>
        <v>0</v>
      </c>
      <c r="AI96" s="369">
        <f t="shared" si="78"/>
        <v>0</v>
      </c>
      <c r="AJ96" s="369">
        <f t="shared" si="78"/>
        <v>0</v>
      </c>
      <c r="AK96" s="369">
        <f t="shared" si="78"/>
        <v>0</v>
      </c>
      <c r="AL96" s="369">
        <f t="shared" si="78"/>
        <v>0</v>
      </c>
      <c r="AM96" s="369">
        <f t="shared" si="78"/>
        <v>0</v>
      </c>
    </row>
    <row r="97" spans="2:39" s="147" customFormat="1" ht="27" customHeight="1">
      <c r="B97" s="874"/>
      <c r="C97" s="875"/>
      <c r="D97" s="361">
        <v>5</v>
      </c>
      <c r="E97" s="435"/>
      <c r="F97" s="363">
        <f t="shared" si="64"/>
        <v>0</v>
      </c>
      <c r="G97" s="364"/>
      <c r="H97" s="437"/>
      <c r="I97" s="437"/>
      <c r="J97" s="439" t="str">
        <f t="shared" si="65"/>
        <v>-</v>
      </c>
      <c r="K97" s="438"/>
      <c r="L97" s="439" t="str">
        <f t="shared" si="66"/>
        <v>-</v>
      </c>
      <c r="M97" s="438"/>
      <c r="N97" s="439" t="str">
        <f t="shared" si="67"/>
        <v>-</v>
      </c>
      <c r="O97" s="440">
        <f t="shared" si="68"/>
        <v>0</v>
      </c>
      <c r="P97" s="439" t="str">
        <f t="shared" si="69"/>
        <v>-</v>
      </c>
      <c r="Q97" s="437"/>
      <c r="R97" s="439" t="str">
        <f t="shared" si="70"/>
        <v>-</v>
      </c>
      <c r="S97" s="447">
        <f t="shared" si="71"/>
        <v>0</v>
      </c>
      <c r="T97" s="440">
        <f t="shared" si="72"/>
        <v>0</v>
      </c>
      <c r="U97" s="439" t="str">
        <f t="shared" si="73"/>
        <v>-</v>
      </c>
      <c r="V97" s="451">
        <f t="shared" si="74"/>
        <v>0</v>
      </c>
      <c r="W97" s="452" t="str">
        <f t="shared" si="75"/>
        <v>-</v>
      </c>
      <c r="X97" s="453">
        <f t="shared" si="76"/>
        <v>0</v>
      </c>
      <c r="Y97" s="365" t="s">
        <v>170</v>
      </c>
      <c r="Z97" s="365" t="s">
        <v>199</v>
      </c>
      <c r="AA97" s="366"/>
      <c r="AB97" s="366"/>
      <c r="AC97" s="366">
        <v>1</v>
      </c>
      <c r="AD97" s="441"/>
      <c r="AF97" s="361" t="s">
        <v>516</v>
      </c>
      <c r="AG97" s="370">
        <f t="shared" ref="AG97:AM97" si="79">AG95/$AF95</f>
        <v>0</v>
      </c>
      <c r="AH97" s="370">
        <f t="shared" si="79"/>
        <v>0</v>
      </c>
      <c r="AI97" s="370">
        <f t="shared" si="79"/>
        <v>0</v>
      </c>
      <c r="AJ97" s="370">
        <f t="shared" si="79"/>
        <v>0.65</v>
      </c>
      <c r="AK97" s="370">
        <f t="shared" si="79"/>
        <v>0.05</v>
      </c>
      <c r="AL97" s="370">
        <f t="shared" si="79"/>
        <v>0.3</v>
      </c>
      <c r="AM97" s="370">
        <f t="shared" si="79"/>
        <v>0</v>
      </c>
    </row>
    <row r="98" spans="2:39" s="147" customFormat="1" ht="27" customHeight="1">
      <c r="B98" s="874"/>
      <c r="C98" s="875"/>
      <c r="D98" s="361">
        <v>6</v>
      </c>
      <c r="E98" s="435"/>
      <c r="F98" s="363">
        <f t="shared" si="64"/>
        <v>0</v>
      </c>
      <c r="G98" s="364"/>
      <c r="H98" s="437"/>
      <c r="I98" s="437"/>
      <c r="J98" s="439" t="str">
        <f t="shared" si="65"/>
        <v>-</v>
      </c>
      <c r="K98" s="438"/>
      <c r="L98" s="439" t="str">
        <f t="shared" si="66"/>
        <v>-</v>
      </c>
      <c r="M98" s="438"/>
      <c r="N98" s="439" t="str">
        <f t="shared" si="67"/>
        <v>-</v>
      </c>
      <c r="O98" s="440">
        <f t="shared" si="68"/>
        <v>0</v>
      </c>
      <c r="P98" s="439" t="str">
        <f t="shared" si="69"/>
        <v>-</v>
      </c>
      <c r="Q98" s="437"/>
      <c r="R98" s="439" t="str">
        <f t="shared" si="70"/>
        <v>-</v>
      </c>
      <c r="S98" s="447">
        <f t="shared" si="71"/>
        <v>0</v>
      </c>
      <c r="T98" s="440">
        <f t="shared" si="72"/>
        <v>0</v>
      </c>
      <c r="U98" s="439" t="str">
        <f t="shared" si="73"/>
        <v>-</v>
      </c>
      <c r="V98" s="451">
        <f t="shared" si="74"/>
        <v>0</v>
      </c>
      <c r="W98" s="452" t="str">
        <f t="shared" si="75"/>
        <v>-</v>
      </c>
      <c r="X98" s="453">
        <f t="shared" si="76"/>
        <v>0</v>
      </c>
      <c r="Y98" s="365" t="s">
        <v>170</v>
      </c>
      <c r="Z98" s="365" t="s">
        <v>406</v>
      </c>
      <c r="AA98" s="366"/>
      <c r="AB98" s="366"/>
      <c r="AC98" s="366">
        <v>1</v>
      </c>
      <c r="AD98" s="441"/>
    </row>
    <row r="99" spans="2:39" s="147" customFormat="1" ht="27" customHeight="1">
      <c r="B99" s="874"/>
      <c r="C99" s="875"/>
      <c r="D99" s="361">
        <v>7</v>
      </c>
      <c r="E99" s="435"/>
      <c r="F99" s="363">
        <f t="shared" si="64"/>
        <v>0</v>
      </c>
      <c r="G99" s="364"/>
      <c r="H99" s="437"/>
      <c r="I99" s="437"/>
      <c r="J99" s="439" t="str">
        <f t="shared" si="65"/>
        <v>-</v>
      </c>
      <c r="K99" s="438"/>
      <c r="L99" s="439" t="str">
        <f t="shared" si="66"/>
        <v>-</v>
      </c>
      <c r="M99" s="438"/>
      <c r="N99" s="439" t="str">
        <f t="shared" si="67"/>
        <v>-</v>
      </c>
      <c r="O99" s="440">
        <f t="shared" si="68"/>
        <v>0</v>
      </c>
      <c r="P99" s="439" t="str">
        <f t="shared" si="69"/>
        <v>-</v>
      </c>
      <c r="Q99" s="437"/>
      <c r="R99" s="439" t="str">
        <f t="shared" si="70"/>
        <v>-</v>
      </c>
      <c r="S99" s="447">
        <f t="shared" si="71"/>
        <v>0</v>
      </c>
      <c r="T99" s="440">
        <f t="shared" si="72"/>
        <v>0</v>
      </c>
      <c r="U99" s="439" t="str">
        <f t="shared" si="73"/>
        <v>-</v>
      </c>
      <c r="V99" s="451">
        <f t="shared" si="74"/>
        <v>0</v>
      </c>
      <c r="W99" s="452" t="str">
        <f t="shared" si="75"/>
        <v>-</v>
      </c>
      <c r="X99" s="453">
        <f t="shared" si="76"/>
        <v>0</v>
      </c>
      <c r="Y99" s="365" t="s">
        <v>170</v>
      </c>
      <c r="Z99" s="365" t="s">
        <v>199</v>
      </c>
      <c r="AA99" s="366"/>
      <c r="AB99" s="366"/>
      <c r="AC99" s="366">
        <v>1</v>
      </c>
      <c r="AD99" s="441"/>
    </row>
    <row r="100" spans="2:39" s="147" customFormat="1" ht="27" customHeight="1">
      <c r="B100" s="874"/>
      <c r="C100" s="875"/>
      <c r="D100" s="361">
        <v>8</v>
      </c>
      <c r="E100" s="435"/>
      <c r="F100" s="363">
        <f t="shared" si="64"/>
        <v>0</v>
      </c>
      <c r="G100" s="364"/>
      <c r="H100" s="437"/>
      <c r="I100" s="437"/>
      <c r="J100" s="439" t="str">
        <f t="shared" si="65"/>
        <v>-</v>
      </c>
      <c r="K100" s="438"/>
      <c r="L100" s="439" t="str">
        <f t="shared" si="66"/>
        <v>-</v>
      </c>
      <c r="M100" s="438"/>
      <c r="N100" s="439" t="str">
        <f t="shared" si="67"/>
        <v>-</v>
      </c>
      <c r="O100" s="440">
        <f t="shared" si="68"/>
        <v>0</v>
      </c>
      <c r="P100" s="439" t="str">
        <f t="shared" si="69"/>
        <v>-</v>
      </c>
      <c r="Q100" s="437"/>
      <c r="R100" s="439" t="str">
        <f t="shared" si="70"/>
        <v>-</v>
      </c>
      <c r="S100" s="447">
        <f t="shared" si="71"/>
        <v>0</v>
      </c>
      <c r="T100" s="440">
        <f t="shared" si="72"/>
        <v>0</v>
      </c>
      <c r="U100" s="439" t="str">
        <f t="shared" si="73"/>
        <v>-</v>
      </c>
      <c r="V100" s="451">
        <f t="shared" si="74"/>
        <v>0</v>
      </c>
      <c r="W100" s="452" t="str">
        <f t="shared" si="75"/>
        <v>-</v>
      </c>
      <c r="X100" s="453">
        <f t="shared" si="76"/>
        <v>0</v>
      </c>
      <c r="Y100" s="365" t="s">
        <v>170</v>
      </c>
      <c r="Z100" s="365" t="s">
        <v>406</v>
      </c>
      <c r="AA100" s="366"/>
      <c r="AB100" s="366"/>
      <c r="AC100" s="366">
        <v>1</v>
      </c>
      <c r="AD100" s="441"/>
    </row>
    <row r="101" spans="2:39" s="147" customFormat="1" ht="27" customHeight="1">
      <c r="B101" s="874"/>
      <c r="C101" s="875"/>
      <c r="D101" s="361">
        <v>9</v>
      </c>
      <c r="E101" s="435"/>
      <c r="F101" s="363">
        <f t="shared" si="64"/>
        <v>0</v>
      </c>
      <c r="G101" s="364"/>
      <c r="H101" s="437"/>
      <c r="I101" s="437"/>
      <c r="J101" s="439" t="str">
        <f t="shared" si="65"/>
        <v>-</v>
      </c>
      <c r="K101" s="438"/>
      <c r="L101" s="439" t="str">
        <f t="shared" si="66"/>
        <v>-</v>
      </c>
      <c r="M101" s="438"/>
      <c r="N101" s="439" t="str">
        <f t="shared" si="67"/>
        <v>-</v>
      </c>
      <c r="O101" s="440">
        <f t="shared" si="68"/>
        <v>0</v>
      </c>
      <c r="P101" s="439" t="str">
        <f t="shared" si="69"/>
        <v>-</v>
      </c>
      <c r="Q101" s="437"/>
      <c r="R101" s="439" t="str">
        <f t="shared" si="70"/>
        <v>-</v>
      </c>
      <c r="S101" s="447">
        <f t="shared" si="71"/>
        <v>0</v>
      </c>
      <c r="T101" s="440">
        <f t="shared" si="72"/>
        <v>0</v>
      </c>
      <c r="U101" s="439" t="str">
        <f t="shared" si="73"/>
        <v>-</v>
      </c>
      <c r="V101" s="451">
        <f t="shared" si="74"/>
        <v>0</v>
      </c>
      <c r="W101" s="452" t="str">
        <f t="shared" si="75"/>
        <v>-</v>
      </c>
      <c r="X101" s="453">
        <f t="shared" si="76"/>
        <v>0</v>
      </c>
      <c r="Y101" s="365" t="s">
        <v>170</v>
      </c>
      <c r="Z101" s="365" t="s">
        <v>406</v>
      </c>
      <c r="AA101" s="366"/>
      <c r="AB101" s="366"/>
      <c r="AC101" s="366">
        <v>1</v>
      </c>
      <c r="AD101" s="441"/>
      <c r="AH101" s="368"/>
    </row>
    <row r="102" spans="2:39" s="147" customFormat="1" ht="27" customHeight="1">
      <c r="B102" s="874"/>
      <c r="C102" s="875"/>
      <c r="D102" s="361">
        <v>10</v>
      </c>
      <c r="E102" s="435"/>
      <c r="F102" s="363">
        <f t="shared" si="64"/>
        <v>0</v>
      </c>
      <c r="G102" s="364"/>
      <c r="H102" s="437"/>
      <c r="I102" s="437"/>
      <c r="J102" s="439" t="str">
        <f t="shared" si="65"/>
        <v>-</v>
      </c>
      <c r="K102" s="438"/>
      <c r="L102" s="439" t="str">
        <f t="shared" si="66"/>
        <v>-</v>
      </c>
      <c r="M102" s="438"/>
      <c r="N102" s="439" t="str">
        <f t="shared" si="67"/>
        <v>-</v>
      </c>
      <c r="O102" s="440">
        <f t="shared" si="68"/>
        <v>0</v>
      </c>
      <c r="P102" s="439" t="str">
        <f t="shared" si="69"/>
        <v>-</v>
      </c>
      <c r="Q102" s="437"/>
      <c r="R102" s="439" t="str">
        <f t="shared" si="70"/>
        <v>-</v>
      </c>
      <c r="S102" s="447">
        <f t="shared" si="71"/>
        <v>0</v>
      </c>
      <c r="T102" s="440">
        <f t="shared" si="72"/>
        <v>0</v>
      </c>
      <c r="U102" s="439" t="str">
        <f t="shared" si="73"/>
        <v>-</v>
      </c>
      <c r="V102" s="451">
        <f t="shared" si="74"/>
        <v>0</v>
      </c>
      <c r="W102" s="452" t="str">
        <f t="shared" si="75"/>
        <v>-</v>
      </c>
      <c r="X102" s="453">
        <f t="shared" si="76"/>
        <v>0</v>
      </c>
      <c r="Y102" s="365" t="s">
        <v>170</v>
      </c>
      <c r="Z102" s="365" t="s">
        <v>406</v>
      </c>
      <c r="AA102" s="366"/>
      <c r="AB102" s="366"/>
      <c r="AC102" s="366">
        <v>1</v>
      </c>
      <c r="AD102" s="441"/>
      <c r="AH102" s="368"/>
    </row>
    <row r="103" spans="2:39" s="147" customFormat="1" ht="27" customHeight="1">
      <c r="B103" s="874"/>
      <c r="C103" s="875"/>
      <c r="D103" s="361">
        <v>11</v>
      </c>
      <c r="E103" s="435"/>
      <c r="F103" s="363">
        <f t="shared" si="64"/>
        <v>0</v>
      </c>
      <c r="G103" s="364"/>
      <c r="H103" s="437"/>
      <c r="I103" s="437"/>
      <c r="J103" s="439" t="str">
        <f t="shared" si="65"/>
        <v>-</v>
      </c>
      <c r="K103" s="438"/>
      <c r="L103" s="439" t="str">
        <f t="shared" si="66"/>
        <v>-</v>
      </c>
      <c r="M103" s="438"/>
      <c r="N103" s="439" t="str">
        <f t="shared" si="67"/>
        <v>-</v>
      </c>
      <c r="O103" s="440">
        <f t="shared" si="68"/>
        <v>0</v>
      </c>
      <c r="P103" s="439" t="str">
        <f t="shared" si="69"/>
        <v>-</v>
      </c>
      <c r="Q103" s="437"/>
      <c r="R103" s="439" t="str">
        <f t="shared" si="70"/>
        <v>-</v>
      </c>
      <c r="S103" s="447">
        <f t="shared" si="71"/>
        <v>0</v>
      </c>
      <c r="T103" s="440">
        <f t="shared" si="72"/>
        <v>0</v>
      </c>
      <c r="U103" s="439" t="str">
        <f t="shared" si="73"/>
        <v>-</v>
      </c>
      <c r="V103" s="451">
        <f t="shared" si="74"/>
        <v>0</v>
      </c>
      <c r="W103" s="452" t="str">
        <f t="shared" si="75"/>
        <v>-</v>
      </c>
      <c r="X103" s="453">
        <f t="shared" si="76"/>
        <v>0</v>
      </c>
      <c r="Y103" s="365" t="s">
        <v>170</v>
      </c>
      <c r="Z103" s="365" t="s">
        <v>406</v>
      </c>
      <c r="AA103" s="366"/>
      <c r="AB103" s="366"/>
      <c r="AC103" s="366">
        <v>1</v>
      </c>
      <c r="AD103" s="441"/>
      <c r="AH103" s="368"/>
    </row>
    <row r="104" spans="2:39" s="147" customFormat="1" ht="27" customHeight="1">
      <c r="B104" s="874"/>
      <c r="C104" s="875"/>
      <c r="D104" s="361">
        <v>12</v>
      </c>
      <c r="E104" s="435"/>
      <c r="F104" s="363">
        <f t="shared" si="64"/>
        <v>0</v>
      </c>
      <c r="G104" s="364"/>
      <c r="H104" s="437"/>
      <c r="I104" s="437"/>
      <c r="J104" s="439" t="str">
        <f t="shared" si="65"/>
        <v>-</v>
      </c>
      <c r="K104" s="438"/>
      <c r="L104" s="439" t="str">
        <f t="shared" si="66"/>
        <v>-</v>
      </c>
      <c r="M104" s="438"/>
      <c r="N104" s="439" t="str">
        <f t="shared" si="67"/>
        <v>-</v>
      </c>
      <c r="O104" s="440">
        <f t="shared" si="68"/>
        <v>0</v>
      </c>
      <c r="P104" s="439" t="str">
        <f t="shared" si="69"/>
        <v>-</v>
      </c>
      <c r="Q104" s="437"/>
      <c r="R104" s="439" t="str">
        <f t="shared" si="70"/>
        <v>-</v>
      </c>
      <c r="S104" s="447">
        <f t="shared" si="71"/>
        <v>0</v>
      </c>
      <c r="T104" s="440">
        <f t="shared" si="72"/>
        <v>0</v>
      </c>
      <c r="U104" s="439" t="str">
        <f t="shared" si="73"/>
        <v>-</v>
      </c>
      <c r="V104" s="451">
        <f t="shared" si="74"/>
        <v>0</v>
      </c>
      <c r="W104" s="452" t="str">
        <f t="shared" si="75"/>
        <v>-</v>
      </c>
      <c r="X104" s="453">
        <f t="shared" si="76"/>
        <v>0</v>
      </c>
      <c r="Y104" s="365" t="s">
        <v>170</v>
      </c>
      <c r="Z104" s="365" t="s">
        <v>199</v>
      </c>
      <c r="AA104" s="366"/>
      <c r="AB104" s="366"/>
      <c r="AC104" s="366">
        <v>1</v>
      </c>
      <c r="AD104" s="441"/>
      <c r="AH104" s="368"/>
    </row>
    <row r="105" spans="2:39" s="147" customFormat="1" ht="27" customHeight="1">
      <c r="B105" s="874"/>
      <c r="C105" s="875"/>
      <c r="D105" s="361">
        <v>13</v>
      </c>
      <c r="E105" s="435"/>
      <c r="F105" s="363">
        <f t="shared" si="64"/>
        <v>0</v>
      </c>
      <c r="G105" s="364"/>
      <c r="H105" s="437"/>
      <c r="I105" s="437"/>
      <c r="J105" s="439" t="str">
        <f t="shared" si="65"/>
        <v>-</v>
      </c>
      <c r="K105" s="438"/>
      <c r="L105" s="439" t="str">
        <f t="shared" si="66"/>
        <v>-</v>
      </c>
      <c r="M105" s="438"/>
      <c r="N105" s="439" t="str">
        <f t="shared" si="67"/>
        <v>-</v>
      </c>
      <c r="O105" s="440">
        <f t="shared" si="68"/>
        <v>0</v>
      </c>
      <c r="P105" s="439" t="str">
        <f t="shared" si="69"/>
        <v>-</v>
      </c>
      <c r="Q105" s="437"/>
      <c r="R105" s="439" t="str">
        <f t="shared" si="70"/>
        <v>-</v>
      </c>
      <c r="S105" s="447">
        <f t="shared" si="71"/>
        <v>0</v>
      </c>
      <c r="T105" s="440">
        <f t="shared" si="72"/>
        <v>0</v>
      </c>
      <c r="U105" s="439" t="str">
        <f t="shared" si="73"/>
        <v>-</v>
      </c>
      <c r="V105" s="451">
        <f t="shared" si="74"/>
        <v>0</v>
      </c>
      <c r="W105" s="452" t="str">
        <f t="shared" si="75"/>
        <v>-</v>
      </c>
      <c r="X105" s="453">
        <f t="shared" si="76"/>
        <v>0</v>
      </c>
      <c r="Y105" s="365" t="s">
        <v>170</v>
      </c>
      <c r="Z105" s="365" t="s">
        <v>406</v>
      </c>
      <c r="AA105" s="366"/>
      <c r="AB105" s="366"/>
      <c r="AC105" s="366">
        <v>1</v>
      </c>
      <c r="AD105" s="441"/>
    </row>
    <row r="106" spans="2:39" s="147" customFormat="1" ht="27" customHeight="1">
      <c r="B106" s="874"/>
      <c r="C106" s="875"/>
      <c r="D106" s="361">
        <v>14</v>
      </c>
      <c r="E106" s="435"/>
      <c r="F106" s="363">
        <f t="shared" si="64"/>
        <v>0</v>
      </c>
      <c r="G106" s="364"/>
      <c r="H106" s="437"/>
      <c r="I106" s="437"/>
      <c r="J106" s="439" t="str">
        <f t="shared" si="65"/>
        <v>-</v>
      </c>
      <c r="K106" s="438"/>
      <c r="L106" s="439" t="str">
        <f t="shared" si="66"/>
        <v>-</v>
      </c>
      <c r="M106" s="438"/>
      <c r="N106" s="439" t="str">
        <f t="shared" si="67"/>
        <v>-</v>
      </c>
      <c r="O106" s="440">
        <f t="shared" si="68"/>
        <v>0</v>
      </c>
      <c r="P106" s="439" t="str">
        <f t="shared" si="69"/>
        <v>-</v>
      </c>
      <c r="Q106" s="437"/>
      <c r="R106" s="439" t="str">
        <f t="shared" si="70"/>
        <v>-</v>
      </c>
      <c r="S106" s="447">
        <f t="shared" si="71"/>
        <v>0</v>
      </c>
      <c r="T106" s="440">
        <f t="shared" si="72"/>
        <v>0</v>
      </c>
      <c r="U106" s="439" t="str">
        <f t="shared" si="73"/>
        <v>-</v>
      </c>
      <c r="V106" s="451">
        <f t="shared" si="74"/>
        <v>0</v>
      </c>
      <c r="W106" s="452" t="str">
        <f t="shared" si="75"/>
        <v>-</v>
      </c>
      <c r="X106" s="453">
        <f t="shared" si="76"/>
        <v>0</v>
      </c>
      <c r="Y106" s="365" t="s">
        <v>170</v>
      </c>
      <c r="Z106" s="365" t="s">
        <v>406</v>
      </c>
      <c r="AA106" s="366"/>
      <c r="AB106" s="366"/>
      <c r="AC106" s="366">
        <v>1</v>
      </c>
      <c r="AD106" s="441"/>
      <c r="AF106" s="898" t="s">
        <v>230</v>
      </c>
      <c r="AG106" s="899"/>
      <c r="AH106" s="899"/>
      <c r="AI106" s="899"/>
      <c r="AJ106" s="899"/>
      <c r="AK106" s="899"/>
      <c r="AL106" s="899"/>
      <c r="AM106" s="900"/>
    </row>
    <row r="107" spans="2:39" s="147" customFormat="1" ht="27" customHeight="1">
      <c r="B107" s="874"/>
      <c r="C107" s="875"/>
      <c r="D107" s="361">
        <v>15</v>
      </c>
      <c r="E107" s="435"/>
      <c r="F107" s="363">
        <f t="shared" si="64"/>
        <v>0</v>
      </c>
      <c r="G107" s="364"/>
      <c r="H107" s="437"/>
      <c r="I107" s="437"/>
      <c r="J107" s="439" t="str">
        <f t="shared" si="65"/>
        <v>-</v>
      </c>
      <c r="K107" s="438"/>
      <c r="L107" s="439" t="str">
        <f t="shared" si="66"/>
        <v>-</v>
      </c>
      <c r="M107" s="438"/>
      <c r="N107" s="439" t="str">
        <f t="shared" si="67"/>
        <v>-</v>
      </c>
      <c r="O107" s="440">
        <f t="shared" si="68"/>
        <v>0</v>
      </c>
      <c r="P107" s="439" t="str">
        <f t="shared" si="69"/>
        <v>-</v>
      </c>
      <c r="Q107" s="437"/>
      <c r="R107" s="439" t="str">
        <f t="shared" si="70"/>
        <v>-</v>
      </c>
      <c r="S107" s="447">
        <f t="shared" si="71"/>
        <v>0</v>
      </c>
      <c r="T107" s="440">
        <f t="shared" si="72"/>
        <v>0</v>
      </c>
      <c r="U107" s="439" t="str">
        <f t="shared" si="73"/>
        <v>-</v>
      </c>
      <c r="V107" s="451">
        <f t="shared" si="74"/>
        <v>0</v>
      </c>
      <c r="W107" s="452" t="str">
        <f t="shared" si="75"/>
        <v>-</v>
      </c>
      <c r="X107" s="453">
        <f t="shared" si="76"/>
        <v>0</v>
      </c>
      <c r="Y107" s="365" t="s">
        <v>170</v>
      </c>
      <c r="Z107" s="365" t="s">
        <v>406</v>
      </c>
      <c r="AA107" s="366"/>
      <c r="AB107" s="366"/>
      <c r="AC107" s="366">
        <v>1</v>
      </c>
      <c r="AD107" s="441"/>
      <c r="AF107" s="901"/>
      <c r="AG107" s="902"/>
      <c r="AH107" s="902"/>
      <c r="AI107" s="902"/>
      <c r="AJ107" s="902"/>
      <c r="AK107" s="902"/>
      <c r="AL107" s="902"/>
      <c r="AM107" s="903"/>
    </row>
    <row r="108" spans="2:39" s="147" customFormat="1" ht="27" customHeight="1">
      <c r="B108" s="874"/>
      <c r="C108" s="875"/>
      <c r="D108" s="361">
        <v>16</v>
      </c>
      <c r="E108" s="435"/>
      <c r="F108" s="363">
        <f t="shared" si="64"/>
        <v>0</v>
      </c>
      <c r="G108" s="364"/>
      <c r="H108" s="437"/>
      <c r="I108" s="437"/>
      <c r="J108" s="439" t="str">
        <f t="shared" si="65"/>
        <v>-</v>
      </c>
      <c r="K108" s="438"/>
      <c r="L108" s="439" t="str">
        <f t="shared" si="66"/>
        <v>-</v>
      </c>
      <c r="M108" s="438"/>
      <c r="N108" s="439" t="str">
        <f t="shared" si="67"/>
        <v>-</v>
      </c>
      <c r="O108" s="440">
        <f t="shared" si="68"/>
        <v>0</v>
      </c>
      <c r="P108" s="439" t="str">
        <f t="shared" si="69"/>
        <v>-</v>
      </c>
      <c r="Q108" s="437"/>
      <c r="R108" s="439" t="str">
        <f t="shared" si="70"/>
        <v>-</v>
      </c>
      <c r="S108" s="447">
        <f t="shared" si="71"/>
        <v>0</v>
      </c>
      <c r="T108" s="440">
        <f t="shared" si="72"/>
        <v>0</v>
      </c>
      <c r="U108" s="439" t="str">
        <f t="shared" si="73"/>
        <v>-</v>
      </c>
      <c r="V108" s="451">
        <f t="shared" si="74"/>
        <v>0</v>
      </c>
      <c r="W108" s="452" t="str">
        <f t="shared" si="75"/>
        <v>-</v>
      </c>
      <c r="X108" s="453">
        <f t="shared" si="76"/>
        <v>0</v>
      </c>
      <c r="Y108" s="365" t="s">
        <v>170</v>
      </c>
      <c r="Z108" s="365" t="s">
        <v>406</v>
      </c>
      <c r="AA108" s="366"/>
      <c r="AB108" s="366"/>
      <c r="AC108" s="366">
        <v>1</v>
      </c>
      <c r="AD108" s="441"/>
      <c r="AF108" s="904"/>
      <c r="AG108" s="905"/>
      <c r="AH108" s="905"/>
      <c r="AI108" s="905"/>
      <c r="AJ108" s="905"/>
      <c r="AK108" s="905"/>
      <c r="AL108" s="905"/>
      <c r="AM108" s="906"/>
    </row>
    <row r="109" spans="2:39" s="147" customFormat="1" ht="27" customHeight="1">
      <c r="B109" s="874"/>
      <c r="C109" s="875"/>
      <c r="D109" s="361">
        <v>17</v>
      </c>
      <c r="E109" s="435"/>
      <c r="F109" s="363">
        <f t="shared" si="64"/>
        <v>0</v>
      </c>
      <c r="G109" s="364"/>
      <c r="H109" s="437"/>
      <c r="I109" s="437"/>
      <c r="J109" s="439" t="str">
        <f t="shared" si="65"/>
        <v>-</v>
      </c>
      <c r="K109" s="438"/>
      <c r="L109" s="439" t="str">
        <f t="shared" si="66"/>
        <v>-</v>
      </c>
      <c r="M109" s="438"/>
      <c r="N109" s="439" t="str">
        <f t="shared" si="67"/>
        <v>-</v>
      </c>
      <c r="O109" s="440">
        <f t="shared" si="68"/>
        <v>0</v>
      </c>
      <c r="P109" s="439" t="str">
        <f t="shared" si="69"/>
        <v>-</v>
      </c>
      <c r="Q109" s="437"/>
      <c r="R109" s="439" t="str">
        <f t="shared" si="70"/>
        <v>-</v>
      </c>
      <c r="S109" s="447">
        <f t="shared" si="71"/>
        <v>0</v>
      </c>
      <c r="T109" s="440">
        <f t="shared" si="72"/>
        <v>0</v>
      </c>
      <c r="U109" s="439" t="str">
        <f t="shared" si="73"/>
        <v>-</v>
      </c>
      <c r="V109" s="451">
        <f t="shared" si="74"/>
        <v>0</v>
      </c>
      <c r="W109" s="452" t="str">
        <f t="shared" si="75"/>
        <v>-</v>
      </c>
      <c r="X109" s="453">
        <f t="shared" si="76"/>
        <v>0</v>
      </c>
      <c r="Y109" s="365" t="s">
        <v>170</v>
      </c>
      <c r="Z109" s="365" t="s">
        <v>406</v>
      </c>
      <c r="AA109" s="366"/>
      <c r="AB109" s="366"/>
      <c r="AC109" s="366">
        <v>1</v>
      </c>
      <c r="AD109" s="441"/>
      <c r="AF109" s="160" t="s">
        <v>227</v>
      </c>
      <c r="AG109" s="160" t="s">
        <v>421</v>
      </c>
      <c r="AH109" s="155" t="s">
        <v>361</v>
      </c>
      <c r="AI109" s="155" t="s">
        <v>316</v>
      </c>
      <c r="AJ109" s="155" t="s">
        <v>406</v>
      </c>
      <c r="AK109" s="155" t="s">
        <v>198</v>
      </c>
      <c r="AL109" s="155" t="s">
        <v>199</v>
      </c>
      <c r="AM109" s="155" t="s">
        <v>362</v>
      </c>
    </row>
    <row r="110" spans="2:39" s="147" customFormat="1" ht="27" customHeight="1">
      <c r="B110" s="874"/>
      <c r="C110" s="875"/>
      <c r="D110" s="361">
        <v>18</v>
      </c>
      <c r="E110" s="435"/>
      <c r="F110" s="363">
        <f t="shared" si="64"/>
        <v>0</v>
      </c>
      <c r="G110" s="364"/>
      <c r="H110" s="437"/>
      <c r="I110" s="437"/>
      <c r="J110" s="439" t="str">
        <f t="shared" si="65"/>
        <v>-</v>
      </c>
      <c r="K110" s="438"/>
      <c r="L110" s="439" t="str">
        <f t="shared" si="66"/>
        <v>-</v>
      </c>
      <c r="M110" s="438"/>
      <c r="N110" s="439" t="str">
        <f t="shared" si="67"/>
        <v>-</v>
      </c>
      <c r="O110" s="440">
        <f t="shared" si="68"/>
        <v>0</v>
      </c>
      <c r="P110" s="439" t="str">
        <f t="shared" si="69"/>
        <v>-</v>
      </c>
      <c r="Q110" s="437"/>
      <c r="R110" s="439" t="str">
        <f t="shared" si="70"/>
        <v>-</v>
      </c>
      <c r="S110" s="447">
        <f t="shared" si="71"/>
        <v>0</v>
      </c>
      <c r="T110" s="440">
        <f t="shared" si="72"/>
        <v>0</v>
      </c>
      <c r="U110" s="439" t="str">
        <f t="shared" si="73"/>
        <v>-</v>
      </c>
      <c r="V110" s="451">
        <f t="shared" si="74"/>
        <v>0</v>
      </c>
      <c r="W110" s="452" t="str">
        <f t="shared" si="75"/>
        <v>-</v>
      </c>
      <c r="X110" s="453">
        <f t="shared" si="76"/>
        <v>0</v>
      </c>
      <c r="Y110" s="365" t="s">
        <v>170</v>
      </c>
      <c r="Z110" s="365" t="s">
        <v>406</v>
      </c>
      <c r="AA110" s="366"/>
      <c r="AB110" s="366"/>
      <c r="AC110" s="366">
        <v>1</v>
      </c>
      <c r="AD110" s="441"/>
      <c r="AE110" s="448" t="s">
        <v>533</v>
      </c>
      <c r="AF110" s="371">
        <f>AF29+AF51+AF7+AF73+AF95</f>
        <v>100</v>
      </c>
      <c r="AG110" s="371">
        <f t="shared" ref="AG110:AM110" si="80">AG29+AG51+AG7+AG73+AG95</f>
        <v>0</v>
      </c>
      <c r="AH110" s="371">
        <f t="shared" si="80"/>
        <v>0</v>
      </c>
      <c r="AI110" s="371">
        <f t="shared" si="80"/>
        <v>0</v>
      </c>
      <c r="AJ110" s="371">
        <f t="shared" si="80"/>
        <v>75</v>
      </c>
      <c r="AK110" s="371">
        <f t="shared" si="80"/>
        <v>5</v>
      </c>
      <c r="AL110" s="371">
        <f t="shared" si="80"/>
        <v>20</v>
      </c>
      <c r="AM110" s="371">
        <f t="shared" si="80"/>
        <v>0</v>
      </c>
    </row>
    <row r="111" spans="2:39" s="147" customFormat="1" ht="27" customHeight="1">
      <c r="B111" s="874"/>
      <c r="C111" s="875"/>
      <c r="D111" s="361">
        <v>19</v>
      </c>
      <c r="E111" s="435"/>
      <c r="F111" s="363">
        <f t="shared" si="64"/>
        <v>0</v>
      </c>
      <c r="G111" s="364"/>
      <c r="H111" s="437"/>
      <c r="I111" s="437"/>
      <c r="J111" s="439" t="str">
        <f t="shared" si="65"/>
        <v>-</v>
      </c>
      <c r="K111" s="438"/>
      <c r="L111" s="439" t="str">
        <f t="shared" si="66"/>
        <v>-</v>
      </c>
      <c r="M111" s="438"/>
      <c r="N111" s="439" t="str">
        <f t="shared" si="67"/>
        <v>-</v>
      </c>
      <c r="O111" s="440">
        <f t="shared" si="68"/>
        <v>0</v>
      </c>
      <c r="P111" s="439" t="str">
        <f t="shared" si="69"/>
        <v>-</v>
      </c>
      <c r="Q111" s="437"/>
      <c r="R111" s="439" t="str">
        <f t="shared" si="70"/>
        <v>-</v>
      </c>
      <c r="S111" s="447">
        <f t="shared" si="71"/>
        <v>0</v>
      </c>
      <c r="T111" s="440">
        <f t="shared" si="72"/>
        <v>0</v>
      </c>
      <c r="U111" s="439" t="str">
        <f t="shared" si="73"/>
        <v>-</v>
      </c>
      <c r="V111" s="451">
        <f t="shared" si="74"/>
        <v>0</v>
      </c>
      <c r="W111" s="452" t="str">
        <f t="shared" si="75"/>
        <v>-</v>
      </c>
      <c r="X111" s="453">
        <f t="shared" si="76"/>
        <v>0</v>
      </c>
      <c r="Y111" s="365" t="s">
        <v>170</v>
      </c>
      <c r="Z111" s="365" t="s">
        <v>199</v>
      </c>
      <c r="AA111" s="366"/>
      <c r="AB111" s="366"/>
      <c r="AC111" s="366">
        <v>1</v>
      </c>
      <c r="AD111" s="441"/>
      <c r="AF111" s="372"/>
      <c r="AG111" s="371">
        <f>AG30+AG52+AG8+AG74+AG96</f>
        <v>0</v>
      </c>
      <c r="AH111" s="371">
        <f t="shared" ref="AH111:AM111" si="81">AH30+AH52+AH8+AH74+AH96</f>
        <v>0</v>
      </c>
      <c r="AI111" s="371">
        <f t="shared" si="81"/>
        <v>0</v>
      </c>
      <c r="AJ111" s="371">
        <f>AJ30+AJ52+AJ8+AJ74+AJ96</f>
        <v>189974.60510000002</v>
      </c>
      <c r="AK111" s="371">
        <f t="shared" si="81"/>
        <v>26006.65200000002</v>
      </c>
      <c r="AL111" s="371">
        <f t="shared" si="81"/>
        <v>36825.95830000002</v>
      </c>
      <c r="AM111" s="371">
        <f t="shared" si="81"/>
        <v>0</v>
      </c>
    </row>
    <row r="112" spans="2:39" s="147" customFormat="1" ht="27" customHeight="1">
      <c r="B112" s="876"/>
      <c r="C112" s="877"/>
      <c r="D112" s="361">
        <v>20</v>
      </c>
      <c r="E112" s="435"/>
      <c r="F112" s="363">
        <f t="shared" si="64"/>
        <v>0</v>
      </c>
      <c r="G112" s="364"/>
      <c r="H112" s="437"/>
      <c r="I112" s="437"/>
      <c r="J112" s="439" t="str">
        <f t="shared" si="65"/>
        <v>-</v>
      </c>
      <c r="K112" s="438"/>
      <c r="L112" s="439" t="str">
        <f t="shared" si="66"/>
        <v>-</v>
      </c>
      <c r="M112" s="438"/>
      <c r="N112" s="439" t="str">
        <f t="shared" si="67"/>
        <v>-</v>
      </c>
      <c r="O112" s="440">
        <f t="shared" si="68"/>
        <v>0</v>
      </c>
      <c r="P112" s="439" t="str">
        <f t="shared" si="69"/>
        <v>-</v>
      </c>
      <c r="Q112" s="437"/>
      <c r="R112" s="439" t="str">
        <f t="shared" si="70"/>
        <v>-</v>
      </c>
      <c r="S112" s="447">
        <f t="shared" si="71"/>
        <v>0</v>
      </c>
      <c r="T112" s="440">
        <f t="shared" si="72"/>
        <v>0</v>
      </c>
      <c r="U112" s="439" t="str">
        <f t="shared" si="73"/>
        <v>-</v>
      </c>
      <c r="V112" s="451">
        <f t="shared" si="74"/>
        <v>0</v>
      </c>
      <c r="W112" s="452" t="str">
        <f t="shared" si="75"/>
        <v>-</v>
      </c>
      <c r="X112" s="453">
        <f t="shared" si="76"/>
        <v>0</v>
      </c>
      <c r="Y112" s="365" t="s">
        <v>170</v>
      </c>
      <c r="Z112" s="365" t="s">
        <v>406</v>
      </c>
      <c r="AA112" s="366"/>
      <c r="AB112" s="366"/>
      <c r="AC112" s="366">
        <v>1</v>
      </c>
      <c r="AD112" s="441"/>
      <c r="AF112" s="361"/>
      <c r="AG112" s="370">
        <f t="shared" ref="AG112:AM112" si="82">AG110/$AF110</f>
        <v>0</v>
      </c>
      <c r="AH112" s="370">
        <f t="shared" si="82"/>
        <v>0</v>
      </c>
      <c r="AI112" s="370">
        <f t="shared" si="82"/>
        <v>0</v>
      </c>
      <c r="AJ112" s="370">
        <f t="shared" si="82"/>
        <v>0.75</v>
      </c>
      <c r="AK112" s="370">
        <f t="shared" si="82"/>
        <v>0.05</v>
      </c>
      <c r="AL112" s="370">
        <f t="shared" si="82"/>
        <v>0.2</v>
      </c>
      <c r="AM112" s="370">
        <f t="shared" si="82"/>
        <v>0</v>
      </c>
    </row>
  </sheetData>
  <mergeCells count="107">
    <mergeCell ref="AD91:AD92"/>
    <mergeCell ref="AF91:AM93"/>
    <mergeCell ref="B93:C112"/>
    <mergeCell ref="O91:P91"/>
    <mergeCell ref="Q91:S91"/>
    <mergeCell ref="T91:U91"/>
    <mergeCell ref="V91:X91"/>
    <mergeCell ref="Y91:Y92"/>
    <mergeCell ref="Z91:Z92"/>
    <mergeCell ref="AA91:AA92"/>
    <mergeCell ref="AB91:AB92"/>
    <mergeCell ref="AC91:AC92"/>
    <mergeCell ref="B91:C92"/>
    <mergeCell ref="D91:D92"/>
    <mergeCell ref="E91:E92"/>
    <mergeCell ref="F91:F92"/>
    <mergeCell ref="G91:G92"/>
    <mergeCell ref="H91:H92"/>
    <mergeCell ref="I91:J91"/>
    <mergeCell ref="K91:L91"/>
    <mergeCell ref="M91:N91"/>
    <mergeCell ref="AF106:AM108"/>
    <mergeCell ref="B3:C4"/>
    <mergeCell ref="D3:D4"/>
    <mergeCell ref="E3:E4"/>
    <mergeCell ref="F3:F4"/>
    <mergeCell ref="G3:G4"/>
    <mergeCell ref="H3:H4"/>
    <mergeCell ref="I3:J3"/>
    <mergeCell ref="K3:L3"/>
    <mergeCell ref="M3:N3"/>
    <mergeCell ref="O3:P3"/>
    <mergeCell ref="Q3:S3"/>
    <mergeCell ref="T3:U3"/>
    <mergeCell ref="Y3:Y4"/>
    <mergeCell ref="Z3:Z4"/>
    <mergeCell ref="AA3:AA4"/>
    <mergeCell ref="AB3:AB4"/>
    <mergeCell ref="AC3:AC4"/>
    <mergeCell ref="AD3:AD4"/>
    <mergeCell ref="V3:X3"/>
    <mergeCell ref="B2:AB2"/>
    <mergeCell ref="AD25:AD26"/>
    <mergeCell ref="AF25:AM27"/>
    <mergeCell ref="B27:C46"/>
    <mergeCell ref="O25:P25"/>
    <mergeCell ref="Q25:S25"/>
    <mergeCell ref="T25:U25"/>
    <mergeCell ref="V25:X25"/>
    <mergeCell ref="Y25:Y26"/>
    <mergeCell ref="Z25:Z26"/>
    <mergeCell ref="AA25:AA26"/>
    <mergeCell ref="AB25:AB26"/>
    <mergeCell ref="AC25:AC26"/>
    <mergeCell ref="B25:C26"/>
    <mergeCell ref="D25:D26"/>
    <mergeCell ref="E25:E26"/>
    <mergeCell ref="F25:F26"/>
    <mergeCell ref="G25:G26"/>
    <mergeCell ref="H25:H26"/>
    <mergeCell ref="I25:J25"/>
    <mergeCell ref="K25:L25"/>
    <mergeCell ref="M25:N25"/>
    <mergeCell ref="AF3:AM5"/>
    <mergeCell ref="B5:C24"/>
    <mergeCell ref="B47:C48"/>
    <mergeCell ref="D47:D48"/>
    <mergeCell ref="E47:E48"/>
    <mergeCell ref="F47:F48"/>
    <mergeCell ref="G47:G48"/>
    <mergeCell ref="H47:H48"/>
    <mergeCell ref="I47:J47"/>
    <mergeCell ref="K47:L47"/>
    <mergeCell ref="M47:N47"/>
    <mergeCell ref="O47:P47"/>
    <mergeCell ref="Q47:S47"/>
    <mergeCell ref="T47:U47"/>
    <mergeCell ref="V47:X47"/>
    <mergeCell ref="Y47:Y48"/>
    <mergeCell ref="Z47:Z48"/>
    <mergeCell ref="AA47:AA48"/>
    <mergeCell ref="AB47:AB48"/>
    <mergeCell ref="AC47:AC48"/>
    <mergeCell ref="AD47:AD48"/>
    <mergeCell ref="AF47:AM49"/>
    <mergeCell ref="B49:C68"/>
    <mergeCell ref="B69:C70"/>
    <mergeCell ref="D69:D70"/>
    <mergeCell ref="E69:E70"/>
    <mergeCell ref="F69:F70"/>
    <mergeCell ref="G69:G70"/>
    <mergeCell ref="H69:H70"/>
    <mergeCell ref="I69:J69"/>
    <mergeCell ref="K69:L69"/>
    <mergeCell ref="M69:N69"/>
    <mergeCell ref="O69:P69"/>
    <mergeCell ref="Q69:S69"/>
    <mergeCell ref="T69:U69"/>
    <mergeCell ref="V69:X69"/>
    <mergeCell ref="Y69:Y70"/>
    <mergeCell ref="Z69:Z70"/>
    <mergeCell ref="AA69:AA70"/>
    <mergeCell ref="AB69:AB70"/>
    <mergeCell ref="AC69:AC70"/>
    <mergeCell ref="AD69:AD70"/>
    <mergeCell ref="AF69:AM71"/>
    <mergeCell ref="B71:C90"/>
  </mergeCells>
  <phoneticPr fontId="13" type="noConversion"/>
  <dataValidations count="1">
    <dataValidation type="list" allowBlank="1" showInputMessage="1" showErrorMessage="1" sqref="T1:X2 Y3:Z3 Y5:Z25 V25:X26 V47:X48 V91:X92 Y27:Z47 V69:X70 T113:X1048576 Y71:Z91 Y93:Z112 V3:X4 Y49:Z69">
      <formula1>#REF!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工作表36">
    <outlinePr summaryBelow="0" summaryRight="0"/>
    <pageSetUpPr fitToPage="1"/>
  </sheetPr>
  <dimension ref="A1:AA55"/>
  <sheetViews>
    <sheetView topLeftCell="A13" zoomScale="75" zoomScaleNormal="75" workbookViewId="0">
      <selection activeCell="P18" sqref="P18"/>
    </sheetView>
  </sheetViews>
  <sheetFormatPr defaultColWidth="12.5703125" defaultRowHeight="15.75" customHeight="1"/>
  <cols>
    <col min="1" max="2" width="12.5703125" style="2" customWidth="1"/>
    <col min="3" max="16384" width="12.570312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8" t="s">
        <v>73</v>
      </c>
      <c r="C2" s="47" t="s">
        <v>74</v>
      </c>
      <c r="D2" s="5" t="s">
        <v>0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0" t="s">
        <v>21</v>
      </c>
      <c r="B4" s="67"/>
      <c r="C4" s="67"/>
      <c r="D4" s="67"/>
      <c r="E4" s="61" t="s">
        <v>23</v>
      </c>
      <c r="G4" s="60" t="s">
        <v>71</v>
      </c>
      <c r="H4" s="67"/>
      <c r="I4" s="67"/>
      <c r="J4" s="67"/>
      <c r="K4" s="67"/>
      <c r="M4" s="60" t="s">
        <v>32</v>
      </c>
      <c r="N4" s="67"/>
      <c r="O4" s="67"/>
      <c r="P4" s="67"/>
      <c r="Q4" s="67"/>
      <c r="R4" s="67"/>
      <c r="S4" s="60" t="s">
        <v>33</v>
      </c>
      <c r="T4" s="67"/>
      <c r="U4" s="67"/>
      <c r="V4" s="67"/>
      <c r="W4" s="67"/>
    </row>
    <row r="5" spans="1:23" ht="15.75" customHeight="1">
      <c r="A5" s="7"/>
      <c r="B5" s="49" t="s">
        <v>22</v>
      </c>
      <c r="C5" s="7" t="s">
        <v>1</v>
      </c>
      <c r="D5" s="7" t="s">
        <v>2</v>
      </c>
      <c r="E5" s="7" t="s">
        <v>3</v>
      </c>
      <c r="G5" s="7"/>
      <c r="H5" s="49" t="s">
        <v>69</v>
      </c>
      <c r="I5" s="49" t="s">
        <v>70</v>
      </c>
      <c r="J5" s="49" t="s">
        <v>67</v>
      </c>
      <c r="K5" s="7" t="s">
        <v>3</v>
      </c>
      <c r="L5" s="62" t="s">
        <v>60</v>
      </c>
      <c r="M5" s="7"/>
      <c r="N5" s="49" t="s">
        <v>22</v>
      </c>
      <c r="O5" s="49" t="s">
        <v>66</v>
      </c>
      <c r="P5" s="49" t="s">
        <v>67</v>
      </c>
      <c r="Q5" s="49" t="s">
        <v>68</v>
      </c>
      <c r="R5" s="67"/>
      <c r="S5" s="7"/>
      <c r="T5" s="49" t="s">
        <v>22</v>
      </c>
      <c r="U5" s="49" t="s">
        <v>66</v>
      </c>
      <c r="V5" s="49" t="s">
        <v>67</v>
      </c>
      <c r="W5" s="49" t="s">
        <v>68</v>
      </c>
    </row>
    <row r="6" spans="1:23" ht="15.75" customHeight="1">
      <c r="A6" s="49" t="s">
        <v>24</v>
      </c>
      <c r="B6" s="9">
        <v>500000</v>
      </c>
      <c r="C6" s="9">
        <v>510000</v>
      </c>
      <c r="D6" s="10">
        <f t="shared" ref="D6:D11" si="0">B6-C6</f>
        <v>-10000</v>
      </c>
      <c r="E6" s="9">
        <f t="shared" ref="E6:E8" si="1">B6+C6</f>
        <v>1010000</v>
      </c>
      <c r="G6" s="49" t="s">
        <v>30</v>
      </c>
      <c r="H6" s="11">
        <v>110</v>
      </c>
      <c r="I6" s="11">
        <v>100</v>
      </c>
      <c r="J6" s="11">
        <v>90</v>
      </c>
      <c r="K6" s="12"/>
      <c r="L6" s="62" t="s">
        <v>61</v>
      </c>
      <c r="M6" s="49" t="s">
        <v>34</v>
      </c>
      <c r="N6" s="9">
        <v>150000</v>
      </c>
      <c r="O6" s="13">
        <f t="shared" ref="O6:O13" si="2">IFERROR(N6/$B$6,"")</f>
        <v>0.3</v>
      </c>
      <c r="P6" s="14">
        <v>0.4</v>
      </c>
      <c r="Q6" s="13">
        <f t="shared" ref="Q6:Q13" si="3">IFERROR(O6-P6,"")</f>
        <v>-0.10000000000000003</v>
      </c>
      <c r="S6" s="49" t="s">
        <v>34</v>
      </c>
      <c r="T6" s="9">
        <v>35000</v>
      </c>
      <c r="U6" s="13">
        <f t="shared" ref="U6:U13" si="4">IFERROR(T6/$B$7,"")</f>
        <v>0.35</v>
      </c>
      <c r="V6" s="14">
        <v>0.3</v>
      </c>
      <c r="W6" s="13">
        <f t="shared" ref="W6:W13" si="5">IFERROR(U6-V6,"")</f>
        <v>4.9999999999999989E-2</v>
      </c>
    </row>
    <row r="7" spans="1:23" ht="15.75" customHeight="1">
      <c r="A7" s="49" t="s">
        <v>25</v>
      </c>
      <c r="B7" s="9">
        <v>100000</v>
      </c>
      <c r="C7" s="9">
        <v>110000</v>
      </c>
      <c r="D7" s="10">
        <f t="shared" si="0"/>
        <v>-10000</v>
      </c>
      <c r="E7" s="9">
        <f t="shared" si="1"/>
        <v>210000</v>
      </c>
      <c r="G7" s="53" t="s">
        <v>31</v>
      </c>
      <c r="H7" s="14">
        <v>0.8</v>
      </c>
      <c r="I7" s="14">
        <v>0.85</v>
      </c>
      <c r="J7" s="14">
        <v>0.81</v>
      </c>
      <c r="K7" s="14">
        <v>0.84</v>
      </c>
      <c r="L7" s="66" t="s">
        <v>4</v>
      </c>
      <c r="M7" s="49" t="s">
        <v>35</v>
      </c>
      <c r="N7" s="9">
        <v>100000</v>
      </c>
      <c r="O7" s="13">
        <f t="shared" si="2"/>
        <v>0.2</v>
      </c>
      <c r="P7" s="14">
        <v>0.15</v>
      </c>
      <c r="Q7" s="13">
        <f t="shared" si="3"/>
        <v>5.0000000000000017E-2</v>
      </c>
      <c r="S7" s="49" t="s">
        <v>35</v>
      </c>
      <c r="T7" s="9">
        <v>30000</v>
      </c>
      <c r="U7" s="13">
        <f t="shared" si="4"/>
        <v>0.3</v>
      </c>
      <c r="V7" s="14">
        <v>0.15</v>
      </c>
      <c r="W7" s="13">
        <f t="shared" si="5"/>
        <v>0.15</v>
      </c>
    </row>
    <row r="8" spans="1:23" ht="15.75" customHeight="1">
      <c r="A8" s="7" t="s">
        <v>5</v>
      </c>
      <c r="B8" s="9">
        <v>250000</v>
      </c>
      <c r="C8" s="9">
        <v>260000</v>
      </c>
      <c r="D8" s="10">
        <f t="shared" si="0"/>
        <v>-10000</v>
      </c>
      <c r="E8" s="9">
        <f t="shared" si="1"/>
        <v>510000</v>
      </c>
      <c r="G8" s="49" t="s">
        <v>26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55</v>
      </c>
      <c r="M8" s="49" t="s">
        <v>36</v>
      </c>
      <c r="N8" s="9">
        <v>160000</v>
      </c>
      <c r="O8" s="13">
        <f t="shared" si="2"/>
        <v>0.32</v>
      </c>
      <c r="P8" s="14">
        <v>0.28000000000000003</v>
      </c>
      <c r="Q8" s="13">
        <f t="shared" si="3"/>
        <v>3.999999999999998E-2</v>
      </c>
      <c r="S8" s="49" t="s">
        <v>36</v>
      </c>
      <c r="T8" s="9">
        <v>20000</v>
      </c>
      <c r="U8" s="13">
        <f t="shared" si="4"/>
        <v>0.2</v>
      </c>
      <c r="V8" s="14">
        <v>0.28000000000000003</v>
      </c>
      <c r="W8" s="13">
        <f t="shared" si="5"/>
        <v>-8.0000000000000016E-2</v>
      </c>
    </row>
    <row r="9" spans="1:23" ht="15.75" customHeight="1">
      <c r="A9" s="7" t="s">
        <v>6</v>
      </c>
      <c r="B9" s="14">
        <f t="shared" ref="B9:C9" si="6">B8/B6</f>
        <v>0.5</v>
      </c>
      <c r="C9" s="14">
        <f t="shared" si="6"/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27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104</v>
      </c>
      <c r="M9" s="49" t="s">
        <v>44</v>
      </c>
      <c r="N9" s="9">
        <v>90000</v>
      </c>
      <c r="O9" s="13">
        <f t="shared" si="2"/>
        <v>0.18</v>
      </c>
      <c r="P9" s="14">
        <v>0.17</v>
      </c>
      <c r="Q9" s="13">
        <f t="shared" si="3"/>
        <v>9.9999999999999811E-3</v>
      </c>
      <c r="S9" s="49" t="s">
        <v>44</v>
      </c>
      <c r="T9" s="9">
        <v>15000</v>
      </c>
      <c r="U9" s="13">
        <f t="shared" si="4"/>
        <v>0.15</v>
      </c>
      <c r="V9" s="14">
        <v>0.27</v>
      </c>
      <c r="W9" s="13">
        <f t="shared" si="5"/>
        <v>-0.12000000000000002</v>
      </c>
    </row>
    <row r="10" spans="1:23" ht="15.75" customHeight="1">
      <c r="A10" s="49" t="s">
        <v>64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28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7</v>
      </c>
      <c r="M10" s="49" t="s">
        <v>37</v>
      </c>
      <c r="N10" s="9" t="s">
        <v>8</v>
      </c>
      <c r="O10" s="13" t="str">
        <f t="shared" si="2"/>
        <v/>
      </c>
      <c r="P10" s="4" t="s">
        <v>9</v>
      </c>
      <c r="Q10" s="13" t="str">
        <f t="shared" si="3"/>
        <v/>
      </c>
      <c r="S10" s="49" t="s">
        <v>37</v>
      </c>
      <c r="T10" s="9" t="s">
        <v>8</v>
      </c>
      <c r="U10" s="13" t="str">
        <f t="shared" si="4"/>
        <v/>
      </c>
      <c r="V10" s="4" t="s">
        <v>9</v>
      </c>
      <c r="W10" s="13" t="str">
        <f t="shared" si="5"/>
        <v/>
      </c>
    </row>
    <row r="11" spans="1:23" ht="15.75" customHeight="1">
      <c r="A11" s="49" t="s">
        <v>65</v>
      </c>
      <c r="B11" s="14">
        <f t="shared" ref="B11:C11" si="7">B10/B6</f>
        <v>0.2</v>
      </c>
      <c r="C11" s="14">
        <f t="shared" si="7"/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29</v>
      </c>
      <c r="H11" s="14">
        <v>0.8</v>
      </c>
      <c r="I11" s="14">
        <v>0.85</v>
      </c>
      <c r="J11" s="14">
        <v>1</v>
      </c>
      <c r="K11" s="14">
        <v>0.92</v>
      </c>
      <c r="L11" s="62" t="s">
        <v>62</v>
      </c>
      <c r="M11" s="49" t="s">
        <v>38</v>
      </c>
      <c r="N11" s="9" t="s">
        <v>8</v>
      </c>
      <c r="O11" s="13" t="str">
        <f t="shared" si="2"/>
        <v/>
      </c>
      <c r="P11" s="4" t="s">
        <v>9</v>
      </c>
      <c r="Q11" s="13" t="str">
        <f t="shared" si="3"/>
        <v/>
      </c>
      <c r="S11" s="49" t="s">
        <v>38</v>
      </c>
      <c r="T11" s="9" t="s">
        <v>8</v>
      </c>
      <c r="U11" s="13" t="str">
        <f t="shared" si="4"/>
        <v/>
      </c>
      <c r="V11" s="4" t="s">
        <v>9</v>
      </c>
      <c r="W11" s="13" t="str">
        <f t="shared" si="5"/>
        <v/>
      </c>
    </row>
    <row r="12" spans="1:23" ht="15.75" customHeight="1">
      <c r="M12" s="49" t="s">
        <v>39</v>
      </c>
      <c r="N12" s="9" t="s">
        <v>8</v>
      </c>
      <c r="O12" s="13" t="str">
        <f t="shared" si="2"/>
        <v/>
      </c>
      <c r="P12" s="4" t="s">
        <v>9</v>
      </c>
      <c r="Q12" s="13" t="str">
        <f t="shared" si="3"/>
        <v/>
      </c>
      <c r="S12" s="49" t="s">
        <v>39</v>
      </c>
      <c r="T12" s="9" t="s">
        <v>8</v>
      </c>
      <c r="U12" s="13" t="str">
        <f t="shared" si="4"/>
        <v/>
      </c>
      <c r="V12" s="4" t="s">
        <v>9</v>
      </c>
      <c r="W12" s="13" t="str">
        <f t="shared" si="5"/>
        <v/>
      </c>
    </row>
    <row r="13" spans="1:23" ht="15.75" customHeight="1">
      <c r="A13" s="60" t="s">
        <v>63</v>
      </c>
      <c r="B13" s="67"/>
      <c r="C13" s="67"/>
      <c r="D13" s="67"/>
      <c r="E13" s="67"/>
      <c r="F13" s="67"/>
      <c r="M13" s="49" t="s">
        <v>40</v>
      </c>
      <c r="N13" s="9" t="s">
        <v>8</v>
      </c>
      <c r="O13" s="13" t="str">
        <f t="shared" si="2"/>
        <v/>
      </c>
      <c r="P13" s="4" t="s">
        <v>9</v>
      </c>
      <c r="Q13" s="13" t="str">
        <f t="shared" si="3"/>
        <v/>
      </c>
      <c r="S13" s="49" t="s">
        <v>40</v>
      </c>
      <c r="T13" s="9" t="s">
        <v>8</v>
      </c>
      <c r="U13" s="13" t="str">
        <f t="shared" si="4"/>
        <v/>
      </c>
      <c r="V13" s="4" t="s">
        <v>9</v>
      </c>
      <c r="W13" s="13" t="str">
        <f t="shared" si="5"/>
        <v/>
      </c>
    </row>
    <row r="14" spans="1:23" ht="12.75">
      <c r="A14" s="7"/>
      <c r="B14" s="49" t="s">
        <v>22</v>
      </c>
      <c r="C14" s="7" t="s">
        <v>1</v>
      </c>
      <c r="D14" s="7" t="s">
        <v>2</v>
      </c>
      <c r="E14" s="7" t="s">
        <v>3</v>
      </c>
      <c r="F14" s="67"/>
      <c r="G14" s="7"/>
      <c r="H14" s="49" t="s">
        <v>22</v>
      </c>
      <c r="I14" s="7" t="s">
        <v>1</v>
      </c>
      <c r="J14" s="7" t="s">
        <v>2</v>
      </c>
      <c r="K14" s="7" t="s">
        <v>3</v>
      </c>
      <c r="O14" s="15">
        <f t="shared" ref="O14:P14" si="8">SUM(O6:O13)</f>
        <v>1</v>
      </c>
      <c r="P14" s="15">
        <f t="shared" si="8"/>
        <v>1</v>
      </c>
      <c r="U14" s="15">
        <f t="shared" ref="U14:V14" si="9">SUM(U6:U13)</f>
        <v>0.99999999999999989</v>
      </c>
      <c r="V14" s="15">
        <f t="shared" si="9"/>
        <v>1</v>
      </c>
    </row>
    <row r="15" spans="1:23" ht="15.75" customHeight="1">
      <c r="A15" s="49" t="s">
        <v>34</v>
      </c>
      <c r="B15" s="4">
        <v>600</v>
      </c>
      <c r="C15" s="4">
        <v>660</v>
      </c>
      <c r="D15" s="16">
        <f t="shared" ref="D15:D18" si="10">B15-C15</f>
        <v>-60</v>
      </c>
      <c r="E15" s="17">
        <f t="shared" ref="E15:E18" si="11">(B15+C15)/2</f>
        <v>630</v>
      </c>
      <c r="G15" s="49" t="s">
        <v>37</v>
      </c>
      <c r="H15" s="4"/>
      <c r="I15" s="4"/>
      <c r="J15" s="16">
        <f t="shared" ref="J15:J18" si="12">H15-I15</f>
        <v>0</v>
      </c>
      <c r="K15" s="17"/>
      <c r="M15" s="60" t="s">
        <v>72</v>
      </c>
      <c r="N15" s="67"/>
      <c r="O15" s="67"/>
      <c r="P15" s="67"/>
      <c r="Q15" s="67"/>
      <c r="R15" s="67"/>
      <c r="S15" s="67"/>
    </row>
    <row r="16" spans="1:23" ht="15.75" customHeight="1">
      <c r="A16" s="49" t="s">
        <v>35</v>
      </c>
      <c r="B16" s="4">
        <v>800</v>
      </c>
      <c r="C16" s="4">
        <v>780</v>
      </c>
      <c r="D16" s="16">
        <f t="shared" si="10"/>
        <v>20</v>
      </c>
      <c r="E16" s="17">
        <f t="shared" si="11"/>
        <v>790</v>
      </c>
      <c r="G16" s="49" t="s">
        <v>38</v>
      </c>
      <c r="H16" s="4"/>
      <c r="I16" s="4"/>
      <c r="J16" s="16">
        <f t="shared" si="12"/>
        <v>0</v>
      </c>
      <c r="K16" s="17"/>
      <c r="M16" s="18"/>
      <c r="N16" s="46" t="s">
        <v>10</v>
      </c>
      <c r="O16" s="19"/>
      <c r="P16" s="58" t="s">
        <v>42</v>
      </c>
      <c r="Q16" s="19"/>
      <c r="R16" s="51" t="s">
        <v>43</v>
      </c>
      <c r="S16" s="19"/>
    </row>
    <row r="17" spans="1:27" ht="15.75" customHeight="1">
      <c r="A17" s="49" t="s">
        <v>36</v>
      </c>
      <c r="B17" s="4">
        <v>130</v>
      </c>
      <c r="C17" s="4">
        <v>111</v>
      </c>
      <c r="D17" s="16">
        <f t="shared" si="10"/>
        <v>19</v>
      </c>
      <c r="E17" s="17">
        <f t="shared" si="11"/>
        <v>120.5</v>
      </c>
      <c r="G17" s="49" t="s">
        <v>39</v>
      </c>
      <c r="H17" s="4"/>
      <c r="I17" s="4"/>
      <c r="J17" s="16">
        <f t="shared" si="12"/>
        <v>0</v>
      </c>
      <c r="K17" s="17"/>
      <c r="M17" s="20"/>
      <c r="N17" s="21" t="s">
        <v>11</v>
      </c>
      <c r="O17" s="50" t="s">
        <v>41</v>
      </c>
      <c r="P17" s="8" t="s">
        <v>11</v>
      </c>
      <c r="Q17" s="50" t="s">
        <v>41</v>
      </c>
      <c r="R17" s="8" t="s">
        <v>11</v>
      </c>
      <c r="S17" s="50" t="s">
        <v>41</v>
      </c>
    </row>
    <row r="18" spans="1:27" ht="15.75" customHeight="1">
      <c r="A18" s="49" t="s">
        <v>44</v>
      </c>
      <c r="B18" s="4">
        <v>140</v>
      </c>
      <c r="C18" s="4">
        <v>165</v>
      </c>
      <c r="D18" s="16">
        <f t="shared" si="10"/>
        <v>-25</v>
      </c>
      <c r="E18" s="17">
        <f t="shared" si="11"/>
        <v>152.5</v>
      </c>
      <c r="G18" s="49" t="s">
        <v>40</v>
      </c>
      <c r="H18" s="4"/>
      <c r="I18" s="4"/>
      <c r="J18" s="16">
        <f t="shared" si="12"/>
        <v>0</v>
      </c>
      <c r="K18" s="17"/>
      <c r="M18" s="49" t="s">
        <v>26</v>
      </c>
      <c r="N18" s="9">
        <v>1200</v>
      </c>
      <c r="O18" s="13">
        <f t="shared" ref="O18:O19" si="13">N18/$B$6</f>
        <v>2.3999999999999998E-3</v>
      </c>
      <c r="P18" s="9">
        <v>900</v>
      </c>
      <c r="Q18" s="13">
        <f t="shared" ref="Q18" si="14">IFERROR(P18/$B$6,"")</f>
        <v>1.8E-3</v>
      </c>
      <c r="R18" s="9">
        <v>300</v>
      </c>
      <c r="S18" s="13">
        <f t="shared" ref="S18:S19" si="15">IFERROR(R18/$B$6,"")</f>
        <v>5.9999999999999995E-4</v>
      </c>
    </row>
    <row r="19" spans="1:27" ht="15.75" customHeight="1">
      <c r="M19" s="49" t="s">
        <v>27</v>
      </c>
      <c r="N19" s="9">
        <v>4500</v>
      </c>
      <c r="O19" s="13">
        <f t="shared" si="13"/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 t="shared" si="15"/>
        <v>2E-3</v>
      </c>
    </row>
    <row r="20" spans="1:27" ht="15.75" customHeight="1">
      <c r="A20" s="60" t="s">
        <v>45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>
      <c r="A21" s="18"/>
      <c r="B21" s="49" t="s">
        <v>47</v>
      </c>
      <c r="C21" s="912" t="s">
        <v>12</v>
      </c>
      <c r="D21" s="910"/>
      <c r="E21" s="911"/>
      <c r="F21" s="49" t="s">
        <v>46</v>
      </c>
      <c r="G21" s="49" t="s">
        <v>48</v>
      </c>
      <c r="H21" s="49" t="s">
        <v>49</v>
      </c>
      <c r="I21" s="8" t="s">
        <v>13</v>
      </c>
      <c r="J21" s="925" t="s">
        <v>51</v>
      </c>
      <c r="K21" s="911"/>
      <c r="M21" s="60" t="s">
        <v>52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>
      <c r="A22" s="52" t="s">
        <v>34</v>
      </c>
      <c r="B22" s="6">
        <v>1</v>
      </c>
      <c r="C22" s="914" t="s">
        <v>14</v>
      </c>
      <c r="D22" s="910"/>
      <c r="E22" s="911"/>
      <c r="F22" s="4">
        <v>3</v>
      </c>
      <c r="G22" s="4">
        <v>3000</v>
      </c>
      <c r="H22" s="4">
        <v>1000</v>
      </c>
      <c r="I22" s="4">
        <v>10</v>
      </c>
      <c r="J22" s="913" t="s">
        <v>76</v>
      </c>
      <c r="K22" s="911"/>
      <c r="M22" s="52" t="s">
        <v>26</v>
      </c>
      <c r="N22" s="57" t="s">
        <v>47</v>
      </c>
      <c r="O22" s="920" t="s">
        <v>12</v>
      </c>
      <c r="P22" s="910"/>
      <c r="Q22" s="911"/>
      <c r="R22" s="926" t="s">
        <v>53</v>
      </c>
      <c r="S22" s="910"/>
      <c r="T22" s="911"/>
      <c r="U22" s="57" t="s">
        <v>54</v>
      </c>
      <c r="V22" s="57" t="s">
        <v>55</v>
      </c>
      <c r="W22" s="57" t="s">
        <v>56</v>
      </c>
      <c r="X22" s="8" t="s">
        <v>11</v>
      </c>
      <c r="Y22" s="8" t="s">
        <v>13</v>
      </c>
      <c r="Z22" s="925" t="s">
        <v>51</v>
      </c>
      <c r="AA22" s="911"/>
    </row>
    <row r="23" spans="1:27" ht="15.75" customHeight="1">
      <c r="A23" s="23"/>
      <c r="B23" s="6">
        <v>2</v>
      </c>
      <c r="C23" s="909"/>
      <c r="D23" s="910"/>
      <c r="E23" s="911"/>
      <c r="F23" s="4"/>
      <c r="G23" s="4"/>
      <c r="H23" s="4"/>
      <c r="I23" s="4"/>
      <c r="J23" s="909"/>
      <c r="K23" s="911"/>
      <c r="M23" s="56" t="s">
        <v>42</v>
      </c>
      <c r="N23" s="24">
        <v>1</v>
      </c>
      <c r="O23" s="913" t="s">
        <v>82</v>
      </c>
      <c r="P23" s="910"/>
      <c r="Q23" s="911"/>
      <c r="R23" s="913" t="s">
        <v>85</v>
      </c>
      <c r="S23" s="910"/>
      <c r="T23" s="911"/>
      <c r="U23" s="4">
        <v>10</v>
      </c>
      <c r="V23" s="14">
        <v>0.15</v>
      </c>
      <c r="W23" s="4">
        <v>10</v>
      </c>
      <c r="X23" s="16">
        <f t="shared" ref="X23:X27" si="16">W23*U23</f>
        <v>100</v>
      </c>
      <c r="Y23" s="4">
        <v>80</v>
      </c>
      <c r="Z23" s="913" t="s">
        <v>86</v>
      </c>
      <c r="AA23" s="911"/>
    </row>
    <row r="24" spans="1:27" ht="15.75" customHeight="1">
      <c r="A24" s="23"/>
      <c r="B24" s="6">
        <v>3</v>
      </c>
      <c r="C24" s="909"/>
      <c r="D24" s="910"/>
      <c r="E24" s="911"/>
      <c r="F24" s="4"/>
      <c r="G24" s="4"/>
      <c r="H24" s="4"/>
      <c r="I24" s="4"/>
      <c r="J24" s="909"/>
      <c r="K24" s="911"/>
      <c r="M24" s="25"/>
      <c r="N24" s="24">
        <v>2</v>
      </c>
      <c r="O24" s="914"/>
      <c r="P24" s="910"/>
      <c r="Q24" s="911"/>
      <c r="R24" s="914"/>
      <c r="S24" s="910"/>
      <c r="T24" s="911"/>
      <c r="U24" s="4"/>
      <c r="V24" s="14"/>
      <c r="W24" s="4"/>
      <c r="X24" s="16">
        <f t="shared" si="16"/>
        <v>0</v>
      </c>
      <c r="Y24" s="4"/>
      <c r="Z24" s="914"/>
      <c r="AA24" s="911"/>
    </row>
    <row r="25" spans="1:27" ht="15.75" customHeight="1">
      <c r="A25" s="23"/>
      <c r="B25" s="6">
        <v>4</v>
      </c>
      <c r="C25" s="909"/>
      <c r="D25" s="910"/>
      <c r="E25" s="911"/>
      <c r="F25" s="4"/>
      <c r="G25" s="4"/>
      <c r="H25" s="4"/>
      <c r="I25" s="4"/>
      <c r="J25" s="909"/>
      <c r="K25" s="911"/>
      <c r="M25" s="25"/>
      <c r="N25" s="24">
        <v>3</v>
      </c>
      <c r="O25" s="914"/>
      <c r="P25" s="910"/>
      <c r="Q25" s="911"/>
      <c r="R25" s="914"/>
      <c r="S25" s="910"/>
      <c r="T25" s="911"/>
      <c r="U25" s="4"/>
      <c r="V25" s="14"/>
      <c r="W25" s="4"/>
      <c r="X25" s="16">
        <f t="shared" si="16"/>
        <v>0</v>
      </c>
      <c r="Y25" s="4"/>
      <c r="Z25" s="914"/>
      <c r="AA25" s="911"/>
    </row>
    <row r="26" spans="1:27" ht="15.75" customHeight="1">
      <c r="A26" s="23"/>
      <c r="B26" s="26">
        <v>5</v>
      </c>
      <c r="C26" s="923"/>
      <c r="D26" s="919"/>
      <c r="E26" s="916"/>
      <c r="F26" s="27"/>
      <c r="G26" s="27"/>
      <c r="H26" s="27"/>
      <c r="I26" s="27"/>
      <c r="J26" s="923"/>
      <c r="K26" s="916"/>
      <c r="M26" s="25"/>
      <c r="N26" s="24">
        <v>4</v>
      </c>
      <c r="O26" s="914"/>
      <c r="P26" s="910"/>
      <c r="Q26" s="911"/>
      <c r="R26" s="914"/>
      <c r="S26" s="910"/>
      <c r="T26" s="911"/>
      <c r="U26" s="4"/>
      <c r="V26" s="14"/>
      <c r="W26" s="4"/>
      <c r="X26" s="16">
        <f t="shared" si="16"/>
        <v>0</v>
      </c>
      <c r="Y26" s="4"/>
      <c r="Z26" s="914"/>
      <c r="AA26" s="911"/>
    </row>
    <row r="27" spans="1:27" ht="15.75" customHeight="1">
      <c r="A27" s="23"/>
      <c r="B27" s="69" t="s">
        <v>101</v>
      </c>
      <c r="C27" s="917" t="s">
        <v>75</v>
      </c>
      <c r="D27" s="924"/>
      <c r="E27" s="918"/>
      <c r="F27" s="28">
        <v>4</v>
      </c>
      <c r="G27" s="28">
        <v>2800</v>
      </c>
      <c r="H27" s="28">
        <v>700</v>
      </c>
      <c r="I27" s="28" t="s">
        <v>15</v>
      </c>
      <c r="J27" s="917" t="s">
        <v>77</v>
      </c>
      <c r="K27" s="918"/>
      <c r="M27" s="25"/>
      <c r="N27" s="29">
        <v>5</v>
      </c>
      <c r="O27" s="915"/>
      <c r="P27" s="919"/>
      <c r="Q27" s="916"/>
      <c r="R27" s="915"/>
      <c r="S27" s="919"/>
      <c r="T27" s="916"/>
      <c r="U27" s="27"/>
      <c r="V27" s="30"/>
      <c r="W27" s="27"/>
      <c r="X27" s="31">
        <f t="shared" si="16"/>
        <v>0</v>
      </c>
      <c r="Y27" s="4"/>
      <c r="Z27" s="915"/>
      <c r="AA27" s="916"/>
    </row>
    <row r="28" spans="1:27" ht="15.75" customHeight="1">
      <c r="A28" s="23"/>
      <c r="B28" s="70" t="s">
        <v>102</v>
      </c>
      <c r="C28" s="909"/>
      <c r="D28" s="910"/>
      <c r="E28" s="911"/>
      <c r="F28" s="4"/>
      <c r="G28" s="4"/>
      <c r="H28" s="4"/>
      <c r="I28" s="4"/>
      <c r="J28" s="909"/>
      <c r="K28" s="911"/>
      <c r="M28" s="32"/>
      <c r="N28" s="55"/>
      <c r="O28" s="921"/>
      <c r="P28" s="910"/>
      <c r="Q28" s="910"/>
      <c r="R28" s="921"/>
      <c r="S28" s="910"/>
      <c r="T28" s="910"/>
      <c r="U28" s="59" t="s">
        <v>58</v>
      </c>
      <c r="V28" s="33">
        <f>X28/N18</f>
        <v>8.3333333333333329E-2</v>
      </c>
      <c r="W28" s="59" t="s">
        <v>59</v>
      </c>
      <c r="X28" s="34">
        <f>SUM(X23:X27)</f>
        <v>100</v>
      </c>
      <c r="Y28" s="45"/>
      <c r="Z28" s="921"/>
      <c r="AA28" s="911"/>
    </row>
    <row r="29" spans="1:27" ht="15.75" customHeight="1">
      <c r="A29" s="23"/>
      <c r="B29" s="70" t="s">
        <v>100</v>
      </c>
      <c r="C29" s="909"/>
      <c r="D29" s="910"/>
      <c r="E29" s="911"/>
      <c r="F29" s="4"/>
      <c r="G29" s="4"/>
      <c r="H29" s="4"/>
      <c r="I29" s="4"/>
      <c r="J29" s="909"/>
      <c r="K29" s="911"/>
      <c r="M29" s="56" t="s">
        <v>43</v>
      </c>
      <c r="N29" s="24">
        <v>1</v>
      </c>
      <c r="O29" s="934" t="s">
        <v>16</v>
      </c>
      <c r="P29" s="930"/>
      <c r="Q29" s="931"/>
      <c r="R29" s="929" t="s">
        <v>87</v>
      </c>
      <c r="S29" s="930"/>
      <c r="T29" s="931"/>
      <c r="U29" s="35">
        <v>5.55</v>
      </c>
      <c r="V29" s="36">
        <v>0.21</v>
      </c>
      <c r="W29" s="35">
        <v>50</v>
      </c>
      <c r="X29" s="37">
        <f t="shared" ref="X29:X33" si="17">W29*U29</f>
        <v>277.5</v>
      </c>
      <c r="Y29" s="4">
        <v>35</v>
      </c>
      <c r="Z29" s="929" t="s">
        <v>88</v>
      </c>
      <c r="AA29" s="931"/>
    </row>
    <row r="30" spans="1:27" ht="15.75" customHeight="1">
      <c r="A30" s="23"/>
      <c r="B30" s="70" t="s">
        <v>99</v>
      </c>
      <c r="C30" s="909"/>
      <c r="D30" s="910"/>
      <c r="E30" s="911"/>
      <c r="F30" s="4"/>
      <c r="G30" s="4"/>
      <c r="H30" s="4"/>
      <c r="I30" s="4"/>
      <c r="J30" s="909"/>
      <c r="K30" s="911"/>
      <c r="M30" s="25"/>
      <c r="N30" s="24">
        <v>2</v>
      </c>
      <c r="O30" s="914"/>
      <c r="P30" s="910"/>
      <c r="Q30" s="911"/>
      <c r="R30" s="914"/>
      <c r="S30" s="910"/>
      <c r="T30" s="911"/>
      <c r="U30" s="4"/>
      <c r="V30" s="14"/>
      <c r="W30" s="4"/>
      <c r="X30" s="16">
        <f t="shared" si="17"/>
        <v>0</v>
      </c>
      <c r="Y30" s="4"/>
      <c r="Z30" s="914"/>
      <c r="AA30" s="911"/>
    </row>
    <row r="31" spans="1:27" ht="15.75" customHeight="1">
      <c r="A31" s="20"/>
      <c r="B31" s="70" t="s">
        <v>103</v>
      </c>
      <c r="C31" s="909"/>
      <c r="D31" s="910"/>
      <c r="E31" s="911"/>
      <c r="F31" s="4"/>
      <c r="G31" s="4"/>
      <c r="H31" s="4"/>
      <c r="I31" s="4"/>
      <c r="J31" s="909"/>
      <c r="K31" s="911"/>
      <c r="M31" s="25"/>
      <c r="N31" s="24">
        <v>3</v>
      </c>
      <c r="O31" s="914"/>
      <c r="P31" s="910"/>
      <c r="Q31" s="911"/>
      <c r="R31" s="914"/>
      <c r="S31" s="910"/>
      <c r="T31" s="911"/>
      <c r="U31" s="4"/>
      <c r="V31" s="14"/>
      <c r="W31" s="4"/>
      <c r="X31" s="16">
        <f t="shared" si="17"/>
        <v>0</v>
      </c>
      <c r="Y31" s="4"/>
      <c r="Z31" s="914"/>
      <c r="AA31" s="911"/>
    </row>
    <row r="32" spans="1:27" ht="15.75" customHeight="1">
      <c r="A32" s="67"/>
      <c r="M32" s="25"/>
      <c r="N32" s="24">
        <v>4</v>
      </c>
      <c r="O32" s="914"/>
      <c r="P32" s="910"/>
      <c r="Q32" s="911"/>
      <c r="R32" s="914"/>
      <c r="S32" s="910"/>
      <c r="T32" s="911"/>
      <c r="U32" s="4"/>
      <c r="V32" s="14"/>
      <c r="W32" s="4"/>
      <c r="X32" s="16">
        <f t="shared" si="17"/>
        <v>0</v>
      </c>
      <c r="Y32" s="4"/>
      <c r="Z32" s="914"/>
      <c r="AA32" s="911"/>
    </row>
    <row r="33" spans="1:27" ht="15.75" customHeight="1">
      <c r="A33" s="18"/>
      <c r="B33" s="49" t="s">
        <v>47</v>
      </c>
      <c r="C33" s="912" t="s">
        <v>12</v>
      </c>
      <c r="D33" s="910"/>
      <c r="E33" s="911"/>
      <c r="F33" s="49" t="s">
        <v>46</v>
      </c>
      <c r="G33" s="49" t="s">
        <v>48</v>
      </c>
      <c r="H33" s="49" t="s">
        <v>49</v>
      </c>
      <c r="I33" s="8" t="s">
        <v>13</v>
      </c>
      <c r="J33" s="925" t="s">
        <v>51</v>
      </c>
      <c r="K33" s="911"/>
      <c r="M33" s="25"/>
      <c r="N33" s="29">
        <v>5</v>
      </c>
      <c r="O33" s="914"/>
      <c r="P33" s="910"/>
      <c r="Q33" s="911"/>
      <c r="R33" s="914"/>
      <c r="S33" s="910"/>
      <c r="T33" s="911"/>
      <c r="U33" s="27"/>
      <c r="V33" s="30"/>
      <c r="W33" s="27"/>
      <c r="X33" s="31">
        <f t="shared" si="17"/>
        <v>0</v>
      </c>
      <c r="Y33" s="4"/>
      <c r="Z33" s="914"/>
      <c r="AA33" s="911"/>
    </row>
    <row r="34" spans="1:27" ht="15.75" customHeight="1">
      <c r="A34" s="52" t="s">
        <v>35</v>
      </c>
      <c r="B34" s="6">
        <v>1</v>
      </c>
      <c r="C34" s="913" t="s">
        <v>79</v>
      </c>
      <c r="D34" s="910"/>
      <c r="E34" s="911"/>
      <c r="F34" s="4">
        <v>3</v>
      </c>
      <c r="G34" s="4">
        <v>2500</v>
      </c>
      <c r="H34" s="4">
        <v>833.33</v>
      </c>
      <c r="I34" s="4">
        <v>20</v>
      </c>
      <c r="J34" s="913" t="s">
        <v>78</v>
      </c>
      <c r="K34" s="911"/>
      <c r="M34" s="68"/>
      <c r="N34" s="45"/>
      <c r="O34" s="921"/>
      <c r="P34" s="910"/>
      <c r="Q34" s="910"/>
      <c r="R34" s="921"/>
      <c r="S34" s="910"/>
      <c r="T34" s="910"/>
      <c r="U34" s="59" t="s">
        <v>58</v>
      </c>
      <c r="V34" s="33">
        <f>X34/N18</f>
        <v>0.23125000000000001</v>
      </c>
      <c r="W34" s="59" t="s">
        <v>59</v>
      </c>
      <c r="X34" s="34">
        <f>SUM(X29:X33)</f>
        <v>277.5</v>
      </c>
      <c r="Y34" s="45"/>
      <c r="Z34" s="921"/>
      <c r="AA34" s="911"/>
    </row>
    <row r="35" spans="1:27" ht="15.75" customHeight="1">
      <c r="A35" s="23"/>
      <c r="B35" s="6">
        <v>2</v>
      </c>
      <c r="C35" s="914"/>
      <c r="D35" s="910"/>
      <c r="E35" s="911"/>
      <c r="F35" s="4"/>
      <c r="G35" s="4"/>
      <c r="H35" s="4"/>
      <c r="I35" s="4"/>
      <c r="J35" s="914"/>
      <c r="K35" s="911"/>
      <c r="M35" s="1"/>
      <c r="N35" s="1"/>
      <c r="O35" s="932"/>
      <c r="P35" s="933"/>
      <c r="Q35" s="933"/>
      <c r="R35" s="932"/>
      <c r="S35" s="933"/>
      <c r="T35" s="933"/>
      <c r="U35" s="1"/>
      <c r="V35" s="38"/>
      <c r="W35" s="1"/>
      <c r="X35" s="1"/>
      <c r="Y35" s="932"/>
      <c r="Z35" s="933"/>
      <c r="AA35" s="933"/>
    </row>
    <row r="36" spans="1:27" ht="15.75" customHeight="1">
      <c r="A36" s="23"/>
      <c r="B36" s="6">
        <v>3</v>
      </c>
      <c r="C36" s="914"/>
      <c r="D36" s="910"/>
      <c r="E36" s="911"/>
      <c r="F36" s="4"/>
      <c r="G36" s="4"/>
      <c r="H36" s="4"/>
      <c r="I36" s="4"/>
      <c r="J36" s="914"/>
      <c r="K36" s="911"/>
      <c r="M36" s="52" t="s">
        <v>27</v>
      </c>
      <c r="N36" s="57" t="s">
        <v>47</v>
      </c>
      <c r="O36" s="920" t="s">
        <v>12</v>
      </c>
      <c r="P36" s="921"/>
      <c r="Q36" s="922"/>
      <c r="R36" s="926" t="s">
        <v>53</v>
      </c>
      <c r="S36" s="927"/>
      <c r="T36" s="928"/>
      <c r="U36" s="57" t="s">
        <v>54</v>
      </c>
      <c r="V36" s="57" t="s">
        <v>55</v>
      </c>
      <c r="W36" s="57" t="s">
        <v>56</v>
      </c>
      <c r="X36" s="8" t="s">
        <v>11</v>
      </c>
      <c r="Y36" s="8" t="s">
        <v>13</v>
      </c>
      <c r="Z36" s="925" t="s">
        <v>51</v>
      </c>
      <c r="AA36" s="935"/>
    </row>
    <row r="37" spans="1:27" ht="15.75" customHeight="1">
      <c r="A37" s="23"/>
      <c r="B37" s="6">
        <v>4</v>
      </c>
      <c r="C37" s="914"/>
      <c r="D37" s="910"/>
      <c r="E37" s="911"/>
      <c r="F37" s="4"/>
      <c r="G37" s="4"/>
      <c r="H37" s="4"/>
      <c r="I37" s="4"/>
      <c r="J37" s="914"/>
      <c r="K37" s="911"/>
      <c r="M37" s="56" t="s">
        <v>42</v>
      </c>
      <c r="N37" s="24">
        <v>1</v>
      </c>
      <c r="O37" s="913" t="s">
        <v>89</v>
      </c>
      <c r="P37" s="910"/>
      <c r="Q37" s="911"/>
      <c r="R37" s="913" t="s">
        <v>90</v>
      </c>
      <c r="S37" s="910"/>
      <c r="T37" s="911"/>
      <c r="U37" s="4">
        <v>25</v>
      </c>
      <c r="V37" s="14">
        <v>0.25</v>
      </c>
      <c r="W37" s="4">
        <v>10</v>
      </c>
      <c r="X37" s="16">
        <f t="shared" ref="X37:X41" si="18">W37*U37</f>
        <v>250</v>
      </c>
      <c r="Y37" s="4">
        <v>150</v>
      </c>
      <c r="Z37" s="913" t="s">
        <v>91</v>
      </c>
      <c r="AA37" s="911"/>
    </row>
    <row r="38" spans="1:27" ht="15.75" customHeight="1">
      <c r="A38" s="23"/>
      <c r="B38" s="26">
        <v>5</v>
      </c>
      <c r="C38" s="915"/>
      <c r="D38" s="919"/>
      <c r="E38" s="916"/>
      <c r="F38" s="27"/>
      <c r="G38" s="27"/>
      <c r="H38" s="27"/>
      <c r="I38" s="27"/>
      <c r="J38" s="915"/>
      <c r="K38" s="916"/>
      <c r="M38" s="25"/>
      <c r="N38" s="24">
        <v>2</v>
      </c>
      <c r="O38" s="914"/>
      <c r="P38" s="910"/>
      <c r="Q38" s="911"/>
      <c r="R38" s="914"/>
      <c r="S38" s="910"/>
      <c r="T38" s="911"/>
      <c r="U38" s="4"/>
      <c r="V38" s="14"/>
      <c r="W38" s="4"/>
      <c r="X38" s="16">
        <f t="shared" si="18"/>
        <v>0</v>
      </c>
      <c r="Y38" s="4"/>
      <c r="Z38" s="914"/>
      <c r="AA38" s="911"/>
    </row>
    <row r="39" spans="1:27" ht="14.25">
      <c r="A39" s="23"/>
      <c r="B39" s="69" t="s">
        <v>101</v>
      </c>
      <c r="C39" s="917" t="s">
        <v>80</v>
      </c>
      <c r="D39" s="924"/>
      <c r="E39" s="918"/>
      <c r="F39" s="28">
        <v>7</v>
      </c>
      <c r="G39" s="28">
        <v>2200</v>
      </c>
      <c r="H39" s="28">
        <v>314.29000000000002</v>
      </c>
      <c r="I39" s="28">
        <v>-15</v>
      </c>
      <c r="J39" s="917" t="s">
        <v>81</v>
      </c>
      <c r="K39" s="918"/>
      <c r="M39" s="25"/>
      <c r="N39" s="24">
        <v>3</v>
      </c>
      <c r="O39" s="914"/>
      <c r="P39" s="910"/>
      <c r="Q39" s="911"/>
      <c r="R39" s="914"/>
      <c r="S39" s="910"/>
      <c r="T39" s="911"/>
      <c r="U39" s="4"/>
      <c r="V39" s="14"/>
      <c r="W39" s="4"/>
      <c r="X39" s="16">
        <f t="shared" si="18"/>
        <v>0</v>
      </c>
      <c r="Y39" s="4"/>
      <c r="Z39" s="914"/>
      <c r="AA39" s="911"/>
    </row>
    <row r="40" spans="1:27" ht="14.25">
      <c r="A40" s="23"/>
      <c r="B40" s="70" t="s">
        <v>102</v>
      </c>
      <c r="C40" s="914"/>
      <c r="D40" s="910"/>
      <c r="E40" s="911"/>
      <c r="F40" s="4"/>
      <c r="G40" s="4"/>
      <c r="H40" s="4"/>
      <c r="I40" s="4"/>
      <c r="J40" s="914"/>
      <c r="K40" s="911"/>
      <c r="M40" s="25"/>
      <c r="N40" s="24">
        <v>4</v>
      </c>
      <c r="O40" s="914"/>
      <c r="P40" s="910"/>
      <c r="Q40" s="911"/>
      <c r="R40" s="914"/>
      <c r="S40" s="910"/>
      <c r="T40" s="911"/>
      <c r="U40" s="4"/>
      <c r="V40" s="14"/>
      <c r="W40" s="4"/>
      <c r="X40" s="16">
        <f t="shared" si="18"/>
        <v>0</v>
      </c>
      <c r="Y40" s="4"/>
      <c r="Z40" s="914"/>
      <c r="AA40" s="911"/>
    </row>
    <row r="41" spans="1:27" ht="14.25">
      <c r="A41" s="23"/>
      <c r="B41" s="70" t="s">
        <v>100</v>
      </c>
      <c r="C41" s="914"/>
      <c r="D41" s="910"/>
      <c r="E41" s="911"/>
      <c r="F41" s="4"/>
      <c r="G41" s="4"/>
      <c r="H41" s="4"/>
      <c r="I41" s="4"/>
      <c r="J41" s="914"/>
      <c r="K41" s="911"/>
      <c r="M41" s="25"/>
      <c r="N41" s="29">
        <v>5</v>
      </c>
      <c r="O41" s="915"/>
      <c r="P41" s="919"/>
      <c r="Q41" s="916"/>
      <c r="R41" s="915"/>
      <c r="S41" s="919"/>
      <c r="T41" s="916"/>
      <c r="U41" s="27"/>
      <c r="V41" s="30"/>
      <c r="W41" s="27"/>
      <c r="X41" s="31">
        <f t="shared" si="18"/>
        <v>0</v>
      </c>
      <c r="Y41" s="4"/>
      <c r="Z41" s="914"/>
      <c r="AA41" s="911"/>
    </row>
    <row r="42" spans="1:27" ht="14.25">
      <c r="A42" s="23"/>
      <c r="B42" s="70" t="s">
        <v>99</v>
      </c>
      <c r="C42" s="914"/>
      <c r="D42" s="910"/>
      <c r="E42" s="911"/>
      <c r="F42" s="4"/>
      <c r="G42" s="4"/>
      <c r="H42" s="4"/>
      <c r="I42" s="4"/>
      <c r="J42" s="914"/>
      <c r="K42" s="911"/>
      <c r="M42" s="32"/>
      <c r="N42" s="54"/>
      <c r="O42" s="921"/>
      <c r="P42" s="910"/>
      <c r="Q42" s="910"/>
      <c r="R42" s="921"/>
      <c r="S42" s="910"/>
      <c r="T42" s="910"/>
      <c r="U42" s="59" t="s">
        <v>58</v>
      </c>
      <c r="V42" s="33">
        <f>X42/N19</f>
        <v>5.5555555555555552E-2</v>
      </c>
      <c r="W42" s="59" t="s">
        <v>59</v>
      </c>
      <c r="X42" s="34">
        <f>SUM(X37:X41)</f>
        <v>250</v>
      </c>
      <c r="Y42" s="45"/>
      <c r="Z42" s="921"/>
      <c r="AA42" s="911"/>
    </row>
    <row r="43" spans="1:27" ht="14.25">
      <c r="A43" s="20"/>
      <c r="B43" s="70" t="s">
        <v>103</v>
      </c>
      <c r="C43" s="914"/>
      <c r="D43" s="910"/>
      <c r="E43" s="911"/>
      <c r="F43" s="4"/>
      <c r="G43" s="4"/>
      <c r="H43" s="4"/>
      <c r="I43" s="4"/>
      <c r="J43" s="914"/>
      <c r="K43" s="911"/>
      <c r="M43" s="56" t="s">
        <v>43</v>
      </c>
      <c r="N43" s="24">
        <v>1</v>
      </c>
      <c r="O43" s="913" t="s">
        <v>89</v>
      </c>
      <c r="P43" s="910"/>
      <c r="Q43" s="911"/>
      <c r="R43" s="929" t="s">
        <v>93</v>
      </c>
      <c r="S43" s="930"/>
      <c r="T43" s="931"/>
      <c r="U43" s="35">
        <v>30</v>
      </c>
      <c r="V43" s="36">
        <v>0.1</v>
      </c>
      <c r="W43" s="35">
        <v>20</v>
      </c>
      <c r="X43" s="37">
        <f t="shared" ref="X43:X47" si="19">W43*U43</f>
        <v>600</v>
      </c>
      <c r="Y43" s="4">
        <v>400</v>
      </c>
      <c r="Z43" s="913" t="s">
        <v>92</v>
      </c>
      <c r="AA43" s="911"/>
    </row>
    <row r="44" spans="1:27" ht="14.25">
      <c r="A44" s="67"/>
      <c r="M44" s="25"/>
      <c r="N44" s="24">
        <v>2</v>
      </c>
      <c r="O44" s="914"/>
      <c r="P44" s="910"/>
      <c r="Q44" s="911"/>
      <c r="R44" s="914"/>
      <c r="S44" s="910"/>
      <c r="T44" s="911"/>
      <c r="U44" s="4"/>
      <c r="V44" s="14"/>
      <c r="W44" s="4"/>
      <c r="X44" s="37">
        <f t="shared" si="19"/>
        <v>0</v>
      </c>
      <c r="Y44" s="4"/>
      <c r="Z44" s="914"/>
      <c r="AA44" s="911"/>
    </row>
    <row r="45" spans="1:27" ht="14.25">
      <c r="A45" s="18"/>
      <c r="B45" s="49" t="s">
        <v>47</v>
      </c>
      <c r="C45" s="912" t="s">
        <v>12</v>
      </c>
      <c r="D45" s="910"/>
      <c r="E45" s="911"/>
      <c r="F45" s="49" t="s">
        <v>46</v>
      </c>
      <c r="G45" s="49" t="s">
        <v>48</v>
      </c>
      <c r="H45" s="49" t="s">
        <v>49</v>
      </c>
      <c r="I45" s="8" t="s">
        <v>13</v>
      </c>
      <c r="J45" s="925" t="s">
        <v>51</v>
      </c>
      <c r="K45" s="911"/>
      <c r="M45" s="25"/>
      <c r="N45" s="24">
        <v>3</v>
      </c>
      <c r="O45" s="914"/>
      <c r="P45" s="910"/>
      <c r="Q45" s="911"/>
      <c r="R45" s="914"/>
      <c r="S45" s="910"/>
      <c r="T45" s="911"/>
      <c r="U45" s="4"/>
      <c r="V45" s="14"/>
      <c r="W45" s="4"/>
      <c r="X45" s="37">
        <f t="shared" si="19"/>
        <v>0</v>
      </c>
      <c r="Y45" s="4"/>
      <c r="Z45" s="914"/>
      <c r="AA45" s="911"/>
    </row>
    <row r="46" spans="1:27" ht="14.25">
      <c r="A46" s="52" t="s">
        <v>36</v>
      </c>
      <c r="B46" s="6">
        <v>1</v>
      </c>
      <c r="C46" s="913" t="s">
        <v>82</v>
      </c>
      <c r="D46" s="910"/>
      <c r="E46" s="911"/>
      <c r="F46" s="4">
        <v>15</v>
      </c>
      <c r="G46" s="4">
        <v>1200</v>
      </c>
      <c r="H46" s="4">
        <v>80</v>
      </c>
      <c r="I46" s="4">
        <v>5</v>
      </c>
      <c r="J46" s="913" t="s">
        <v>83</v>
      </c>
      <c r="K46" s="911"/>
      <c r="M46" s="25"/>
      <c r="N46" s="24">
        <v>4</v>
      </c>
      <c r="O46" s="914"/>
      <c r="P46" s="910"/>
      <c r="Q46" s="911"/>
      <c r="R46" s="914"/>
      <c r="S46" s="910"/>
      <c r="T46" s="911"/>
      <c r="U46" s="4"/>
      <c r="V46" s="14"/>
      <c r="W46" s="4"/>
      <c r="X46" s="37">
        <f t="shared" si="19"/>
        <v>0</v>
      </c>
      <c r="Y46" s="4"/>
      <c r="Z46" s="914"/>
      <c r="AA46" s="911"/>
    </row>
    <row r="47" spans="1:27" ht="14.25">
      <c r="A47" s="23"/>
      <c r="B47" s="6">
        <v>2</v>
      </c>
      <c r="C47" s="914"/>
      <c r="D47" s="910"/>
      <c r="E47" s="911"/>
      <c r="F47" s="4"/>
      <c r="G47" s="4"/>
      <c r="H47" s="4"/>
      <c r="I47" s="4"/>
      <c r="J47" s="914"/>
      <c r="K47" s="911"/>
      <c r="M47" s="25"/>
      <c r="N47" s="29">
        <v>5</v>
      </c>
      <c r="O47" s="914"/>
      <c r="P47" s="910"/>
      <c r="Q47" s="911"/>
      <c r="R47" s="914"/>
      <c r="S47" s="910"/>
      <c r="T47" s="911"/>
      <c r="U47" s="27"/>
      <c r="V47" s="30"/>
      <c r="W47" s="27"/>
      <c r="X47" s="40">
        <f t="shared" si="19"/>
        <v>0</v>
      </c>
      <c r="Y47" s="4"/>
      <c r="Z47" s="914"/>
      <c r="AA47" s="911"/>
    </row>
    <row r="48" spans="1:27" ht="14.25">
      <c r="A48" s="23"/>
      <c r="B48" s="6">
        <v>3</v>
      </c>
      <c r="C48" s="914"/>
      <c r="D48" s="910"/>
      <c r="E48" s="911"/>
      <c r="F48" s="4"/>
      <c r="G48" s="4"/>
      <c r="H48" s="4"/>
      <c r="I48" s="4"/>
      <c r="J48" s="914"/>
      <c r="K48" s="911"/>
      <c r="M48" s="68"/>
      <c r="N48" s="45"/>
      <c r="O48" s="921"/>
      <c r="P48" s="910"/>
      <c r="Q48" s="910"/>
      <c r="R48" s="921"/>
      <c r="S48" s="910"/>
      <c r="T48" s="910"/>
      <c r="U48" s="59" t="s">
        <v>58</v>
      </c>
      <c r="V48" s="33">
        <f>X48/N19</f>
        <v>0.13333333333333333</v>
      </c>
      <c r="W48" s="59" t="s">
        <v>59</v>
      </c>
      <c r="X48" s="34">
        <f>SUM(X43:X47)</f>
        <v>600</v>
      </c>
      <c r="Y48" s="45"/>
      <c r="Z48" s="921"/>
      <c r="AA48" s="911"/>
    </row>
    <row r="49" spans="1:27" ht="14.25">
      <c r="A49" s="23"/>
      <c r="B49" s="6">
        <v>4</v>
      </c>
      <c r="C49" s="914"/>
      <c r="D49" s="910"/>
      <c r="E49" s="911"/>
      <c r="F49" s="4"/>
      <c r="G49" s="4"/>
      <c r="H49" s="4"/>
      <c r="I49" s="4"/>
      <c r="J49" s="914"/>
      <c r="K49" s="911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>
      <c r="A50" s="23"/>
      <c r="B50" s="26">
        <v>5</v>
      </c>
      <c r="C50" s="915"/>
      <c r="D50" s="919"/>
      <c r="E50" s="916"/>
      <c r="F50" s="27"/>
      <c r="G50" s="27"/>
      <c r="H50" s="27"/>
      <c r="I50" s="27"/>
      <c r="J50" s="915"/>
      <c r="K50" s="916"/>
      <c r="M50" s="64" t="s">
        <v>17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.25">
      <c r="A51" s="23"/>
      <c r="B51" s="69" t="s">
        <v>101</v>
      </c>
      <c r="C51" s="917" t="s">
        <v>89</v>
      </c>
      <c r="D51" s="924"/>
      <c r="E51" s="918"/>
      <c r="F51" s="28">
        <v>18</v>
      </c>
      <c r="G51" s="28">
        <v>800</v>
      </c>
      <c r="H51" s="28">
        <v>44.44</v>
      </c>
      <c r="I51" s="28">
        <v>-15</v>
      </c>
      <c r="J51" s="917" t="s">
        <v>84</v>
      </c>
      <c r="K51" s="918"/>
      <c r="M51" s="8"/>
      <c r="N51" s="8" t="s">
        <v>18</v>
      </c>
      <c r="O51" s="920" t="s">
        <v>12</v>
      </c>
      <c r="P51" s="921"/>
      <c r="Q51" s="922"/>
      <c r="R51" s="926" t="s">
        <v>53</v>
      </c>
      <c r="S51" s="927"/>
      <c r="T51" s="928"/>
      <c r="U51" s="57" t="s">
        <v>54</v>
      </c>
      <c r="V51" s="39" t="s">
        <v>19</v>
      </c>
      <c r="W51" s="57" t="s">
        <v>57</v>
      </c>
      <c r="X51" s="8" t="s">
        <v>2</v>
      </c>
      <c r="Y51" s="920" t="s">
        <v>50</v>
      </c>
      <c r="Z51" s="921"/>
      <c r="AA51" s="922"/>
    </row>
    <row r="52" spans="1:27" ht="14.25">
      <c r="A52" s="23"/>
      <c r="B52" s="70" t="s">
        <v>102</v>
      </c>
      <c r="C52" s="914"/>
      <c r="D52" s="910"/>
      <c r="E52" s="911"/>
      <c r="F52" s="4"/>
      <c r="G52" s="4"/>
      <c r="H52" s="4"/>
      <c r="I52" s="4"/>
      <c r="J52" s="914"/>
      <c r="K52" s="911"/>
      <c r="M52" s="56" t="s">
        <v>42</v>
      </c>
      <c r="N52" s="24">
        <v>1</v>
      </c>
      <c r="O52" s="913" t="s">
        <v>89</v>
      </c>
      <c r="P52" s="910"/>
      <c r="Q52" s="911"/>
      <c r="R52" s="929" t="s">
        <v>93</v>
      </c>
      <c r="S52" s="930"/>
      <c r="T52" s="931"/>
      <c r="U52" s="4">
        <v>30</v>
      </c>
      <c r="V52" s="14">
        <v>0.62</v>
      </c>
      <c r="W52" s="14">
        <v>0.57999999999999996</v>
      </c>
      <c r="X52" s="13">
        <f t="shared" ref="X52:X55" si="20">W52-V52</f>
        <v>-4.0000000000000036E-2</v>
      </c>
      <c r="Y52" s="913" t="s">
        <v>97</v>
      </c>
      <c r="Z52" s="910"/>
      <c r="AA52" s="911"/>
    </row>
    <row r="53" spans="1:27" ht="14.25">
      <c r="A53" s="23"/>
      <c r="B53" s="70" t="s">
        <v>100</v>
      </c>
      <c r="C53" s="914"/>
      <c r="D53" s="910"/>
      <c r="E53" s="911"/>
      <c r="F53" s="4"/>
      <c r="G53" s="4"/>
      <c r="H53" s="4"/>
      <c r="I53" s="4"/>
      <c r="J53" s="914"/>
      <c r="K53" s="911"/>
      <c r="M53" s="25"/>
      <c r="N53" s="29">
        <v>2</v>
      </c>
      <c r="O53" s="915"/>
      <c r="P53" s="919"/>
      <c r="Q53" s="916"/>
      <c r="R53" s="915"/>
      <c r="S53" s="919"/>
      <c r="T53" s="916"/>
      <c r="U53" s="27"/>
      <c r="V53" s="30"/>
      <c r="W53" s="30"/>
      <c r="X53" s="41">
        <f t="shared" si="20"/>
        <v>0</v>
      </c>
      <c r="Y53" s="915"/>
      <c r="Z53" s="919"/>
      <c r="AA53" s="916"/>
    </row>
    <row r="54" spans="1:27" ht="14.25">
      <c r="A54" s="23"/>
      <c r="B54" s="70" t="s">
        <v>99</v>
      </c>
      <c r="C54" s="914"/>
      <c r="D54" s="910"/>
      <c r="E54" s="911"/>
      <c r="F54" s="4"/>
      <c r="G54" s="4"/>
      <c r="H54" s="4"/>
      <c r="I54" s="4"/>
      <c r="J54" s="914"/>
      <c r="K54" s="911"/>
      <c r="M54" s="56" t="s">
        <v>43</v>
      </c>
      <c r="N54" s="42">
        <v>1</v>
      </c>
      <c r="O54" s="917" t="s">
        <v>94</v>
      </c>
      <c r="P54" s="924"/>
      <c r="Q54" s="918"/>
      <c r="R54" s="917" t="s">
        <v>95</v>
      </c>
      <c r="S54" s="924"/>
      <c r="T54" s="918"/>
      <c r="U54" s="28">
        <v>20</v>
      </c>
      <c r="V54" s="43">
        <v>0.9</v>
      </c>
      <c r="W54" s="43">
        <v>0.82</v>
      </c>
      <c r="X54" s="44">
        <f t="shared" si="20"/>
        <v>-8.0000000000000071E-2</v>
      </c>
      <c r="Y54" s="917" t="s">
        <v>96</v>
      </c>
      <c r="Z54" s="924"/>
      <c r="AA54" s="918"/>
    </row>
    <row r="55" spans="1:27" ht="14.25">
      <c r="A55" s="20"/>
      <c r="B55" s="70" t="s">
        <v>103</v>
      </c>
      <c r="C55" s="914"/>
      <c r="D55" s="910"/>
      <c r="E55" s="911"/>
      <c r="F55" s="4"/>
      <c r="G55" s="4"/>
      <c r="H55" s="4"/>
      <c r="I55" s="4"/>
      <c r="J55" s="914"/>
      <c r="K55" s="911"/>
      <c r="M55" s="22"/>
      <c r="N55" s="24">
        <v>2</v>
      </c>
      <c r="O55" s="914"/>
      <c r="P55" s="910"/>
      <c r="Q55" s="911"/>
      <c r="R55" s="914"/>
      <c r="S55" s="910"/>
      <c r="T55" s="911"/>
      <c r="U55" s="4"/>
      <c r="V55" s="14"/>
      <c r="W55" s="14"/>
      <c r="X55" s="13">
        <f t="shared" si="20"/>
        <v>0</v>
      </c>
      <c r="Y55" s="914"/>
      <c r="Z55" s="910"/>
      <c r="AA55" s="911"/>
    </row>
  </sheetData>
  <mergeCells count="162"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</mergeCells>
  <phoneticPr fontId="10"/>
  <printOptions horizontalCentered="1" gridLines="1"/>
  <pageMargins left="0.7" right="0.7" top="0.75" bottom="0.75" header="0" footer="0"/>
  <pageSetup paperSize="9" scale="10" fitToHeight="0" pageOrder="overThenDown" orientation="landscape" cellComments="atEnd" r:id="rId1"/>
  <legacy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7"/>
  <dimension ref="B2:G23"/>
  <sheetViews>
    <sheetView view="pageBreakPreview" zoomScale="115" zoomScaleNormal="100" zoomScaleSheetLayoutView="115" workbookViewId="0">
      <selection activeCell="L95" sqref="L95"/>
    </sheetView>
  </sheetViews>
  <sheetFormatPr defaultColWidth="8.7109375" defaultRowHeight="14.25"/>
  <cols>
    <col min="1" max="2" width="8.7109375" style="148"/>
    <col min="3" max="3" width="14" style="148" bestFit="1" customWidth="1"/>
    <col min="4" max="4" width="0.28515625" style="148" customWidth="1"/>
    <col min="5" max="5" width="8.7109375" style="148"/>
    <col min="6" max="6" width="16.28515625" style="148" bestFit="1" customWidth="1"/>
    <col min="7" max="16384" width="8.7109375" style="148"/>
  </cols>
  <sheetData>
    <row r="2" spans="2:7" ht="15.75">
      <c r="B2" s="936" t="s">
        <v>234</v>
      </c>
      <c r="C2" s="936"/>
      <c r="D2" s="936"/>
      <c r="E2" s="936"/>
      <c r="F2" s="936"/>
    </row>
    <row r="3" spans="2:7" ht="15">
      <c r="B3" s="149" t="s">
        <v>235</v>
      </c>
      <c r="C3" s="149" t="s">
        <v>236</v>
      </c>
      <c r="D3" s="150"/>
      <c r="E3" s="149" t="s">
        <v>237</v>
      </c>
      <c r="F3" s="149" t="s">
        <v>238</v>
      </c>
      <c r="G3" s="150"/>
    </row>
    <row r="4" spans="2:7" ht="15">
      <c r="B4" s="151" t="s">
        <v>239</v>
      </c>
      <c r="C4" s="151" t="s">
        <v>240</v>
      </c>
      <c r="D4" s="150"/>
      <c r="E4" s="151" t="s">
        <v>241</v>
      </c>
      <c r="F4" s="151" t="s">
        <v>242</v>
      </c>
      <c r="G4" s="150"/>
    </row>
    <row r="5" spans="2:7" ht="15">
      <c r="B5" s="151" t="s">
        <v>243</v>
      </c>
      <c r="C5" s="151" t="s">
        <v>244</v>
      </c>
      <c r="D5" s="150"/>
      <c r="E5" s="151" t="s">
        <v>245</v>
      </c>
      <c r="F5" s="151" t="s">
        <v>246</v>
      </c>
      <c r="G5" s="150"/>
    </row>
    <row r="6" spans="2:7" ht="15">
      <c r="B6" s="151" t="s">
        <v>247</v>
      </c>
      <c r="C6" s="151" t="s">
        <v>248</v>
      </c>
      <c r="D6" s="150"/>
      <c r="E6" s="152" t="s">
        <v>249</v>
      </c>
      <c r="F6" s="152" t="s">
        <v>141</v>
      </c>
      <c r="G6" s="150"/>
    </row>
    <row r="7" spans="2:7" ht="15">
      <c r="B7" s="152" t="s">
        <v>250</v>
      </c>
      <c r="C7" s="152" t="s">
        <v>251</v>
      </c>
      <c r="D7" s="150"/>
      <c r="E7" s="151" t="s">
        <v>252</v>
      </c>
      <c r="F7" s="151" t="s">
        <v>253</v>
      </c>
      <c r="G7" s="150"/>
    </row>
    <row r="8" spans="2:7" ht="15">
      <c r="B8" s="151" t="s">
        <v>254</v>
      </c>
      <c r="C8" s="151" t="s">
        <v>255</v>
      </c>
      <c r="D8" s="150"/>
      <c r="E8" s="151" t="s">
        <v>256</v>
      </c>
      <c r="F8" s="151" t="s">
        <v>257</v>
      </c>
      <c r="G8" s="150"/>
    </row>
    <row r="9" spans="2:7" ht="15">
      <c r="B9" s="151" t="s">
        <v>258</v>
      </c>
      <c r="C9" s="151" t="s">
        <v>259</v>
      </c>
      <c r="D9" s="150"/>
      <c r="E9" s="152" t="s">
        <v>260</v>
      </c>
      <c r="F9" s="152" t="s">
        <v>140</v>
      </c>
      <c r="G9" s="150"/>
    </row>
    <row r="10" spans="2:7" ht="15">
      <c r="B10" s="151" t="s">
        <v>261</v>
      </c>
      <c r="C10" s="151" t="s">
        <v>262</v>
      </c>
      <c r="D10" s="150"/>
      <c r="E10" s="151" t="s">
        <v>263</v>
      </c>
      <c r="F10" s="151" t="s">
        <v>264</v>
      </c>
      <c r="G10" s="150"/>
    </row>
    <row r="11" spans="2:7" ht="15">
      <c r="B11" s="151" t="s">
        <v>265</v>
      </c>
      <c r="C11" s="151" t="s">
        <v>266</v>
      </c>
      <c r="D11" s="150"/>
      <c r="E11" s="151" t="s">
        <v>267</v>
      </c>
      <c r="F11" s="151" t="s">
        <v>257</v>
      </c>
      <c r="G11" s="150"/>
    </row>
    <row r="12" spans="2:7" ht="15">
      <c r="B12" s="151" t="s">
        <v>268</v>
      </c>
      <c r="C12" s="151" t="s">
        <v>269</v>
      </c>
      <c r="D12" s="150"/>
      <c r="E12" s="151" t="s">
        <v>270</v>
      </c>
      <c r="F12" s="151" t="s">
        <v>271</v>
      </c>
      <c r="G12" s="150"/>
    </row>
    <row r="13" spans="2:7" ht="15">
      <c r="B13" s="152" t="s">
        <v>272</v>
      </c>
      <c r="C13" s="152" t="s">
        <v>136</v>
      </c>
      <c r="D13" s="150"/>
      <c r="E13" s="151" t="s">
        <v>273</v>
      </c>
      <c r="F13" s="151" t="s">
        <v>274</v>
      </c>
      <c r="G13" s="150"/>
    </row>
    <row r="14" spans="2:7" ht="15">
      <c r="B14" s="151" t="s">
        <v>275</v>
      </c>
      <c r="C14" s="151" t="s">
        <v>276</v>
      </c>
      <c r="D14" s="150"/>
      <c r="E14" s="152" t="s">
        <v>277</v>
      </c>
      <c r="F14" s="152" t="s">
        <v>278</v>
      </c>
      <c r="G14" s="150"/>
    </row>
    <row r="15" spans="2:7" ht="15">
      <c r="B15" s="152" t="s">
        <v>279</v>
      </c>
      <c r="C15" s="152" t="s">
        <v>280</v>
      </c>
      <c r="D15" s="150"/>
      <c r="E15" s="151" t="s">
        <v>281</v>
      </c>
      <c r="F15" s="151" t="s">
        <v>278</v>
      </c>
      <c r="G15" s="150"/>
    </row>
    <row r="16" spans="2:7" ht="15">
      <c r="B16" s="151" t="s">
        <v>282</v>
      </c>
      <c r="C16" s="151" t="s">
        <v>283</v>
      </c>
      <c r="D16" s="150"/>
      <c r="E16" s="152" t="s">
        <v>284</v>
      </c>
      <c r="F16" s="152" t="s">
        <v>285</v>
      </c>
      <c r="G16" s="150"/>
    </row>
    <row r="17" spans="2:7" ht="15">
      <c r="B17" s="151" t="s">
        <v>286</v>
      </c>
      <c r="C17" s="151" t="s">
        <v>287</v>
      </c>
      <c r="D17" s="150"/>
      <c r="E17" s="151" t="s">
        <v>288</v>
      </c>
      <c r="F17" s="151" t="s">
        <v>289</v>
      </c>
      <c r="G17" s="150"/>
    </row>
    <row r="18" spans="2:7" ht="15">
      <c r="B18" s="151" t="s">
        <v>290</v>
      </c>
      <c r="C18" s="151" t="s">
        <v>291</v>
      </c>
      <c r="D18" s="150"/>
      <c r="E18" s="151" t="s">
        <v>292</v>
      </c>
      <c r="F18" s="151" t="s">
        <v>293</v>
      </c>
      <c r="G18" s="150"/>
    </row>
    <row r="19" spans="2:7" ht="15">
      <c r="B19" s="151" t="s">
        <v>294</v>
      </c>
      <c r="C19" s="151" t="s">
        <v>295</v>
      </c>
      <c r="D19" s="150"/>
      <c r="E19" s="151" t="s">
        <v>296</v>
      </c>
      <c r="F19" s="151" t="s">
        <v>297</v>
      </c>
      <c r="G19" s="150"/>
    </row>
    <row r="20" spans="2:7" ht="15">
      <c r="B20" s="151" t="s">
        <v>298</v>
      </c>
      <c r="C20" s="151" t="s">
        <v>299</v>
      </c>
      <c r="D20" s="150"/>
      <c r="G20" s="150"/>
    </row>
    <row r="21" spans="2:7" ht="15">
      <c r="D21" s="150"/>
      <c r="G21" s="150"/>
    </row>
    <row r="22" spans="2:7" ht="15">
      <c r="D22" s="150"/>
      <c r="G22" s="150"/>
    </row>
    <row r="23" spans="2:7" ht="15">
      <c r="D23" s="150"/>
      <c r="G23" s="150"/>
    </row>
  </sheetData>
  <mergeCells count="1">
    <mergeCell ref="B2:F2"/>
  </mergeCells>
  <phoneticPr fontId="13" type="noConversion"/>
  <pageMargins left="0" right="0" top="0" bottom="0" header="0" footer="0"/>
  <pageSetup paperSize="9" orientation="portrait" horizontalDpi="300" verticalDpi="30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8"/>
  <dimension ref="A3:B10"/>
  <sheetViews>
    <sheetView workbookViewId="0">
      <selection activeCell="B7" sqref="B7"/>
    </sheetView>
  </sheetViews>
  <sheetFormatPr defaultRowHeight="12.75"/>
  <sheetData>
    <row r="3" spans="1:2" ht="14.25">
      <c r="A3">
        <v>1</v>
      </c>
      <c r="B3" s="148" t="s">
        <v>340</v>
      </c>
    </row>
    <row r="4" spans="1:2" ht="14.25">
      <c r="A4">
        <v>2</v>
      </c>
      <c r="B4" s="148" t="s">
        <v>361</v>
      </c>
    </row>
    <row r="5" spans="1:2" ht="14.25">
      <c r="A5">
        <v>3</v>
      </c>
      <c r="B5" s="148" t="s">
        <v>316</v>
      </c>
    </row>
    <row r="6" spans="1:2" ht="14.25">
      <c r="A6">
        <v>4</v>
      </c>
      <c r="B6" s="148" t="s">
        <v>197</v>
      </c>
    </row>
    <row r="7" spans="1:2" ht="15">
      <c r="A7">
        <v>5</v>
      </c>
      <c r="B7" s="150" t="s">
        <v>496</v>
      </c>
    </row>
    <row r="8" spans="1:2" ht="14.25">
      <c r="A8">
        <v>6</v>
      </c>
      <c r="B8" s="148" t="s">
        <v>199</v>
      </c>
    </row>
    <row r="9" spans="1:2" ht="14.25">
      <c r="A9">
        <v>7</v>
      </c>
      <c r="B9" s="148" t="s">
        <v>362</v>
      </c>
    </row>
    <row r="10" spans="1:2" ht="14.25">
      <c r="A10">
        <v>8</v>
      </c>
      <c r="B10" s="148" t="s">
        <v>363</v>
      </c>
    </row>
  </sheetData>
  <phoneticPr fontId="13" type="noConversion"/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0F18359-D2FB-450D-8740-4C754D771A2E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688F3242-B422-4772-AC1E-3E2BC8087342}"/>
</file>

<file path=customXml/itemProps3.xml><?xml version="1.0" encoding="utf-8"?>
<ds:datastoreItem xmlns:ds="http://schemas.openxmlformats.org/officeDocument/2006/customXml" ds:itemID="{3366F434-44F9-4931-81C1-D06D36DE28A4}"/>
</file>

<file path=customXml/itemProps4.xml><?xml version="1.0" encoding="utf-8"?>
<ds:datastoreItem xmlns:ds="http://schemas.openxmlformats.org/officeDocument/2006/customXml" ds:itemID="{F626222F-B5AF-48C9-97AE-7309A74DB1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38</vt:i4>
      </vt:variant>
      <vt:variant>
        <vt:lpstr>已命名的範圍</vt:lpstr>
      </vt:variant>
      <vt:variant>
        <vt:i4>18</vt:i4>
      </vt:variant>
    </vt:vector>
  </HeadingPairs>
  <TitlesOfParts>
    <vt:vector size="56" baseType="lpstr">
      <vt:lpstr>數值累積總表(月)</vt:lpstr>
      <vt:lpstr>生產管理報表(月)</vt:lpstr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（５-1）品群別人時生產性(18℃-飯糰)</vt:lpstr>
      <vt:lpstr>（５-2）品群別人時生產性(18℃-壽司手卷)</vt:lpstr>
      <vt:lpstr>（５-3）品群別人時生產性(4℃-飯糰)</vt:lpstr>
      <vt:lpstr>（５-4）品群別人時生產性(4℃-壽司手卷)</vt:lpstr>
      <vt:lpstr>（５-5）品群別人時生產性(微波主食) </vt:lpstr>
      <vt:lpstr>（５-6）品群別人時生產性(便當)</vt:lpstr>
      <vt:lpstr>（５-7）品群別人時生產性(熱食義麵) </vt:lpstr>
      <vt:lpstr>（５-8）品群別人時生產性(季節調理麵) </vt:lpstr>
      <vt:lpstr>（５-9）品群別人時生產性(微波小吃)</vt:lpstr>
      <vt:lpstr>生產管理報表 6-1</vt:lpstr>
      <vt:lpstr>生產管理報表 6-2</vt:lpstr>
      <vt:lpstr>生產管理報表 6-3</vt:lpstr>
      <vt:lpstr>生產管理報表 6-4</vt:lpstr>
      <vt:lpstr>生產管理報表 6-5</vt:lpstr>
      <vt:lpstr>生產管理報表 7-1(月)</vt:lpstr>
      <vt:lpstr>生產管理報表 8-1(月報廢)</vt:lpstr>
      <vt:lpstr>生產管理報表 8-2(月報廢)</vt:lpstr>
      <vt:lpstr>生產管理報表 8-3(月超用)</vt:lpstr>
      <vt:lpstr>生產管理報表 8-4(月超用)</vt:lpstr>
      <vt:lpstr>生產管理報表 7-1 (週)</vt:lpstr>
      <vt:lpstr>生產管理報表 8-5(週報廢)</vt:lpstr>
      <vt:lpstr>生產管理報表 8-6(週報廢)</vt:lpstr>
      <vt:lpstr>生產管理報表 8-7(週超用)</vt:lpstr>
      <vt:lpstr>生產管理報表 8-8(週超用) </vt:lpstr>
      <vt:lpstr>生產管理報表 9</vt:lpstr>
      <vt:lpstr>日別報廢率總表</vt:lpstr>
      <vt:lpstr>報廢20大－原因別分析</vt:lpstr>
      <vt:lpstr>超用20大－原因別分析</vt:lpstr>
      <vt:lpstr>填寫舉例</vt:lpstr>
      <vt:lpstr>鮮食品群番</vt:lpstr>
      <vt:lpstr>下拉式選單</vt:lpstr>
      <vt:lpstr>'生產管理報表 6-1'!Print_Area</vt:lpstr>
      <vt:lpstr>'生產管理報表 6-2'!Print_Area</vt:lpstr>
      <vt:lpstr>'生產管理報表 6-3'!Print_Area</vt:lpstr>
      <vt:lpstr>'生產管理報表 6-4'!Print_Area</vt:lpstr>
      <vt:lpstr>'生產管理報表 6-5'!Print_Area</vt:lpstr>
      <vt:lpstr>'生產管理報表 7-1 (週)'!Print_Area</vt:lpstr>
      <vt:lpstr>'生產管理報表 7-1(月)'!Print_Area</vt:lpstr>
      <vt:lpstr>'生產管理報表 8-1(月報廢)'!Print_Area</vt:lpstr>
      <vt:lpstr>'生產管理報表 8-2(月報廢)'!Print_Area</vt:lpstr>
      <vt:lpstr>'生產管理報表 8-3(月超用)'!Print_Area</vt:lpstr>
      <vt:lpstr>'生產管理報表 8-4(月超用)'!Print_Area</vt:lpstr>
      <vt:lpstr>'生產管理報表 8-5(週報廢)'!Print_Area</vt:lpstr>
      <vt:lpstr>'生產管理報表 8-6(週報廢)'!Print_Area</vt:lpstr>
      <vt:lpstr>'生產管理報表 8-7(週超用)'!Print_Area</vt:lpstr>
      <vt:lpstr>'生產管理報表 8-8(週超用) '!Print_Area</vt:lpstr>
      <vt:lpstr>'生產管理報表(月)'!Print_Area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林謙杰</cp:lastModifiedBy>
  <cp:lastPrinted>2026-07-22T06:34:28Z</cp:lastPrinted>
  <dcterms:created xsi:type="dcterms:W3CDTF">2025-07-03T16:36:59Z</dcterms:created>
  <dcterms:modified xsi:type="dcterms:W3CDTF">2026-08-19T09:37:57Z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