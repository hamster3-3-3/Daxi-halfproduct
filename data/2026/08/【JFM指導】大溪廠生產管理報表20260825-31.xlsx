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EA9A6EA4-8C8A-455F-8067-A011A1BCFFEB}" xr6:coauthVersionLast="47" xr6:coauthVersionMax="47" xr10:uidLastSave="{00000000-0000-0000-0000-000000000000}"/>
  <bookViews>
    <workbookView xWindow="-120" yWindow="-120" windowWidth="29040" windowHeight="15720" tabRatio="866" activeTab="1" xr2:uid="{00000000-000D-0000-FFFF-FFFF00000000}"/>
  </bookViews>
  <sheets>
    <sheet name="數值累積總表(月)" sheetId="65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6-1'!$A$1:$L$132</definedName>
    <definedName name="_xlnm.Print_Area" localSheetId="17">'生產管理報表 6-2'!$A$1:$L$132</definedName>
    <definedName name="_xlnm.Print_Area" localSheetId="18">'生產管理報表 6-3'!$A$1:$L$132</definedName>
    <definedName name="_xlnm.Print_Area" localSheetId="19">'生產管理報表 6-4'!$A$1:$L$132</definedName>
    <definedName name="_xlnm.Print_Area" localSheetId="20">'生產管理報表 6-5'!$A$1:$L$132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8-5(週報廢)'!$A$1:$P$142</definedName>
    <definedName name="_xlnm.Print_Area" localSheetId="28">'生產管理報表 8-6(週報廢)'!$A$1:$P$218</definedName>
    <definedName name="_xlnm.Print_Area" localSheetId="29">'生產管理報表 8-7(週超用)'!$A$1:$Q$30</definedName>
    <definedName name="_xlnm.Print_Area" localSheetId="30">'生產管理報表 8-8(週超用) '!$A$1:$P$142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12" i="66" l="1"/>
  <c r="AH111" i="66"/>
  <c r="AI111" i="66"/>
  <c r="AJ111" i="66"/>
  <c r="AK111" i="66"/>
  <c r="AL111" i="66"/>
  <c r="AM111" i="66"/>
  <c r="AG111" i="66"/>
  <c r="AH110" i="66"/>
  <c r="AI110" i="66"/>
  <c r="AJ110" i="66"/>
  <c r="AK110" i="66"/>
  <c r="AL110" i="66"/>
  <c r="AM110" i="66"/>
  <c r="AG110" i="66"/>
  <c r="AF110" i="66"/>
  <c r="AF110" i="63"/>
  <c r="B2" i="56"/>
  <c r="B5" i="40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I11" i="13"/>
  <c r="I10" i="13"/>
  <c r="I9" i="13"/>
  <c r="I8" i="13"/>
  <c r="I7" i="13"/>
  <c r="I6" i="13"/>
  <c r="B11" i="13"/>
  <c r="B10" i="13"/>
  <c r="B9" i="13"/>
  <c r="B8" i="13"/>
  <c r="B7" i="13"/>
  <c r="B6" i="13"/>
  <c r="J112" i="25" l="1"/>
  <c r="J124" i="24"/>
  <c r="J130" i="24"/>
  <c r="J129" i="24"/>
  <c r="J128" i="24"/>
  <c r="J127" i="24"/>
  <c r="J126" i="24"/>
  <c r="J125" i="24"/>
  <c r="J123" i="24"/>
  <c r="J131" i="23"/>
  <c r="J130" i="23"/>
  <c r="J129" i="23"/>
  <c r="J128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28" i="22"/>
  <c r="J127" i="22"/>
  <c r="J125" i="22"/>
  <c r="J124" i="22"/>
  <c r="J123" i="22"/>
  <c r="J112" i="22"/>
  <c r="J126" i="15"/>
  <c r="J125" i="15"/>
  <c r="J124" i="15"/>
  <c r="J123" i="15"/>
  <c r="J119" i="15"/>
  <c r="J121" i="15"/>
  <c r="J118" i="15"/>
  <c r="J117" i="15"/>
  <c r="J116" i="15"/>
  <c r="J115" i="15"/>
  <c r="J112" i="15"/>
  <c r="AW88" i="52"/>
  <c r="AW87" i="52"/>
  <c r="AR88" i="52"/>
  <c r="AR87" i="52"/>
  <c r="AM88" i="52"/>
  <c r="AM87" i="52"/>
  <c r="AH88" i="52"/>
  <c r="AH87" i="52"/>
  <c r="AC88" i="52"/>
  <c r="AC87" i="52"/>
  <c r="X88" i="52"/>
  <c r="X87" i="52"/>
  <c r="S88" i="52"/>
  <c r="S87" i="52"/>
  <c r="M88" i="52"/>
  <c r="M87" i="52"/>
  <c r="AV88" i="52"/>
  <c r="AQ88" i="52"/>
  <c r="AL88" i="52"/>
  <c r="AG88" i="52"/>
  <c r="AB88" i="52"/>
  <c r="W88" i="52"/>
  <c r="R88" i="52"/>
  <c r="K88" i="52"/>
  <c r="J88" i="52"/>
  <c r="I88" i="52"/>
  <c r="G88" i="52"/>
  <c r="AX87" i="52"/>
  <c r="AV87" i="52"/>
  <c r="AQ87" i="52"/>
  <c r="AS87" i="52" s="1"/>
  <c r="AL87" i="52"/>
  <c r="AN87" i="52" s="1"/>
  <c r="AI87" i="52"/>
  <c r="AG87" i="52"/>
  <c r="AB87" i="52"/>
  <c r="AD87" i="52" s="1"/>
  <c r="W87" i="52"/>
  <c r="Y87" i="52" s="1"/>
  <c r="R87" i="52"/>
  <c r="K87" i="52" s="1"/>
  <c r="J87" i="52"/>
  <c r="I87" i="52"/>
  <c r="G87" i="52"/>
  <c r="H87" i="52" s="1"/>
  <c r="AW94" i="51"/>
  <c r="AW93" i="51"/>
  <c r="AW92" i="51"/>
  <c r="AW91" i="51"/>
  <c r="AW90" i="51"/>
  <c r="AW89" i="51"/>
  <c r="AW88" i="51"/>
  <c r="AW87" i="51"/>
  <c r="AR94" i="51"/>
  <c r="AR93" i="51"/>
  <c r="AR92" i="51"/>
  <c r="AR91" i="51"/>
  <c r="AR90" i="51"/>
  <c r="AR89" i="51"/>
  <c r="AR88" i="51"/>
  <c r="AR87" i="51"/>
  <c r="AM94" i="51"/>
  <c r="AM93" i="51"/>
  <c r="AM92" i="51"/>
  <c r="AM91" i="51"/>
  <c r="AM90" i="51"/>
  <c r="AM89" i="51"/>
  <c r="AM88" i="51"/>
  <c r="AM87" i="51"/>
  <c r="AH94" i="51"/>
  <c r="AH93" i="51"/>
  <c r="AH92" i="51"/>
  <c r="AH91" i="51"/>
  <c r="AH90" i="51"/>
  <c r="AH89" i="51"/>
  <c r="AH88" i="51"/>
  <c r="AH87" i="51"/>
  <c r="AC94" i="51"/>
  <c r="AC93" i="51"/>
  <c r="AC92" i="51"/>
  <c r="AC91" i="51"/>
  <c r="AC90" i="51"/>
  <c r="AC89" i="51"/>
  <c r="AC88" i="51"/>
  <c r="AC87" i="51"/>
  <c r="X94" i="51"/>
  <c r="X93" i="51"/>
  <c r="X92" i="51"/>
  <c r="X91" i="51"/>
  <c r="X90" i="51"/>
  <c r="X89" i="51"/>
  <c r="X88" i="51"/>
  <c r="X87" i="51"/>
  <c r="S88" i="51"/>
  <c r="S89" i="51"/>
  <c r="S90" i="51"/>
  <c r="S91" i="51"/>
  <c r="S92" i="51"/>
  <c r="S93" i="51"/>
  <c r="S94" i="51"/>
  <c r="S87" i="51"/>
  <c r="M88" i="51"/>
  <c r="M89" i="51"/>
  <c r="M90" i="51"/>
  <c r="M91" i="51"/>
  <c r="M92" i="51"/>
  <c r="M93" i="51"/>
  <c r="M94" i="51"/>
  <c r="M87" i="5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K89" i="51" s="1"/>
  <c r="AL89" i="51"/>
  <c r="AG89" i="51"/>
  <c r="AB89" i="51"/>
  <c r="W89" i="51"/>
  <c r="R89" i="51"/>
  <c r="J89" i="51"/>
  <c r="I89" i="51"/>
  <c r="G89" i="51"/>
  <c r="AV88" i="51"/>
  <c r="AQ88" i="51"/>
  <c r="AL88" i="51"/>
  <c r="K88" i="51" s="1"/>
  <c r="AG88" i="51"/>
  <c r="AB88" i="51"/>
  <c r="W88" i="51"/>
  <c r="R88" i="51"/>
  <c r="J88" i="51"/>
  <c r="I88" i="51"/>
  <c r="G88" i="51"/>
  <c r="AV87" i="51"/>
  <c r="AX87" i="51" s="1"/>
  <c r="AQ87" i="51"/>
  <c r="AS87" i="51" s="1"/>
  <c r="AN87" i="51"/>
  <c r="AL87" i="51"/>
  <c r="AG87" i="51"/>
  <c r="AI87" i="51" s="1"/>
  <c r="AB87" i="51"/>
  <c r="AD87" i="51" s="1"/>
  <c r="W87" i="51"/>
  <c r="Y87" i="51" s="1"/>
  <c r="R87" i="51"/>
  <c r="T87" i="51" s="1"/>
  <c r="J87" i="51"/>
  <c r="I87" i="51"/>
  <c r="H87" i="51"/>
  <c r="G87" i="51"/>
  <c r="U82" i="50"/>
  <c r="Z82" i="50" s="1"/>
  <c r="AE82" i="50" s="1"/>
  <c r="AJ82" i="50" s="1"/>
  <c r="AO82" i="50" s="1"/>
  <c r="AT82" i="50" s="1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AV95" i="49"/>
  <c r="AQ95" i="49"/>
  <c r="AL95" i="49"/>
  <c r="AG95" i="49"/>
  <c r="AB95" i="49"/>
  <c r="W95" i="49"/>
  <c r="R95" i="49"/>
  <c r="J95" i="49"/>
  <c r="I95" i="49"/>
  <c r="G95" i="49"/>
  <c r="AV94" i="49"/>
  <c r="AQ94" i="49"/>
  <c r="AL94" i="49"/>
  <c r="AG94" i="49"/>
  <c r="AB94" i="49"/>
  <c r="K94" i="49" s="1"/>
  <c r="W94" i="49"/>
  <c r="R94" i="49"/>
  <c r="J94" i="49"/>
  <c r="I94" i="49"/>
  <c r="G94" i="49"/>
  <c r="AV93" i="49"/>
  <c r="AQ93" i="49"/>
  <c r="AL93" i="49"/>
  <c r="AG93" i="49"/>
  <c r="AB93" i="49"/>
  <c r="W93" i="49"/>
  <c r="R93" i="49"/>
  <c r="J93" i="49"/>
  <c r="I93" i="49"/>
  <c r="G93" i="49"/>
  <c r="AV92" i="49"/>
  <c r="AQ92" i="49"/>
  <c r="AL92" i="49"/>
  <c r="AG92" i="49"/>
  <c r="AB92" i="49"/>
  <c r="W92" i="49"/>
  <c r="K92" i="49" s="1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K90" i="49" s="1"/>
  <c r="J90" i="49"/>
  <c r="I90" i="49"/>
  <c r="G90" i="49"/>
  <c r="AV89" i="49"/>
  <c r="AQ89" i="49"/>
  <c r="AL89" i="49"/>
  <c r="AG89" i="49"/>
  <c r="AB89" i="49"/>
  <c r="W89" i="49"/>
  <c r="R89" i="49"/>
  <c r="K89" i="49"/>
  <c r="J89" i="49"/>
  <c r="I89" i="49"/>
  <c r="G89" i="49"/>
  <c r="AV88" i="49"/>
  <c r="AQ88" i="49"/>
  <c r="AL88" i="49"/>
  <c r="AG88" i="49"/>
  <c r="AB88" i="49"/>
  <c r="W88" i="49"/>
  <c r="R88" i="49"/>
  <c r="K88" i="49"/>
  <c r="J88" i="49"/>
  <c r="I88" i="49"/>
  <c r="G88" i="49"/>
  <c r="AV87" i="49"/>
  <c r="AX87" i="49" s="1"/>
  <c r="AQ87" i="49"/>
  <c r="AS87" i="49" s="1"/>
  <c r="AL87" i="49"/>
  <c r="AG87" i="49"/>
  <c r="AI87" i="49" s="1"/>
  <c r="AB87" i="49"/>
  <c r="AD87" i="49" s="1"/>
  <c r="W87" i="49"/>
  <c r="Y87" i="49" s="1"/>
  <c r="R87" i="49"/>
  <c r="T87" i="49" s="1"/>
  <c r="J87" i="49"/>
  <c r="I87" i="49"/>
  <c r="G87" i="49"/>
  <c r="H87" i="49" s="1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I87" i="48" s="1"/>
  <c r="AB93" i="48"/>
  <c r="W93" i="48"/>
  <c r="R93" i="48"/>
  <c r="K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K90" i="48" s="1"/>
  <c r="AL90" i="48"/>
  <c r="AG90" i="48"/>
  <c r="AB90" i="48"/>
  <c r="W90" i="48"/>
  <c r="R90" i="48"/>
  <c r="J90" i="48"/>
  <c r="I90" i="48"/>
  <c r="G90" i="48"/>
  <c r="AV89" i="48"/>
  <c r="AQ89" i="48"/>
  <c r="K89" i="48" s="1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S87" i="48" s="1"/>
  <c r="AN87" i="48"/>
  <c r="AL87" i="48"/>
  <c r="AG87" i="48"/>
  <c r="AB87" i="48"/>
  <c r="W87" i="48"/>
  <c r="Y87" i="48" s="1"/>
  <c r="R87" i="48"/>
  <c r="J87" i="48"/>
  <c r="I87" i="48"/>
  <c r="H87" i="48"/>
  <c r="G87" i="48"/>
  <c r="AW93" i="47"/>
  <c r="AW92" i="47"/>
  <c r="AW91" i="47"/>
  <c r="AW90" i="47"/>
  <c r="AW89" i="47"/>
  <c r="AW88" i="47"/>
  <c r="AW87" i="47"/>
  <c r="AR93" i="47"/>
  <c r="AR92" i="47"/>
  <c r="AR91" i="47"/>
  <c r="AR90" i="47"/>
  <c r="AR89" i="47"/>
  <c r="AR88" i="47"/>
  <c r="AR87" i="47"/>
  <c r="AM93" i="47"/>
  <c r="AM92" i="47"/>
  <c r="AM91" i="47"/>
  <c r="AM90" i="47"/>
  <c r="AM89" i="47"/>
  <c r="AM88" i="47"/>
  <c r="AM87" i="47"/>
  <c r="AH93" i="47"/>
  <c r="AH92" i="47"/>
  <c r="AH91" i="47"/>
  <c r="AH90" i="47"/>
  <c r="AH89" i="47"/>
  <c r="AH88" i="47"/>
  <c r="AH87" i="47"/>
  <c r="AC93" i="47"/>
  <c r="AC92" i="47"/>
  <c r="AC91" i="47"/>
  <c r="AC90" i="47"/>
  <c r="AC89" i="47"/>
  <c r="AC88" i="47"/>
  <c r="AC87" i="47"/>
  <c r="X93" i="47"/>
  <c r="X92" i="47"/>
  <c r="X91" i="47"/>
  <c r="X90" i="47"/>
  <c r="X89" i="47"/>
  <c r="X88" i="47"/>
  <c r="X87" i="47"/>
  <c r="S88" i="47"/>
  <c r="S89" i="47"/>
  <c r="S90" i="47"/>
  <c r="S91" i="47"/>
  <c r="S92" i="47"/>
  <c r="S93" i="47"/>
  <c r="S87" i="47"/>
  <c r="M88" i="47"/>
  <c r="M89" i="47"/>
  <c r="M90" i="47"/>
  <c r="M91" i="47"/>
  <c r="M92" i="47"/>
  <c r="M93" i="47"/>
  <c r="M87" i="47"/>
  <c r="AV93" i="47"/>
  <c r="AQ93" i="47"/>
  <c r="AL93" i="47"/>
  <c r="AG93" i="47"/>
  <c r="AB93" i="47"/>
  <c r="W93" i="47"/>
  <c r="R93" i="47"/>
  <c r="K93" i="47"/>
  <c r="J93" i="47"/>
  <c r="I93" i="47"/>
  <c r="G93" i="47"/>
  <c r="AV92" i="47"/>
  <c r="AQ92" i="47"/>
  <c r="AL92" i="47"/>
  <c r="AG92" i="47"/>
  <c r="AB92" i="47"/>
  <c r="W92" i="47"/>
  <c r="R92" i="47"/>
  <c r="K92" i="47"/>
  <c r="J92" i="47"/>
  <c r="I92" i="47"/>
  <c r="G92" i="47"/>
  <c r="AV91" i="47"/>
  <c r="K91" i="47" s="1"/>
  <c r="AQ91" i="47"/>
  <c r="AL91" i="47"/>
  <c r="AG91" i="47"/>
  <c r="AB91" i="47"/>
  <c r="W91" i="47"/>
  <c r="R91" i="47"/>
  <c r="J91" i="47"/>
  <c r="I91" i="47"/>
  <c r="G91" i="47"/>
  <c r="AV90" i="47"/>
  <c r="K90" i="47" s="1"/>
  <c r="AQ90" i="47"/>
  <c r="AL90" i="47"/>
  <c r="AG90" i="47"/>
  <c r="AB90" i="47"/>
  <c r="W90" i="47"/>
  <c r="R90" i="47"/>
  <c r="J90" i="47"/>
  <c r="I90" i="47"/>
  <c r="G90" i="47"/>
  <c r="AV89" i="47"/>
  <c r="AQ89" i="47"/>
  <c r="K89" i="47" s="1"/>
  <c r="AL89" i="47"/>
  <c r="AG89" i="47"/>
  <c r="AB89" i="47"/>
  <c r="W89" i="47"/>
  <c r="R89" i="47"/>
  <c r="J89" i="47"/>
  <c r="I89" i="47"/>
  <c r="G89" i="47"/>
  <c r="AV88" i="47"/>
  <c r="AQ88" i="47"/>
  <c r="K88" i="47" s="1"/>
  <c r="AL88" i="47"/>
  <c r="AG88" i="47"/>
  <c r="AB88" i="47"/>
  <c r="W88" i="47"/>
  <c r="R88" i="47"/>
  <c r="J88" i="47"/>
  <c r="I88" i="47"/>
  <c r="G88" i="47"/>
  <c r="H87" i="47" s="1"/>
  <c r="AV87" i="47"/>
  <c r="AX87" i="47" s="1"/>
  <c r="AQ87" i="47"/>
  <c r="K87" i="47" s="1"/>
  <c r="AL87" i="47"/>
  <c r="AN87" i="47" s="1"/>
  <c r="AG87" i="47"/>
  <c r="AB87" i="47"/>
  <c r="AD87" i="47" s="1"/>
  <c r="W87" i="47"/>
  <c r="R87" i="47"/>
  <c r="J87" i="47"/>
  <c r="I87" i="47"/>
  <c r="G87" i="47"/>
  <c r="AW87" i="46"/>
  <c r="AR87" i="46"/>
  <c r="AM87" i="46"/>
  <c r="AH87" i="46"/>
  <c r="AC87" i="46"/>
  <c r="X87" i="46"/>
  <c r="S87" i="46"/>
  <c r="M87" i="46"/>
  <c r="AV87" i="46"/>
  <c r="AX87" i="46" s="1"/>
  <c r="AS87" i="46"/>
  <c r="AQ87" i="46"/>
  <c r="AL87" i="46"/>
  <c r="AN87" i="46" s="1"/>
  <c r="AI87" i="46"/>
  <c r="AG87" i="46"/>
  <c r="AB87" i="46"/>
  <c r="AD87" i="46" s="1"/>
  <c r="W87" i="46"/>
  <c r="K87" i="46" s="1"/>
  <c r="T87" i="46"/>
  <c r="R87" i="46"/>
  <c r="J87" i="46"/>
  <c r="I87" i="46"/>
  <c r="G87" i="46"/>
  <c r="H87" i="46" s="1"/>
  <c r="AW90" i="45"/>
  <c r="AW89" i="45"/>
  <c r="AW88" i="45"/>
  <c r="AW87" i="45"/>
  <c r="AR90" i="45"/>
  <c r="AR89" i="45"/>
  <c r="AR88" i="45"/>
  <c r="AR87" i="45"/>
  <c r="AM90" i="45"/>
  <c r="AM89" i="45"/>
  <c r="AM88" i="45"/>
  <c r="AM87" i="45"/>
  <c r="AH90" i="45"/>
  <c r="AH89" i="45"/>
  <c r="AH88" i="45"/>
  <c r="AH87" i="45"/>
  <c r="AC90" i="45"/>
  <c r="AC89" i="45"/>
  <c r="AC88" i="45"/>
  <c r="AC87" i="45"/>
  <c r="X90" i="45"/>
  <c r="X89" i="45"/>
  <c r="X88" i="45"/>
  <c r="X87" i="45"/>
  <c r="S88" i="45"/>
  <c r="S89" i="45"/>
  <c r="S90" i="45"/>
  <c r="S87" i="45"/>
  <c r="M88" i="45"/>
  <c r="M89" i="45"/>
  <c r="M90" i="45"/>
  <c r="M87" i="45"/>
  <c r="B34" i="39"/>
  <c r="B29" i="39"/>
  <c r="C1" i="45"/>
  <c r="AV90" i="45"/>
  <c r="AQ90" i="45"/>
  <c r="AL90" i="45"/>
  <c r="AG90" i="45"/>
  <c r="AB90" i="45"/>
  <c r="W90" i="45"/>
  <c r="R90" i="45"/>
  <c r="K90" i="45"/>
  <c r="J90" i="45"/>
  <c r="I90" i="45"/>
  <c r="G90" i="45"/>
  <c r="AV89" i="45"/>
  <c r="AQ89" i="45"/>
  <c r="AL89" i="45"/>
  <c r="AG89" i="45"/>
  <c r="AB89" i="45"/>
  <c r="W89" i="45"/>
  <c r="R89" i="45"/>
  <c r="K89" i="45"/>
  <c r="J89" i="45"/>
  <c r="I89" i="45"/>
  <c r="G89" i="45"/>
  <c r="AV88" i="45"/>
  <c r="K88" i="45" s="1"/>
  <c r="AQ88" i="45"/>
  <c r="AL88" i="45"/>
  <c r="AG88" i="45"/>
  <c r="AB88" i="45"/>
  <c r="W88" i="45"/>
  <c r="R88" i="45"/>
  <c r="J88" i="45"/>
  <c r="I88" i="45"/>
  <c r="G88" i="45"/>
  <c r="AV87" i="45"/>
  <c r="AX87" i="45" s="1"/>
  <c r="AQ87" i="45"/>
  <c r="AS87" i="45" s="1"/>
  <c r="AL87" i="45"/>
  <c r="AN87" i="45" s="1"/>
  <c r="AG87" i="45"/>
  <c r="AI87" i="45" s="1"/>
  <c r="AB87" i="45"/>
  <c r="AD87" i="45" s="1"/>
  <c r="W87" i="45"/>
  <c r="R87" i="45"/>
  <c r="K87" i="45" s="1"/>
  <c r="J87" i="45"/>
  <c r="I87" i="45"/>
  <c r="G87" i="45"/>
  <c r="H87" i="45" s="1"/>
  <c r="B28" i="39"/>
  <c r="AW209" i="44"/>
  <c r="AW210" i="44"/>
  <c r="AW208" i="44"/>
  <c r="AW207" i="44"/>
  <c r="AW206" i="44"/>
  <c r="AW205" i="44"/>
  <c r="AW204" i="44"/>
  <c r="AW176" i="44"/>
  <c r="AW177" i="44"/>
  <c r="AW178" i="44"/>
  <c r="AW179" i="44"/>
  <c r="AW180" i="44"/>
  <c r="AW181" i="44"/>
  <c r="AW182" i="44"/>
  <c r="AW183" i="44"/>
  <c r="AW184" i="44"/>
  <c r="AW185" i="44"/>
  <c r="AW186" i="44"/>
  <c r="AW187" i="44"/>
  <c r="AW188" i="44"/>
  <c r="AW189" i="44"/>
  <c r="AW190" i="44"/>
  <c r="AW191" i="44"/>
  <c r="AW192" i="44"/>
  <c r="AW193" i="44"/>
  <c r="AW194" i="44"/>
  <c r="AW195" i="44"/>
  <c r="AW196" i="44"/>
  <c r="AW197" i="44"/>
  <c r="AW198" i="44"/>
  <c r="AW199" i="44"/>
  <c r="AW200" i="44"/>
  <c r="AW201" i="44"/>
  <c r="AW175" i="44"/>
  <c r="AR208" i="44"/>
  <c r="AR207" i="44"/>
  <c r="AR206" i="44"/>
  <c r="AR205" i="44"/>
  <c r="AR204" i="44"/>
  <c r="AR201" i="44"/>
  <c r="AR200" i="44"/>
  <c r="AR199" i="44"/>
  <c r="AR198" i="44"/>
  <c r="AR197" i="44"/>
  <c r="AR196" i="44"/>
  <c r="AR195" i="44"/>
  <c r="AR194" i="44"/>
  <c r="AR193" i="44"/>
  <c r="AR192" i="44"/>
  <c r="AR191" i="44"/>
  <c r="AR190" i="44"/>
  <c r="AR189" i="44"/>
  <c r="AR188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M208" i="44"/>
  <c r="AM207" i="44"/>
  <c r="AM206" i="44"/>
  <c r="AM205" i="44"/>
  <c r="AM204" i="44"/>
  <c r="AM203" i="44"/>
  <c r="AM202" i="44"/>
  <c r="AM201" i="44"/>
  <c r="AM200" i="44"/>
  <c r="AM199" i="44"/>
  <c r="AM198" i="44"/>
  <c r="AM197" i="44"/>
  <c r="AM196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H208" i="44"/>
  <c r="AH207" i="44"/>
  <c r="AH206" i="44"/>
  <c r="AH205" i="44"/>
  <c r="AH204" i="44"/>
  <c r="AH203" i="44"/>
  <c r="AH202" i="44"/>
  <c r="AH201" i="44"/>
  <c r="AH200" i="44"/>
  <c r="AH199" i="44"/>
  <c r="AH198" i="44"/>
  <c r="AH197" i="44"/>
  <c r="AH196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C208" i="44"/>
  <c r="AC207" i="44"/>
  <c r="AC206" i="44"/>
  <c r="AC205" i="44"/>
  <c r="AC204" i="44"/>
  <c r="AC203" i="44"/>
  <c r="AC202" i="44"/>
  <c r="AC201" i="44"/>
  <c r="AC200" i="44"/>
  <c r="AC199" i="44"/>
  <c r="AC198" i="44"/>
  <c r="AC197" i="44"/>
  <c r="AC196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X208" i="44"/>
  <c r="X207" i="44"/>
  <c r="X206" i="44"/>
  <c r="X205" i="44"/>
  <c r="X204" i="44"/>
  <c r="X203" i="44"/>
  <c r="X202" i="44"/>
  <c r="X201" i="44"/>
  <c r="X200" i="44"/>
  <c r="X199" i="44"/>
  <c r="X198" i="44"/>
  <c r="X197" i="44"/>
  <c r="X196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S196" i="44"/>
  <c r="S197" i="44"/>
  <c r="S198" i="44"/>
  <c r="S199" i="44"/>
  <c r="S200" i="44"/>
  <c r="S201" i="44"/>
  <c r="S202" i="44"/>
  <c r="S203" i="44"/>
  <c r="S204" i="44"/>
  <c r="S205" i="44"/>
  <c r="S206" i="44"/>
  <c r="S207" i="44"/>
  <c r="S208" i="44"/>
  <c r="S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5" i="44"/>
  <c r="M206" i="44"/>
  <c r="M207" i="44"/>
  <c r="M208" i="44"/>
  <c r="M209" i="44"/>
  <c r="M210" i="44"/>
  <c r="M175" i="44"/>
  <c r="C1" i="44"/>
  <c r="AV210" i="44"/>
  <c r="K210" i="44"/>
  <c r="J210" i="44"/>
  <c r="I210" i="44"/>
  <c r="G210" i="44"/>
  <c r="AV209" i="44"/>
  <c r="K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K207" i="44"/>
  <c r="J207" i="44"/>
  <c r="I207" i="44"/>
  <c r="G207" i="44"/>
  <c r="AV206" i="44"/>
  <c r="AQ206" i="44"/>
  <c r="AL206" i="44"/>
  <c r="AG206" i="44"/>
  <c r="AB206" i="44"/>
  <c r="W206" i="44"/>
  <c r="R206" i="44"/>
  <c r="K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K204" i="44" s="1"/>
  <c r="W204" i="44"/>
  <c r="R204" i="44"/>
  <c r="J204" i="44"/>
  <c r="I204" i="44"/>
  <c r="G204" i="44"/>
  <c r="AL203" i="44"/>
  <c r="AG203" i="44"/>
  <c r="AB203" i="44"/>
  <c r="W203" i="44"/>
  <c r="R203" i="44"/>
  <c r="K203" i="44" s="1"/>
  <c r="J203" i="44"/>
  <c r="I203" i="44"/>
  <c r="G203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K201" i="44" s="1"/>
  <c r="R201" i="44"/>
  <c r="J201" i="44"/>
  <c r="I201" i="44"/>
  <c r="G201" i="44"/>
  <c r="AV200" i="44"/>
  <c r="AQ200" i="44"/>
  <c r="AL200" i="44"/>
  <c r="AG200" i="44"/>
  <c r="AB200" i="44"/>
  <c r="W200" i="44"/>
  <c r="K200" i="44" s="1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K197" i="44" s="1"/>
  <c r="J197" i="44"/>
  <c r="I197" i="44"/>
  <c r="G197" i="44"/>
  <c r="AV196" i="44"/>
  <c r="AQ196" i="44"/>
  <c r="AL196" i="44"/>
  <c r="AG196" i="44"/>
  <c r="AB196" i="44"/>
  <c r="W196" i="44"/>
  <c r="R196" i="44"/>
  <c r="K196" i="44"/>
  <c r="J196" i="44"/>
  <c r="I196" i="44"/>
  <c r="G196" i="44"/>
  <c r="AV195" i="44"/>
  <c r="AQ195" i="44"/>
  <c r="AL195" i="44"/>
  <c r="AG195" i="44"/>
  <c r="AB195" i="44"/>
  <c r="W195" i="44"/>
  <c r="R195" i="44"/>
  <c r="K195" i="44"/>
  <c r="J195" i="44"/>
  <c r="I195" i="44"/>
  <c r="G195" i="44"/>
  <c r="AV194" i="44"/>
  <c r="AQ194" i="44"/>
  <c r="K194" i="44" s="1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K193" i="44" s="1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K191" i="44" s="1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K189" i="44" s="1"/>
  <c r="R189" i="44"/>
  <c r="J189" i="44"/>
  <c r="I189" i="44"/>
  <c r="G189" i="44"/>
  <c r="AV188" i="44"/>
  <c r="AQ188" i="44"/>
  <c r="AL188" i="44"/>
  <c r="AG188" i="44"/>
  <c r="AB188" i="44"/>
  <c r="W188" i="44"/>
  <c r="R188" i="44"/>
  <c r="K188" i="44" s="1"/>
  <c r="J188" i="44"/>
  <c r="I188" i="44"/>
  <c r="G188" i="44"/>
  <c r="AV187" i="44"/>
  <c r="AQ187" i="44"/>
  <c r="AL187" i="44"/>
  <c r="AG187" i="44"/>
  <c r="AB187" i="44"/>
  <c r="W187" i="44"/>
  <c r="R187" i="44"/>
  <c r="K187" i="44" s="1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K185" i="44" s="1"/>
  <c r="AG185" i="44"/>
  <c r="AB185" i="44"/>
  <c r="W185" i="44"/>
  <c r="R185" i="44"/>
  <c r="J185" i="44"/>
  <c r="I185" i="44"/>
  <c r="G185" i="44"/>
  <c r="AV184" i="44"/>
  <c r="AQ184" i="44"/>
  <c r="AL184" i="44"/>
  <c r="AG184" i="44"/>
  <c r="K184" i="44" s="1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K183" i="44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K180" i="44" s="1"/>
  <c r="R180" i="44"/>
  <c r="J180" i="44"/>
  <c r="I180" i="44"/>
  <c r="G180" i="44"/>
  <c r="AV179" i="44"/>
  <c r="AQ179" i="44"/>
  <c r="AL179" i="44"/>
  <c r="AG179" i="44"/>
  <c r="AB179" i="44"/>
  <c r="W179" i="44"/>
  <c r="R179" i="44"/>
  <c r="K179" i="44" s="1"/>
  <c r="J179" i="44"/>
  <c r="I179" i="44"/>
  <c r="G179" i="44"/>
  <c r="AV178" i="44"/>
  <c r="AQ178" i="44"/>
  <c r="AL178" i="44"/>
  <c r="AG178" i="44"/>
  <c r="AB178" i="44"/>
  <c r="W178" i="44"/>
  <c r="R178" i="44"/>
  <c r="K178" i="44" s="1"/>
  <c r="J178" i="44"/>
  <c r="I178" i="44"/>
  <c r="G178" i="44"/>
  <c r="H175" i="44" s="1"/>
  <c r="AV177" i="44"/>
  <c r="AQ177" i="44"/>
  <c r="K177" i="44" s="1"/>
  <c r="AL177" i="44"/>
  <c r="AG177" i="44"/>
  <c r="AB177" i="44"/>
  <c r="W177" i="44"/>
  <c r="R177" i="44"/>
  <c r="J177" i="44"/>
  <c r="I177" i="44"/>
  <c r="G177" i="44"/>
  <c r="AV176" i="44"/>
  <c r="AQ176" i="44"/>
  <c r="AL176" i="44"/>
  <c r="K176" i="44" s="1"/>
  <c r="AG176" i="44"/>
  <c r="AB176" i="44"/>
  <c r="W176" i="44"/>
  <c r="R176" i="44"/>
  <c r="J176" i="44"/>
  <c r="I176" i="44"/>
  <c r="G176" i="44"/>
  <c r="AV175" i="44"/>
  <c r="AX175" i="44" s="1"/>
  <c r="AQ175" i="44"/>
  <c r="AL175" i="44"/>
  <c r="AG175" i="44"/>
  <c r="AB175" i="44"/>
  <c r="K175" i="44" s="1"/>
  <c r="W175" i="44"/>
  <c r="Y175" i="44" s="1"/>
  <c r="R175" i="44"/>
  <c r="J175" i="44"/>
  <c r="I175" i="44"/>
  <c r="G175" i="44"/>
  <c r="D35" i="6"/>
  <c r="D36" i="6"/>
  <c r="D37" i="6"/>
  <c r="D38" i="6"/>
  <c r="D39" i="6"/>
  <c r="D40" i="6"/>
  <c r="D41" i="6"/>
  <c r="B35" i="6"/>
  <c r="AC41" i="6"/>
  <c r="AD41" i="6" s="1"/>
  <c r="S41" i="6"/>
  <c r="T41" i="6" s="1"/>
  <c r="M41" i="6"/>
  <c r="N41" i="6" s="1"/>
  <c r="F41" i="6"/>
  <c r="AL41" i="6" s="1"/>
  <c r="AC40" i="6"/>
  <c r="AD40" i="6" s="1"/>
  <c r="S40" i="6"/>
  <c r="T40" i="6" s="1"/>
  <c r="M40" i="6"/>
  <c r="N40" i="6" s="1"/>
  <c r="F40" i="6"/>
  <c r="AL40" i="6" s="1"/>
  <c r="AC39" i="6"/>
  <c r="AD39" i="6" s="1"/>
  <c r="S39" i="6"/>
  <c r="T39" i="6" s="1"/>
  <c r="M39" i="6"/>
  <c r="N39" i="6" s="1"/>
  <c r="F39" i="6"/>
  <c r="AL39" i="6" s="1"/>
  <c r="AC38" i="6"/>
  <c r="AD38" i="6" s="1"/>
  <c r="S38" i="6"/>
  <c r="T38" i="6" s="1"/>
  <c r="M38" i="6"/>
  <c r="N38" i="6" s="1"/>
  <c r="F38" i="6"/>
  <c r="AL38" i="6" s="1"/>
  <c r="AC37" i="6"/>
  <c r="AD37" i="6" s="1"/>
  <c r="S37" i="6"/>
  <c r="T37" i="6" s="1"/>
  <c r="M37" i="6"/>
  <c r="N37" i="6" s="1"/>
  <c r="F37" i="6"/>
  <c r="AL37" i="6" s="1"/>
  <c r="AC36" i="6"/>
  <c r="AD36" i="6" s="1"/>
  <c r="S36" i="6"/>
  <c r="T36" i="6" s="1"/>
  <c r="M36" i="6"/>
  <c r="N36" i="6" s="1"/>
  <c r="F36" i="6"/>
  <c r="AL36" i="6" s="1"/>
  <c r="AC35" i="6"/>
  <c r="AD35" i="6" s="1"/>
  <c r="S35" i="6"/>
  <c r="T35" i="6" s="1"/>
  <c r="M35" i="6"/>
  <c r="N35" i="6" s="1"/>
  <c r="F35" i="6"/>
  <c r="AL35" i="6" s="1"/>
  <c r="H11" i="7"/>
  <c r="B35" i="7"/>
  <c r="AC41" i="7"/>
  <c r="S41" i="7"/>
  <c r="M41" i="7"/>
  <c r="F41" i="7"/>
  <c r="J41" i="7" s="1"/>
  <c r="AC40" i="7"/>
  <c r="S40" i="7"/>
  <c r="M40" i="7"/>
  <c r="F40" i="7"/>
  <c r="AC39" i="7"/>
  <c r="S39" i="7"/>
  <c r="M39" i="7"/>
  <c r="F39" i="7"/>
  <c r="AC38" i="7"/>
  <c r="AD38" i="7" s="1"/>
  <c r="S38" i="7"/>
  <c r="T38" i="7" s="1"/>
  <c r="M38" i="7"/>
  <c r="F38" i="7"/>
  <c r="AC37" i="7"/>
  <c r="S37" i="7"/>
  <c r="M37" i="7"/>
  <c r="F37" i="7"/>
  <c r="AC36" i="7"/>
  <c r="S36" i="7"/>
  <c r="M36" i="7"/>
  <c r="F36" i="7"/>
  <c r="AC35" i="7"/>
  <c r="AD35" i="7" s="1"/>
  <c r="S35" i="7"/>
  <c r="T35" i="7" s="1"/>
  <c r="M35" i="7"/>
  <c r="N35" i="7" s="1"/>
  <c r="F35" i="7"/>
  <c r="U34" i="5"/>
  <c r="U35" i="5"/>
  <c r="U36" i="5"/>
  <c r="U37" i="5"/>
  <c r="U38" i="5"/>
  <c r="U39" i="5"/>
  <c r="U33" i="5"/>
  <c r="L87" i="52" l="1"/>
  <c r="T87" i="52"/>
  <c r="K87" i="51"/>
  <c r="K94" i="51"/>
  <c r="K93" i="51"/>
  <c r="K92" i="51"/>
  <c r="K91" i="51"/>
  <c r="K90" i="51"/>
  <c r="AN87" i="49"/>
  <c r="K87" i="49"/>
  <c r="K95" i="49"/>
  <c r="K93" i="49"/>
  <c r="K91" i="49"/>
  <c r="K92" i="48"/>
  <c r="T87" i="48"/>
  <c r="AD87" i="48"/>
  <c r="AX87" i="48"/>
  <c r="K88" i="48"/>
  <c r="K87" i="48"/>
  <c r="L87" i="47"/>
  <c r="AS87" i="47"/>
  <c r="Y87" i="47"/>
  <c r="T87" i="47"/>
  <c r="AI87" i="47"/>
  <c r="L87" i="46"/>
  <c r="Y87" i="46"/>
  <c r="L87" i="45"/>
  <c r="Y87" i="45"/>
  <c r="T87" i="45"/>
  <c r="AD175" i="44"/>
  <c r="AI175" i="44"/>
  <c r="AS175" i="44"/>
  <c r="K186" i="44"/>
  <c r="K192" i="44"/>
  <c r="AN175" i="44"/>
  <c r="K199" i="44"/>
  <c r="K205" i="44"/>
  <c r="K202" i="44"/>
  <c r="K208" i="44"/>
  <c r="K190" i="44"/>
  <c r="T175" i="44"/>
  <c r="K198" i="44"/>
  <c r="P36" i="6"/>
  <c r="AF41" i="6"/>
  <c r="G35" i="6"/>
  <c r="J36" i="6"/>
  <c r="J37" i="6"/>
  <c r="J39" i="6"/>
  <c r="J40" i="6"/>
  <c r="L36" i="6"/>
  <c r="L40" i="6"/>
  <c r="P40" i="6"/>
  <c r="R35" i="6"/>
  <c r="R38" i="6"/>
  <c r="R41" i="6"/>
  <c r="V35" i="6"/>
  <c r="V37" i="6"/>
  <c r="V39" i="6"/>
  <c r="V40" i="6"/>
  <c r="X36" i="6"/>
  <c r="X39" i="6"/>
  <c r="X41" i="6"/>
  <c r="Z36" i="6"/>
  <c r="Z38" i="6"/>
  <c r="Z41" i="6"/>
  <c r="AB36" i="6"/>
  <c r="AB38" i="6"/>
  <c r="AF35" i="6"/>
  <c r="AF36" i="6"/>
  <c r="AF38" i="6"/>
  <c r="AF40" i="6"/>
  <c r="AH35" i="6"/>
  <c r="AH36" i="6"/>
  <c r="AH37" i="6"/>
  <c r="AH38" i="6"/>
  <c r="AH39" i="6"/>
  <c r="AH41" i="6"/>
  <c r="AJ35" i="6"/>
  <c r="AJ36" i="6"/>
  <c r="AJ37" i="6"/>
  <c r="AJ38" i="6"/>
  <c r="AJ39" i="6"/>
  <c r="AJ40" i="6"/>
  <c r="AJ41" i="6"/>
  <c r="J35" i="6"/>
  <c r="J38" i="6"/>
  <c r="J41" i="6"/>
  <c r="L35" i="6"/>
  <c r="L37" i="6"/>
  <c r="L38" i="6"/>
  <c r="L39" i="6"/>
  <c r="L41" i="6"/>
  <c r="P35" i="6"/>
  <c r="P37" i="6"/>
  <c r="P38" i="6"/>
  <c r="P39" i="6"/>
  <c r="P41" i="6"/>
  <c r="R36" i="6"/>
  <c r="R37" i="6"/>
  <c r="R39" i="6"/>
  <c r="R40" i="6"/>
  <c r="V36" i="6"/>
  <c r="V38" i="6"/>
  <c r="V41" i="6"/>
  <c r="X35" i="6"/>
  <c r="X37" i="6"/>
  <c r="X38" i="6"/>
  <c r="X40" i="6"/>
  <c r="Z35" i="6"/>
  <c r="Z37" i="6"/>
  <c r="Z39" i="6"/>
  <c r="Z40" i="6"/>
  <c r="AB35" i="6"/>
  <c r="AB37" i="6"/>
  <c r="AB39" i="6"/>
  <c r="AB40" i="6"/>
  <c r="AB41" i="6"/>
  <c r="AF37" i="6"/>
  <c r="AF39" i="6"/>
  <c r="AH40" i="6"/>
  <c r="AL36" i="7"/>
  <c r="L36" i="7"/>
  <c r="AJ36" i="7"/>
  <c r="AH36" i="7"/>
  <c r="AF36" i="7"/>
  <c r="AB36" i="7"/>
  <c r="Z36" i="7"/>
  <c r="X36" i="7"/>
  <c r="V36" i="7"/>
  <c r="R36" i="7"/>
  <c r="P36" i="7"/>
  <c r="J36" i="7"/>
  <c r="N39" i="7"/>
  <c r="T39" i="7"/>
  <c r="AD39" i="7"/>
  <c r="AD36" i="7"/>
  <c r="AL37" i="7"/>
  <c r="AJ37" i="7"/>
  <c r="AH37" i="7"/>
  <c r="AF37" i="7"/>
  <c r="AB37" i="7"/>
  <c r="Z37" i="7"/>
  <c r="X37" i="7"/>
  <c r="V37" i="7"/>
  <c r="R37" i="7"/>
  <c r="P37" i="7"/>
  <c r="J37" i="7"/>
  <c r="T40" i="7"/>
  <c r="AD40" i="7"/>
  <c r="AL35" i="7"/>
  <c r="AJ35" i="7"/>
  <c r="AH35" i="7"/>
  <c r="AF35" i="7"/>
  <c r="AB35" i="7"/>
  <c r="Z35" i="7"/>
  <c r="X35" i="7"/>
  <c r="V35" i="7"/>
  <c r="R35" i="7"/>
  <c r="P35" i="7"/>
  <c r="G35" i="7"/>
  <c r="T41" i="7"/>
  <c r="AL39" i="7"/>
  <c r="L39" i="7"/>
  <c r="AJ39" i="7"/>
  <c r="AH39" i="7"/>
  <c r="AF39" i="7"/>
  <c r="AB39" i="7"/>
  <c r="Z39" i="7"/>
  <c r="X39" i="7"/>
  <c r="V39" i="7"/>
  <c r="R39" i="7"/>
  <c r="P39" i="7"/>
  <c r="J39" i="7"/>
  <c r="N36" i="7"/>
  <c r="T36" i="7"/>
  <c r="AL40" i="7"/>
  <c r="AJ40" i="7"/>
  <c r="AH40" i="7"/>
  <c r="AF40" i="7"/>
  <c r="AB40" i="7"/>
  <c r="Z40" i="7"/>
  <c r="X40" i="7"/>
  <c r="V40" i="7"/>
  <c r="R40" i="7"/>
  <c r="P40" i="7"/>
  <c r="L40" i="7"/>
  <c r="J40" i="7"/>
  <c r="N40" i="7"/>
  <c r="L37" i="7"/>
  <c r="N37" i="7"/>
  <c r="T37" i="7"/>
  <c r="AD37" i="7"/>
  <c r="AL41" i="7"/>
  <c r="AJ41" i="7"/>
  <c r="AH41" i="7"/>
  <c r="AF41" i="7"/>
  <c r="AB41" i="7"/>
  <c r="Z41" i="7"/>
  <c r="X41" i="7"/>
  <c r="V41" i="7"/>
  <c r="R41" i="7"/>
  <c r="P41" i="7"/>
  <c r="L41" i="7"/>
  <c r="AL38" i="7"/>
  <c r="AJ38" i="7"/>
  <c r="AH38" i="7"/>
  <c r="AF38" i="7"/>
  <c r="AB38" i="7"/>
  <c r="Z38" i="7"/>
  <c r="X38" i="7"/>
  <c r="V38" i="7"/>
  <c r="R38" i="7"/>
  <c r="P38" i="7"/>
  <c r="L38" i="7"/>
  <c r="N41" i="7"/>
  <c r="J35" i="7"/>
  <c r="J38" i="7"/>
  <c r="L35" i="7"/>
  <c r="N38" i="7"/>
  <c r="AD41" i="7"/>
  <c r="B36" i="39" l="1"/>
  <c r="C1" i="52"/>
  <c r="L87" i="51"/>
  <c r="L87" i="49"/>
  <c r="L87" i="48"/>
  <c r="B31" i="39"/>
  <c r="C1" i="47"/>
  <c r="B30" i="39"/>
  <c r="C1" i="46"/>
  <c r="L175" i="44"/>
  <c r="C1" i="51" l="1"/>
  <c r="B35" i="39"/>
  <c r="B33" i="39"/>
  <c r="C1" i="49"/>
  <c r="C1" i="48"/>
  <c r="B32" i="39"/>
  <c r="I58" i="41" l="1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T131" i="66"/>
  <c r="V131" i="66" s="1"/>
  <c r="S131" i="66"/>
  <c r="R131" i="66"/>
  <c r="O131" i="66"/>
  <c r="P131" i="66" s="1"/>
  <c r="N131" i="66"/>
  <c r="L131" i="66"/>
  <c r="J131" i="66"/>
  <c r="T130" i="66"/>
  <c r="F130" i="66" s="1"/>
  <c r="S130" i="66"/>
  <c r="R130" i="66"/>
  <c r="O130" i="66"/>
  <c r="P130" i="66" s="1"/>
  <c r="N130" i="66"/>
  <c r="L130" i="66"/>
  <c r="J130" i="66"/>
  <c r="S129" i="66"/>
  <c r="R129" i="66"/>
  <c r="O129" i="66"/>
  <c r="T129" i="66" s="1"/>
  <c r="N129" i="66"/>
  <c r="L129" i="66"/>
  <c r="J129" i="66"/>
  <c r="T128" i="66"/>
  <c r="V128" i="66" s="1"/>
  <c r="S128" i="66"/>
  <c r="R128" i="66"/>
  <c r="O128" i="66"/>
  <c r="P128" i="66" s="1"/>
  <c r="N128" i="66"/>
  <c r="L128" i="66"/>
  <c r="J128" i="66"/>
  <c r="T127" i="66"/>
  <c r="F127" i="66" s="1"/>
  <c r="S127" i="66"/>
  <c r="R127" i="66"/>
  <c r="O127" i="66"/>
  <c r="P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T124" i="66"/>
  <c r="F124" i="66" s="1"/>
  <c r="S124" i="66"/>
  <c r="R124" i="66"/>
  <c r="P124" i="66"/>
  <c r="O124" i="66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P121" i="66"/>
  <c r="O121" i="66"/>
  <c r="T121" i="66" s="1"/>
  <c r="N121" i="66"/>
  <c r="L121" i="66"/>
  <c r="J121" i="66"/>
  <c r="S120" i="66"/>
  <c r="R120" i="66"/>
  <c r="O120" i="66"/>
  <c r="T120" i="66" s="1"/>
  <c r="N120" i="66"/>
  <c r="L120" i="66"/>
  <c r="J120" i="66"/>
  <c r="S119" i="66"/>
  <c r="R119" i="66"/>
  <c r="O119" i="66"/>
  <c r="T119" i="66" s="1"/>
  <c r="N119" i="66"/>
  <c r="L119" i="66"/>
  <c r="J119" i="66"/>
  <c r="AM118" i="66"/>
  <c r="AI118" i="66"/>
  <c r="AH118" i="66"/>
  <c r="AG118" i="66"/>
  <c r="S118" i="66"/>
  <c r="R118" i="66"/>
  <c r="O118" i="66"/>
  <c r="T118" i="66" s="1"/>
  <c r="N118" i="66"/>
  <c r="L118" i="66"/>
  <c r="J118" i="66"/>
  <c r="AM117" i="66"/>
  <c r="AL117" i="66"/>
  <c r="AK117" i="66"/>
  <c r="AJ117" i="66"/>
  <c r="AI117" i="66"/>
  <c r="AH117" i="66"/>
  <c r="AH119" i="66" s="1"/>
  <c r="AG117" i="66"/>
  <c r="AG119" i="66" s="1"/>
  <c r="AF117" i="66"/>
  <c r="S117" i="66"/>
  <c r="R117" i="66"/>
  <c r="P117" i="66"/>
  <c r="O117" i="66"/>
  <c r="T117" i="66" s="1"/>
  <c r="N117" i="66"/>
  <c r="L117" i="66"/>
  <c r="J117" i="66"/>
  <c r="S116" i="66"/>
  <c r="R116" i="66"/>
  <c r="O116" i="66"/>
  <c r="T116" i="66" s="1"/>
  <c r="N116" i="66"/>
  <c r="L116" i="66"/>
  <c r="J116" i="66"/>
  <c r="S115" i="66"/>
  <c r="R115" i="66"/>
  <c r="O115" i="66"/>
  <c r="T115" i="66" s="1"/>
  <c r="N115" i="66"/>
  <c r="L115" i="66"/>
  <c r="J115" i="66"/>
  <c r="R134" i="63"/>
  <c r="P134" i="63"/>
  <c r="O134" i="63"/>
  <c r="S134" i="63" s="1"/>
  <c r="N134" i="63"/>
  <c r="L134" i="63"/>
  <c r="J134" i="63"/>
  <c r="F134" i="63"/>
  <c r="S133" i="63"/>
  <c r="T133" i="63" s="1"/>
  <c r="R133" i="63"/>
  <c r="P133" i="63"/>
  <c r="O133" i="63"/>
  <c r="N133" i="63"/>
  <c r="L133" i="63"/>
  <c r="J133" i="63"/>
  <c r="F133" i="63"/>
  <c r="S132" i="63"/>
  <c r="U132" i="63" s="1"/>
  <c r="R132" i="63"/>
  <c r="O132" i="63"/>
  <c r="P132" i="63" s="1"/>
  <c r="N132" i="63"/>
  <c r="L132" i="63"/>
  <c r="J132" i="63"/>
  <c r="F132" i="63"/>
  <c r="R131" i="63"/>
  <c r="O131" i="63"/>
  <c r="S131" i="63" s="1"/>
  <c r="N131" i="63"/>
  <c r="L131" i="63"/>
  <c r="J131" i="63"/>
  <c r="F131" i="63"/>
  <c r="R130" i="63"/>
  <c r="P130" i="63"/>
  <c r="O130" i="63"/>
  <c r="S130" i="63" s="1"/>
  <c r="N130" i="63"/>
  <c r="L130" i="63"/>
  <c r="J130" i="63"/>
  <c r="F130" i="63"/>
  <c r="V129" i="63"/>
  <c r="X129" i="63" s="1"/>
  <c r="U129" i="63"/>
  <c r="S129" i="63"/>
  <c r="T129" i="63" s="1"/>
  <c r="R129" i="63"/>
  <c r="P129" i="63"/>
  <c r="O129" i="63"/>
  <c r="N129" i="63"/>
  <c r="L129" i="63"/>
  <c r="J129" i="63"/>
  <c r="F129" i="63"/>
  <c r="S128" i="63"/>
  <c r="V128" i="63" s="1"/>
  <c r="R128" i="63"/>
  <c r="P128" i="63"/>
  <c r="O128" i="63"/>
  <c r="N128" i="63"/>
  <c r="L128" i="63"/>
  <c r="J128" i="63"/>
  <c r="F128" i="63"/>
  <c r="R127" i="63"/>
  <c r="O127" i="63"/>
  <c r="P127" i="63" s="1"/>
  <c r="N127" i="63"/>
  <c r="L127" i="63"/>
  <c r="J127" i="63"/>
  <c r="F127" i="63"/>
  <c r="R126" i="63"/>
  <c r="O126" i="63"/>
  <c r="S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P124" i="63"/>
  <c r="O124" i="63"/>
  <c r="S124" i="63" s="1"/>
  <c r="N124" i="63"/>
  <c r="L124" i="63"/>
  <c r="J124" i="63"/>
  <c r="F124" i="63"/>
  <c r="S123" i="63"/>
  <c r="V123" i="63" s="1"/>
  <c r="R123" i="63"/>
  <c r="P123" i="63"/>
  <c r="O123" i="63"/>
  <c r="N123" i="63"/>
  <c r="L123" i="63"/>
  <c r="J123" i="63"/>
  <c r="F123" i="63"/>
  <c r="R122" i="63"/>
  <c r="P122" i="63"/>
  <c r="O122" i="63"/>
  <c r="S122" i="63" s="1"/>
  <c r="N122" i="63"/>
  <c r="L122" i="63"/>
  <c r="J122" i="63"/>
  <c r="F122" i="63"/>
  <c r="R121" i="63"/>
  <c r="O121" i="63"/>
  <c r="S121" i="63" s="1"/>
  <c r="N121" i="63"/>
  <c r="L121" i="63"/>
  <c r="J121" i="63"/>
  <c r="F121" i="63"/>
  <c r="S120" i="63"/>
  <c r="V120" i="63" s="1"/>
  <c r="R120" i="63"/>
  <c r="O120" i="63"/>
  <c r="P120" i="63" s="1"/>
  <c r="N120" i="63"/>
  <c r="L120" i="63"/>
  <c r="J120" i="63"/>
  <c r="F120" i="63"/>
  <c r="S119" i="63"/>
  <c r="V119" i="63" s="1"/>
  <c r="R119" i="63"/>
  <c r="O119" i="63"/>
  <c r="P119" i="63" s="1"/>
  <c r="N119" i="63"/>
  <c r="L119" i="63"/>
  <c r="J119" i="63"/>
  <c r="F119" i="63"/>
  <c r="AM118" i="63"/>
  <c r="AJ118" i="63"/>
  <c r="AH118" i="63"/>
  <c r="S118" i="63"/>
  <c r="V118" i="63" s="1"/>
  <c r="R118" i="63"/>
  <c r="O118" i="63"/>
  <c r="P118" i="63" s="1"/>
  <c r="N118" i="63"/>
  <c r="L118" i="63"/>
  <c r="J118" i="63"/>
  <c r="F118" i="63"/>
  <c r="AM117" i="63"/>
  <c r="AL117" i="63"/>
  <c r="AK117" i="63"/>
  <c r="AJ117" i="63"/>
  <c r="AJ119" i="63" s="1"/>
  <c r="AI117" i="63"/>
  <c r="AI119" i="63" s="1"/>
  <c r="AH117" i="63"/>
  <c r="AH119" i="63" s="1"/>
  <c r="AG117" i="63"/>
  <c r="AG119" i="63" s="1"/>
  <c r="AF117" i="63"/>
  <c r="S117" i="63"/>
  <c r="V117" i="63" s="1"/>
  <c r="R117" i="63"/>
  <c r="P117" i="63"/>
  <c r="O117" i="63"/>
  <c r="N117" i="63"/>
  <c r="L117" i="63"/>
  <c r="J117" i="63"/>
  <c r="F117" i="63"/>
  <c r="S116" i="63"/>
  <c r="T116" i="63" s="1"/>
  <c r="R116" i="63"/>
  <c r="P116" i="63"/>
  <c r="O116" i="63"/>
  <c r="N116" i="63"/>
  <c r="L116" i="63"/>
  <c r="J116" i="63"/>
  <c r="F116" i="63"/>
  <c r="R115" i="63"/>
  <c r="P115" i="63"/>
  <c r="O115" i="63"/>
  <c r="S115" i="63" s="1"/>
  <c r="N115" i="63"/>
  <c r="L115" i="63"/>
  <c r="J115" i="63"/>
  <c r="F115" i="63"/>
  <c r="J33" i="56"/>
  <c r="I33" i="56"/>
  <c r="G39" i="56"/>
  <c r="H39" i="56" s="1"/>
  <c r="D39" i="56"/>
  <c r="G38" i="56"/>
  <c r="H38" i="56" s="1"/>
  <c r="D38" i="56"/>
  <c r="G37" i="56"/>
  <c r="H37" i="56" s="1"/>
  <c r="D37" i="56"/>
  <c r="F36" i="56"/>
  <c r="D36" i="56"/>
  <c r="G35" i="56"/>
  <c r="H35" i="56" s="1"/>
  <c r="D35" i="56"/>
  <c r="G34" i="56"/>
  <c r="H34" i="56" s="1"/>
  <c r="D34" i="56"/>
  <c r="G33" i="56"/>
  <c r="H33" i="56" s="1"/>
  <c r="F33" i="56"/>
  <c r="D33" i="56"/>
  <c r="P123" i="66" l="1"/>
  <c r="F128" i="66"/>
  <c r="F131" i="66"/>
  <c r="AI119" i="66"/>
  <c r="P115" i="66"/>
  <c r="AJ119" i="66"/>
  <c r="F115" i="66"/>
  <c r="V115" i="66"/>
  <c r="U115" i="66"/>
  <c r="V122" i="66"/>
  <c r="U122" i="66"/>
  <c r="F122" i="66"/>
  <c r="V119" i="66"/>
  <c r="U119" i="66"/>
  <c r="F119" i="66"/>
  <c r="V125" i="66"/>
  <c r="U125" i="66"/>
  <c r="F125" i="66"/>
  <c r="V133" i="66"/>
  <c r="U133" i="66"/>
  <c r="F133" i="66"/>
  <c r="X128" i="66"/>
  <c r="W128" i="66"/>
  <c r="V123" i="66"/>
  <c r="U123" i="66"/>
  <c r="F123" i="66"/>
  <c r="X131" i="66"/>
  <c r="W131" i="66"/>
  <c r="V116" i="66"/>
  <c r="U116" i="66"/>
  <c r="F116" i="66"/>
  <c r="V120" i="66"/>
  <c r="U120" i="66"/>
  <c r="F120" i="66"/>
  <c r="V126" i="66"/>
  <c r="U126" i="66"/>
  <c r="F126" i="66"/>
  <c r="V118" i="66"/>
  <c r="U118" i="66"/>
  <c r="F118" i="66"/>
  <c r="V129" i="66"/>
  <c r="U129" i="66"/>
  <c r="F129" i="66"/>
  <c r="F132" i="66"/>
  <c r="V132" i="66"/>
  <c r="U132" i="66"/>
  <c r="V134" i="66"/>
  <c r="U134" i="66"/>
  <c r="F134" i="66"/>
  <c r="V117" i="66"/>
  <c r="U117" i="66"/>
  <c r="F117" i="66"/>
  <c r="F121" i="66"/>
  <c r="V121" i="66"/>
  <c r="U121" i="66"/>
  <c r="AK119" i="66"/>
  <c r="AL119" i="66"/>
  <c r="AM119" i="66"/>
  <c r="U130" i="66"/>
  <c r="U127" i="66"/>
  <c r="V130" i="66"/>
  <c r="U124" i="66"/>
  <c r="V127" i="66"/>
  <c r="P132" i="66"/>
  <c r="V124" i="66"/>
  <c r="P129" i="66"/>
  <c r="P133" i="66"/>
  <c r="P134" i="66"/>
  <c r="P126" i="66"/>
  <c r="P118" i="66"/>
  <c r="P119" i="66"/>
  <c r="P120" i="66"/>
  <c r="P125" i="66"/>
  <c r="P116" i="66"/>
  <c r="P122" i="66"/>
  <c r="U131" i="66"/>
  <c r="U128" i="66"/>
  <c r="T132" i="63"/>
  <c r="V132" i="63"/>
  <c r="X132" i="63" s="1"/>
  <c r="U133" i="63"/>
  <c r="U116" i="63"/>
  <c r="V133" i="63"/>
  <c r="X133" i="63" s="1"/>
  <c r="V116" i="63"/>
  <c r="V115" i="63"/>
  <c r="U115" i="63"/>
  <c r="T115" i="63"/>
  <c r="V121" i="63"/>
  <c r="U121" i="63"/>
  <c r="T121" i="63"/>
  <c r="X117" i="63"/>
  <c r="W117" i="63"/>
  <c r="V124" i="63"/>
  <c r="U124" i="63"/>
  <c r="T124" i="63"/>
  <c r="V130" i="63"/>
  <c r="U130" i="63"/>
  <c r="T130" i="63"/>
  <c r="V122" i="63"/>
  <c r="U122" i="63"/>
  <c r="T122" i="63"/>
  <c r="X119" i="63"/>
  <c r="W119" i="63"/>
  <c r="V125" i="63"/>
  <c r="U125" i="63"/>
  <c r="T125" i="63"/>
  <c r="X128" i="63"/>
  <c r="W128" i="63"/>
  <c r="V131" i="63"/>
  <c r="U131" i="63"/>
  <c r="T131" i="63"/>
  <c r="V126" i="63"/>
  <c r="U126" i="63"/>
  <c r="T126" i="63"/>
  <c r="X120" i="63"/>
  <c r="W120" i="63"/>
  <c r="X118" i="63"/>
  <c r="W118" i="63"/>
  <c r="X123" i="63"/>
  <c r="W123" i="63"/>
  <c r="V134" i="63"/>
  <c r="U134" i="63"/>
  <c r="T134" i="63"/>
  <c r="AK119" i="63"/>
  <c r="AL119" i="63"/>
  <c r="P121" i="63"/>
  <c r="S127" i="63"/>
  <c r="AM119" i="63"/>
  <c r="P126" i="63"/>
  <c r="T117" i="63"/>
  <c r="T123" i="63"/>
  <c r="W132" i="63"/>
  <c r="U117" i="63"/>
  <c r="T118" i="63"/>
  <c r="T119" i="63"/>
  <c r="T120" i="63"/>
  <c r="U123" i="63"/>
  <c r="W129" i="63"/>
  <c r="P131" i="63"/>
  <c r="W133" i="63"/>
  <c r="U118" i="63"/>
  <c r="U119" i="63"/>
  <c r="U120" i="63"/>
  <c r="P125" i="63"/>
  <c r="T128" i="63"/>
  <c r="U128" i="63"/>
  <c r="G36" i="56"/>
  <c r="H36" i="56" s="1"/>
  <c r="F37" i="56"/>
  <c r="F34" i="56"/>
  <c r="F38" i="56"/>
  <c r="F35" i="56"/>
  <c r="F39" i="56"/>
  <c r="X124" i="66" l="1"/>
  <c r="W124" i="66"/>
  <c r="X132" i="66"/>
  <c r="W132" i="66"/>
  <c r="X123" i="66"/>
  <c r="W123" i="66"/>
  <c r="X127" i="66"/>
  <c r="W127" i="66"/>
  <c r="X130" i="66"/>
  <c r="W130" i="66"/>
  <c r="X129" i="66"/>
  <c r="W129" i="66"/>
  <c r="X133" i="66"/>
  <c r="W133" i="66"/>
  <c r="X118" i="66"/>
  <c r="W118" i="66"/>
  <c r="W125" i="66"/>
  <c r="X125" i="66"/>
  <c r="X126" i="66"/>
  <c r="W126" i="66"/>
  <c r="X121" i="66"/>
  <c r="W121" i="66"/>
  <c r="X119" i="66"/>
  <c r="W119" i="66"/>
  <c r="X120" i="66"/>
  <c r="W120" i="66"/>
  <c r="X117" i="66"/>
  <c r="W117" i="66"/>
  <c r="X122" i="66"/>
  <c r="W122" i="66"/>
  <c r="X116" i="66"/>
  <c r="W116" i="66"/>
  <c r="X115" i="66"/>
  <c r="W115" i="66"/>
  <c r="X134" i="66"/>
  <c r="W134" i="66"/>
  <c r="W116" i="63"/>
  <c r="X116" i="63"/>
  <c r="X134" i="63"/>
  <c r="W134" i="63"/>
  <c r="X122" i="63"/>
  <c r="W122" i="63"/>
  <c r="X130" i="63"/>
  <c r="W130" i="63"/>
  <c r="X126" i="63"/>
  <c r="W126" i="63"/>
  <c r="X124" i="63"/>
  <c r="W124" i="63"/>
  <c r="X131" i="63"/>
  <c r="W131" i="63"/>
  <c r="V127" i="63"/>
  <c r="U127" i="63"/>
  <c r="T127" i="63"/>
  <c r="X121" i="63"/>
  <c r="W121" i="63"/>
  <c r="W125" i="63"/>
  <c r="X125" i="63"/>
  <c r="X115" i="63"/>
  <c r="W115" i="63"/>
  <c r="X127" i="63" l="1"/>
  <c r="W127" i="63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M215" i="20"/>
  <c r="M214" i="20"/>
  <c r="M213" i="20"/>
  <c r="M218" i="20" s="1"/>
  <c r="K218" i="20" s="1"/>
  <c r="M209" i="20"/>
  <c r="M208" i="20"/>
  <c r="M207" i="20"/>
  <c r="M206" i="20"/>
  <c r="M205" i="20"/>
  <c r="M210" i="20" s="1"/>
  <c r="K210" i="20" s="1"/>
  <c r="M201" i="20"/>
  <c r="M200" i="20"/>
  <c r="M199" i="20"/>
  <c r="M198" i="20"/>
  <c r="M197" i="20"/>
  <c r="M202" i="20" s="1"/>
  <c r="K202" i="20" s="1"/>
  <c r="M194" i="20"/>
  <c r="K194" i="20" s="1"/>
  <c r="M193" i="20"/>
  <c r="M192" i="20"/>
  <c r="M191" i="20"/>
  <c r="M190" i="20"/>
  <c r="M189" i="20"/>
  <c r="M169" i="19"/>
  <c r="M168" i="19"/>
  <c r="M167" i="19"/>
  <c r="M166" i="19"/>
  <c r="M165" i="19"/>
  <c r="M170" i="19" s="1"/>
  <c r="K170" i="19" s="1"/>
  <c r="M161" i="19"/>
  <c r="M160" i="19"/>
  <c r="M159" i="19"/>
  <c r="M158" i="19"/>
  <c r="M157" i="19"/>
  <c r="M162" i="19" s="1"/>
  <c r="K162" i="19" s="1"/>
  <c r="M153" i="19"/>
  <c r="M152" i="19"/>
  <c r="M151" i="19"/>
  <c r="M150" i="19"/>
  <c r="M154" i="19" s="1"/>
  <c r="K154" i="19" s="1"/>
  <c r="M149" i="19"/>
  <c r="M170" i="62"/>
  <c r="K170" i="62" s="1"/>
  <c r="M169" i="62"/>
  <c r="M168" i="62"/>
  <c r="M167" i="62"/>
  <c r="M166" i="62"/>
  <c r="M165" i="62"/>
  <c r="M161" i="62"/>
  <c r="M160" i="62"/>
  <c r="M159" i="62"/>
  <c r="M158" i="62"/>
  <c r="M157" i="62"/>
  <c r="M162" i="62" s="1"/>
  <c r="K162" i="62" s="1"/>
  <c r="M153" i="62"/>
  <c r="M152" i="62"/>
  <c r="M151" i="62"/>
  <c r="M150" i="62"/>
  <c r="M149" i="62"/>
  <c r="M154" i="62" s="1"/>
  <c r="K154" i="62" s="1"/>
  <c r="J139" i="25"/>
  <c r="J138" i="25"/>
  <c r="B138" i="25"/>
  <c r="A138" i="25"/>
  <c r="J156" i="24"/>
  <c r="J155" i="24"/>
  <c r="J154" i="24"/>
  <c r="J153" i="24"/>
  <c r="J152" i="24"/>
  <c r="J151" i="24"/>
  <c r="J150" i="24"/>
  <c r="J149" i="24"/>
  <c r="J158" i="23"/>
  <c r="J157" i="23"/>
  <c r="J156" i="23"/>
  <c r="J154" i="23"/>
  <c r="J153" i="23"/>
  <c r="J152" i="23"/>
  <c r="J151" i="23"/>
  <c r="J150" i="23"/>
  <c r="J149" i="23"/>
  <c r="J146" i="23"/>
  <c r="J145" i="23"/>
  <c r="J144" i="23"/>
  <c r="J143" i="23"/>
  <c r="J142" i="23"/>
  <c r="J141" i="23"/>
  <c r="J140" i="23"/>
  <c r="J138" i="23"/>
  <c r="J153" i="22"/>
  <c r="J152" i="22"/>
  <c r="J151" i="22"/>
  <c r="J150" i="22"/>
  <c r="J149" i="22"/>
  <c r="J138" i="22"/>
  <c r="J151" i="15"/>
  <c r="J150" i="15"/>
  <c r="J149" i="15"/>
  <c r="J146" i="15"/>
  <c r="J145" i="15"/>
  <c r="J144" i="15"/>
  <c r="J143" i="15"/>
  <c r="J141" i="15"/>
  <c r="J140" i="15"/>
  <c r="J139" i="15"/>
  <c r="J138" i="15"/>
  <c r="M141" i="62" l="1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73" i="20"/>
  <c r="M172" i="20"/>
  <c r="M171" i="20"/>
  <c r="M170" i="20"/>
  <c r="M169" i="20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20" s="1"/>
  <c r="M141" i="19"/>
  <c r="M140" i="19"/>
  <c r="M139" i="19"/>
  <c r="M138" i="19"/>
  <c r="M137" i="19"/>
  <c r="M142" i="19" s="1"/>
  <c r="M134" i="19"/>
  <c r="M133" i="19"/>
  <c r="M132" i="19"/>
  <c r="M131" i="19"/>
  <c r="M130" i="19"/>
  <c r="M129" i="19"/>
  <c r="M125" i="19"/>
  <c r="M124" i="19"/>
  <c r="M123" i="19"/>
  <c r="M122" i="19"/>
  <c r="M121" i="19"/>
  <c r="M126" i="19" s="1"/>
  <c r="M174" i="20" l="1"/>
  <c r="M126" i="62"/>
  <c r="M142" i="62"/>
  <c r="C43" i="41"/>
  <c r="C42" i="41"/>
  <c r="F32" i="56"/>
  <c r="G32" i="56"/>
  <c r="H32" i="56" s="1"/>
  <c r="D32" i="56"/>
  <c r="G31" i="56"/>
  <c r="H31" i="56" s="1"/>
  <c r="D31" i="56"/>
  <c r="G30" i="56"/>
  <c r="H30" i="56" s="1"/>
  <c r="D30" i="56"/>
  <c r="F29" i="56"/>
  <c r="D29" i="56"/>
  <c r="G29" i="56"/>
  <c r="H29" i="56" s="1"/>
  <c r="G28" i="56"/>
  <c r="H28" i="56" s="1"/>
  <c r="F28" i="56"/>
  <c r="D28" i="56"/>
  <c r="G27" i="56"/>
  <c r="H27" i="56" s="1"/>
  <c r="F27" i="56"/>
  <c r="D27" i="56"/>
  <c r="H26" i="56"/>
  <c r="G26" i="56"/>
  <c r="F26" i="56"/>
  <c r="D26" i="56"/>
  <c r="J87" i="25"/>
  <c r="J86" i="25"/>
  <c r="J104" i="24"/>
  <c r="J103" i="24"/>
  <c r="J102" i="24"/>
  <c r="J101" i="24"/>
  <c r="J100" i="24"/>
  <c r="J99" i="24"/>
  <c r="J98" i="24"/>
  <c r="J97" i="24"/>
  <c r="J106" i="23"/>
  <c r="J105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97" i="22"/>
  <c r="J98" i="22"/>
  <c r="J99" i="22"/>
  <c r="J100" i="22"/>
  <c r="J101" i="22"/>
  <c r="J86" i="22"/>
  <c r="J99" i="15"/>
  <c r="J100" i="15"/>
  <c r="J98" i="15"/>
  <c r="J97" i="15"/>
  <c r="J95" i="15"/>
  <c r="J94" i="15"/>
  <c r="J92" i="15"/>
  <c r="J91" i="15"/>
  <c r="J90" i="15"/>
  <c r="J88" i="15"/>
  <c r="J87" i="15"/>
  <c r="J86" i="15"/>
  <c r="AW68" i="52"/>
  <c r="AW67" i="52"/>
  <c r="AR68" i="52"/>
  <c r="AR67" i="52"/>
  <c r="AM68" i="52"/>
  <c r="AM67" i="52"/>
  <c r="AH68" i="52"/>
  <c r="AH67" i="52"/>
  <c r="AC68" i="52"/>
  <c r="AC67" i="52"/>
  <c r="X68" i="52"/>
  <c r="X67" i="52"/>
  <c r="S68" i="52"/>
  <c r="S67" i="52"/>
  <c r="M68" i="52"/>
  <c r="M67" i="52"/>
  <c r="AV68" i="52"/>
  <c r="AQ68" i="52"/>
  <c r="AL68" i="52"/>
  <c r="AG68" i="52"/>
  <c r="AB68" i="52"/>
  <c r="W68" i="52"/>
  <c r="R68" i="52"/>
  <c r="K68" i="52"/>
  <c r="J68" i="52"/>
  <c r="I68" i="52"/>
  <c r="G68" i="52"/>
  <c r="H67" i="52" s="1"/>
  <c r="AX67" i="52"/>
  <c r="AV67" i="52"/>
  <c r="AQ67" i="52"/>
  <c r="AS67" i="52" s="1"/>
  <c r="AN67" i="52"/>
  <c r="AL67" i="52"/>
  <c r="AI67" i="52"/>
  <c r="AG67" i="52"/>
  <c r="AB67" i="52"/>
  <c r="AD67" i="52" s="1"/>
  <c r="W67" i="52"/>
  <c r="R67" i="52"/>
  <c r="K67" i="52" s="1"/>
  <c r="J67" i="52"/>
  <c r="I67" i="52"/>
  <c r="G67" i="52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I67" i="51" s="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K72" i="51"/>
  <c r="J72" i="51"/>
  <c r="I72" i="51"/>
  <c r="G72" i="51"/>
  <c r="AV71" i="51"/>
  <c r="AQ71" i="51"/>
  <c r="K71" i="51" s="1"/>
  <c r="AL71" i="51"/>
  <c r="AG71" i="51"/>
  <c r="AB71" i="51"/>
  <c r="W71" i="51"/>
  <c r="R71" i="51"/>
  <c r="J71" i="51"/>
  <c r="I71" i="51"/>
  <c r="G71" i="51"/>
  <c r="AV70" i="51"/>
  <c r="AQ70" i="51"/>
  <c r="K70" i="51" s="1"/>
  <c r="AL70" i="51"/>
  <c r="AG70" i="51"/>
  <c r="AB70" i="51"/>
  <c r="W70" i="51"/>
  <c r="R70" i="51"/>
  <c r="J70" i="51"/>
  <c r="I70" i="51"/>
  <c r="G70" i="51"/>
  <c r="AV69" i="51"/>
  <c r="AQ69" i="51"/>
  <c r="AL69" i="51"/>
  <c r="K69" i="51" s="1"/>
  <c r="AG69" i="51"/>
  <c r="AB69" i="51"/>
  <c r="W69" i="51"/>
  <c r="R69" i="51"/>
  <c r="J69" i="51"/>
  <c r="I69" i="51"/>
  <c r="G69" i="51"/>
  <c r="AV68" i="51"/>
  <c r="AQ68" i="51"/>
  <c r="AL68" i="51"/>
  <c r="K68" i="51" s="1"/>
  <c r="AG68" i="51"/>
  <c r="AB68" i="51"/>
  <c r="W68" i="51"/>
  <c r="R68" i="51"/>
  <c r="J68" i="51"/>
  <c r="I68" i="51"/>
  <c r="G68" i="51"/>
  <c r="AX67" i="51"/>
  <c r="AV67" i="51"/>
  <c r="AQ67" i="51"/>
  <c r="AS67" i="51" s="1"/>
  <c r="AL67" i="51"/>
  <c r="AG67" i="51"/>
  <c r="AB67" i="51"/>
  <c r="AD67" i="51" s="1"/>
  <c r="W67" i="51"/>
  <c r="Y67" i="51" s="1"/>
  <c r="R67" i="51"/>
  <c r="J67" i="51"/>
  <c r="I67" i="51"/>
  <c r="G67" i="51"/>
  <c r="H67" i="51" s="1"/>
  <c r="U62" i="50"/>
  <c r="Z62" i="50" s="1"/>
  <c r="AE62" i="50" s="1"/>
  <c r="AJ62" i="50" s="1"/>
  <c r="AO62" i="50" s="1"/>
  <c r="AT62" i="50" s="1"/>
  <c r="AW76" i="49"/>
  <c r="AW75" i="49"/>
  <c r="AW74" i="49"/>
  <c r="AW73" i="49"/>
  <c r="AW71" i="49"/>
  <c r="AW70" i="49"/>
  <c r="AW69" i="49"/>
  <c r="AW68" i="49"/>
  <c r="AW67" i="49"/>
  <c r="AR76" i="49"/>
  <c r="AR75" i="49"/>
  <c r="AR74" i="49"/>
  <c r="AR73" i="49"/>
  <c r="AR71" i="49"/>
  <c r="AR70" i="49"/>
  <c r="AR69" i="49"/>
  <c r="AR68" i="49"/>
  <c r="AR67" i="49"/>
  <c r="AM76" i="49"/>
  <c r="AM75" i="49"/>
  <c r="AM74" i="49"/>
  <c r="AM73" i="49"/>
  <c r="AM71" i="49"/>
  <c r="AM70" i="49"/>
  <c r="AM69" i="49"/>
  <c r="AM68" i="49"/>
  <c r="AM67" i="49"/>
  <c r="AH76" i="49"/>
  <c r="AH75" i="49"/>
  <c r="AH74" i="49"/>
  <c r="AH73" i="49"/>
  <c r="AH71" i="49"/>
  <c r="AH70" i="49"/>
  <c r="AH69" i="49"/>
  <c r="AH68" i="49"/>
  <c r="AH67" i="49"/>
  <c r="AC76" i="49"/>
  <c r="AC75" i="49"/>
  <c r="AC74" i="49"/>
  <c r="AC73" i="49"/>
  <c r="AC71" i="49"/>
  <c r="AC70" i="49"/>
  <c r="AC69" i="49"/>
  <c r="AC68" i="49"/>
  <c r="AC67" i="49"/>
  <c r="X76" i="49"/>
  <c r="X75" i="49"/>
  <c r="X74" i="49"/>
  <c r="X73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76" i="49"/>
  <c r="S67" i="49"/>
  <c r="M68" i="49"/>
  <c r="M69" i="49"/>
  <c r="M70" i="49"/>
  <c r="M71" i="49"/>
  <c r="M72" i="49"/>
  <c r="M73" i="49"/>
  <c r="M74" i="49"/>
  <c r="M75" i="49"/>
  <c r="M76" i="49"/>
  <c r="M67" i="49"/>
  <c r="AV76" i="49"/>
  <c r="AQ76" i="49"/>
  <c r="AL76" i="49"/>
  <c r="AG76" i="49"/>
  <c r="AB76" i="49"/>
  <c r="W76" i="49"/>
  <c r="R76" i="49"/>
  <c r="K76" i="49"/>
  <c r="J76" i="49"/>
  <c r="I76" i="49"/>
  <c r="G76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R72" i="49"/>
  <c r="K72" i="49"/>
  <c r="J72" i="49"/>
  <c r="I72" i="49"/>
  <c r="G72" i="49"/>
  <c r="AV71" i="49"/>
  <c r="AQ71" i="49"/>
  <c r="AL71" i="49"/>
  <c r="AG71" i="49"/>
  <c r="AB71" i="49"/>
  <c r="W71" i="49"/>
  <c r="R71" i="49"/>
  <c r="K71" i="49" s="1"/>
  <c r="J71" i="49"/>
  <c r="I71" i="49"/>
  <c r="G71" i="49"/>
  <c r="AV70" i="49"/>
  <c r="AQ70" i="49"/>
  <c r="AS67" i="49" s="1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K69" i="49"/>
  <c r="J69" i="49"/>
  <c r="I69" i="49"/>
  <c r="G69" i="49"/>
  <c r="AV68" i="49"/>
  <c r="AQ68" i="49"/>
  <c r="AL68" i="49"/>
  <c r="AG68" i="49"/>
  <c r="AB68" i="49"/>
  <c r="W68" i="49"/>
  <c r="R68" i="49"/>
  <c r="K68" i="49"/>
  <c r="J68" i="49"/>
  <c r="I68" i="49"/>
  <c r="G68" i="49"/>
  <c r="AX67" i="49"/>
  <c r="AV67" i="49"/>
  <c r="AQ67" i="49"/>
  <c r="AL67" i="49"/>
  <c r="AG67" i="49"/>
  <c r="AI67" i="49" s="1"/>
  <c r="AB67" i="49"/>
  <c r="AD67" i="49" s="1"/>
  <c r="W67" i="49"/>
  <c r="Y67" i="49" s="1"/>
  <c r="R67" i="49"/>
  <c r="K67" i="49" s="1"/>
  <c r="J67" i="49"/>
  <c r="I67" i="49"/>
  <c r="G67" i="49"/>
  <c r="H67" i="49" s="1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AV74" i="48"/>
  <c r="AW74" i="48" s="1"/>
  <c r="AQ74" i="48"/>
  <c r="AR74" i="48" s="1"/>
  <c r="AL74" i="48"/>
  <c r="AG74" i="48"/>
  <c r="AB74" i="48"/>
  <c r="W74" i="48"/>
  <c r="R74" i="48"/>
  <c r="J74" i="48"/>
  <c r="I74" i="48"/>
  <c r="G74" i="48"/>
  <c r="AW73" i="48"/>
  <c r="AV73" i="48"/>
  <c r="AR73" i="48"/>
  <c r="AQ73" i="48"/>
  <c r="AL73" i="48"/>
  <c r="AG73" i="48"/>
  <c r="AB73" i="48"/>
  <c r="W73" i="48"/>
  <c r="R73" i="48"/>
  <c r="J73" i="48"/>
  <c r="I73" i="48"/>
  <c r="G73" i="48"/>
  <c r="AV72" i="48"/>
  <c r="AW72" i="48" s="1"/>
  <c r="AQ72" i="48"/>
  <c r="AR72" i="48" s="1"/>
  <c r="AL72" i="48"/>
  <c r="AG72" i="48"/>
  <c r="AB72" i="48"/>
  <c r="W72" i="48"/>
  <c r="R72" i="48"/>
  <c r="J72" i="48"/>
  <c r="I72" i="48"/>
  <c r="G72" i="48"/>
  <c r="AV71" i="48"/>
  <c r="AW71" i="48" s="1"/>
  <c r="AR71" i="48"/>
  <c r="AQ71" i="48"/>
  <c r="AL71" i="48"/>
  <c r="AG71" i="48"/>
  <c r="AB71" i="48"/>
  <c r="W71" i="48"/>
  <c r="Y67" i="48" s="1"/>
  <c r="R71" i="48"/>
  <c r="J71" i="48"/>
  <c r="I71" i="48"/>
  <c r="G71" i="48"/>
  <c r="AV70" i="48"/>
  <c r="AW70" i="48" s="1"/>
  <c r="AQ70" i="48"/>
  <c r="AR70" i="48" s="1"/>
  <c r="AL70" i="48"/>
  <c r="AG70" i="48"/>
  <c r="AB70" i="48"/>
  <c r="W70" i="48"/>
  <c r="R70" i="48"/>
  <c r="J70" i="48"/>
  <c r="I70" i="48"/>
  <c r="G70" i="48"/>
  <c r="AV69" i="48"/>
  <c r="AW69" i="48" s="1"/>
  <c r="AQ69" i="48"/>
  <c r="AR69" i="48" s="1"/>
  <c r="AL69" i="48"/>
  <c r="AG69" i="48"/>
  <c r="AB69" i="48"/>
  <c r="W69" i="48"/>
  <c r="R69" i="48"/>
  <c r="J69" i="48"/>
  <c r="I69" i="48"/>
  <c r="G69" i="48"/>
  <c r="AV68" i="48"/>
  <c r="AW68" i="48" s="1"/>
  <c r="AQ68" i="48"/>
  <c r="AR68" i="48" s="1"/>
  <c r="AL68" i="48"/>
  <c r="AG68" i="48"/>
  <c r="AB68" i="48"/>
  <c r="W68" i="48"/>
  <c r="R68" i="48"/>
  <c r="J68" i="48"/>
  <c r="I68" i="48"/>
  <c r="G68" i="48"/>
  <c r="AV67" i="48"/>
  <c r="AX67" i="48" s="1"/>
  <c r="AQ67" i="48"/>
  <c r="AS67" i="48" s="1"/>
  <c r="AN67" i="48"/>
  <c r="AL67" i="48"/>
  <c r="AG67" i="48"/>
  <c r="AI67" i="48" s="1"/>
  <c r="AB67" i="48"/>
  <c r="AD67" i="48" s="1"/>
  <c r="W67" i="48"/>
  <c r="R67" i="48"/>
  <c r="T67" i="48" s="1"/>
  <c r="J67" i="48"/>
  <c r="I67" i="48"/>
  <c r="H67" i="48"/>
  <c r="G67" i="48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K71" i="47"/>
  <c r="J71" i="47"/>
  <c r="I71" i="47"/>
  <c r="G71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H67" i="47" s="1"/>
  <c r="AV67" i="47"/>
  <c r="AS67" i="47"/>
  <c r="AQ67" i="47"/>
  <c r="AL67" i="47"/>
  <c r="AN67" i="47" s="1"/>
  <c r="AG67" i="47"/>
  <c r="AI67" i="47" s="1"/>
  <c r="AB67" i="47"/>
  <c r="W67" i="47"/>
  <c r="Y67" i="47" s="1"/>
  <c r="R67" i="47"/>
  <c r="T67" i="47" s="1"/>
  <c r="K67" i="47"/>
  <c r="J67" i="47"/>
  <c r="I67" i="47"/>
  <c r="G67" i="47"/>
  <c r="AW67" i="46"/>
  <c r="AR67" i="46"/>
  <c r="AM67" i="46"/>
  <c r="AH67" i="46"/>
  <c r="AC67" i="46"/>
  <c r="X67" i="46"/>
  <c r="S67" i="46"/>
  <c r="M67" i="46"/>
  <c r="AV67" i="46"/>
  <c r="AX67" i="46" s="1"/>
  <c r="AQ67" i="46"/>
  <c r="AS67" i="46" s="1"/>
  <c r="AN67" i="46"/>
  <c r="AL67" i="46"/>
  <c r="AG67" i="46"/>
  <c r="AI67" i="46" s="1"/>
  <c r="AB67" i="46"/>
  <c r="W67" i="46"/>
  <c r="K67" i="46" s="1"/>
  <c r="T67" i="46"/>
  <c r="R67" i="46"/>
  <c r="J67" i="46"/>
  <c r="I67" i="46"/>
  <c r="G67" i="46"/>
  <c r="H67" i="46" s="1"/>
  <c r="AR70" i="45"/>
  <c r="AR69" i="45"/>
  <c r="AR68" i="45"/>
  <c r="AR67" i="45"/>
  <c r="AW70" i="45"/>
  <c r="AW69" i="45"/>
  <c r="AW68" i="45"/>
  <c r="AW67" i="45"/>
  <c r="AM70" i="45"/>
  <c r="AM69" i="45"/>
  <c r="AM68" i="45"/>
  <c r="AM67" i="45"/>
  <c r="AH70" i="45"/>
  <c r="AH69" i="45"/>
  <c r="AH68" i="45"/>
  <c r="AH67" i="45"/>
  <c r="AC70" i="45"/>
  <c r="AC69" i="45"/>
  <c r="AC68" i="45"/>
  <c r="AC67" i="45"/>
  <c r="X70" i="45"/>
  <c r="X69" i="45"/>
  <c r="X68" i="45"/>
  <c r="X67" i="45"/>
  <c r="S68" i="45"/>
  <c r="S69" i="45"/>
  <c r="S70" i="45"/>
  <c r="S67" i="45"/>
  <c r="M68" i="45"/>
  <c r="M69" i="45"/>
  <c r="M70" i="45"/>
  <c r="M67" i="45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AQ69" i="45"/>
  <c r="AL69" i="45"/>
  <c r="AG69" i="45"/>
  <c r="AB69" i="45"/>
  <c r="W69" i="45"/>
  <c r="R69" i="45"/>
  <c r="K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X67" i="45" s="1"/>
  <c r="AQ67" i="45"/>
  <c r="AS67" i="45" s="1"/>
  <c r="AL67" i="45"/>
  <c r="AG67" i="45"/>
  <c r="AI67" i="45" s="1"/>
  <c r="AD67" i="45"/>
  <c r="AB67" i="45"/>
  <c r="W67" i="45"/>
  <c r="Y67" i="45" s="1"/>
  <c r="R67" i="45"/>
  <c r="K67" i="45" s="1"/>
  <c r="J67" i="45"/>
  <c r="I67" i="45"/>
  <c r="G67" i="45"/>
  <c r="H67" i="45" s="1"/>
  <c r="AW167" i="44"/>
  <c r="AW166" i="44"/>
  <c r="AW165" i="44"/>
  <c r="AW164" i="44"/>
  <c r="AW163" i="44"/>
  <c r="AW162" i="44"/>
  <c r="AW161" i="44"/>
  <c r="AW160" i="44"/>
  <c r="AW159" i="44"/>
  <c r="AW158" i="44"/>
  <c r="AW157" i="44"/>
  <c r="AW156" i="44"/>
  <c r="AW155" i="44"/>
  <c r="AW154" i="44"/>
  <c r="AW153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5" i="44"/>
  <c r="AW134" i="44"/>
  <c r="AW133" i="44"/>
  <c r="AR153" i="44"/>
  <c r="AR166" i="44"/>
  <c r="AR165" i="44"/>
  <c r="AR164" i="44"/>
  <c r="AR163" i="44"/>
  <c r="AR162" i="44"/>
  <c r="AR161" i="44"/>
  <c r="AR160" i="44"/>
  <c r="AR159" i="44"/>
  <c r="AR158" i="44"/>
  <c r="AR157" i="44"/>
  <c r="AR156" i="44"/>
  <c r="AR155" i="44"/>
  <c r="AR154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M166" i="44"/>
  <c r="AM165" i="44"/>
  <c r="AM164" i="44"/>
  <c r="AM163" i="44"/>
  <c r="AM162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H166" i="44"/>
  <c r="AH165" i="44"/>
  <c r="AH164" i="44"/>
  <c r="AH163" i="44"/>
  <c r="AH162" i="44"/>
  <c r="AH161" i="44"/>
  <c r="AH160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C166" i="44"/>
  <c r="AC165" i="44"/>
  <c r="AC164" i="44"/>
  <c r="AC163" i="44"/>
  <c r="AC162" i="44"/>
  <c r="AC161" i="44"/>
  <c r="AC160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X166" i="44"/>
  <c r="X165" i="44"/>
  <c r="X164" i="44"/>
  <c r="X163" i="44"/>
  <c r="X162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62" i="44"/>
  <c r="S163" i="44"/>
  <c r="S164" i="44"/>
  <c r="S165" i="44"/>
  <c r="S166" i="44"/>
  <c r="AV167" i="44"/>
  <c r="K167" i="44"/>
  <c r="J167" i="44"/>
  <c r="I167" i="44"/>
  <c r="G167" i="44"/>
  <c r="AV166" i="44"/>
  <c r="AQ166" i="44"/>
  <c r="AL166" i="44"/>
  <c r="AG166" i="44"/>
  <c r="AB166" i="44"/>
  <c r="W166" i="44"/>
  <c r="K166" i="44" s="1"/>
  <c r="R166" i="44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 s="1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V156" i="44"/>
  <c r="AQ156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K151" i="44" s="1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K149" i="44" s="1"/>
  <c r="J149" i="44"/>
  <c r="I149" i="44"/>
  <c r="G149" i="44"/>
  <c r="AV148" i="44"/>
  <c r="AQ148" i="44"/>
  <c r="AL148" i="44"/>
  <c r="AG148" i="44"/>
  <c r="AB148" i="44"/>
  <c r="W148" i="44"/>
  <c r="R148" i="44"/>
  <c r="K148" i="44" s="1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K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K135" i="44" s="1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X133" i="44" s="1"/>
  <c r="AQ133" i="44"/>
  <c r="AL133" i="44"/>
  <c r="AN133" i="44" s="1"/>
  <c r="AG133" i="44"/>
  <c r="AI133" i="44" s="1"/>
  <c r="AB133" i="44"/>
  <c r="AD133" i="44" s="1"/>
  <c r="W133" i="44"/>
  <c r="R133" i="44"/>
  <c r="J133" i="44"/>
  <c r="I133" i="44"/>
  <c r="G133" i="44"/>
  <c r="H133" i="44" s="1"/>
  <c r="B28" i="6"/>
  <c r="D28" i="6"/>
  <c r="D29" i="6" s="1"/>
  <c r="D30" i="6" s="1"/>
  <c r="D31" i="6" s="1"/>
  <c r="D32" i="6" s="1"/>
  <c r="D33" i="6" s="1"/>
  <c r="D34" i="6" s="1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S34" i="7"/>
  <c r="M34" i="7"/>
  <c r="F34" i="7"/>
  <c r="AL34" i="7" s="1"/>
  <c r="AC33" i="7"/>
  <c r="AD33" i="7" s="1"/>
  <c r="S33" i="7"/>
  <c r="T33" i="7" s="1"/>
  <c r="R33" i="7"/>
  <c r="M33" i="7"/>
  <c r="N33" i="7" s="1"/>
  <c r="J33" i="7"/>
  <c r="F33" i="7"/>
  <c r="AL33" i="7" s="1"/>
  <c r="AC32" i="7"/>
  <c r="AD32" i="7" s="1"/>
  <c r="S32" i="7"/>
  <c r="T32" i="7" s="1"/>
  <c r="R32" i="7"/>
  <c r="M32" i="7"/>
  <c r="N32" i="7" s="1"/>
  <c r="F32" i="7"/>
  <c r="AL32" i="7" s="1"/>
  <c r="AC31" i="7"/>
  <c r="AD31" i="7" s="1"/>
  <c r="S31" i="7"/>
  <c r="T31" i="7" s="1"/>
  <c r="R31" i="7"/>
  <c r="M31" i="7"/>
  <c r="N31" i="7" s="1"/>
  <c r="F31" i="7"/>
  <c r="AL31" i="7" s="1"/>
  <c r="AC30" i="7"/>
  <c r="AD30" i="7" s="1"/>
  <c r="S30" i="7"/>
  <c r="T30" i="7" s="1"/>
  <c r="R30" i="7"/>
  <c r="M30" i="7"/>
  <c r="N30" i="7" s="1"/>
  <c r="F30" i="7"/>
  <c r="AL30" i="7" s="1"/>
  <c r="AC29" i="7"/>
  <c r="AD29" i="7" s="1"/>
  <c r="S29" i="7"/>
  <c r="T29" i="7" s="1"/>
  <c r="R29" i="7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G28" i="7" l="1"/>
  <c r="J34" i="7"/>
  <c r="N34" i="7"/>
  <c r="R34" i="7"/>
  <c r="AD34" i="7"/>
  <c r="T34" i="7"/>
  <c r="F30" i="56"/>
  <c r="F31" i="56"/>
  <c r="L67" i="52"/>
  <c r="T67" i="52"/>
  <c r="Y67" i="52"/>
  <c r="AN67" i="51"/>
  <c r="K67" i="51"/>
  <c r="K74" i="51"/>
  <c r="K73" i="51"/>
  <c r="T67" i="51"/>
  <c r="T67" i="49"/>
  <c r="K70" i="49"/>
  <c r="K73" i="49"/>
  <c r="K74" i="49"/>
  <c r="AN67" i="49"/>
  <c r="K71" i="48"/>
  <c r="K72" i="48"/>
  <c r="K70" i="48"/>
  <c r="AR67" i="48"/>
  <c r="K67" i="48"/>
  <c r="K74" i="48"/>
  <c r="AW67" i="48"/>
  <c r="K73" i="48"/>
  <c r="K69" i="48"/>
  <c r="K68" i="48"/>
  <c r="K68" i="47"/>
  <c r="K69" i="47"/>
  <c r="AX67" i="47"/>
  <c r="AD67" i="47"/>
  <c r="L67" i="47"/>
  <c r="L67" i="46"/>
  <c r="AD67" i="46"/>
  <c r="Y67" i="46"/>
  <c r="L67" i="45"/>
  <c r="K68" i="45"/>
  <c r="AN67" i="45"/>
  <c r="T67" i="45"/>
  <c r="K134" i="44"/>
  <c r="K150" i="44"/>
  <c r="K136" i="44"/>
  <c r="K152" i="44"/>
  <c r="K160" i="44"/>
  <c r="S133" i="44"/>
  <c r="K146" i="44"/>
  <c r="K162" i="44"/>
  <c r="M162" i="44" s="1"/>
  <c r="K147" i="44"/>
  <c r="K163" i="44"/>
  <c r="K145" i="44"/>
  <c r="K161" i="44"/>
  <c r="K133" i="44"/>
  <c r="AS133" i="44"/>
  <c r="K139" i="44"/>
  <c r="K155" i="44"/>
  <c r="K141" i="44"/>
  <c r="K157" i="44"/>
  <c r="K140" i="44"/>
  <c r="K156" i="44"/>
  <c r="K138" i="44"/>
  <c r="M138" i="44" s="1"/>
  <c r="K154" i="44"/>
  <c r="K143" i="44"/>
  <c r="K159" i="44"/>
  <c r="K142" i="44"/>
  <c r="K158" i="44"/>
  <c r="K137" i="44"/>
  <c r="K153" i="44"/>
  <c r="Y133" i="44"/>
  <c r="T133" i="44"/>
  <c r="AD28" i="6"/>
  <c r="AD30" i="6"/>
  <c r="N31" i="6"/>
  <c r="T31" i="6"/>
  <c r="AD31" i="6"/>
  <c r="N32" i="6"/>
  <c r="AD32" i="6"/>
  <c r="N33" i="6"/>
  <c r="T33" i="6"/>
  <c r="N28" i="6"/>
  <c r="T28" i="6"/>
  <c r="F28" i="6"/>
  <c r="F29" i="6"/>
  <c r="T29" i="6" s="1"/>
  <c r="F30" i="6"/>
  <c r="T30" i="6" s="1"/>
  <c r="F31" i="6"/>
  <c r="F32" i="6"/>
  <c r="T32" i="6" s="1"/>
  <c r="F33" i="6"/>
  <c r="AD33" i="6" s="1"/>
  <c r="F34" i="6"/>
  <c r="N34" i="6" s="1"/>
  <c r="J28" i="7"/>
  <c r="J29" i="7"/>
  <c r="J30" i="7"/>
  <c r="J31" i="7"/>
  <c r="J32" i="7"/>
  <c r="L28" i="7"/>
  <c r="L30" i="7"/>
  <c r="L31" i="7"/>
  <c r="L33" i="7"/>
  <c r="L29" i="7"/>
  <c r="L32" i="7"/>
  <c r="L34" i="7"/>
  <c r="P28" i="7"/>
  <c r="P29" i="7"/>
  <c r="P30" i="7"/>
  <c r="P31" i="7"/>
  <c r="P32" i="7"/>
  <c r="P33" i="7"/>
  <c r="P34" i="7"/>
  <c r="R28" i="7"/>
  <c r="V34" i="7"/>
  <c r="X28" i="7"/>
  <c r="X29" i="7"/>
  <c r="X30" i="7"/>
  <c r="X31" i="7"/>
  <c r="X32" i="7"/>
  <c r="X33" i="7"/>
  <c r="X34" i="7"/>
  <c r="Z28" i="7"/>
  <c r="Z29" i="7"/>
  <c r="Z30" i="7"/>
  <c r="Z31" i="7"/>
  <c r="Z32" i="7"/>
  <c r="Z33" i="7"/>
  <c r="Z34" i="7"/>
  <c r="V28" i="7"/>
  <c r="AB28" i="7"/>
  <c r="AB29" i="7"/>
  <c r="AB30" i="7"/>
  <c r="AB31" i="7"/>
  <c r="AB32" i="7"/>
  <c r="AB33" i="7"/>
  <c r="AB34" i="7"/>
  <c r="V29" i="7"/>
  <c r="V32" i="7"/>
  <c r="V33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V30" i="7"/>
  <c r="AH34" i="7"/>
  <c r="AJ28" i="7"/>
  <c r="AJ29" i="7"/>
  <c r="AJ30" i="7"/>
  <c r="AJ31" i="7"/>
  <c r="AJ32" i="7"/>
  <c r="AJ33" i="7"/>
  <c r="AJ34" i="7"/>
  <c r="V31" i="7"/>
  <c r="AH33" i="7"/>
  <c r="L67" i="51" l="1"/>
  <c r="L67" i="49"/>
  <c r="L67" i="48"/>
  <c r="M145" i="44"/>
  <c r="M143" i="44"/>
  <c r="M163" i="44"/>
  <c r="M147" i="44"/>
  <c r="M154" i="44"/>
  <c r="M156" i="44"/>
  <c r="M140" i="44"/>
  <c r="M157" i="44"/>
  <c r="M146" i="44"/>
  <c r="M141" i="44"/>
  <c r="M155" i="44"/>
  <c r="M152" i="44"/>
  <c r="M139" i="44"/>
  <c r="M136" i="44"/>
  <c r="M150" i="44"/>
  <c r="M153" i="44"/>
  <c r="M133" i="44"/>
  <c r="M134" i="44"/>
  <c r="M167" i="44"/>
  <c r="M149" i="44"/>
  <c r="M144" i="44"/>
  <c r="M165" i="44"/>
  <c r="M160" i="44"/>
  <c r="M137" i="44"/>
  <c r="M166" i="44"/>
  <c r="M158" i="44"/>
  <c r="M135" i="44"/>
  <c r="M142" i="44"/>
  <c r="M161" i="44"/>
  <c r="M148" i="44"/>
  <c r="M164" i="44"/>
  <c r="M159" i="44"/>
  <c r="M151" i="44"/>
  <c r="L133" i="44"/>
  <c r="T34" i="6"/>
  <c r="AL34" i="6"/>
  <c r="X34" i="6"/>
  <c r="AJ34" i="6"/>
  <c r="AH34" i="6"/>
  <c r="V34" i="6"/>
  <c r="AF34" i="6"/>
  <c r="AB34" i="6"/>
  <c r="Z34" i="6"/>
  <c r="R34" i="6"/>
  <c r="P34" i="6"/>
  <c r="L34" i="6"/>
  <c r="J34" i="6"/>
  <c r="AL33" i="6"/>
  <c r="AJ33" i="6"/>
  <c r="V33" i="6"/>
  <c r="AH33" i="6"/>
  <c r="X33" i="6"/>
  <c r="AF33" i="6"/>
  <c r="Z33" i="6"/>
  <c r="AB33" i="6"/>
  <c r="P33" i="6"/>
  <c r="L33" i="6"/>
  <c r="R33" i="6"/>
  <c r="J33" i="6"/>
  <c r="AL32" i="6"/>
  <c r="V32" i="6"/>
  <c r="AJ32" i="6"/>
  <c r="X32" i="6"/>
  <c r="AH32" i="6"/>
  <c r="AF32" i="6"/>
  <c r="Z32" i="6"/>
  <c r="AB32" i="6"/>
  <c r="L32" i="6"/>
  <c r="P32" i="6"/>
  <c r="R32" i="6"/>
  <c r="J32" i="6"/>
  <c r="AL31" i="6"/>
  <c r="AJ31" i="6"/>
  <c r="Z31" i="6"/>
  <c r="AH31" i="6"/>
  <c r="X31" i="6"/>
  <c r="AF31" i="6"/>
  <c r="AB31" i="6"/>
  <c r="P31" i="6"/>
  <c r="R31" i="6"/>
  <c r="L31" i="6"/>
  <c r="J31" i="6"/>
  <c r="V31" i="6"/>
  <c r="AL30" i="6"/>
  <c r="Z30" i="6"/>
  <c r="X30" i="6"/>
  <c r="AJ30" i="6"/>
  <c r="AH30" i="6"/>
  <c r="AF30" i="6"/>
  <c r="AB30" i="6"/>
  <c r="L30" i="6"/>
  <c r="R30" i="6"/>
  <c r="P30" i="6"/>
  <c r="J30" i="6"/>
  <c r="V30" i="6"/>
  <c r="N30" i="6"/>
  <c r="AL29" i="6"/>
  <c r="AJ29" i="6"/>
  <c r="AH29" i="6"/>
  <c r="Z29" i="6"/>
  <c r="X29" i="6"/>
  <c r="AF29" i="6"/>
  <c r="V29" i="6"/>
  <c r="AB29" i="6"/>
  <c r="P29" i="6"/>
  <c r="L29" i="6"/>
  <c r="R29" i="6"/>
  <c r="J29" i="6"/>
  <c r="AD29" i="6"/>
  <c r="AL28" i="6"/>
  <c r="X28" i="6"/>
  <c r="V28" i="6"/>
  <c r="AJ28" i="6"/>
  <c r="AH28" i="6"/>
  <c r="AF28" i="6"/>
  <c r="AB28" i="6"/>
  <c r="R28" i="6"/>
  <c r="P28" i="6"/>
  <c r="L28" i="6"/>
  <c r="J28" i="6"/>
  <c r="G28" i="6"/>
  <c r="Z28" i="6"/>
  <c r="N29" i="6"/>
  <c r="AD34" i="6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143" i="20"/>
  <c r="M142" i="20"/>
  <c r="M141" i="20"/>
  <c r="M146" i="20" s="1"/>
  <c r="M137" i="20"/>
  <c r="M136" i="20"/>
  <c r="M135" i="20"/>
  <c r="M134" i="20"/>
  <c r="M133" i="20"/>
  <c r="M129" i="20"/>
  <c r="M128" i="20"/>
  <c r="M127" i="20"/>
  <c r="M126" i="20"/>
  <c r="M125" i="20"/>
  <c r="M130" i="20" s="1"/>
  <c r="M121" i="20"/>
  <c r="M120" i="20"/>
  <c r="M119" i="20"/>
  <c r="M118" i="20"/>
  <c r="M117" i="20"/>
  <c r="M122" i="20" s="1"/>
  <c r="M113" i="19"/>
  <c r="M112" i="19"/>
  <c r="M111" i="19"/>
  <c r="M110" i="19"/>
  <c r="M109" i="19"/>
  <c r="M114" i="19" s="1"/>
  <c r="M106" i="19"/>
  <c r="M105" i="19"/>
  <c r="M104" i="19"/>
  <c r="M103" i="19"/>
  <c r="M102" i="19"/>
  <c r="M101" i="19"/>
  <c r="M97" i="19"/>
  <c r="M96" i="19"/>
  <c r="M95" i="19"/>
  <c r="M94" i="19"/>
  <c r="M93" i="19"/>
  <c r="M98" i="19" s="1"/>
  <c r="J113" i="25"/>
  <c r="B112" i="25"/>
  <c r="A112" i="25"/>
  <c r="M138" i="20" l="1"/>
  <c r="M98" i="62"/>
  <c r="M114" i="62"/>
  <c r="B65" i="41"/>
  <c r="B64" i="41"/>
  <c r="B53" i="41"/>
  <c r="B32" i="41"/>
  <c r="B31" i="41"/>
  <c r="M37" i="62"/>
  <c r="M38" i="62"/>
  <c r="M39" i="62"/>
  <c r="M40" i="62"/>
  <c r="M41" i="62"/>
  <c r="B48" i="56"/>
  <c r="G46" i="56"/>
  <c r="H46" i="56" s="1"/>
  <c r="F46" i="56"/>
  <c r="D46" i="56"/>
  <c r="H45" i="56"/>
  <c r="G45" i="56"/>
  <c r="F45" i="56"/>
  <c r="D45" i="56"/>
  <c r="G44" i="56"/>
  <c r="H44" i="56" s="1"/>
  <c r="F44" i="56"/>
  <c r="D44" i="56"/>
  <c r="G43" i="56"/>
  <c r="H43" i="56" s="1"/>
  <c r="F43" i="56"/>
  <c r="D43" i="56"/>
  <c r="G42" i="56"/>
  <c r="H42" i="56" s="1"/>
  <c r="F42" i="56"/>
  <c r="D42" i="56"/>
  <c r="H41" i="56"/>
  <c r="G41" i="56"/>
  <c r="F41" i="56"/>
  <c r="D41" i="56"/>
  <c r="J40" i="56"/>
  <c r="I40" i="56"/>
  <c r="G40" i="56"/>
  <c r="H40" i="56" s="1"/>
  <c r="F40" i="56"/>
  <c r="D40" i="56"/>
  <c r="B54" i="41"/>
  <c r="J26" i="56"/>
  <c r="B43" i="41" s="1"/>
  <c r="I26" i="56"/>
  <c r="B42" i="41" s="1"/>
  <c r="G25" i="56"/>
  <c r="H25" i="56" s="1"/>
  <c r="D25" i="56"/>
  <c r="G24" i="56"/>
  <c r="H24" i="56" s="1"/>
  <c r="D24" i="56"/>
  <c r="G23" i="56"/>
  <c r="H23" i="56" s="1"/>
  <c r="D23" i="56"/>
  <c r="G22" i="56"/>
  <c r="H22" i="56" s="1"/>
  <c r="F22" i="56"/>
  <c r="D22" i="56"/>
  <c r="F21" i="56"/>
  <c r="G21" i="56"/>
  <c r="H21" i="56" s="1"/>
  <c r="D21" i="56"/>
  <c r="G20" i="56"/>
  <c r="H20" i="56" s="1"/>
  <c r="F20" i="56"/>
  <c r="D20" i="56"/>
  <c r="I19" i="56"/>
  <c r="G19" i="56"/>
  <c r="H19" i="56" s="1"/>
  <c r="D19" i="56"/>
  <c r="G18" i="56"/>
  <c r="H18" i="56" s="1"/>
  <c r="D18" i="56"/>
  <c r="F17" i="56"/>
  <c r="G17" i="56"/>
  <c r="H17" i="56" s="1"/>
  <c r="G16" i="56"/>
  <c r="H16" i="56" s="1"/>
  <c r="F16" i="56"/>
  <c r="D16" i="56"/>
  <c r="F15" i="56"/>
  <c r="G15" i="56"/>
  <c r="H15" i="56" s="1"/>
  <c r="G14" i="56"/>
  <c r="H14" i="56" s="1"/>
  <c r="D14" i="56"/>
  <c r="G13" i="56"/>
  <c r="H13" i="56" s="1"/>
  <c r="F13" i="56"/>
  <c r="D13" i="56"/>
  <c r="G12" i="56"/>
  <c r="H12" i="56" s="1"/>
  <c r="F12" i="56"/>
  <c r="J12" i="56"/>
  <c r="D12" i="56"/>
  <c r="G11" i="56"/>
  <c r="H11" i="56" s="1"/>
  <c r="F11" i="56"/>
  <c r="D11" i="56"/>
  <c r="F10" i="56"/>
  <c r="G10" i="56"/>
  <c r="H10" i="56" s="1"/>
  <c r="G9" i="56"/>
  <c r="H9" i="56" s="1"/>
  <c r="F9" i="56"/>
  <c r="D9" i="56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G5" i="56"/>
  <c r="H5" i="56" s="1"/>
  <c r="F5" i="56"/>
  <c r="D5" i="56"/>
  <c r="J62" i="25"/>
  <c r="J61" i="25"/>
  <c r="J60" i="25"/>
  <c r="B86" i="25"/>
  <c r="A86" i="25"/>
  <c r="J78" i="24"/>
  <c r="J77" i="24"/>
  <c r="J76" i="24"/>
  <c r="J75" i="24"/>
  <c r="J74" i="24"/>
  <c r="J73" i="24"/>
  <c r="J72" i="24"/>
  <c r="J71" i="24"/>
  <c r="J75" i="23"/>
  <c r="J78" i="23"/>
  <c r="J77" i="23"/>
  <c r="J76" i="23"/>
  <c r="J74" i="23"/>
  <c r="J73" i="23"/>
  <c r="J72" i="23"/>
  <c r="J71" i="23"/>
  <c r="J67" i="23"/>
  <c r="J66" i="23"/>
  <c r="J65" i="23"/>
  <c r="J64" i="23"/>
  <c r="J63" i="23"/>
  <c r="J62" i="23"/>
  <c r="J61" i="23"/>
  <c r="J60" i="23"/>
  <c r="J76" i="22"/>
  <c r="J75" i="22"/>
  <c r="J74" i="22"/>
  <c r="J73" i="22"/>
  <c r="J72" i="22"/>
  <c r="J71" i="22"/>
  <c r="J60" i="22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AW48" i="52"/>
  <c r="AW47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L49" i="52"/>
  <c r="AG49" i="52"/>
  <c r="AB49" i="52"/>
  <c r="W49" i="52"/>
  <c r="R49" i="52"/>
  <c r="K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H47" i="52" s="1"/>
  <c r="AX47" i="52"/>
  <c r="AV47" i="52"/>
  <c r="AQ47" i="52"/>
  <c r="AS47" i="52" s="1"/>
  <c r="AL47" i="52"/>
  <c r="AN47" i="52" s="1"/>
  <c r="AI47" i="52"/>
  <c r="AG47" i="52"/>
  <c r="AB47" i="52"/>
  <c r="AD47" i="52" s="1"/>
  <c r="W47" i="52"/>
  <c r="Y47" i="52" s="1"/>
  <c r="R47" i="52"/>
  <c r="T47" i="52" s="1"/>
  <c r="J47" i="52"/>
  <c r="I47" i="52"/>
  <c r="G47" i="52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W47" i="51"/>
  <c r="W48" i="51"/>
  <c r="W49" i="51"/>
  <c r="W50" i="51"/>
  <c r="W51" i="51"/>
  <c r="W52" i="51"/>
  <c r="W53" i="51"/>
  <c r="W54" i="51"/>
  <c r="K51" i="51"/>
  <c r="S48" i="51"/>
  <c r="S49" i="51"/>
  <c r="S50" i="51"/>
  <c r="S51" i="51"/>
  <c r="S52" i="51"/>
  <c r="S53" i="51"/>
  <c r="S54" i="51"/>
  <c r="S47" i="51"/>
  <c r="AV54" i="51"/>
  <c r="AQ54" i="51"/>
  <c r="AL54" i="51"/>
  <c r="AG54" i="51"/>
  <c r="K54" i="51" s="1"/>
  <c r="AB54" i="51"/>
  <c r="R54" i="51"/>
  <c r="J54" i="51"/>
  <c r="I54" i="51"/>
  <c r="G54" i="51"/>
  <c r="AV53" i="51"/>
  <c r="AQ53" i="51"/>
  <c r="AL53" i="51"/>
  <c r="AG53" i="51"/>
  <c r="AB53" i="51"/>
  <c r="R53" i="51"/>
  <c r="J53" i="51"/>
  <c r="I53" i="51"/>
  <c r="G53" i="51"/>
  <c r="AV52" i="51"/>
  <c r="AQ52" i="51"/>
  <c r="AL52" i="51"/>
  <c r="AG52" i="51"/>
  <c r="AB52" i="51"/>
  <c r="K52" i="51"/>
  <c r="R52" i="51"/>
  <c r="J52" i="51"/>
  <c r="I52" i="51"/>
  <c r="G52" i="51"/>
  <c r="AV51" i="51"/>
  <c r="AQ51" i="51"/>
  <c r="AL51" i="51"/>
  <c r="AG51" i="51"/>
  <c r="AB51" i="51"/>
  <c r="R51" i="51"/>
  <c r="J51" i="51"/>
  <c r="I51" i="51"/>
  <c r="G51" i="51"/>
  <c r="AV50" i="51"/>
  <c r="AQ50" i="51"/>
  <c r="AL50" i="51"/>
  <c r="AG50" i="51"/>
  <c r="AB50" i="51"/>
  <c r="R50" i="51"/>
  <c r="K50" i="51" s="1"/>
  <c r="J50" i="51"/>
  <c r="I50" i="51"/>
  <c r="G50" i="51"/>
  <c r="AV49" i="51"/>
  <c r="AQ49" i="51"/>
  <c r="AL49" i="51"/>
  <c r="AG49" i="51"/>
  <c r="AB49" i="51"/>
  <c r="R49" i="51"/>
  <c r="K49" i="51" s="1"/>
  <c r="J49" i="51"/>
  <c r="I49" i="51"/>
  <c r="G49" i="51"/>
  <c r="AV48" i="51"/>
  <c r="AQ48" i="51"/>
  <c r="AL48" i="51"/>
  <c r="AG48" i="51"/>
  <c r="AB48" i="51"/>
  <c r="R48" i="51"/>
  <c r="J48" i="51"/>
  <c r="I48" i="51"/>
  <c r="G48" i="51"/>
  <c r="H47" i="51" s="1"/>
  <c r="AV47" i="51"/>
  <c r="AX47" i="51" s="1"/>
  <c r="AS47" i="51"/>
  <c r="AQ47" i="51"/>
  <c r="AL47" i="51"/>
  <c r="AG47" i="51"/>
  <c r="AI47" i="51" s="1"/>
  <c r="AB47" i="51"/>
  <c r="AD47" i="51" s="1"/>
  <c r="R47" i="51"/>
  <c r="T47" i="51" s="1"/>
  <c r="K47" i="51"/>
  <c r="J47" i="51"/>
  <c r="I47" i="51"/>
  <c r="G47" i="51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AQ52" i="49"/>
  <c r="AL52" i="49"/>
  <c r="AG52" i="49"/>
  <c r="AB52" i="49"/>
  <c r="W52" i="49"/>
  <c r="R52" i="49"/>
  <c r="K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K50" i="49" s="1"/>
  <c r="R50" i="49"/>
  <c r="J50" i="49"/>
  <c r="I50" i="49"/>
  <c r="G50" i="49"/>
  <c r="AV49" i="49"/>
  <c r="AQ49" i="49"/>
  <c r="AL49" i="49"/>
  <c r="AG49" i="49"/>
  <c r="AB49" i="49"/>
  <c r="W49" i="49"/>
  <c r="R49" i="49"/>
  <c r="K49" i="49" s="1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H47" i="49" s="1"/>
  <c r="AV47" i="49"/>
  <c r="AS47" i="49"/>
  <c r="AQ47" i="49"/>
  <c r="AL47" i="49"/>
  <c r="AG47" i="49"/>
  <c r="AI47" i="49" s="1"/>
  <c r="AB47" i="49"/>
  <c r="AD47" i="49" s="1"/>
  <c r="Y47" i="49"/>
  <c r="W47" i="49"/>
  <c r="R47" i="49"/>
  <c r="T47" i="49" s="1"/>
  <c r="K47" i="49"/>
  <c r="J47" i="49"/>
  <c r="I47" i="49"/>
  <c r="G47" i="49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54" i="48"/>
  <c r="AH53" i="48"/>
  <c r="AH52" i="48"/>
  <c r="AH51" i="48"/>
  <c r="AH50" i="48"/>
  <c r="AH49" i="48"/>
  <c r="AH48" i="48"/>
  <c r="AH47" i="48"/>
  <c r="AC54" i="48"/>
  <c r="AC53" i="48"/>
  <c r="AC52" i="48"/>
  <c r="AC51" i="48"/>
  <c r="AC50" i="48"/>
  <c r="AC49" i="48"/>
  <c r="AC48" i="48"/>
  <c r="AC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47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AQ53" i="48"/>
  <c r="AL53" i="48"/>
  <c r="AG53" i="48"/>
  <c r="AB53" i="48"/>
  <c r="AD47" i="48" s="1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N47" i="48"/>
  <c r="AL47" i="48"/>
  <c r="AG47" i="48"/>
  <c r="AB47" i="48"/>
  <c r="W47" i="48"/>
  <c r="Y47" i="48" s="1"/>
  <c r="R47" i="48"/>
  <c r="J47" i="48"/>
  <c r="I47" i="48"/>
  <c r="H47" i="48"/>
  <c r="G47" i="48"/>
  <c r="AW52" i="47"/>
  <c r="AW51" i="47"/>
  <c r="AW50" i="47"/>
  <c r="AW49" i="47"/>
  <c r="AW48" i="47"/>
  <c r="AR52" i="47"/>
  <c r="AR51" i="47"/>
  <c r="AR50" i="47"/>
  <c r="AR49" i="47"/>
  <c r="AR48" i="47"/>
  <c r="AM52" i="47"/>
  <c r="AM51" i="47"/>
  <c r="AM50" i="47"/>
  <c r="AM49" i="47"/>
  <c r="AM48" i="47"/>
  <c r="AH52" i="47"/>
  <c r="AH51" i="47"/>
  <c r="AH50" i="47"/>
  <c r="AH49" i="47"/>
  <c r="AH48" i="47"/>
  <c r="AH47" i="47"/>
  <c r="AC52" i="47"/>
  <c r="AC51" i="47"/>
  <c r="AC50" i="47"/>
  <c r="AC49" i="47"/>
  <c r="AC48" i="47"/>
  <c r="AC47" i="47"/>
  <c r="X52" i="47"/>
  <c r="X51" i="47"/>
  <c r="X50" i="47"/>
  <c r="X49" i="47"/>
  <c r="X48" i="47"/>
  <c r="X47" i="47"/>
  <c r="S48" i="47"/>
  <c r="S49" i="47"/>
  <c r="S50" i="47"/>
  <c r="S51" i="47"/>
  <c r="S52" i="47"/>
  <c r="S47" i="47"/>
  <c r="M48" i="47"/>
  <c r="M49" i="47"/>
  <c r="M50" i="47"/>
  <c r="M51" i="47"/>
  <c r="M52" i="47"/>
  <c r="M47" i="47"/>
  <c r="AV52" i="47"/>
  <c r="AQ52" i="47"/>
  <c r="AL52" i="47"/>
  <c r="AG52" i="47"/>
  <c r="AB52" i="47"/>
  <c r="W52" i="47"/>
  <c r="R52" i="47"/>
  <c r="J52" i="47"/>
  <c r="I52" i="47"/>
  <c r="G52" i="47"/>
  <c r="AV51" i="47"/>
  <c r="AQ51" i="47"/>
  <c r="AL51" i="47"/>
  <c r="AG51" i="47"/>
  <c r="AB51" i="47"/>
  <c r="W51" i="47"/>
  <c r="R51" i="47"/>
  <c r="J51" i="47"/>
  <c r="I51" i="47"/>
  <c r="G51" i="47"/>
  <c r="AV50" i="47"/>
  <c r="AX47" i="47" s="1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S47" i="47"/>
  <c r="AN47" i="47"/>
  <c r="AG47" i="47"/>
  <c r="AB47" i="47"/>
  <c r="W47" i="47"/>
  <c r="T47" i="47"/>
  <c r="R47" i="47"/>
  <c r="J47" i="47"/>
  <c r="I47" i="47"/>
  <c r="G47" i="47"/>
  <c r="H47" i="47" s="1"/>
  <c r="U42" i="50"/>
  <c r="Z42" i="50" s="1"/>
  <c r="AE42" i="50" s="1"/>
  <c r="AJ42" i="50" s="1"/>
  <c r="AO42" i="50" s="1"/>
  <c r="AT42" i="50" s="1"/>
  <c r="AW47" i="46"/>
  <c r="AR47" i="46"/>
  <c r="AM47" i="46"/>
  <c r="AH47" i="46"/>
  <c r="AC47" i="46"/>
  <c r="X47" i="46"/>
  <c r="S47" i="46"/>
  <c r="M47" i="46"/>
  <c r="AV47" i="46"/>
  <c r="AX47" i="46" s="1"/>
  <c r="AQ47" i="46"/>
  <c r="AN47" i="46"/>
  <c r="AL47" i="46"/>
  <c r="AG47" i="46"/>
  <c r="AI47" i="46" s="1"/>
  <c r="AB47" i="46"/>
  <c r="AD47" i="46" s="1"/>
  <c r="W47" i="46"/>
  <c r="Y47" i="46" s="1"/>
  <c r="T47" i="46"/>
  <c r="R47" i="46"/>
  <c r="J47" i="46"/>
  <c r="I47" i="46"/>
  <c r="G47" i="46"/>
  <c r="H47" i="46" s="1"/>
  <c r="AW50" i="45"/>
  <c r="AW49" i="45"/>
  <c r="AW48" i="45"/>
  <c r="AW47" i="45"/>
  <c r="AR50" i="45"/>
  <c r="AR49" i="45"/>
  <c r="AR48" i="45"/>
  <c r="AR47" i="45"/>
  <c r="AM50" i="45"/>
  <c r="AM49" i="45"/>
  <c r="AM48" i="45"/>
  <c r="AM47" i="45"/>
  <c r="AH50" i="45"/>
  <c r="AH49" i="45"/>
  <c r="AH48" i="45"/>
  <c r="AH47" i="45"/>
  <c r="AC50" i="45"/>
  <c r="AC49" i="45"/>
  <c r="AC48" i="45"/>
  <c r="AC47" i="45"/>
  <c r="X50" i="45"/>
  <c r="X49" i="45"/>
  <c r="X48" i="45"/>
  <c r="X47" i="45"/>
  <c r="S48" i="45"/>
  <c r="S49" i="45"/>
  <c r="S50" i="45"/>
  <c r="S47" i="45"/>
  <c r="M48" i="45"/>
  <c r="M49" i="45"/>
  <c r="M50" i="45"/>
  <c r="M47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Q47" i="45"/>
  <c r="AL47" i="45"/>
  <c r="AG47" i="45"/>
  <c r="AI47" i="45" s="1"/>
  <c r="AB47" i="45"/>
  <c r="AD47" i="45" s="1"/>
  <c r="W47" i="45"/>
  <c r="Y47" i="45" s="1"/>
  <c r="T47" i="45"/>
  <c r="R47" i="45"/>
  <c r="K47" i="45" s="1"/>
  <c r="J47" i="45"/>
  <c r="I47" i="45"/>
  <c r="G47" i="45"/>
  <c r="H47" i="45" s="1"/>
  <c r="AW124" i="44"/>
  <c r="AW123" i="44"/>
  <c r="AW122" i="44"/>
  <c r="AW12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R124" i="44"/>
  <c r="AR123" i="44"/>
  <c r="AR122" i="44"/>
  <c r="AR121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H124" i="44"/>
  <c r="AH123" i="44"/>
  <c r="AH122" i="44"/>
  <c r="AH121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C124" i="44"/>
  <c r="AC123" i="44"/>
  <c r="AC122" i="44"/>
  <c r="AC121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91" i="44"/>
  <c r="AV124" i="44"/>
  <c r="AQ124" i="44"/>
  <c r="AL124" i="44"/>
  <c r="AG124" i="44"/>
  <c r="AB124" i="44"/>
  <c r="W124" i="44"/>
  <c r="R124" i="44"/>
  <c r="K124" i="44" s="1"/>
  <c r="J124" i="44"/>
  <c r="I124" i="44"/>
  <c r="G124" i="44"/>
  <c r="AV123" i="44"/>
  <c r="AQ123" i="44"/>
  <c r="AL123" i="44"/>
  <c r="AG123" i="44"/>
  <c r="AB123" i="44"/>
  <c r="W123" i="44"/>
  <c r="R123" i="44"/>
  <c r="K123" i="44" s="1"/>
  <c r="J123" i="44"/>
  <c r="I123" i="44"/>
  <c r="G123" i="44"/>
  <c r="AV122" i="44"/>
  <c r="AQ122" i="44"/>
  <c r="AL122" i="44"/>
  <c r="AG122" i="44"/>
  <c r="AB122" i="44"/>
  <c r="W122" i="44"/>
  <c r="R122" i="44"/>
  <c r="K122" i="44" s="1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K120" i="44" s="1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K118" i="44" s="1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W114" i="44"/>
  <c r="R114" i="44"/>
  <c r="K114" i="44" s="1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K110" i="44" s="1"/>
  <c r="R110" i="44"/>
  <c r="J110" i="44"/>
  <c r="I110" i="44"/>
  <c r="G110" i="44"/>
  <c r="AV109" i="44"/>
  <c r="AQ109" i="44"/>
  <c r="AL109" i="44"/>
  <c r="AG109" i="44"/>
  <c r="K109" i="44" s="1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K107" i="44" s="1"/>
  <c r="W107" i="44"/>
  <c r="R107" i="44"/>
  <c r="J107" i="44"/>
  <c r="I107" i="44"/>
  <c r="G107" i="44"/>
  <c r="AV106" i="44"/>
  <c r="AQ106" i="44"/>
  <c r="AL106" i="44"/>
  <c r="AG106" i="44"/>
  <c r="AB106" i="44"/>
  <c r="K106" i="44" s="1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K102" i="44" s="1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K100" i="44" s="1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K98" i="44" s="1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N91" i="44" s="1"/>
  <c r="AG96" i="44"/>
  <c r="AB96" i="44"/>
  <c r="W96" i="44"/>
  <c r="Y91" i="44" s="1"/>
  <c r="R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 s="1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H91" i="44" s="1"/>
  <c r="AV91" i="44"/>
  <c r="AQ91" i="44"/>
  <c r="AL91" i="44"/>
  <c r="AG91" i="44"/>
  <c r="AI91" i="44" s="1"/>
  <c r="AB91" i="44"/>
  <c r="W91" i="44"/>
  <c r="R91" i="44"/>
  <c r="K91" i="44" s="1"/>
  <c r="J91" i="44"/>
  <c r="I91" i="44"/>
  <c r="G91" i="44"/>
  <c r="B21" i="6"/>
  <c r="D21" i="6"/>
  <c r="D22" i="6"/>
  <c r="D23" i="6"/>
  <c r="D24" i="6"/>
  <c r="D25" i="6"/>
  <c r="D26" i="6"/>
  <c r="D27" i="6"/>
  <c r="AC27" i="6"/>
  <c r="S27" i="6"/>
  <c r="M27" i="6"/>
  <c r="F27" i="6"/>
  <c r="AL27" i="6" s="1"/>
  <c r="AC26" i="6"/>
  <c r="AD26" i="6" s="1"/>
  <c r="S26" i="6"/>
  <c r="M26" i="6"/>
  <c r="F26" i="6"/>
  <c r="AL26" i="6" s="1"/>
  <c r="AC25" i="6"/>
  <c r="AD25" i="6" s="1"/>
  <c r="S25" i="6"/>
  <c r="M25" i="6"/>
  <c r="F25" i="6"/>
  <c r="AL25" i="6" s="1"/>
  <c r="AC24" i="6"/>
  <c r="AD24" i="6" s="1"/>
  <c r="S24" i="6"/>
  <c r="M24" i="6"/>
  <c r="F24" i="6"/>
  <c r="AL24" i="6" s="1"/>
  <c r="AC23" i="6"/>
  <c r="AD23" i="6" s="1"/>
  <c r="S23" i="6"/>
  <c r="M23" i="6"/>
  <c r="F23" i="6"/>
  <c r="AL23" i="6" s="1"/>
  <c r="AC22" i="6"/>
  <c r="AD22" i="6" s="1"/>
  <c r="S22" i="6"/>
  <c r="M22" i="6"/>
  <c r="F22" i="6"/>
  <c r="AL22" i="6" s="1"/>
  <c r="AC21" i="6"/>
  <c r="AD21" i="6" s="1"/>
  <c r="S21" i="6"/>
  <c r="N21" i="6"/>
  <c r="M21" i="6"/>
  <c r="F21" i="6"/>
  <c r="AL21" i="6" s="1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0" i="5"/>
  <c r="U21" i="5"/>
  <c r="U22" i="5"/>
  <c r="U23" i="5"/>
  <c r="U24" i="5"/>
  <c r="U25" i="5"/>
  <c r="U19" i="5"/>
  <c r="K134" i="62" l="1"/>
  <c r="K126" i="62"/>
  <c r="K142" i="62"/>
  <c r="K174" i="20"/>
  <c r="K158" i="20"/>
  <c r="K182" i="20"/>
  <c r="K166" i="20"/>
  <c r="K126" i="19"/>
  <c r="D2" i="56"/>
  <c r="K130" i="20"/>
  <c r="K122" i="20"/>
  <c r="K138" i="20"/>
  <c r="K114" i="19"/>
  <c r="K106" i="19"/>
  <c r="K98" i="19"/>
  <c r="K146" i="20"/>
  <c r="K114" i="62"/>
  <c r="K106" i="62"/>
  <c r="K98" i="62"/>
  <c r="AD27" i="6"/>
  <c r="E3" i="56"/>
  <c r="F3" i="56" s="1"/>
  <c r="F19" i="56"/>
  <c r="G3" i="56"/>
  <c r="H3" i="56" s="1"/>
  <c r="D17" i="56"/>
  <c r="J19" i="56"/>
  <c r="F25" i="56"/>
  <c r="F14" i="56"/>
  <c r="I5" i="56"/>
  <c r="J5" i="56"/>
  <c r="D15" i="56"/>
  <c r="F23" i="56"/>
  <c r="I12" i="56"/>
  <c r="D10" i="56"/>
  <c r="F18" i="56"/>
  <c r="F24" i="56"/>
  <c r="K47" i="52"/>
  <c r="Y47" i="51"/>
  <c r="AN47" i="51"/>
  <c r="K53" i="51"/>
  <c r="K48" i="51"/>
  <c r="M47" i="51" s="1"/>
  <c r="AN47" i="49"/>
  <c r="AX47" i="49"/>
  <c r="K51" i="49"/>
  <c r="K48" i="49"/>
  <c r="K47" i="48"/>
  <c r="AS47" i="48"/>
  <c r="K53" i="48"/>
  <c r="K52" i="48"/>
  <c r="T47" i="48"/>
  <c r="K50" i="48"/>
  <c r="K49" i="48"/>
  <c r="K48" i="48"/>
  <c r="K51" i="48"/>
  <c r="AI47" i="48"/>
  <c r="AI47" i="47"/>
  <c r="K52" i="47"/>
  <c r="K50" i="47"/>
  <c r="K47" i="47"/>
  <c r="K49" i="47"/>
  <c r="K48" i="47"/>
  <c r="K51" i="47"/>
  <c r="Y47" i="47"/>
  <c r="AD47" i="47"/>
  <c r="K47" i="46"/>
  <c r="AS47" i="46"/>
  <c r="K49" i="45"/>
  <c r="AN47" i="45"/>
  <c r="AS47" i="45"/>
  <c r="AD91" i="44"/>
  <c r="K108" i="44"/>
  <c r="K101" i="44"/>
  <c r="K121" i="44"/>
  <c r="AS91" i="44"/>
  <c r="K99" i="44"/>
  <c r="K119" i="44"/>
  <c r="K97" i="44"/>
  <c r="K117" i="44"/>
  <c r="AX91" i="44"/>
  <c r="K96" i="44"/>
  <c r="K116" i="44"/>
  <c r="T91" i="44"/>
  <c r="K93" i="44"/>
  <c r="K113" i="44"/>
  <c r="J21" i="6"/>
  <c r="J22" i="6"/>
  <c r="J23" i="6"/>
  <c r="J24" i="6"/>
  <c r="J25" i="6"/>
  <c r="J26" i="6"/>
  <c r="J27" i="6"/>
  <c r="L21" i="6"/>
  <c r="L22" i="6"/>
  <c r="L23" i="6"/>
  <c r="L24" i="6"/>
  <c r="L25" i="6"/>
  <c r="L26" i="6"/>
  <c r="L27" i="6"/>
  <c r="G21" i="6"/>
  <c r="N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T22" i="6"/>
  <c r="T23" i="6"/>
  <c r="T24" i="6"/>
  <c r="T25" i="6"/>
  <c r="T26" i="6"/>
  <c r="T27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N26" i="6"/>
  <c r="Z21" i="6"/>
  <c r="Z22" i="6"/>
  <c r="Z23" i="6"/>
  <c r="Z24" i="6"/>
  <c r="Z25" i="6"/>
  <c r="Z26" i="6"/>
  <c r="Z27" i="6"/>
  <c r="AB21" i="6"/>
  <c r="AB22" i="6"/>
  <c r="AB23" i="6"/>
  <c r="AB24" i="6"/>
  <c r="AB25" i="6"/>
  <c r="AB26" i="6"/>
  <c r="AB27" i="6"/>
  <c r="N24" i="6"/>
  <c r="N25" i="6"/>
  <c r="AF21" i="6"/>
  <c r="AF22" i="6"/>
  <c r="AF23" i="6"/>
  <c r="AF24" i="6"/>
  <c r="AF25" i="6"/>
  <c r="AF26" i="6"/>
  <c r="AF27" i="6"/>
  <c r="N22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N23" i="6"/>
  <c r="N22" i="7"/>
  <c r="AD22" i="7"/>
  <c r="N23" i="7"/>
  <c r="T23" i="7"/>
  <c r="AD23" i="7"/>
  <c r="N24" i="7"/>
  <c r="T24" i="7"/>
  <c r="N26" i="7"/>
  <c r="T26" i="7"/>
  <c r="AD26" i="7"/>
  <c r="T21" i="7"/>
  <c r="F21" i="7"/>
  <c r="N21" i="7" s="1"/>
  <c r="F22" i="7"/>
  <c r="F23" i="7"/>
  <c r="F24" i="7"/>
  <c r="AD24" i="7" s="1"/>
  <c r="F25" i="7"/>
  <c r="N25" i="7" s="1"/>
  <c r="F26" i="7"/>
  <c r="F27" i="7"/>
  <c r="N27" i="7" l="1"/>
  <c r="L47" i="52"/>
  <c r="M53" i="51"/>
  <c r="M48" i="51"/>
  <c r="M54" i="51"/>
  <c r="M50" i="51"/>
  <c r="M51" i="51"/>
  <c r="M52" i="51"/>
  <c r="M49" i="51"/>
  <c r="L47" i="51"/>
  <c r="L47" i="49"/>
  <c r="L47" i="48"/>
  <c r="L47" i="47"/>
  <c r="L47" i="46"/>
  <c r="L47" i="45"/>
  <c r="L91" i="44"/>
  <c r="T27" i="7"/>
  <c r="AD25" i="7"/>
  <c r="T25" i="7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V26" i="7"/>
  <c r="AJ26" i="7"/>
  <c r="AH26" i="7"/>
  <c r="AF26" i="7"/>
  <c r="AB26" i="7"/>
  <c r="Z26" i="7"/>
  <c r="X26" i="7"/>
  <c r="L26" i="7"/>
  <c r="P26" i="7"/>
  <c r="R26" i="7"/>
  <c r="J26" i="7"/>
  <c r="AL25" i="7"/>
  <c r="AJ25" i="7"/>
  <c r="V25" i="7"/>
  <c r="AH25" i="7"/>
  <c r="AF25" i="7"/>
  <c r="AB25" i="7"/>
  <c r="Z25" i="7"/>
  <c r="X25" i="7"/>
  <c r="P25" i="7"/>
  <c r="R25" i="7"/>
  <c r="L25" i="7"/>
  <c r="J25" i="7"/>
  <c r="AL24" i="7"/>
  <c r="L24" i="7"/>
  <c r="AJ24" i="7"/>
  <c r="AH24" i="7"/>
  <c r="AF24" i="7"/>
  <c r="AB24" i="7"/>
  <c r="Z24" i="7"/>
  <c r="X24" i="7"/>
  <c r="V24" i="7"/>
  <c r="P24" i="7"/>
  <c r="R24" i="7"/>
  <c r="J24" i="7"/>
  <c r="AL23" i="7"/>
  <c r="AJ23" i="7"/>
  <c r="V23" i="7"/>
  <c r="AH23" i="7"/>
  <c r="L23" i="7"/>
  <c r="AF23" i="7"/>
  <c r="AB23" i="7"/>
  <c r="Z23" i="7"/>
  <c r="X23" i="7"/>
  <c r="P23" i="7"/>
  <c r="R23" i="7"/>
  <c r="J23" i="7"/>
  <c r="AL22" i="7"/>
  <c r="V22" i="7"/>
  <c r="AJ22" i="7"/>
  <c r="AH22" i="7"/>
  <c r="AF22" i="7"/>
  <c r="L22" i="7"/>
  <c r="AB22" i="7"/>
  <c r="Z22" i="7"/>
  <c r="X22" i="7"/>
  <c r="P22" i="7"/>
  <c r="R22" i="7"/>
  <c r="J22" i="7"/>
  <c r="T22" i="7"/>
  <c r="AL21" i="7"/>
  <c r="AJ21" i="7"/>
  <c r="L21" i="7"/>
  <c r="AH21" i="7"/>
  <c r="AF21" i="7"/>
  <c r="AB21" i="7"/>
  <c r="Z21" i="7"/>
  <c r="X21" i="7"/>
  <c r="V21" i="7"/>
  <c r="P21" i="7"/>
  <c r="R21" i="7"/>
  <c r="J21" i="7"/>
  <c r="G21" i="7"/>
  <c r="AD27" i="7"/>
  <c r="AD21" i="7"/>
  <c r="M85" i="19" l="1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107" i="20"/>
  <c r="M106" i="20"/>
  <c r="M105" i="20"/>
  <c r="M110" i="20" s="1"/>
  <c r="M101" i="20"/>
  <c r="M100" i="20"/>
  <c r="M99" i="20"/>
  <c r="M98" i="20"/>
  <c r="M97" i="20"/>
  <c r="M93" i="20"/>
  <c r="M92" i="20"/>
  <c r="M91" i="20"/>
  <c r="M94" i="20" s="1"/>
  <c r="M90" i="20"/>
  <c r="M89" i="20"/>
  <c r="M85" i="20"/>
  <c r="M84" i="20"/>
  <c r="M83" i="20"/>
  <c r="M82" i="20"/>
  <c r="M81" i="20"/>
  <c r="M86" i="20" s="1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102" i="20" l="1"/>
  <c r="M70" i="62"/>
  <c r="M78" i="62"/>
  <c r="M86" i="19"/>
  <c r="B21" i="41"/>
  <c r="B20" i="41"/>
  <c r="K50" i="19" l="1"/>
  <c r="J38" i="25"/>
  <c r="J37" i="25"/>
  <c r="J36" i="25"/>
  <c r="J35" i="25"/>
  <c r="J34" i="25"/>
  <c r="J53" i="24"/>
  <c r="J51" i="24"/>
  <c r="J50" i="24"/>
  <c r="J49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50" i="22"/>
  <c r="J49" i="22"/>
  <c r="J48" i="22"/>
  <c r="J47" i="22"/>
  <c r="J46" i="22"/>
  <c r="J45" i="22"/>
  <c r="J34" i="22"/>
  <c r="J48" i="15"/>
  <c r="J47" i="15"/>
  <c r="J46" i="15"/>
  <c r="J45" i="15"/>
  <c r="J43" i="15"/>
  <c r="J42" i="15"/>
  <c r="J41" i="15"/>
  <c r="J40" i="15"/>
  <c r="J39" i="15"/>
  <c r="J36" i="15"/>
  <c r="J35" i="15"/>
  <c r="J34" i="15"/>
  <c r="AW31" i="52"/>
  <c r="AW30" i="52"/>
  <c r="AW28" i="52"/>
  <c r="AW27" i="52"/>
  <c r="AR31" i="52"/>
  <c r="AR30" i="52"/>
  <c r="AR28" i="52"/>
  <c r="AR27" i="52"/>
  <c r="AM31" i="52"/>
  <c r="AM30" i="52"/>
  <c r="AM29" i="52"/>
  <c r="AM28" i="52"/>
  <c r="AM27" i="52"/>
  <c r="AH31" i="52"/>
  <c r="AH30" i="52"/>
  <c r="AH29" i="52"/>
  <c r="AH28" i="52"/>
  <c r="AH27" i="52"/>
  <c r="AC31" i="52"/>
  <c r="AC30" i="52"/>
  <c r="AC29" i="52"/>
  <c r="AC28" i="52"/>
  <c r="AC27" i="52"/>
  <c r="X31" i="52"/>
  <c r="X30" i="52"/>
  <c r="X29" i="52"/>
  <c r="X28" i="52"/>
  <c r="X27" i="52"/>
  <c r="S28" i="52"/>
  <c r="S29" i="52"/>
  <c r="S30" i="52"/>
  <c r="S31" i="52"/>
  <c r="S27" i="52"/>
  <c r="M28" i="52"/>
  <c r="M29" i="52"/>
  <c r="M30" i="52"/>
  <c r="M31" i="52"/>
  <c r="M27" i="52"/>
  <c r="AV31" i="52"/>
  <c r="AQ31" i="52"/>
  <c r="AL31" i="52"/>
  <c r="AG31" i="52"/>
  <c r="AB31" i="52"/>
  <c r="W31" i="52"/>
  <c r="R31" i="52"/>
  <c r="J31" i="52"/>
  <c r="I31" i="52"/>
  <c r="G31" i="52"/>
  <c r="AV30" i="52"/>
  <c r="AQ30" i="52"/>
  <c r="AL30" i="52"/>
  <c r="AG30" i="52"/>
  <c r="AB30" i="52"/>
  <c r="W30" i="52"/>
  <c r="R30" i="52"/>
  <c r="J30" i="52"/>
  <c r="I30" i="52"/>
  <c r="G30" i="52"/>
  <c r="AL29" i="52"/>
  <c r="AG29" i="52"/>
  <c r="AB29" i="52"/>
  <c r="W29" i="52"/>
  <c r="K29" i="52" s="1"/>
  <c r="R29" i="52"/>
  <c r="J29" i="52"/>
  <c r="I29" i="52"/>
  <c r="G29" i="52"/>
  <c r="AV28" i="52"/>
  <c r="AQ28" i="52"/>
  <c r="AL28" i="52"/>
  <c r="AG28" i="52"/>
  <c r="AB28" i="52"/>
  <c r="AD27" i="52" s="1"/>
  <c r="W28" i="52"/>
  <c r="R28" i="52"/>
  <c r="K28" i="52" s="1"/>
  <c r="J28" i="52"/>
  <c r="I28" i="52"/>
  <c r="G28" i="52"/>
  <c r="AV27" i="52"/>
  <c r="AX27" i="52" s="1"/>
  <c r="AQ27" i="52"/>
  <c r="AS27" i="52" s="1"/>
  <c r="AL27" i="52"/>
  <c r="AN27" i="52" s="1"/>
  <c r="AI27" i="52"/>
  <c r="AG27" i="52"/>
  <c r="AB27" i="52"/>
  <c r="W27" i="52"/>
  <c r="Y27" i="52" s="1"/>
  <c r="T27" i="52"/>
  <c r="R27" i="52"/>
  <c r="J27" i="52"/>
  <c r="I27" i="52"/>
  <c r="G27" i="52"/>
  <c r="H27" i="52" s="1"/>
  <c r="AW35" i="51"/>
  <c r="AW33" i="51"/>
  <c r="AW32" i="51"/>
  <c r="AW31" i="51"/>
  <c r="AW30" i="51"/>
  <c r="AW29" i="51"/>
  <c r="AW28" i="51"/>
  <c r="AW27" i="51"/>
  <c r="AR35" i="51"/>
  <c r="AR34" i="51"/>
  <c r="AR33" i="51"/>
  <c r="AR32" i="51"/>
  <c r="AR31" i="51"/>
  <c r="AR30" i="51"/>
  <c r="AR29" i="51"/>
  <c r="AR28" i="51"/>
  <c r="AR27" i="51"/>
  <c r="AM35" i="51"/>
  <c r="AM34" i="51"/>
  <c r="AM33" i="51"/>
  <c r="AM32" i="51"/>
  <c r="AM31" i="51"/>
  <c r="AM30" i="51"/>
  <c r="AM29" i="51"/>
  <c r="AM28" i="51"/>
  <c r="AM27" i="51"/>
  <c r="AH35" i="51"/>
  <c r="AH34" i="51"/>
  <c r="AH33" i="51"/>
  <c r="AH32" i="51"/>
  <c r="AH31" i="51"/>
  <c r="AH30" i="51"/>
  <c r="AH29" i="51"/>
  <c r="AH28" i="51"/>
  <c r="AH27" i="51"/>
  <c r="AC35" i="51"/>
  <c r="AC34" i="51"/>
  <c r="AC33" i="51"/>
  <c r="AC32" i="51"/>
  <c r="AC31" i="51"/>
  <c r="AC30" i="51"/>
  <c r="AC29" i="51"/>
  <c r="AC28" i="51"/>
  <c r="AC27" i="51"/>
  <c r="X35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35" i="51"/>
  <c r="S27" i="51"/>
  <c r="M28" i="51"/>
  <c r="M29" i="51"/>
  <c r="M30" i="51"/>
  <c r="M31" i="51"/>
  <c r="M32" i="51"/>
  <c r="M33" i="51"/>
  <c r="M34" i="51"/>
  <c r="M35" i="51"/>
  <c r="M27" i="51"/>
  <c r="AV35" i="51"/>
  <c r="AQ35" i="51"/>
  <c r="AL35" i="51"/>
  <c r="AG35" i="51"/>
  <c r="AB35" i="51"/>
  <c r="W35" i="51"/>
  <c r="R35" i="51"/>
  <c r="J35" i="51"/>
  <c r="I35" i="51"/>
  <c r="G35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K33" i="51" s="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H27" i="51" s="1"/>
  <c r="AV27" i="51"/>
  <c r="AX27" i="51" s="1"/>
  <c r="AQ27" i="51"/>
  <c r="AS27" i="51" s="1"/>
  <c r="AN27" i="51"/>
  <c r="AL27" i="51"/>
  <c r="AG27" i="51"/>
  <c r="AB27" i="51"/>
  <c r="W27" i="51"/>
  <c r="Y27" i="51" s="1"/>
  <c r="R27" i="51"/>
  <c r="J27" i="51"/>
  <c r="I27" i="51"/>
  <c r="G27" i="51"/>
  <c r="U22" i="50"/>
  <c r="Z22" i="50" s="1"/>
  <c r="AE22" i="50" s="1"/>
  <c r="AJ22" i="50" s="1"/>
  <c r="AO22" i="50" s="1"/>
  <c r="AT22" i="50" s="1"/>
  <c r="AW35" i="49"/>
  <c r="AW34" i="49"/>
  <c r="AW33" i="49"/>
  <c r="AW32" i="49"/>
  <c r="AW31" i="49"/>
  <c r="AW30" i="49"/>
  <c r="AW28" i="49"/>
  <c r="AW27" i="49"/>
  <c r="AR35" i="49"/>
  <c r="AR34" i="49"/>
  <c r="AR33" i="49"/>
  <c r="AR32" i="49"/>
  <c r="AR31" i="49"/>
  <c r="AR30" i="49"/>
  <c r="AR28" i="49"/>
  <c r="AR27" i="49"/>
  <c r="AM35" i="49"/>
  <c r="AM34" i="49"/>
  <c r="AM33" i="49"/>
  <c r="AM32" i="49"/>
  <c r="AM31" i="49"/>
  <c r="AM30" i="49"/>
  <c r="AM28" i="49"/>
  <c r="AM27" i="49"/>
  <c r="AH31" i="49"/>
  <c r="AH32" i="49"/>
  <c r="AH33" i="49"/>
  <c r="AH34" i="49"/>
  <c r="AH35" i="49"/>
  <c r="AH30" i="49"/>
  <c r="AH28" i="49"/>
  <c r="AH27" i="49"/>
  <c r="AC35" i="49"/>
  <c r="AC34" i="49"/>
  <c r="AC33" i="49"/>
  <c r="AC32" i="49"/>
  <c r="AC31" i="49"/>
  <c r="AC30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X27" i="49" s="1"/>
  <c r="AQ27" i="49"/>
  <c r="AL27" i="49"/>
  <c r="AN27" i="49" s="1"/>
  <c r="AG27" i="49"/>
  <c r="AI27" i="49" s="1"/>
  <c r="AB27" i="49"/>
  <c r="W27" i="49"/>
  <c r="K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R27" i="48"/>
  <c r="T27" i="48" s="1"/>
  <c r="J27" i="48"/>
  <c r="I27" i="48"/>
  <c r="H27" i="48"/>
  <c r="G27" i="48"/>
  <c r="AW32" i="47"/>
  <c r="AW31" i="47"/>
  <c r="AW30" i="47"/>
  <c r="AW29" i="47"/>
  <c r="AW28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K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J28" i="47"/>
  <c r="I28" i="47"/>
  <c r="G28" i="47"/>
  <c r="H27" i="47" s="1"/>
  <c r="AV27" i="47"/>
  <c r="AQ27" i="47"/>
  <c r="AL27" i="47"/>
  <c r="AN27" i="47" s="1"/>
  <c r="AG27" i="47"/>
  <c r="AI27" i="47" s="1"/>
  <c r="AD27" i="47"/>
  <c r="AB27" i="47"/>
  <c r="W27" i="47"/>
  <c r="Y27" i="47" s="1"/>
  <c r="R27" i="47"/>
  <c r="T27" i="47" s="1"/>
  <c r="K27" i="47"/>
  <c r="J27" i="47"/>
  <c r="I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I27" i="46"/>
  <c r="AG27" i="46"/>
  <c r="AB27" i="46"/>
  <c r="Y27" i="46"/>
  <c r="W27" i="46"/>
  <c r="K27" i="46" s="1"/>
  <c r="T27" i="46"/>
  <c r="R27" i="46"/>
  <c r="J27" i="46"/>
  <c r="I27" i="46"/>
  <c r="G27" i="46"/>
  <c r="H27" i="46" s="1"/>
  <c r="AW30" i="45"/>
  <c r="AW29" i="45"/>
  <c r="AW28" i="45"/>
  <c r="AW27" i="45"/>
  <c r="AR30" i="45"/>
  <c r="AR29" i="45"/>
  <c r="AR28" i="45"/>
  <c r="AR27" i="45"/>
  <c r="AM30" i="45"/>
  <c r="AM29" i="45"/>
  <c r="AM28" i="45"/>
  <c r="AM27" i="45"/>
  <c r="AH30" i="45"/>
  <c r="AH29" i="45"/>
  <c r="AH28" i="45"/>
  <c r="AH27" i="45"/>
  <c r="AC30" i="45"/>
  <c r="AC29" i="45"/>
  <c r="AC28" i="45"/>
  <c r="AC27" i="45"/>
  <c r="X30" i="45"/>
  <c r="X29" i="45"/>
  <c r="X28" i="45"/>
  <c r="X27" i="45"/>
  <c r="S28" i="45"/>
  <c r="S29" i="45"/>
  <c r="S30" i="45"/>
  <c r="S27" i="45"/>
  <c r="M28" i="45"/>
  <c r="M29" i="45"/>
  <c r="M30" i="45"/>
  <c r="M27" i="45"/>
  <c r="AV30" i="45"/>
  <c r="AQ30" i="45"/>
  <c r="AS27" i="45" s="1"/>
  <c r="AL30" i="45"/>
  <c r="AG30" i="45"/>
  <c r="AB30" i="45"/>
  <c r="W30" i="45"/>
  <c r="K30" i="45" s="1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K28" i="45" s="1"/>
  <c r="J28" i="45"/>
  <c r="I28" i="45"/>
  <c r="G28" i="45"/>
  <c r="AV27" i="45"/>
  <c r="AX27" i="45" s="1"/>
  <c r="AQ27" i="45"/>
  <c r="AL27" i="45"/>
  <c r="AN27" i="45" s="1"/>
  <c r="AG27" i="45"/>
  <c r="AD27" i="45"/>
  <c r="AB27" i="45"/>
  <c r="W27" i="45"/>
  <c r="K27" i="45" s="1"/>
  <c r="R27" i="45"/>
  <c r="J27" i="45"/>
  <c r="I27" i="45"/>
  <c r="G27" i="45"/>
  <c r="H27" i="45" s="1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K83" i="44" s="1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K81" i="44" s="1"/>
  <c r="J81" i="44"/>
  <c r="I81" i="44"/>
  <c r="G81" i="44"/>
  <c r="AV80" i="44"/>
  <c r="AQ80" i="44"/>
  <c r="AL80" i="44"/>
  <c r="AG80" i="44"/>
  <c r="AB80" i="44"/>
  <c r="W80" i="44"/>
  <c r="R80" i="44"/>
  <c r="K80" i="44"/>
  <c r="J80" i="44"/>
  <c r="I80" i="44"/>
  <c r="G80" i="44"/>
  <c r="AV79" i="44"/>
  <c r="AQ79" i="44"/>
  <c r="AL79" i="44"/>
  <c r="AG79" i="44"/>
  <c r="AB79" i="44"/>
  <c r="W79" i="44"/>
  <c r="R79" i="44"/>
  <c r="K79" i="44"/>
  <c r="J79" i="44"/>
  <c r="I79" i="44"/>
  <c r="G79" i="44"/>
  <c r="AV78" i="44"/>
  <c r="AQ78" i="44"/>
  <c r="AL78" i="44"/>
  <c r="AG78" i="44"/>
  <c r="AB78" i="44"/>
  <c r="W78" i="44"/>
  <c r="R78" i="44"/>
  <c r="K78" i="44"/>
  <c r="J78" i="44"/>
  <c r="I78" i="44"/>
  <c r="G78" i="44"/>
  <c r="AV77" i="44"/>
  <c r="AQ77" i="44"/>
  <c r="AL77" i="44"/>
  <c r="AG77" i="44"/>
  <c r="AB77" i="44"/>
  <c r="W77" i="44"/>
  <c r="R77" i="44"/>
  <c r="K77" i="44"/>
  <c r="J77" i="44"/>
  <c r="I77" i="44"/>
  <c r="G77" i="44"/>
  <c r="AV76" i="44"/>
  <c r="AQ76" i="44"/>
  <c r="K76" i="44" s="1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K74" i="44" s="1"/>
  <c r="AG74" i="44"/>
  <c r="AB74" i="44"/>
  <c r="W74" i="44"/>
  <c r="R74" i="44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K72" i="44" s="1"/>
  <c r="AB72" i="44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K63" i="44" s="1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K58" i="44" s="1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K55" i="44" s="1"/>
  <c r="W55" i="44"/>
  <c r="R55" i="44"/>
  <c r="J55" i="44"/>
  <c r="I55" i="44"/>
  <c r="G55" i="44"/>
  <c r="AV54" i="44"/>
  <c r="AQ54" i="44"/>
  <c r="AL54" i="44"/>
  <c r="AG54" i="44"/>
  <c r="K54" i="44" s="1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K53" i="44" s="1"/>
  <c r="R53" i="44"/>
  <c r="J53" i="44"/>
  <c r="I53" i="44"/>
  <c r="G53" i="44"/>
  <c r="AV52" i="44"/>
  <c r="AQ52" i="44"/>
  <c r="AL52" i="44"/>
  <c r="AG52" i="44"/>
  <c r="AB52" i="44"/>
  <c r="W52" i="44"/>
  <c r="K52" i="44" s="1"/>
  <c r="R52" i="44"/>
  <c r="J52" i="44"/>
  <c r="I52" i="44"/>
  <c r="G52" i="44"/>
  <c r="AV51" i="44"/>
  <c r="AQ51" i="44"/>
  <c r="AL51" i="44"/>
  <c r="AG51" i="44"/>
  <c r="AB51" i="44"/>
  <c r="W51" i="44"/>
  <c r="R51" i="44"/>
  <c r="K51" i="44" s="1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X49" i="44" s="1"/>
  <c r="AQ49" i="44"/>
  <c r="AS49" i="44" s="1"/>
  <c r="AL49" i="44"/>
  <c r="K49" i="44" s="1"/>
  <c r="AG49" i="44"/>
  <c r="AI49" i="44" s="1"/>
  <c r="AB49" i="44"/>
  <c r="W49" i="44"/>
  <c r="R49" i="44"/>
  <c r="T49" i="44" s="1"/>
  <c r="J49" i="44"/>
  <c r="I49" i="44"/>
  <c r="G49" i="44"/>
  <c r="H49" i="44" s="1"/>
  <c r="B14" i="6"/>
  <c r="D14" i="6"/>
  <c r="D15" i="6"/>
  <c r="D16" i="6" s="1"/>
  <c r="D17" i="6" s="1"/>
  <c r="D18" i="6" s="1"/>
  <c r="D19" i="6" s="1"/>
  <c r="D20" i="6" s="1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AD14" i="6" s="1"/>
  <c r="X14" i="6"/>
  <c r="V14" i="6"/>
  <c r="S14" i="6"/>
  <c r="T14" i="6" s="1"/>
  <c r="M14" i="6"/>
  <c r="N14" i="6" s="1"/>
  <c r="L14" i="6"/>
  <c r="F14" i="6"/>
  <c r="AL14" i="6" s="1"/>
  <c r="B14" i="7"/>
  <c r="AC20" i="7"/>
  <c r="S20" i="7"/>
  <c r="M20" i="7"/>
  <c r="AC19" i="7"/>
  <c r="S19" i="7"/>
  <c r="M19" i="7"/>
  <c r="F19" i="7"/>
  <c r="AL19" i="7" s="1"/>
  <c r="AC18" i="7"/>
  <c r="S18" i="7"/>
  <c r="M18" i="7"/>
  <c r="AC17" i="7"/>
  <c r="S17" i="7"/>
  <c r="M17" i="7"/>
  <c r="AC16" i="7"/>
  <c r="S16" i="7"/>
  <c r="F16" i="7" s="1"/>
  <c r="AL16" i="7" s="1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F15" i="7" l="1"/>
  <c r="AL15" i="7" s="1"/>
  <c r="F20" i="7"/>
  <c r="AL20" i="7" s="1"/>
  <c r="AD19" i="7"/>
  <c r="T19" i="7"/>
  <c r="T16" i="7"/>
  <c r="AD16" i="7"/>
  <c r="F18" i="7"/>
  <c r="AL18" i="7" s="1"/>
  <c r="N19" i="7"/>
  <c r="F17" i="7"/>
  <c r="AL17" i="7" s="1"/>
  <c r="N16" i="7"/>
  <c r="K30" i="52"/>
  <c r="K27" i="52"/>
  <c r="K31" i="52"/>
  <c r="AI27" i="51"/>
  <c r="K35" i="51"/>
  <c r="K27" i="51"/>
  <c r="K34" i="51"/>
  <c r="K32" i="51"/>
  <c r="T27" i="51"/>
  <c r="K28" i="51"/>
  <c r="AD27" i="51"/>
  <c r="K29" i="49"/>
  <c r="K28" i="49"/>
  <c r="Y27" i="49"/>
  <c r="K32" i="49"/>
  <c r="K33" i="49"/>
  <c r="K31" i="49"/>
  <c r="K30" i="49"/>
  <c r="AD27" i="49"/>
  <c r="AS27" i="49"/>
  <c r="AS27" i="48"/>
  <c r="K32" i="48"/>
  <c r="K31" i="48"/>
  <c r="K30" i="48"/>
  <c r="K29" i="48"/>
  <c r="Y27" i="48"/>
  <c r="AS27" i="47"/>
  <c r="L27" i="47"/>
  <c r="K30" i="47"/>
  <c r="AX27" i="47"/>
  <c r="K29" i="47"/>
  <c r="K28" i="47"/>
  <c r="L27" i="46"/>
  <c r="AD27" i="46"/>
  <c r="AN27" i="46"/>
  <c r="T27" i="45"/>
  <c r="K29" i="45"/>
  <c r="Y27" i="45"/>
  <c r="AI27" i="45"/>
  <c r="Y49" i="44"/>
  <c r="K67" i="44"/>
  <c r="K66" i="44"/>
  <c r="K65" i="44"/>
  <c r="AD49" i="44"/>
  <c r="K64" i="44"/>
  <c r="K62" i="44"/>
  <c r="K82" i="44"/>
  <c r="AN49" i="44"/>
  <c r="N16" i="6"/>
  <c r="N18" i="6"/>
  <c r="T18" i="6"/>
  <c r="AD18" i="6"/>
  <c r="F15" i="6"/>
  <c r="F16" i="6"/>
  <c r="T16" i="6" s="1"/>
  <c r="F17" i="6"/>
  <c r="N17" i="6" s="1"/>
  <c r="F18" i="6"/>
  <c r="F19" i="6"/>
  <c r="N19" i="6" s="1"/>
  <c r="F20" i="6"/>
  <c r="J14" i="6"/>
  <c r="P14" i="6"/>
  <c r="R14" i="6"/>
  <c r="AB14" i="6"/>
  <c r="AF14" i="6"/>
  <c r="AH14" i="6"/>
  <c r="Z14" i="6"/>
  <c r="AJ14" i="6"/>
  <c r="AB19" i="7"/>
  <c r="F14" i="7"/>
  <c r="J19" i="7"/>
  <c r="L18" i="7"/>
  <c r="P19" i="7"/>
  <c r="R19" i="7"/>
  <c r="J16" i="7"/>
  <c r="L16" i="7"/>
  <c r="L19" i="7"/>
  <c r="P16" i="7"/>
  <c r="P20" i="7"/>
  <c r="R16" i="7"/>
  <c r="V16" i="7"/>
  <c r="V19" i="7"/>
  <c r="AF16" i="7"/>
  <c r="Z16" i="7"/>
  <c r="AB16" i="7"/>
  <c r="X16" i="7"/>
  <c r="X19" i="7"/>
  <c r="Z20" i="7"/>
  <c r="AF20" i="7"/>
  <c r="AH15" i="7"/>
  <c r="AJ16" i="7"/>
  <c r="AJ19" i="7"/>
  <c r="Z19" i="7"/>
  <c r="AF19" i="7"/>
  <c r="AH16" i="7"/>
  <c r="AH18" i="7"/>
  <c r="AH19" i="7"/>
  <c r="N20" i="6" l="1"/>
  <c r="H11" i="6"/>
  <c r="G14" i="6"/>
  <c r="P15" i="7"/>
  <c r="AD15" i="7"/>
  <c r="T20" i="7"/>
  <c r="AF15" i="7"/>
  <c r="R15" i="7"/>
  <c r="AB15" i="7"/>
  <c r="T15" i="7"/>
  <c r="Z15" i="7"/>
  <c r="J15" i="7"/>
  <c r="L15" i="7"/>
  <c r="AB20" i="7"/>
  <c r="X20" i="7"/>
  <c r="Z18" i="7"/>
  <c r="R18" i="7"/>
  <c r="X15" i="7"/>
  <c r="V20" i="7"/>
  <c r="L20" i="7"/>
  <c r="AJ20" i="7"/>
  <c r="J20" i="7"/>
  <c r="V18" i="7"/>
  <c r="N15" i="7"/>
  <c r="AD20" i="7"/>
  <c r="AJ15" i="7"/>
  <c r="V15" i="7"/>
  <c r="N20" i="7"/>
  <c r="AH20" i="7"/>
  <c r="R20" i="7"/>
  <c r="V17" i="7"/>
  <c r="AB17" i="7"/>
  <c r="L17" i="7"/>
  <c r="X17" i="7"/>
  <c r="AF18" i="7"/>
  <c r="AF17" i="7"/>
  <c r="AJ18" i="7"/>
  <c r="N18" i="7"/>
  <c r="N17" i="7"/>
  <c r="AD17" i="7"/>
  <c r="X18" i="7"/>
  <c r="R17" i="7"/>
  <c r="P18" i="7"/>
  <c r="P17" i="7"/>
  <c r="AD18" i="7"/>
  <c r="AH17" i="7"/>
  <c r="AB18" i="7"/>
  <c r="J17" i="7"/>
  <c r="Z17" i="7"/>
  <c r="T17" i="7"/>
  <c r="J18" i="7"/>
  <c r="AJ17" i="7"/>
  <c r="T18" i="7"/>
  <c r="L27" i="52"/>
  <c r="L27" i="51"/>
  <c r="L27" i="49"/>
  <c r="L27" i="48"/>
  <c r="L27" i="45"/>
  <c r="L49" i="44"/>
  <c r="AD20" i="6"/>
  <c r="T20" i="6"/>
  <c r="AL15" i="6"/>
  <c r="Z15" i="6"/>
  <c r="AJ15" i="6"/>
  <c r="AH15" i="6"/>
  <c r="X15" i="6"/>
  <c r="AF15" i="6"/>
  <c r="V15" i="6"/>
  <c r="AB15" i="6"/>
  <c r="R15" i="6"/>
  <c r="P15" i="6"/>
  <c r="L15" i="6"/>
  <c r="J15" i="6"/>
  <c r="AD19" i="6"/>
  <c r="T19" i="6"/>
  <c r="AD17" i="6"/>
  <c r="T17" i="6"/>
  <c r="AD16" i="6"/>
  <c r="AL20" i="6"/>
  <c r="X20" i="6"/>
  <c r="AJ20" i="6"/>
  <c r="AH20" i="6"/>
  <c r="V20" i="6"/>
  <c r="AF20" i="6"/>
  <c r="Z20" i="6"/>
  <c r="AB20" i="6"/>
  <c r="L20" i="6"/>
  <c r="R20" i="6"/>
  <c r="P20" i="6"/>
  <c r="J20" i="6"/>
  <c r="AL19" i="6"/>
  <c r="V19" i="6"/>
  <c r="AJ19" i="6"/>
  <c r="AH19" i="6"/>
  <c r="X19" i="6"/>
  <c r="AF19" i="6"/>
  <c r="Z19" i="6"/>
  <c r="AB19" i="6"/>
  <c r="R19" i="6"/>
  <c r="P19" i="6"/>
  <c r="L19" i="6"/>
  <c r="J19" i="6"/>
  <c r="AL18" i="6"/>
  <c r="AJ18" i="6"/>
  <c r="X18" i="6"/>
  <c r="V18" i="6"/>
  <c r="AH18" i="6"/>
  <c r="AF18" i="6"/>
  <c r="AB18" i="6"/>
  <c r="Z18" i="6"/>
  <c r="L18" i="6"/>
  <c r="R18" i="6"/>
  <c r="P18" i="6"/>
  <c r="J18" i="6"/>
  <c r="AD15" i="6"/>
  <c r="AL17" i="6"/>
  <c r="AJ17" i="6"/>
  <c r="AH17" i="6"/>
  <c r="Z17" i="6"/>
  <c r="X17" i="6"/>
  <c r="AF17" i="6"/>
  <c r="AB17" i="6"/>
  <c r="V17" i="6"/>
  <c r="R17" i="6"/>
  <c r="L17" i="6"/>
  <c r="P17" i="6"/>
  <c r="J17" i="6"/>
  <c r="T15" i="6"/>
  <c r="AL16" i="6"/>
  <c r="AJ16" i="6"/>
  <c r="AH16" i="6"/>
  <c r="X16" i="6"/>
  <c r="AF16" i="6"/>
  <c r="Z16" i="6"/>
  <c r="AB16" i="6"/>
  <c r="R16" i="6"/>
  <c r="P16" i="6"/>
  <c r="L16" i="6"/>
  <c r="V16" i="6"/>
  <c r="J16" i="6"/>
  <c r="N15" i="6"/>
  <c r="AL14" i="7"/>
  <c r="AH14" i="7"/>
  <c r="AJ14" i="7"/>
  <c r="X14" i="7"/>
  <c r="AF14" i="7"/>
  <c r="AB14" i="7"/>
  <c r="Z14" i="7"/>
  <c r="J14" i="7"/>
  <c r="V14" i="7"/>
  <c r="R14" i="7"/>
  <c r="P14" i="7"/>
  <c r="L14" i="7"/>
  <c r="G14" i="7"/>
  <c r="N14" i="7"/>
  <c r="AD14" i="7"/>
  <c r="T14" i="7"/>
  <c r="B10" i="41" l="1"/>
  <c r="B9" i="41"/>
  <c r="K30" i="19" l="1"/>
  <c r="K14" i="19"/>
  <c r="K22" i="19"/>
  <c r="C9" i="41"/>
  <c r="R24" i="63"/>
  <c r="O24" i="63"/>
  <c r="S24" i="63" s="1"/>
  <c r="V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P21" i="63" s="1"/>
  <c r="N21" i="63"/>
  <c r="L21" i="63"/>
  <c r="J21" i="63"/>
  <c r="F21" i="63"/>
  <c r="R20" i="63"/>
  <c r="O20" i="63"/>
  <c r="P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P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P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P11" i="63" s="1"/>
  <c r="N11" i="63"/>
  <c r="L11" i="63"/>
  <c r="J11" i="63"/>
  <c r="F11" i="63"/>
  <c r="R10" i="63"/>
  <c r="O10" i="63"/>
  <c r="S10" i="63" s="1"/>
  <c r="U10" i="63" s="1"/>
  <c r="N10" i="63"/>
  <c r="L10" i="63"/>
  <c r="J10" i="63"/>
  <c r="F10" i="63"/>
  <c r="R9" i="63"/>
  <c r="O9" i="63"/>
  <c r="P9" i="63" s="1"/>
  <c r="N9" i="63"/>
  <c r="L9" i="63"/>
  <c r="J9" i="63"/>
  <c r="F9" i="63"/>
  <c r="R8" i="63"/>
  <c r="O8" i="63"/>
  <c r="P8" i="63" s="1"/>
  <c r="N8" i="63"/>
  <c r="L8" i="63"/>
  <c r="J8" i="63"/>
  <c r="F8" i="63"/>
  <c r="R7" i="63"/>
  <c r="O7" i="63"/>
  <c r="P7" i="63" s="1"/>
  <c r="N7" i="63"/>
  <c r="L7" i="63"/>
  <c r="J7" i="63"/>
  <c r="F7" i="63"/>
  <c r="R6" i="63"/>
  <c r="O6" i="63"/>
  <c r="P6" i="63" s="1"/>
  <c r="N6" i="63"/>
  <c r="L6" i="63"/>
  <c r="J6" i="63"/>
  <c r="F6" i="63"/>
  <c r="R5" i="63"/>
  <c r="O5" i="63"/>
  <c r="S5" i="63" s="1"/>
  <c r="N5" i="63"/>
  <c r="L5" i="63"/>
  <c r="J5" i="63"/>
  <c r="F5" i="63"/>
  <c r="S24" i="66"/>
  <c r="R24" i="66"/>
  <c r="O24" i="66"/>
  <c r="P24" i="66" s="1"/>
  <c r="N24" i="66"/>
  <c r="L24" i="66"/>
  <c r="J24" i="66"/>
  <c r="S23" i="66"/>
  <c r="R23" i="66"/>
  <c r="O23" i="66"/>
  <c r="T23" i="66" s="1"/>
  <c r="V23" i="66" s="1"/>
  <c r="N23" i="66"/>
  <c r="L23" i="66"/>
  <c r="J23" i="66"/>
  <c r="S22" i="66"/>
  <c r="R22" i="66"/>
  <c r="O22" i="66"/>
  <c r="T22" i="66" s="1"/>
  <c r="N22" i="66"/>
  <c r="L22" i="66"/>
  <c r="J22" i="66"/>
  <c r="S21" i="66"/>
  <c r="R21" i="66"/>
  <c r="O21" i="66"/>
  <c r="P21" i="66" s="1"/>
  <c r="N21" i="66"/>
  <c r="L21" i="66"/>
  <c r="J21" i="66"/>
  <c r="S20" i="66"/>
  <c r="R20" i="66"/>
  <c r="O20" i="66"/>
  <c r="T20" i="66" s="1"/>
  <c r="V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P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P11" i="66" s="1"/>
  <c r="N11" i="66"/>
  <c r="L11" i="66"/>
  <c r="J11" i="66"/>
  <c r="S10" i="66"/>
  <c r="R10" i="66"/>
  <c r="O10" i="66"/>
  <c r="P10" i="66" s="1"/>
  <c r="N10" i="66"/>
  <c r="L10" i="66"/>
  <c r="J10" i="66"/>
  <c r="T9" i="66"/>
  <c r="F9" i="66" s="1"/>
  <c r="S9" i="66"/>
  <c r="R9" i="66"/>
  <c r="O9" i="66"/>
  <c r="P9" i="66" s="1"/>
  <c r="N9" i="66"/>
  <c r="L9" i="66"/>
  <c r="J9" i="66"/>
  <c r="S8" i="66"/>
  <c r="R8" i="66"/>
  <c r="O8" i="66"/>
  <c r="T8" i="66" s="1"/>
  <c r="N8" i="66"/>
  <c r="L8" i="66"/>
  <c r="J8" i="66"/>
  <c r="S7" i="66"/>
  <c r="R7" i="66"/>
  <c r="O7" i="66"/>
  <c r="T7" i="66" s="1"/>
  <c r="N7" i="66"/>
  <c r="L7" i="66"/>
  <c r="J7" i="66"/>
  <c r="T6" i="66"/>
  <c r="F6" i="66" s="1"/>
  <c r="S6" i="66"/>
  <c r="R6" i="66"/>
  <c r="O6" i="66"/>
  <c r="P6" i="66" s="1"/>
  <c r="N6" i="66"/>
  <c r="L6" i="66"/>
  <c r="J6" i="66"/>
  <c r="S5" i="66"/>
  <c r="R5" i="66"/>
  <c r="O5" i="66"/>
  <c r="P5" i="66" s="1"/>
  <c r="N5" i="66"/>
  <c r="L5" i="66"/>
  <c r="J5" i="66"/>
  <c r="B60" i="25"/>
  <c r="A60" i="25"/>
  <c r="T9" i="3"/>
  <c r="E10" i="39" s="1"/>
  <c r="N9" i="3"/>
  <c r="E8" i="39" s="1"/>
  <c r="K9" i="3"/>
  <c r="E7" i="39" s="1"/>
  <c r="H9" i="3"/>
  <c r="E6" i="39" s="1"/>
  <c r="M57" i="62"/>
  <c r="M56" i="62"/>
  <c r="M55" i="62"/>
  <c r="M54" i="62"/>
  <c r="M53" i="62"/>
  <c r="M49" i="62"/>
  <c r="M48" i="62"/>
  <c r="M47" i="62"/>
  <c r="M46" i="62"/>
  <c r="M45" i="62"/>
  <c r="P23" i="66" l="1"/>
  <c r="P20" i="66"/>
  <c r="P10" i="63"/>
  <c r="S7" i="63"/>
  <c r="U7" i="63" s="1"/>
  <c r="P24" i="63"/>
  <c r="S16" i="63"/>
  <c r="M58" i="62"/>
  <c r="K58" i="62" s="1"/>
  <c r="M42" i="62"/>
  <c r="K42" i="62" s="1"/>
  <c r="M50" i="62"/>
  <c r="K50" i="62" s="1"/>
  <c r="Q9" i="3"/>
  <c r="E9" i="39" s="1"/>
  <c r="W9" i="3"/>
  <c r="E11" i="39" s="1"/>
  <c r="V22" i="63"/>
  <c r="U22" i="63"/>
  <c r="T22" i="63"/>
  <c r="U19" i="63"/>
  <c r="T19" i="63"/>
  <c r="V19" i="63"/>
  <c r="V23" i="63"/>
  <c r="T23" i="63"/>
  <c r="U23" i="63"/>
  <c r="V5" i="63"/>
  <c r="U5" i="63"/>
  <c r="T5" i="63"/>
  <c r="T12" i="63"/>
  <c r="V12" i="63"/>
  <c r="U12" i="63"/>
  <c r="V13" i="63"/>
  <c r="U13" i="63"/>
  <c r="T13" i="63"/>
  <c r="U14" i="63"/>
  <c r="T14" i="63"/>
  <c r="V14" i="63"/>
  <c r="U17" i="63"/>
  <c r="T17" i="63"/>
  <c r="V17" i="63"/>
  <c r="V15" i="63"/>
  <c r="U15" i="63"/>
  <c r="T15" i="63"/>
  <c r="X24" i="63"/>
  <c r="W24" i="63"/>
  <c r="V10" i="63"/>
  <c r="S21" i="63"/>
  <c r="P23" i="63"/>
  <c r="S6" i="63"/>
  <c r="P17" i="63"/>
  <c r="S20" i="63"/>
  <c r="P5" i="63"/>
  <c r="S11" i="63"/>
  <c r="S8" i="63"/>
  <c r="P22" i="63"/>
  <c r="T24" i="63"/>
  <c r="V7" i="63"/>
  <c r="P12" i="63"/>
  <c r="S18" i="63"/>
  <c r="U24" i="63"/>
  <c r="S9" i="63"/>
  <c r="P19" i="63"/>
  <c r="P13" i="63"/>
  <c r="T10" i="63"/>
  <c r="T7" i="63"/>
  <c r="P15" i="63"/>
  <c r="P14" i="63"/>
  <c r="V17" i="66"/>
  <c r="F17" i="66"/>
  <c r="U17" i="66"/>
  <c r="U14" i="66"/>
  <c r="F14" i="66"/>
  <c r="V14" i="66"/>
  <c r="X20" i="66"/>
  <c r="W20" i="66"/>
  <c r="F8" i="66"/>
  <c r="V8" i="66"/>
  <c r="U8" i="66"/>
  <c r="V18" i="66"/>
  <c r="F18" i="66"/>
  <c r="U18" i="66"/>
  <c r="V12" i="66"/>
  <c r="F12" i="66"/>
  <c r="U12" i="66"/>
  <c r="V19" i="66"/>
  <c r="F19" i="66"/>
  <c r="U19" i="66"/>
  <c r="V22" i="66"/>
  <c r="F22" i="66"/>
  <c r="U22" i="66"/>
  <c r="F7" i="66"/>
  <c r="V7" i="66"/>
  <c r="U7" i="66"/>
  <c r="X23" i="66"/>
  <c r="W23" i="66"/>
  <c r="U15" i="66"/>
  <c r="F15" i="66"/>
  <c r="V15" i="66"/>
  <c r="U6" i="66"/>
  <c r="V9" i="66"/>
  <c r="P14" i="66"/>
  <c r="P8" i="66"/>
  <c r="U20" i="66"/>
  <c r="T11" i="66"/>
  <c r="P22" i="66"/>
  <c r="P19" i="66"/>
  <c r="T5" i="66"/>
  <c r="P7" i="66"/>
  <c r="T16" i="66"/>
  <c r="T13" i="66"/>
  <c r="T10" i="66"/>
  <c r="P18" i="66"/>
  <c r="F23" i="66"/>
  <c r="P15" i="66"/>
  <c r="F20" i="66"/>
  <c r="T24" i="66"/>
  <c r="P12" i="66"/>
  <c r="T21" i="66"/>
  <c r="U9" i="66"/>
  <c r="P17" i="66"/>
  <c r="U23" i="66"/>
  <c r="V6" i="66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K42" i="19" s="1"/>
  <c r="M37" i="19"/>
  <c r="K70" i="41"/>
  <c r="J70" i="41"/>
  <c r="I70" i="41"/>
  <c r="H70" i="41"/>
  <c r="G70" i="41"/>
  <c r="F70" i="41"/>
  <c r="K69" i="41"/>
  <c r="J69" i="41"/>
  <c r="H69" i="41"/>
  <c r="G69" i="41"/>
  <c r="F69" i="41"/>
  <c r="M65" i="41"/>
  <c r="L65" i="41"/>
  <c r="J65" i="41"/>
  <c r="I65" i="41"/>
  <c r="H65" i="41"/>
  <c r="G65" i="41"/>
  <c r="F65" i="41"/>
  <c r="M64" i="41"/>
  <c r="L64" i="41"/>
  <c r="K64" i="41"/>
  <c r="J64" i="41"/>
  <c r="I64" i="41"/>
  <c r="H64" i="41"/>
  <c r="G64" i="41"/>
  <c r="F64" i="41"/>
  <c r="M71" i="20"/>
  <c r="M70" i="20"/>
  <c r="M69" i="20"/>
  <c r="M74" i="20" s="1"/>
  <c r="K74" i="20" s="1"/>
  <c r="M65" i="20"/>
  <c r="M64" i="20"/>
  <c r="M63" i="20"/>
  <c r="M62" i="20"/>
  <c r="M61" i="20"/>
  <c r="M57" i="20"/>
  <c r="M56" i="20"/>
  <c r="M55" i="20"/>
  <c r="M54" i="20"/>
  <c r="M53" i="20"/>
  <c r="M49" i="20"/>
  <c r="M48" i="20"/>
  <c r="M47" i="20"/>
  <c r="M46" i="20"/>
  <c r="M45" i="20"/>
  <c r="M50" i="20" s="1"/>
  <c r="K50" i="20" s="1"/>
  <c r="T16" i="63" l="1"/>
  <c r="U16" i="63"/>
  <c r="V16" i="63"/>
  <c r="M66" i="20"/>
  <c r="K66" i="20" s="1"/>
  <c r="M58" i="20"/>
  <c r="K58" i="20" s="1"/>
  <c r="X12" i="63"/>
  <c r="W12" i="63"/>
  <c r="V11" i="63"/>
  <c r="U11" i="63"/>
  <c r="T11" i="63"/>
  <c r="V20" i="63"/>
  <c r="T20" i="63"/>
  <c r="U20" i="63"/>
  <c r="W5" i="63"/>
  <c r="X5" i="63"/>
  <c r="X23" i="63"/>
  <c r="W23" i="63"/>
  <c r="V9" i="63"/>
  <c r="T9" i="63"/>
  <c r="U9" i="63"/>
  <c r="V18" i="63"/>
  <c r="U18" i="63"/>
  <c r="T18" i="63"/>
  <c r="X17" i="63"/>
  <c r="W17" i="63"/>
  <c r="X7" i="63"/>
  <c r="W7" i="63"/>
  <c r="V8" i="63"/>
  <c r="U8" i="63"/>
  <c r="T8" i="63"/>
  <c r="W13" i="63"/>
  <c r="X13" i="63"/>
  <c r="U6" i="63"/>
  <c r="V6" i="63"/>
  <c r="T6" i="63"/>
  <c r="U21" i="63"/>
  <c r="V21" i="63"/>
  <c r="T21" i="63"/>
  <c r="X10" i="63"/>
  <c r="W10" i="63"/>
  <c r="X19" i="63"/>
  <c r="W19" i="63"/>
  <c r="W15" i="63"/>
  <c r="X15" i="63"/>
  <c r="X14" i="63"/>
  <c r="W14" i="63"/>
  <c r="X22" i="63"/>
  <c r="W22" i="63"/>
  <c r="V5" i="66"/>
  <c r="U5" i="66"/>
  <c r="F5" i="66"/>
  <c r="X19" i="66"/>
  <c r="W19" i="66"/>
  <c r="F11" i="66"/>
  <c r="U11" i="66"/>
  <c r="V11" i="66"/>
  <c r="X6" i="66"/>
  <c r="W6" i="66"/>
  <c r="W12" i="66"/>
  <c r="X12" i="66"/>
  <c r="X8" i="66"/>
  <c r="W8" i="66"/>
  <c r="V21" i="66"/>
  <c r="U21" i="66"/>
  <c r="F21" i="66"/>
  <c r="X18" i="66"/>
  <c r="W18" i="66"/>
  <c r="X15" i="66"/>
  <c r="W15" i="66"/>
  <c r="F10" i="66"/>
  <c r="U10" i="66"/>
  <c r="V10" i="66"/>
  <c r="V13" i="66"/>
  <c r="U13" i="66"/>
  <c r="F13" i="66"/>
  <c r="X9" i="66"/>
  <c r="W9" i="66"/>
  <c r="F24" i="66"/>
  <c r="V24" i="66"/>
  <c r="U24" i="66"/>
  <c r="X14" i="66"/>
  <c r="W14" i="66"/>
  <c r="X7" i="66"/>
  <c r="W7" i="66"/>
  <c r="V16" i="66"/>
  <c r="F16" i="66"/>
  <c r="U16" i="66"/>
  <c r="X22" i="66"/>
  <c r="W22" i="66"/>
  <c r="W17" i="66"/>
  <c r="X17" i="66"/>
  <c r="B10" i="40"/>
  <c r="W16" i="63" l="1"/>
  <c r="X16" i="63"/>
  <c r="X18" i="63"/>
  <c r="W18" i="63"/>
  <c r="X11" i="63"/>
  <c r="W11" i="63"/>
  <c r="W9" i="63"/>
  <c r="X9" i="63"/>
  <c r="W21" i="63"/>
  <c r="X21" i="63"/>
  <c r="X6" i="63"/>
  <c r="W6" i="63"/>
  <c r="W20" i="63"/>
  <c r="X20" i="63"/>
  <c r="X8" i="63"/>
  <c r="W8" i="63"/>
  <c r="W5" i="66"/>
  <c r="X5" i="66"/>
  <c r="W16" i="66"/>
  <c r="X16" i="66"/>
  <c r="W21" i="66"/>
  <c r="X21" i="66"/>
  <c r="X24" i="66"/>
  <c r="W24" i="66"/>
  <c r="X11" i="66"/>
  <c r="W11" i="66"/>
  <c r="X13" i="66"/>
  <c r="W13" i="66"/>
  <c r="X10" i="66"/>
  <c r="W10" i="66"/>
  <c r="B34" i="25"/>
  <c r="A34" i="25"/>
  <c r="AW7" i="52"/>
  <c r="AC11" i="52"/>
  <c r="AC10" i="52"/>
  <c r="AC9" i="52"/>
  <c r="AC8" i="52"/>
  <c r="AC7" i="52"/>
  <c r="S9" i="52"/>
  <c r="AV11" i="52"/>
  <c r="AW11" i="52" s="1"/>
  <c r="AQ11" i="52"/>
  <c r="AR11" i="52" s="1"/>
  <c r="AL11" i="52"/>
  <c r="AM11" i="52" s="1"/>
  <c r="AG11" i="52"/>
  <c r="AH9" i="52" s="1"/>
  <c r="AB11" i="52"/>
  <c r="W11" i="52"/>
  <c r="X11" i="52" s="1"/>
  <c r="R11" i="52"/>
  <c r="S11" i="52" s="1"/>
  <c r="J11" i="52"/>
  <c r="I11" i="52"/>
  <c r="G11" i="52"/>
  <c r="AV10" i="52"/>
  <c r="AQ10" i="52"/>
  <c r="AL10" i="52"/>
  <c r="AG10" i="52"/>
  <c r="AB10" i="52"/>
  <c r="W10" i="52"/>
  <c r="X10" i="52" s="1"/>
  <c r="R10" i="52"/>
  <c r="S10" i="52" s="1"/>
  <c r="K10" i="52"/>
  <c r="J10" i="52"/>
  <c r="I10" i="52"/>
  <c r="G10" i="52"/>
  <c r="AV9" i="52"/>
  <c r="AQ9" i="52"/>
  <c r="AR7" i="52" s="1"/>
  <c r="AL9" i="52"/>
  <c r="AG9" i="52"/>
  <c r="AB9" i="52"/>
  <c r="W9" i="52"/>
  <c r="X9" i="52" s="1"/>
  <c r="R9" i="52"/>
  <c r="J9" i="52"/>
  <c r="I9" i="52"/>
  <c r="G9" i="52"/>
  <c r="AV8" i="52"/>
  <c r="AQ8" i="52"/>
  <c r="AR8" i="52" s="1"/>
  <c r="AL8" i="52"/>
  <c r="AM8" i="52" s="1"/>
  <c r="AG8" i="52"/>
  <c r="AH10" i="52" s="1"/>
  <c r="AB8" i="52"/>
  <c r="W8" i="52"/>
  <c r="X8" i="52" s="1"/>
  <c r="R8" i="52"/>
  <c r="S8" i="52" s="1"/>
  <c r="J8" i="52"/>
  <c r="I8" i="52"/>
  <c r="G8" i="52"/>
  <c r="AV7" i="52"/>
  <c r="AX7" i="52" s="1"/>
  <c r="AS7" i="52"/>
  <c r="AQ7" i="52"/>
  <c r="AL7" i="52"/>
  <c r="AM7" i="52" s="1"/>
  <c r="AG7" i="52"/>
  <c r="AB7" i="52"/>
  <c r="W7" i="52"/>
  <c r="X7" i="52" s="1"/>
  <c r="R7" i="52"/>
  <c r="S7" i="52" s="1"/>
  <c r="J7" i="52"/>
  <c r="I7" i="52"/>
  <c r="G7" i="52"/>
  <c r="AR13" i="51"/>
  <c r="AH9" i="51"/>
  <c r="X10" i="51"/>
  <c r="X9" i="51"/>
  <c r="X8" i="51"/>
  <c r="X7" i="51"/>
  <c r="S8" i="51"/>
  <c r="S9" i="51"/>
  <c r="AV14" i="51"/>
  <c r="AW14" i="51" s="1"/>
  <c r="AQ14" i="51"/>
  <c r="AL14" i="51"/>
  <c r="AM14" i="51" s="1"/>
  <c r="AG14" i="51"/>
  <c r="AH10" i="51" s="1"/>
  <c r="AB14" i="51"/>
  <c r="AC14" i="51" s="1"/>
  <c r="W14" i="51"/>
  <c r="R14" i="51"/>
  <c r="J14" i="51"/>
  <c r="I14" i="51"/>
  <c r="G14" i="51"/>
  <c r="AV13" i="51"/>
  <c r="AQ13" i="51"/>
  <c r="AL13" i="51"/>
  <c r="AM13" i="51" s="1"/>
  <c r="AG13" i="51"/>
  <c r="AB13" i="51"/>
  <c r="AC13" i="51" s="1"/>
  <c r="W13" i="51"/>
  <c r="X13" i="51" s="1"/>
  <c r="R13" i="51"/>
  <c r="S13" i="51" s="1"/>
  <c r="K13" i="51"/>
  <c r="J13" i="51"/>
  <c r="I13" i="51"/>
  <c r="G13" i="51"/>
  <c r="AV12" i="51"/>
  <c r="AW12" i="51" s="1"/>
  <c r="AQ12" i="51"/>
  <c r="AR12" i="51" s="1"/>
  <c r="AL12" i="51"/>
  <c r="AM12" i="51" s="1"/>
  <c r="AG12" i="51"/>
  <c r="AB12" i="51"/>
  <c r="W12" i="51"/>
  <c r="R12" i="51"/>
  <c r="S12" i="51" s="1"/>
  <c r="J12" i="51"/>
  <c r="I12" i="51"/>
  <c r="G12" i="51"/>
  <c r="AV11" i="51"/>
  <c r="AQ11" i="51"/>
  <c r="AR11" i="51" s="1"/>
  <c r="AL11" i="51"/>
  <c r="AM11" i="51" s="1"/>
  <c r="AG11" i="5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R10" i="51"/>
  <c r="S10" i="51" s="1"/>
  <c r="J10" i="51"/>
  <c r="I10" i="51"/>
  <c r="G10" i="51"/>
  <c r="AV9" i="51"/>
  <c r="AQ9" i="51"/>
  <c r="AR9" i="51" s="1"/>
  <c r="AL9" i="51"/>
  <c r="AG9" i="51"/>
  <c r="AB9" i="51"/>
  <c r="AC9" i="51" s="1"/>
  <c r="W9" i="51"/>
  <c r="R9" i="51"/>
  <c r="J9" i="51"/>
  <c r="I9" i="51"/>
  <c r="G9" i="51"/>
  <c r="AV8" i="51"/>
  <c r="AW13" i="51" s="1"/>
  <c r="AQ8" i="51"/>
  <c r="AR8" i="51" s="1"/>
  <c r="AL8" i="51"/>
  <c r="AM9" i="51" s="1"/>
  <c r="AG8" i="51"/>
  <c r="AH8" i="51" s="1"/>
  <c r="AB8" i="51"/>
  <c r="W8" i="51"/>
  <c r="R8" i="51"/>
  <c r="J8" i="51"/>
  <c r="I8" i="51"/>
  <c r="G8" i="51"/>
  <c r="AV7" i="51"/>
  <c r="AQ7" i="51"/>
  <c r="AL7" i="51"/>
  <c r="AN7" i="51" s="1"/>
  <c r="AG7" i="51"/>
  <c r="AH7" i="51" s="1"/>
  <c r="AB7" i="51"/>
  <c r="AC12" i="51" s="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R7" i="49"/>
  <c r="AM15" i="49"/>
  <c r="AM14" i="49"/>
  <c r="AV15" i="49"/>
  <c r="AW15" i="49" s="1"/>
  <c r="AQ15" i="49"/>
  <c r="AR15" i="49" s="1"/>
  <c r="AL15" i="49"/>
  <c r="AG15" i="49"/>
  <c r="AH15" i="49" s="1"/>
  <c r="AB15" i="49"/>
  <c r="AC15" i="49" s="1"/>
  <c r="W15" i="49"/>
  <c r="X15" i="49" s="1"/>
  <c r="R15" i="49"/>
  <c r="S15" i="49" s="1"/>
  <c r="J15" i="49"/>
  <c r="I15" i="49"/>
  <c r="G15" i="49"/>
  <c r="AV14" i="49"/>
  <c r="AQ14" i="49"/>
  <c r="AL14" i="49"/>
  <c r="AG14" i="49"/>
  <c r="AH14" i="49" s="1"/>
  <c r="AB14" i="49"/>
  <c r="W14" i="49"/>
  <c r="R14" i="49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T7" i="49" s="1"/>
  <c r="J11" i="49"/>
  <c r="I11" i="49"/>
  <c r="G11" i="49"/>
  <c r="AV10" i="49"/>
  <c r="AW10" i="49" s="1"/>
  <c r="AQ10" i="49"/>
  <c r="AL10" i="49"/>
  <c r="AM10" i="49" s="1"/>
  <c r="AG10" i="49"/>
  <c r="AB10" i="49"/>
  <c r="AC10" i="49" s="1"/>
  <c r="W10" i="49"/>
  <c r="R10" i="49"/>
  <c r="J10" i="49"/>
  <c r="I10" i="49"/>
  <c r="G10" i="49"/>
  <c r="AV9" i="49"/>
  <c r="AW9" i="49" s="1"/>
  <c r="AQ9" i="49"/>
  <c r="AR9" i="49" s="1"/>
  <c r="AL9" i="49"/>
  <c r="AG9" i="49"/>
  <c r="AH9" i="49" s="1"/>
  <c r="AB9" i="49"/>
  <c r="AC9" i="49" s="1"/>
  <c r="W9" i="49"/>
  <c r="X14" i="49" s="1"/>
  <c r="R9" i="49"/>
  <c r="J9" i="49"/>
  <c r="I9" i="49"/>
  <c r="G9" i="49"/>
  <c r="AV8" i="49"/>
  <c r="AQ8" i="49"/>
  <c r="AL8" i="49"/>
  <c r="AM8" i="49" s="1"/>
  <c r="AG8" i="49"/>
  <c r="K8" i="49" s="1"/>
  <c r="AB8" i="49"/>
  <c r="W8" i="49"/>
  <c r="R8" i="49"/>
  <c r="S14" i="49" s="1"/>
  <c r="J8" i="49"/>
  <c r="I8" i="49"/>
  <c r="G8" i="49"/>
  <c r="AV7" i="49"/>
  <c r="AX7" i="49" s="1"/>
  <c r="AQ7" i="49"/>
  <c r="AL7" i="49"/>
  <c r="AM12" i="49" s="1"/>
  <c r="AG7" i="49"/>
  <c r="AH7" i="49" s="1"/>
  <c r="AB7" i="49"/>
  <c r="AD7" i="49" s="1"/>
  <c r="W7" i="49"/>
  <c r="X10" i="49" s="1"/>
  <c r="R7" i="49"/>
  <c r="S7" i="49" s="1"/>
  <c r="J7" i="49"/>
  <c r="I7" i="49"/>
  <c r="G7" i="49"/>
  <c r="AW12" i="48"/>
  <c r="AW11" i="48"/>
  <c r="AR13" i="48"/>
  <c r="AR12" i="48"/>
  <c r="AR11" i="48"/>
  <c r="AR10" i="48"/>
  <c r="AR9" i="48"/>
  <c r="AH7" i="48"/>
  <c r="AC14" i="48"/>
  <c r="AC13" i="48"/>
  <c r="AV14" i="48"/>
  <c r="AQ14" i="48"/>
  <c r="AL14" i="48"/>
  <c r="AM14" i="48" s="1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Q13" i="48"/>
  <c r="AL13" i="48"/>
  <c r="AG13" i="48"/>
  <c r="AB13" i="48"/>
  <c r="W13" i="48"/>
  <c r="X13" i="48" s="1"/>
  <c r="R13" i="48"/>
  <c r="K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Q11" i="48"/>
  <c r="AL11" i="48"/>
  <c r="AM11" i="48" s="1"/>
  <c r="AG11" i="48"/>
  <c r="AB11" i="48"/>
  <c r="AC11" i="48" s="1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G10" i="48"/>
  <c r="AV9" i="48"/>
  <c r="AQ9" i="48"/>
  <c r="AL9" i="48"/>
  <c r="AG9" i="48"/>
  <c r="AB9" i="48"/>
  <c r="AC9" i="48" s="1"/>
  <c r="W9" i="48"/>
  <c r="X9" i="48" s="1"/>
  <c r="R9" i="48"/>
  <c r="J9" i="48"/>
  <c r="I9" i="48"/>
  <c r="G9" i="48"/>
  <c r="AV8" i="48"/>
  <c r="AW14" i="48" s="1"/>
  <c r="AQ8" i="48"/>
  <c r="AR8" i="48" s="1"/>
  <c r="AL8" i="48"/>
  <c r="AM9" i="48" s="1"/>
  <c r="AG8" i="48"/>
  <c r="AH11" i="48" s="1"/>
  <c r="AB8" i="48"/>
  <c r="AC8" i="48" s="1"/>
  <c r="W8" i="48"/>
  <c r="X11" i="48" s="1"/>
  <c r="R8" i="48"/>
  <c r="S11" i="48" s="1"/>
  <c r="J8" i="48"/>
  <c r="I8" i="48"/>
  <c r="G8" i="48"/>
  <c r="AV7" i="48"/>
  <c r="AQ7" i="48"/>
  <c r="AL7" i="48"/>
  <c r="AM13" i="48" s="1"/>
  <c r="AG7" i="48"/>
  <c r="AH13" i="48" s="1"/>
  <c r="AB7" i="48"/>
  <c r="AC7" i="48" s="1"/>
  <c r="W7" i="48"/>
  <c r="R7" i="48"/>
  <c r="J7" i="48"/>
  <c r="I7" i="48"/>
  <c r="G7" i="48"/>
  <c r="H7" i="48" s="1"/>
  <c r="AW10" i="47"/>
  <c r="AW9" i="47"/>
  <c r="X8" i="47"/>
  <c r="S9" i="47"/>
  <c r="S10" i="47"/>
  <c r="S11" i="47"/>
  <c r="S12" i="47"/>
  <c r="S7" i="47"/>
  <c r="AV12" i="47"/>
  <c r="AQ12" i="47"/>
  <c r="AR12" i="47" s="1"/>
  <c r="AL12" i="47"/>
  <c r="AG12" i="47"/>
  <c r="AH12" i="47" s="1"/>
  <c r="AB12" i="47"/>
  <c r="AC12" i="47" s="1"/>
  <c r="W12" i="47"/>
  <c r="X9" i="47" s="1"/>
  <c r="R12" i="47"/>
  <c r="J12" i="47"/>
  <c r="I12" i="47"/>
  <c r="G12" i="47"/>
  <c r="AV11" i="47"/>
  <c r="AQ11" i="47"/>
  <c r="AR11" i="47" s="1"/>
  <c r="AL11" i="47"/>
  <c r="AM11" i="47" s="1"/>
  <c r="AG11" i="47"/>
  <c r="AH7" i="47" s="1"/>
  <c r="AB11" i="47"/>
  <c r="AC11" i="47" s="1"/>
  <c r="W11" i="47"/>
  <c r="R11" i="47"/>
  <c r="K11" i="47" s="1"/>
  <c r="J11" i="47"/>
  <c r="I11" i="47"/>
  <c r="G11" i="47"/>
  <c r="AV10" i="47"/>
  <c r="AQ10" i="47"/>
  <c r="AR10" i="47" s="1"/>
  <c r="AL10" i="47"/>
  <c r="AG10" i="47"/>
  <c r="AH10" i="47" s="1"/>
  <c r="AB10" i="47"/>
  <c r="W10" i="47"/>
  <c r="R10" i="47"/>
  <c r="J10" i="47"/>
  <c r="I10" i="47"/>
  <c r="G10" i="47"/>
  <c r="AV9" i="47"/>
  <c r="AQ9" i="47"/>
  <c r="AR9" i="47" s="1"/>
  <c r="AL9" i="47"/>
  <c r="AM9" i="47" s="1"/>
  <c r="AG9" i="47"/>
  <c r="AB9" i="47"/>
  <c r="AC9" i="47" s="1"/>
  <c r="W9" i="47"/>
  <c r="R9" i="47"/>
  <c r="J9" i="47"/>
  <c r="I9" i="47"/>
  <c r="G9" i="47"/>
  <c r="AV8" i="47"/>
  <c r="AW8" i="47" s="1"/>
  <c r="AQ8" i="47"/>
  <c r="AR8" i="47" s="1"/>
  <c r="AL8" i="47"/>
  <c r="AM8" i="47" s="1"/>
  <c r="AG8" i="47"/>
  <c r="AH9" i="47" s="1"/>
  <c r="AB8" i="47"/>
  <c r="W8" i="47"/>
  <c r="R8" i="47"/>
  <c r="S8" i="47" s="1"/>
  <c r="J8" i="47"/>
  <c r="I8" i="47"/>
  <c r="G8" i="47"/>
  <c r="H7" i="47" s="1"/>
  <c r="AV7" i="47"/>
  <c r="AW7" i="47" s="1"/>
  <c r="AQ7" i="47"/>
  <c r="AR7" i="47" s="1"/>
  <c r="AL7" i="47"/>
  <c r="AN7" i="47" s="1"/>
  <c r="AG7" i="47"/>
  <c r="AB7" i="47"/>
  <c r="W7" i="47"/>
  <c r="X7" i="47" s="1"/>
  <c r="R7" i="47"/>
  <c r="J7" i="47"/>
  <c r="I7" i="47"/>
  <c r="G7" i="47"/>
  <c r="AH7" i="46"/>
  <c r="AC7" i="46"/>
  <c r="X7" i="46"/>
  <c r="S7" i="46"/>
  <c r="AV7" i="46"/>
  <c r="AX7" i="46" s="1"/>
  <c r="AQ7" i="46"/>
  <c r="AR7" i="46" s="1"/>
  <c r="AL7" i="46"/>
  <c r="AN7" i="46" s="1"/>
  <c r="AG7" i="46"/>
  <c r="AI7" i="46" s="1"/>
  <c r="AB7" i="46"/>
  <c r="AD7" i="46" s="1"/>
  <c r="W7" i="46"/>
  <c r="R7" i="46"/>
  <c r="T7" i="46" s="1"/>
  <c r="J7" i="46"/>
  <c r="I7" i="46"/>
  <c r="G7" i="46"/>
  <c r="H7" i="46" s="1"/>
  <c r="AC8" i="45"/>
  <c r="X7" i="45"/>
  <c r="S8" i="45"/>
  <c r="S9" i="45"/>
  <c r="S10" i="45"/>
  <c r="S7" i="45"/>
  <c r="AV10" i="45"/>
  <c r="AQ10" i="45"/>
  <c r="AL10" i="45"/>
  <c r="AG10" i="45"/>
  <c r="AH10" i="45" s="1"/>
  <c r="AB10" i="45"/>
  <c r="W10" i="45"/>
  <c r="X10" i="45" s="1"/>
  <c r="R10" i="45"/>
  <c r="K10" i="45"/>
  <c r="J10" i="45"/>
  <c r="I10" i="45"/>
  <c r="G10" i="45"/>
  <c r="AV9" i="45"/>
  <c r="AW9" i="45" s="1"/>
  <c r="AQ9" i="45"/>
  <c r="AR9" i="45" s="1"/>
  <c r="AL9" i="45"/>
  <c r="AG9" i="45"/>
  <c r="K9" i="45" s="1"/>
  <c r="AB9" i="45"/>
  <c r="W9" i="45"/>
  <c r="R9" i="45"/>
  <c r="J9" i="45"/>
  <c r="I9" i="45"/>
  <c r="G9" i="45"/>
  <c r="AV8" i="45"/>
  <c r="AQ8" i="45"/>
  <c r="AL8" i="45"/>
  <c r="AM8" i="45" s="1"/>
  <c r="AG8" i="45"/>
  <c r="AH8" i="45" s="1"/>
  <c r="AB8" i="45"/>
  <c r="AC10" i="45" s="1"/>
  <c r="W8" i="45"/>
  <c r="X9" i="45" s="1"/>
  <c r="R8" i="45"/>
  <c r="J8" i="45"/>
  <c r="I8" i="45"/>
  <c r="G8" i="45"/>
  <c r="AV7" i="45"/>
  <c r="AX7" i="45" s="1"/>
  <c r="AQ7" i="45"/>
  <c r="AS7" i="45" s="1"/>
  <c r="AL7" i="45"/>
  <c r="AN7" i="45" s="1"/>
  <c r="AG7" i="45"/>
  <c r="AB7" i="45"/>
  <c r="W7" i="45"/>
  <c r="R7" i="45"/>
  <c r="J7" i="45"/>
  <c r="I7" i="45"/>
  <c r="G7" i="45"/>
  <c r="AW40" i="44"/>
  <c r="AW30" i="44"/>
  <c r="AW29" i="44"/>
  <c r="AW10" i="44"/>
  <c r="AW9" i="44"/>
  <c r="AR25" i="44"/>
  <c r="AR24" i="44"/>
  <c r="AM39" i="44"/>
  <c r="AM20" i="44"/>
  <c r="AM19" i="44"/>
  <c r="AH34" i="44"/>
  <c r="AH14" i="44"/>
  <c r="AC29" i="44"/>
  <c r="AV41" i="44"/>
  <c r="AW41" i="44" s="1"/>
  <c r="AQ41" i="44"/>
  <c r="AR41" i="44" s="1"/>
  <c r="AL41" i="44"/>
  <c r="AG41" i="44"/>
  <c r="AB41" i="44"/>
  <c r="W41" i="44"/>
  <c r="R41" i="44"/>
  <c r="K41" i="44"/>
  <c r="J41" i="44"/>
  <c r="I41" i="44"/>
  <c r="G41" i="44"/>
  <c r="AV40" i="44"/>
  <c r="AQ40" i="44"/>
  <c r="AL40" i="44"/>
  <c r="AG40" i="44"/>
  <c r="AB40" i="44"/>
  <c r="W40" i="44"/>
  <c r="R40" i="44"/>
  <c r="K40" i="44" s="1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W38" i="44" s="1"/>
  <c r="AQ38" i="44"/>
  <c r="AL38" i="44"/>
  <c r="AG38" i="44"/>
  <c r="AB38" i="44"/>
  <c r="W38" i="44"/>
  <c r="R38" i="44"/>
  <c r="J38" i="44"/>
  <c r="I38" i="44"/>
  <c r="G38" i="44"/>
  <c r="AV37" i="44"/>
  <c r="AW37" i="44" s="1"/>
  <c r="AQ37" i="44"/>
  <c r="AL37" i="44"/>
  <c r="AG37" i="44"/>
  <c r="AB37" i="44"/>
  <c r="W37" i="44"/>
  <c r="R37" i="44"/>
  <c r="J37" i="44"/>
  <c r="I37" i="44"/>
  <c r="G37" i="44"/>
  <c r="AV36" i="44"/>
  <c r="AW36" i="44" s="1"/>
  <c r="AQ36" i="44"/>
  <c r="AR36" i="44" s="1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J35" i="44"/>
  <c r="I35" i="44"/>
  <c r="G35" i="44"/>
  <c r="AV34" i="44"/>
  <c r="AQ34" i="44"/>
  <c r="AR34" i="44" s="1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R32" i="44" s="1"/>
  <c r="AL32" i="44"/>
  <c r="AG32" i="44"/>
  <c r="AB32" i="44"/>
  <c r="W32" i="44"/>
  <c r="R32" i="44"/>
  <c r="J32" i="44"/>
  <c r="I32" i="44"/>
  <c r="G32" i="44"/>
  <c r="AV31" i="44"/>
  <c r="AQ31" i="44"/>
  <c r="AR31" i="44" s="1"/>
  <c r="AL31" i="44"/>
  <c r="AG31" i="44"/>
  <c r="AB31" i="44"/>
  <c r="W31" i="44"/>
  <c r="R31" i="44"/>
  <c r="J31" i="44"/>
  <c r="I31" i="44"/>
  <c r="G31" i="44"/>
  <c r="AV30" i="44"/>
  <c r="AQ30" i="44"/>
  <c r="AR30" i="44" s="1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W28" i="44" s="1"/>
  <c r="AQ28" i="44"/>
  <c r="AL28" i="44"/>
  <c r="AG28" i="44"/>
  <c r="AB28" i="44"/>
  <c r="W28" i="44"/>
  <c r="R28" i="44"/>
  <c r="J28" i="44"/>
  <c r="I28" i="44"/>
  <c r="G28" i="44"/>
  <c r="AV27" i="44"/>
  <c r="AQ27" i="44"/>
  <c r="AL27" i="44"/>
  <c r="AG27" i="44"/>
  <c r="AB27" i="44"/>
  <c r="W27" i="44"/>
  <c r="R27" i="44"/>
  <c r="K27" i="44" s="1"/>
  <c r="J27" i="44"/>
  <c r="I27" i="44"/>
  <c r="G27" i="44"/>
  <c r="AV26" i="44"/>
  <c r="AW26" i="44" s="1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K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R23" i="44" s="1"/>
  <c r="AL23" i="44"/>
  <c r="AG23" i="44"/>
  <c r="AB23" i="44"/>
  <c r="W23" i="44"/>
  <c r="R23" i="44"/>
  <c r="K23" i="44"/>
  <c r="J23" i="44"/>
  <c r="I23" i="44"/>
  <c r="G23" i="44"/>
  <c r="AV22" i="44"/>
  <c r="AQ22" i="44"/>
  <c r="AR22" i="44" s="1"/>
  <c r="AL22" i="44"/>
  <c r="AG22" i="44"/>
  <c r="K22" i="44" s="1"/>
  <c r="AB22" i="44"/>
  <c r="W22" i="44"/>
  <c r="R22" i="44"/>
  <c r="J22" i="44"/>
  <c r="I22" i="44"/>
  <c r="G22" i="44"/>
  <c r="AV21" i="44"/>
  <c r="AW21" i="44" s="1"/>
  <c r="AQ21" i="44"/>
  <c r="AR21" i="44" s="1"/>
  <c r="AL21" i="44"/>
  <c r="AG21" i="44"/>
  <c r="AB21" i="44"/>
  <c r="W21" i="44"/>
  <c r="R21" i="44"/>
  <c r="J21" i="44"/>
  <c r="I21" i="44"/>
  <c r="G21" i="44"/>
  <c r="AV20" i="44"/>
  <c r="AW20" i="44" s="1"/>
  <c r="AQ20" i="44"/>
  <c r="AR20" i="44" s="1"/>
  <c r="AL20" i="44"/>
  <c r="AG20" i="44"/>
  <c r="AB20" i="44"/>
  <c r="W20" i="44"/>
  <c r="R20" i="44"/>
  <c r="J20" i="44"/>
  <c r="I20" i="44"/>
  <c r="G20" i="44"/>
  <c r="AV19" i="44"/>
  <c r="AQ19" i="44"/>
  <c r="AR19" i="44" s="1"/>
  <c r="AL19" i="44"/>
  <c r="AG19" i="44"/>
  <c r="AB19" i="44"/>
  <c r="W19" i="44"/>
  <c r="R19" i="44"/>
  <c r="S19" i="44" s="1"/>
  <c r="J19" i="44"/>
  <c r="I19" i="44"/>
  <c r="G19" i="44"/>
  <c r="AV18" i="44"/>
  <c r="K18" i="44" s="1"/>
  <c r="AQ18" i="44"/>
  <c r="AL18" i="44"/>
  <c r="AG18" i="44"/>
  <c r="AB18" i="44"/>
  <c r="W18" i="44"/>
  <c r="R18" i="44"/>
  <c r="J18" i="44"/>
  <c r="I18" i="44"/>
  <c r="G18" i="44"/>
  <c r="AV17" i="44"/>
  <c r="AW17" i="44" s="1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W16" i="44" s="1"/>
  <c r="AQ16" i="44"/>
  <c r="AR16" i="44" s="1"/>
  <c r="AL16" i="44"/>
  <c r="AG16" i="44"/>
  <c r="AB16" i="44"/>
  <c r="W16" i="44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J15" i="44"/>
  <c r="I15" i="44"/>
  <c r="G15" i="44"/>
  <c r="AV14" i="44"/>
  <c r="AW14" i="44" s="1"/>
  <c r="AQ14" i="44"/>
  <c r="AL14" i="44"/>
  <c r="AG14" i="44"/>
  <c r="AB14" i="44"/>
  <c r="W14" i="44"/>
  <c r="R14" i="44"/>
  <c r="J14" i="44"/>
  <c r="I14" i="44"/>
  <c r="G14" i="44"/>
  <c r="AV13" i="44"/>
  <c r="AW13" i="44" s="1"/>
  <c r="AQ13" i="44"/>
  <c r="AR13" i="44" s="1"/>
  <c r="AL13" i="44"/>
  <c r="AG13" i="44"/>
  <c r="AB13" i="44"/>
  <c r="W13" i="44"/>
  <c r="R13" i="44"/>
  <c r="S13" i="44" s="1"/>
  <c r="J13" i="44"/>
  <c r="I13" i="44"/>
  <c r="G13" i="44"/>
  <c r="AV12" i="44"/>
  <c r="AW12" i="44" s="1"/>
  <c r="AQ12" i="44"/>
  <c r="AR12" i="44" s="1"/>
  <c r="AL12" i="44"/>
  <c r="AG12" i="44"/>
  <c r="AB12" i="44"/>
  <c r="W12" i="44"/>
  <c r="R12" i="44"/>
  <c r="J12" i="44"/>
  <c r="I12" i="44"/>
  <c r="G12" i="44"/>
  <c r="AV11" i="44"/>
  <c r="AQ11" i="44"/>
  <c r="AR11" i="44" s="1"/>
  <c r="AL11" i="44"/>
  <c r="AG11" i="44"/>
  <c r="AB11" i="44"/>
  <c r="W11" i="44"/>
  <c r="X11" i="44" s="1"/>
  <c r="R11" i="44"/>
  <c r="S11" i="44" s="1"/>
  <c r="J11" i="44"/>
  <c r="I11" i="44"/>
  <c r="G11" i="44"/>
  <c r="AV10" i="44"/>
  <c r="AQ10" i="44"/>
  <c r="AL10" i="44"/>
  <c r="AG10" i="44"/>
  <c r="AB10" i="44"/>
  <c r="W10" i="44"/>
  <c r="R10" i="44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8" i="44" s="1"/>
  <c r="AQ8" i="44"/>
  <c r="AL8" i="44"/>
  <c r="AG8" i="44"/>
  <c r="AB8" i="44"/>
  <c r="W8" i="44"/>
  <c r="R8" i="44"/>
  <c r="J8" i="44"/>
  <c r="I8" i="44"/>
  <c r="G8" i="44"/>
  <c r="AV7" i="44"/>
  <c r="AW7" i="44" s="1"/>
  <c r="AQ7" i="44"/>
  <c r="AS7" i="44" s="1"/>
  <c r="AL7" i="44"/>
  <c r="AG7" i="44"/>
  <c r="AB7" i="44"/>
  <c r="W7" i="44"/>
  <c r="X22" i="44" s="1"/>
  <c r="R7" i="44"/>
  <c r="S12" i="44" s="1"/>
  <c r="J7" i="44"/>
  <c r="I7" i="44"/>
  <c r="G7" i="44"/>
  <c r="AH7" i="52" l="1"/>
  <c r="AH8" i="52"/>
  <c r="AH11" i="52"/>
  <c r="K9" i="52"/>
  <c r="H7" i="52"/>
  <c r="AW8" i="52"/>
  <c r="AW9" i="52"/>
  <c r="AM9" i="52"/>
  <c r="K11" i="52"/>
  <c r="AD7" i="52"/>
  <c r="AI7" i="52"/>
  <c r="AR9" i="52"/>
  <c r="AR10" i="52"/>
  <c r="AW10" i="52"/>
  <c r="K7" i="52"/>
  <c r="M7" i="52" s="1"/>
  <c r="AM10" i="52"/>
  <c r="T7" i="52"/>
  <c r="AN7" i="52"/>
  <c r="AR14" i="51"/>
  <c r="AH11" i="51"/>
  <c r="AH12" i="51"/>
  <c r="AM7" i="51"/>
  <c r="AM8" i="51"/>
  <c r="X14" i="51"/>
  <c r="AC7" i="51"/>
  <c r="K7" i="51"/>
  <c r="M7" i="51" s="1"/>
  <c r="AC8" i="51"/>
  <c r="AX7" i="51"/>
  <c r="K11" i="51"/>
  <c r="AH13" i="51"/>
  <c r="K14" i="51"/>
  <c r="AW9" i="51"/>
  <c r="AH14" i="51"/>
  <c r="X11" i="51"/>
  <c r="AR7" i="51"/>
  <c r="AW7" i="51"/>
  <c r="AW8" i="51"/>
  <c r="AW11" i="51"/>
  <c r="X12" i="51"/>
  <c r="S7" i="51"/>
  <c r="S14" i="51"/>
  <c r="S11" i="49"/>
  <c r="K9" i="49"/>
  <c r="S9" i="49"/>
  <c r="AH8" i="49"/>
  <c r="AH10" i="49"/>
  <c r="X9" i="49"/>
  <c r="K10" i="49"/>
  <c r="AC12" i="49"/>
  <c r="AC13" i="49"/>
  <c r="AS7" i="49"/>
  <c r="S10" i="49"/>
  <c r="AR8" i="49"/>
  <c r="AR10" i="49"/>
  <c r="X7" i="49"/>
  <c r="X8" i="49"/>
  <c r="AR12" i="49"/>
  <c r="AR14" i="49"/>
  <c r="AW7" i="49"/>
  <c r="H7" i="49"/>
  <c r="AC7" i="49"/>
  <c r="AM9" i="49"/>
  <c r="AM7" i="49"/>
  <c r="AC8" i="49"/>
  <c r="AW14" i="49"/>
  <c r="S12" i="49"/>
  <c r="AC14" i="49"/>
  <c r="S8" i="49"/>
  <c r="AW8" i="49"/>
  <c r="Y7" i="49"/>
  <c r="S13" i="48"/>
  <c r="AH8" i="48"/>
  <c r="S9" i="48"/>
  <c r="AH9" i="48"/>
  <c r="S8" i="48"/>
  <c r="AR14" i="48"/>
  <c r="X7" i="48"/>
  <c r="AW7" i="48"/>
  <c r="X8" i="48"/>
  <c r="AW8" i="48"/>
  <c r="T7" i="48"/>
  <c r="AW9" i="48"/>
  <c r="AS7" i="48"/>
  <c r="S7" i="48"/>
  <c r="AR7" i="48"/>
  <c r="Y7" i="48"/>
  <c r="AM7" i="48"/>
  <c r="AM8" i="48"/>
  <c r="AW13" i="48"/>
  <c r="AN7" i="48"/>
  <c r="AI7" i="48"/>
  <c r="AX7" i="48"/>
  <c r="AH8" i="47"/>
  <c r="K9" i="47"/>
  <c r="AW11" i="47"/>
  <c r="AW12" i="47"/>
  <c r="AH11" i="47"/>
  <c r="AM7" i="47"/>
  <c r="K12" i="47"/>
  <c r="X12" i="47"/>
  <c r="X10" i="47"/>
  <c r="AC8" i="47"/>
  <c r="T7" i="47"/>
  <c r="AS7" i="47"/>
  <c r="X11" i="47"/>
  <c r="AC10" i="47"/>
  <c r="K10" i="47"/>
  <c r="AC7" i="47"/>
  <c r="K7" i="47"/>
  <c r="AD7" i="47"/>
  <c r="AM10" i="47"/>
  <c r="AM12" i="47"/>
  <c r="AS7" i="46"/>
  <c r="AM7" i="46"/>
  <c r="AW7" i="46"/>
  <c r="K7" i="46"/>
  <c r="M7" i="46" s="1"/>
  <c r="Y7" i="46"/>
  <c r="AR10" i="45"/>
  <c r="AW7" i="45"/>
  <c r="X8" i="45"/>
  <c r="AW8" i="45"/>
  <c r="AW10" i="45"/>
  <c r="AC7" i="45"/>
  <c r="AH7" i="45"/>
  <c r="AM9" i="45"/>
  <c r="AM10" i="45"/>
  <c r="AR7" i="45"/>
  <c r="AR8" i="45"/>
  <c r="AC9" i="45"/>
  <c r="K7" i="45"/>
  <c r="AH9" i="45"/>
  <c r="Y7" i="45"/>
  <c r="AD7" i="45"/>
  <c r="AM7" i="45"/>
  <c r="H7" i="45"/>
  <c r="S39" i="44"/>
  <c r="AH29" i="44"/>
  <c r="AH28" i="44"/>
  <c r="AH8" i="44"/>
  <c r="AH27" i="44"/>
  <c r="AH7" i="44"/>
  <c r="AH38" i="44"/>
  <c r="AH37" i="44"/>
  <c r="AH18" i="44"/>
  <c r="AH36" i="44"/>
  <c r="AH35" i="44"/>
  <c r="AH16" i="44"/>
  <c r="AH13" i="44"/>
  <c r="AH21" i="44"/>
  <c r="X35" i="44"/>
  <c r="S41" i="44"/>
  <c r="AM15" i="44"/>
  <c r="AC25" i="44"/>
  <c r="AH31" i="44"/>
  <c r="AH39" i="44"/>
  <c r="AM31" i="44"/>
  <c r="S14" i="44"/>
  <c r="S34" i="44"/>
  <c r="S15" i="44"/>
  <c r="S16" i="44"/>
  <c r="S36" i="44"/>
  <c r="S17" i="44"/>
  <c r="S8" i="44"/>
  <c r="S29" i="44"/>
  <c r="S23" i="44"/>
  <c r="S26" i="44"/>
  <c r="S28" i="44"/>
  <c r="S9" i="44"/>
  <c r="X23" i="44"/>
  <c r="S33" i="44"/>
  <c r="S37" i="44"/>
  <c r="AH17" i="44"/>
  <c r="X29" i="44"/>
  <c r="X39" i="44"/>
  <c r="AM17" i="44"/>
  <c r="AC33" i="44"/>
  <c r="AC39" i="44"/>
  <c r="AC41" i="44"/>
  <c r="AH41" i="44"/>
  <c r="K21" i="44"/>
  <c r="X19" i="44"/>
  <c r="X18" i="44"/>
  <c r="X37" i="44"/>
  <c r="X17" i="44"/>
  <c r="X21" i="44"/>
  <c r="X7" i="44"/>
  <c r="X8" i="44"/>
  <c r="X25" i="44"/>
  <c r="X9" i="44"/>
  <c r="AC22" i="44"/>
  <c r="AC21" i="44"/>
  <c r="AC13" i="44"/>
  <c r="AC32" i="44"/>
  <c r="AC31" i="44"/>
  <c r="AC30" i="44"/>
  <c r="AC11" i="44"/>
  <c r="AC15" i="44"/>
  <c r="AC14" i="44"/>
  <c r="AC12" i="44"/>
  <c r="AC10" i="44"/>
  <c r="S31" i="44"/>
  <c r="AH9" i="44"/>
  <c r="AH15" i="44"/>
  <c r="AC23" i="44"/>
  <c r="X27" i="44"/>
  <c r="X33" i="44"/>
  <c r="AM35" i="44"/>
  <c r="AM34" i="44"/>
  <c r="AM14" i="44"/>
  <c r="AM33" i="44"/>
  <c r="AM32" i="44"/>
  <c r="AM12" i="44"/>
  <c r="AM40" i="44"/>
  <c r="AM41" i="44"/>
  <c r="AM21" i="44"/>
  <c r="AM8" i="44"/>
  <c r="AM7" i="44"/>
  <c r="AM23" i="44"/>
  <c r="AM22" i="44"/>
  <c r="AM11" i="44"/>
  <c r="AH23" i="44"/>
  <c r="AC35" i="44"/>
  <c r="X41" i="44"/>
  <c r="AM25" i="44"/>
  <c r="AM29" i="44"/>
  <c r="AM37" i="44"/>
  <c r="S18" i="44"/>
  <c r="S21" i="44"/>
  <c r="X20" i="44"/>
  <c r="AC16" i="44"/>
  <c r="AC20" i="44"/>
  <c r="S38" i="44"/>
  <c r="X36" i="44"/>
  <c r="S25" i="44"/>
  <c r="S35" i="44"/>
  <c r="AH11" i="44"/>
  <c r="AH19" i="44"/>
  <c r="X31" i="44"/>
  <c r="AM9" i="44"/>
  <c r="AM13" i="44"/>
  <c r="AC27" i="44"/>
  <c r="AC37" i="44"/>
  <c r="AH25" i="44"/>
  <c r="AH33" i="44"/>
  <c r="AM27" i="44"/>
  <c r="X12" i="44"/>
  <c r="X16" i="44"/>
  <c r="AC18" i="44"/>
  <c r="AH10" i="44"/>
  <c r="AH20" i="44"/>
  <c r="AC24" i="44"/>
  <c r="X26" i="44"/>
  <c r="X28" i="44"/>
  <c r="X30" i="44"/>
  <c r="X32" i="44"/>
  <c r="X34" i="44"/>
  <c r="X38" i="44"/>
  <c r="X40" i="44"/>
  <c r="AM10" i="44"/>
  <c r="AM16" i="44"/>
  <c r="AM18" i="44"/>
  <c r="AH24" i="44"/>
  <c r="AC26" i="44"/>
  <c r="AC28" i="44"/>
  <c r="AC34" i="44"/>
  <c r="AC36" i="44"/>
  <c r="AC38" i="44"/>
  <c r="AC40" i="44"/>
  <c r="S30" i="44"/>
  <c r="AM24" i="44"/>
  <c r="AH26" i="44"/>
  <c r="AH30" i="44"/>
  <c r="AH32" i="44"/>
  <c r="AH40" i="44"/>
  <c r="S10" i="44"/>
  <c r="AM26" i="44"/>
  <c r="AM28" i="44"/>
  <c r="AM30" i="44"/>
  <c r="AM36" i="44"/>
  <c r="AM38" i="44"/>
  <c r="X24" i="44"/>
  <c r="AC9" i="44"/>
  <c r="AW11" i="44"/>
  <c r="K19" i="44"/>
  <c r="S27" i="44"/>
  <c r="AW32" i="44"/>
  <c r="AR29" i="44"/>
  <c r="AW34" i="44"/>
  <c r="S24" i="44"/>
  <c r="X10" i="44"/>
  <c r="AR10" i="44"/>
  <c r="AW35" i="44"/>
  <c r="K20" i="44"/>
  <c r="K39" i="44"/>
  <c r="S7" i="44"/>
  <c r="S22" i="44"/>
  <c r="AH22" i="44"/>
  <c r="AR26" i="44"/>
  <c r="AR27" i="44"/>
  <c r="AR28" i="44"/>
  <c r="X13" i="44"/>
  <c r="AR33" i="44"/>
  <c r="AW18" i="44"/>
  <c r="AW31" i="44"/>
  <c r="AR7" i="44"/>
  <c r="AR8" i="44"/>
  <c r="AW33" i="44"/>
  <c r="AD7" i="44"/>
  <c r="AI7" i="44"/>
  <c r="S40" i="44"/>
  <c r="S20" i="44"/>
  <c r="X14" i="44"/>
  <c r="AC19" i="44"/>
  <c r="AR14" i="44"/>
  <c r="AW19" i="44"/>
  <c r="AW39" i="44"/>
  <c r="K24" i="44"/>
  <c r="AR35" i="44"/>
  <c r="K26" i="44"/>
  <c r="AW25" i="44"/>
  <c r="K38" i="44"/>
  <c r="AW27" i="44"/>
  <c r="AR37" i="44"/>
  <c r="AW22" i="44"/>
  <c r="K30" i="44"/>
  <c r="AR18" i="44"/>
  <c r="AR38" i="44"/>
  <c r="AW23" i="44"/>
  <c r="AR39" i="44"/>
  <c r="AW24" i="44"/>
  <c r="AR40" i="44"/>
  <c r="S32" i="44"/>
  <c r="AC7" i="44"/>
  <c r="AH12" i="44"/>
  <c r="K11" i="44"/>
  <c r="AC8" i="44"/>
  <c r="K8" i="52"/>
  <c r="Y7" i="52"/>
  <c r="K12" i="51"/>
  <c r="K10" i="51"/>
  <c r="K9" i="51"/>
  <c r="K8" i="51"/>
  <c r="AS7" i="51"/>
  <c r="AD7" i="51"/>
  <c r="AI7" i="51"/>
  <c r="AN7" i="49"/>
  <c r="K7" i="49"/>
  <c r="K15" i="49"/>
  <c r="K14" i="49"/>
  <c r="K13" i="49"/>
  <c r="K12" i="49"/>
  <c r="M12" i="49" s="1"/>
  <c r="K11" i="49"/>
  <c r="AI7" i="49"/>
  <c r="K12" i="48"/>
  <c r="K11" i="48"/>
  <c r="K10" i="48"/>
  <c r="K9" i="48"/>
  <c r="K8" i="48"/>
  <c r="M8" i="48" s="1"/>
  <c r="AD7" i="48"/>
  <c r="K7" i="48"/>
  <c r="M14" i="48" s="1"/>
  <c r="AX7" i="47"/>
  <c r="K8" i="47"/>
  <c r="M8" i="47" s="1"/>
  <c r="Y7" i="47"/>
  <c r="AI7" i="47"/>
  <c r="T7" i="45"/>
  <c r="K8" i="45"/>
  <c r="M8" i="45" s="1"/>
  <c r="AI7" i="45"/>
  <c r="AX7" i="44"/>
  <c r="Y7" i="44"/>
  <c r="K8" i="44"/>
  <c r="K7" i="44"/>
  <c r="M18" i="44" s="1"/>
  <c r="AN7" i="44"/>
  <c r="H7" i="44"/>
  <c r="K28" i="44"/>
  <c r="K31" i="44"/>
  <c r="K17" i="44"/>
  <c r="K37" i="44"/>
  <c r="K16" i="44"/>
  <c r="M16" i="44" s="1"/>
  <c r="K36" i="44"/>
  <c r="K15" i="44"/>
  <c r="K35" i="44"/>
  <c r="K34" i="44"/>
  <c r="K13" i="44"/>
  <c r="K33" i="44"/>
  <c r="K14" i="44"/>
  <c r="K12" i="44"/>
  <c r="K32" i="44"/>
  <c r="T7" i="44"/>
  <c r="K10" i="44"/>
  <c r="K9" i="44"/>
  <c r="K29" i="44"/>
  <c r="M11" i="52" l="1"/>
  <c r="M8" i="52"/>
  <c r="M9" i="52"/>
  <c r="M10" i="52"/>
  <c r="M8" i="51"/>
  <c r="M14" i="51"/>
  <c r="M9" i="51"/>
  <c r="M10" i="51"/>
  <c r="M11" i="51"/>
  <c r="M12" i="51"/>
  <c r="M13" i="51"/>
  <c r="M14" i="49"/>
  <c r="M9" i="49"/>
  <c r="M13" i="49"/>
  <c r="M15" i="49"/>
  <c r="M7" i="49"/>
  <c r="M10" i="49"/>
  <c r="M11" i="49"/>
  <c r="M8" i="49"/>
  <c r="M9" i="48"/>
  <c r="M10" i="48"/>
  <c r="M12" i="48"/>
  <c r="M11" i="48"/>
  <c r="M7" i="48"/>
  <c r="M13" i="48"/>
  <c r="M7" i="47"/>
  <c r="M10" i="47"/>
  <c r="M12" i="47"/>
  <c r="M9" i="47"/>
  <c r="M11" i="47"/>
  <c r="L7" i="46"/>
  <c r="M7" i="45"/>
  <c r="M10" i="45"/>
  <c r="M9" i="45"/>
  <c r="M40" i="44"/>
  <c r="M17" i="44"/>
  <c r="M30" i="44"/>
  <c r="M38" i="44"/>
  <c r="M8" i="44"/>
  <c r="M10" i="44"/>
  <c r="M24" i="44"/>
  <c r="M14" i="44"/>
  <c r="M11" i="44"/>
  <c r="M21" i="44"/>
  <c r="M7" i="44"/>
  <c r="M9" i="44"/>
  <c r="M26" i="44"/>
  <c r="M31" i="44"/>
  <c r="M29" i="44"/>
  <c r="M37" i="44"/>
  <c r="M28" i="44"/>
  <c r="M19" i="44"/>
  <c r="M32" i="44"/>
  <c r="M41" i="44"/>
  <c r="M12" i="44"/>
  <c r="M33" i="44"/>
  <c r="M39" i="44"/>
  <c r="M13" i="44"/>
  <c r="M20" i="44"/>
  <c r="M34" i="44"/>
  <c r="M35" i="44"/>
  <c r="M25" i="44"/>
  <c r="M23" i="44"/>
  <c r="M15" i="44"/>
  <c r="M36" i="44"/>
  <c r="M22" i="44"/>
  <c r="M27" i="44"/>
  <c r="L7" i="52"/>
  <c r="L7" i="51"/>
  <c r="L7" i="49"/>
  <c r="L7" i="48"/>
  <c r="L7" i="47"/>
  <c r="L7" i="45"/>
  <c r="L7" i="44"/>
  <c r="W9" i="5" l="1"/>
  <c r="K11" i="39" s="1"/>
  <c r="T9" i="5"/>
  <c r="K10" i="39" s="1"/>
  <c r="Q9" i="5"/>
  <c r="K9" i="39" s="1"/>
  <c r="N9" i="5"/>
  <c r="K8" i="39" s="1"/>
  <c r="H9" i="5"/>
  <c r="K6" i="39" s="1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G26" i="5"/>
  <c r="I26" i="5"/>
  <c r="M26" i="5"/>
  <c r="P26" i="5"/>
  <c r="S26" i="5"/>
  <c r="V26" i="5"/>
  <c r="I27" i="5"/>
  <c r="I28" i="5"/>
  <c r="I29" i="5"/>
  <c r="I30" i="5"/>
  <c r="I31" i="5"/>
  <c r="I32" i="5"/>
  <c r="G19" i="5"/>
  <c r="I19" i="5"/>
  <c r="M19" i="5"/>
  <c r="P19" i="5"/>
  <c r="S19" i="5"/>
  <c r="V19" i="5"/>
  <c r="I20" i="5"/>
  <c r="I21" i="5"/>
  <c r="I22" i="5"/>
  <c r="I23" i="5"/>
  <c r="I24" i="5"/>
  <c r="I25" i="5"/>
  <c r="U6" i="5"/>
  <c r="U7" i="5"/>
  <c r="U8" i="5"/>
  <c r="U9" i="5"/>
  <c r="U10" i="5"/>
  <c r="U11" i="5"/>
  <c r="U5" i="5"/>
  <c r="B12" i="5"/>
  <c r="B19" i="5" s="1"/>
  <c r="B26" i="5" s="1"/>
  <c r="B33" i="5" s="1"/>
  <c r="G12" i="5"/>
  <c r="I12" i="5"/>
  <c r="M12" i="5"/>
  <c r="P12" i="5"/>
  <c r="S12" i="5"/>
  <c r="V12" i="5"/>
  <c r="I13" i="5"/>
  <c r="I14" i="5"/>
  <c r="I15" i="5"/>
  <c r="I16" i="5"/>
  <c r="I17" i="5"/>
  <c r="I18" i="5"/>
  <c r="J26" i="5" l="1"/>
  <c r="J19" i="5"/>
  <c r="J33" i="5"/>
  <c r="I7" i="39" s="1"/>
  <c r="J12" i="5"/>
  <c r="G12" i="3" l="1"/>
  <c r="G26" i="3"/>
  <c r="J26" i="3"/>
  <c r="M26" i="3"/>
  <c r="O26" i="3"/>
  <c r="P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B7" i="39" s="1"/>
  <c r="M33" i="3"/>
  <c r="B8" i="39" s="1"/>
  <c r="O33" i="3"/>
  <c r="P33" i="3"/>
  <c r="B9" i="39" s="1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V33" i="3" l="1"/>
  <c r="B11" i="39" s="1"/>
  <c r="B6" i="39"/>
  <c r="B49" i="41" s="1"/>
  <c r="V26" i="3"/>
  <c r="P19" i="3"/>
  <c r="V19" i="3"/>
  <c r="P12" i="3"/>
  <c r="V12" i="3"/>
  <c r="D8" i="6" l="1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S12" i="6"/>
  <c r="F12" i="6" s="1"/>
  <c r="AL12" i="6" s="1"/>
  <c r="M12" i="6"/>
  <c r="AC11" i="6"/>
  <c r="S11" i="6"/>
  <c r="M11" i="6"/>
  <c r="F11" i="6" s="1"/>
  <c r="AC10" i="6"/>
  <c r="S10" i="6"/>
  <c r="M10" i="6"/>
  <c r="F10" i="6"/>
  <c r="AL10" i="6" s="1"/>
  <c r="AC9" i="6"/>
  <c r="S9" i="6"/>
  <c r="M9" i="6"/>
  <c r="F9" i="6"/>
  <c r="AL9" i="6" s="1"/>
  <c r="AC8" i="6"/>
  <c r="S8" i="6"/>
  <c r="M8" i="6"/>
  <c r="F8" i="6"/>
  <c r="AL8" i="6" s="1"/>
  <c r="AC7" i="6"/>
  <c r="S7" i="6"/>
  <c r="M7" i="6"/>
  <c r="AC13" i="7"/>
  <c r="S13" i="7"/>
  <c r="M13" i="7"/>
  <c r="F13" i="7"/>
  <c r="AL13" i="7" s="1"/>
  <c r="AC12" i="7"/>
  <c r="S12" i="7"/>
  <c r="M12" i="7"/>
  <c r="AC11" i="7"/>
  <c r="S11" i="7"/>
  <c r="M11" i="7"/>
  <c r="F11" i="7"/>
  <c r="AC10" i="7"/>
  <c r="S10" i="7"/>
  <c r="M10" i="7"/>
  <c r="F10" i="7" s="1"/>
  <c r="AL10" i="7" s="1"/>
  <c r="AC9" i="7"/>
  <c r="S9" i="7"/>
  <c r="M9" i="7"/>
  <c r="F9" i="7"/>
  <c r="AL9" i="7" s="1"/>
  <c r="AC8" i="7"/>
  <c r="S8" i="7"/>
  <c r="M8" i="7"/>
  <c r="F8" i="7"/>
  <c r="AL8" i="7" s="1"/>
  <c r="AC7" i="7"/>
  <c r="S7" i="7"/>
  <c r="M7" i="7"/>
  <c r="AL11" i="6" l="1"/>
  <c r="AD7" i="6"/>
  <c r="T13" i="6"/>
  <c r="T9" i="6"/>
  <c r="T10" i="6"/>
  <c r="AD13" i="6"/>
  <c r="AD9" i="6"/>
  <c r="N8" i="6"/>
  <c r="N13" i="6"/>
  <c r="AD8" i="6"/>
  <c r="N9" i="6"/>
  <c r="N10" i="6"/>
  <c r="N11" i="6"/>
  <c r="AD11" i="6"/>
  <c r="AD12" i="6"/>
  <c r="T8" i="6"/>
  <c r="F7" i="6"/>
  <c r="AL7" i="6" s="1"/>
  <c r="T12" i="6"/>
  <c r="AD10" i="6"/>
  <c r="T11" i="6"/>
  <c r="N7" i="6"/>
  <c r="N12" i="6"/>
  <c r="T7" i="7"/>
  <c r="N13" i="7"/>
  <c r="N9" i="7"/>
  <c r="N10" i="7"/>
  <c r="T13" i="7"/>
  <c r="T10" i="7"/>
  <c r="T9" i="7"/>
  <c r="AL11" i="7"/>
  <c r="T12" i="7"/>
  <c r="T8" i="7"/>
  <c r="N11" i="7"/>
  <c r="T11" i="7"/>
  <c r="N8" i="7"/>
  <c r="F7" i="7"/>
  <c r="AL7" i="7" s="1"/>
  <c r="F12" i="7"/>
  <c r="AL12" i="7" s="1"/>
  <c r="J9" i="6"/>
  <c r="L9" i="6"/>
  <c r="G7" i="6"/>
  <c r="J13" i="6"/>
  <c r="L7" i="6"/>
  <c r="L10" i="6"/>
  <c r="P11" i="6"/>
  <c r="R7" i="6"/>
  <c r="R12" i="6"/>
  <c r="V10" i="6"/>
  <c r="X10" i="6"/>
  <c r="Z13" i="6"/>
  <c r="J8" i="6"/>
  <c r="J10" i="6"/>
  <c r="L12" i="6"/>
  <c r="P8" i="6"/>
  <c r="P12" i="6"/>
  <c r="R8" i="6"/>
  <c r="R9" i="6"/>
  <c r="R10" i="6"/>
  <c r="R13" i="6"/>
  <c r="V12" i="6"/>
  <c r="X12" i="6"/>
  <c r="Z7" i="6"/>
  <c r="Z8" i="6"/>
  <c r="Z9" i="6"/>
  <c r="Z12" i="6"/>
  <c r="AB11" i="6"/>
  <c r="AF7" i="6"/>
  <c r="AF11" i="6"/>
  <c r="AH8" i="6"/>
  <c r="AH9" i="6"/>
  <c r="AH10" i="6"/>
  <c r="AH11" i="6"/>
  <c r="AH12" i="6"/>
  <c r="AH13" i="6"/>
  <c r="J11" i="6"/>
  <c r="L11" i="6"/>
  <c r="P7" i="6"/>
  <c r="P9" i="6"/>
  <c r="P10" i="6"/>
  <c r="P13" i="6"/>
  <c r="R11" i="6"/>
  <c r="V11" i="6"/>
  <c r="X7" i="6"/>
  <c r="X11" i="6"/>
  <c r="Z10" i="6"/>
  <c r="AB8" i="6"/>
  <c r="AB10" i="6"/>
  <c r="AB12" i="6"/>
  <c r="AF12" i="6"/>
  <c r="AJ7" i="6"/>
  <c r="AJ8" i="6"/>
  <c r="AJ9" i="6"/>
  <c r="AJ10" i="6"/>
  <c r="AJ11" i="6"/>
  <c r="AJ12" i="6"/>
  <c r="AJ13" i="6"/>
  <c r="J12" i="6"/>
  <c r="L8" i="6"/>
  <c r="L13" i="6"/>
  <c r="V7" i="6"/>
  <c r="V8" i="6"/>
  <c r="V9" i="6"/>
  <c r="V13" i="6"/>
  <c r="X8" i="6"/>
  <c r="X9" i="6"/>
  <c r="X13" i="6"/>
  <c r="Z11" i="6"/>
  <c r="AB9" i="6"/>
  <c r="AB13" i="6"/>
  <c r="AF8" i="6"/>
  <c r="AF9" i="6"/>
  <c r="AF10" i="6"/>
  <c r="AF13" i="6"/>
  <c r="J9" i="7"/>
  <c r="J13" i="7"/>
  <c r="L11" i="7"/>
  <c r="P8" i="7"/>
  <c r="P13" i="7"/>
  <c r="V11" i="7"/>
  <c r="X8" i="7"/>
  <c r="X9" i="7"/>
  <c r="X11" i="7"/>
  <c r="Z11" i="7"/>
  <c r="AB10" i="7"/>
  <c r="L8" i="7"/>
  <c r="R13" i="7"/>
  <c r="X13" i="7"/>
  <c r="AB11" i="7"/>
  <c r="AF13" i="7"/>
  <c r="AH7" i="7"/>
  <c r="AH8" i="7"/>
  <c r="AH9" i="7"/>
  <c r="AH10" i="7"/>
  <c r="AH11" i="7"/>
  <c r="AH13" i="7"/>
  <c r="J8" i="7"/>
  <c r="J11" i="7"/>
  <c r="L7" i="7"/>
  <c r="P7" i="7"/>
  <c r="P9" i="7"/>
  <c r="P10" i="7"/>
  <c r="P12" i="7"/>
  <c r="R7" i="7"/>
  <c r="R8" i="7"/>
  <c r="R9" i="7"/>
  <c r="R10" i="7"/>
  <c r="R12" i="7"/>
  <c r="V8" i="7"/>
  <c r="V10" i="7"/>
  <c r="V12" i="7"/>
  <c r="X10" i="7"/>
  <c r="Z8" i="7"/>
  <c r="Z9" i="7"/>
  <c r="Z13" i="7"/>
  <c r="AB8" i="7"/>
  <c r="AB9" i="7"/>
  <c r="AB13" i="7"/>
  <c r="AD7" i="7"/>
  <c r="AD8" i="7"/>
  <c r="AD9" i="7"/>
  <c r="AD10" i="7"/>
  <c r="AD11" i="7"/>
  <c r="AD12" i="7"/>
  <c r="AF7" i="7"/>
  <c r="AF8" i="7"/>
  <c r="AF9" i="7"/>
  <c r="AF10" i="7"/>
  <c r="AF11" i="7"/>
  <c r="AJ7" i="7"/>
  <c r="AJ8" i="7"/>
  <c r="AJ9" i="7"/>
  <c r="AJ10" i="7"/>
  <c r="AJ11" i="7"/>
  <c r="AJ13" i="7"/>
  <c r="J10" i="7"/>
  <c r="L9" i="7"/>
  <c r="L10" i="7"/>
  <c r="L13" i="7"/>
  <c r="P11" i="7"/>
  <c r="R11" i="7"/>
  <c r="V7" i="7"/>
  <c r="V9" i="7"/>
  <c r="V13" i="7"/>
  <c r="X7" i="7"/>
  <c r="X12" i="7"/>
  <c r="Z7" i="7"/>
  <c r="Z10" i="7"/>
  <c r="AB7" i="7"/>
  <c r="AD13" i="7"/>
  <c r="AF12" i="7"/>
  <c r="J7" i="7" l="1"/>
  <c r="N7" i="7"/>
  <c r="T7" i="6"/>
  <c r="J7" i="6"/>
  <c r="AB7" i="6"/>
  <c r="AH7" i="6"/>
  <c r="J12" i="7"/>
  <c r="L12" i="7"/>
  <c r="AJ12" i="7"/>
  <c r="AB12" i="7"/>
  <c r="AH12" i="7"/>
  <c r="Z12" i="7"/>
  <c r="G7" i="7"/>
  <c r="N12" i="7"/>
  <c r="C54" i="41"/>
  <c r="C53" i="41"/>
  <c r="K54" i="41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M14" i="20" s="1"/>
  <c r="K14" i="20" s="1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14" i="19" s="1"/>
  <c r="M38" i="20" l="1"/>
  <c r="K38" i="20" s="1"/>
  <c r="M22" i="62"/>
  <c r="K22" i="62" s="1"/>
  <c r="M30" i="62"/>
  <c r="K30" i="62" s="1"/>
  <c r="M22" i="20"/>
  <c r="K22" i="20" s="1"/>
  <c r="M30" i="20"/>
  <c r="K30" i="20" s="1"/>
  <c r="M30" i="19"/>
  <c r="M14" i="62"/>
  <c r="K14" i="62" s="1"/>
  <c r="AH95" i="66"/>
  <c r="AI95" i="66"/>
  <c r="AJ95" i="66"/>
  <c r="AK95" i="66"/>
  <c r="AL95" i="66"/>
  <c r="AM95" i="66"/>
  <c r="AH96" i="66"/>
  <c r="AI96" i="66"/>
  <c r="AM96" i="66"/>
  <c r="AG95" i="66"/>
  <c r="AG96" i="66"/>
  <c r="S112" i="66"/>
  <c r="R112" i="66"/>
  <c r="O112" i="66"/>
  <c r="T112" i="66" s="1"/>
  <c r="N112" i="66"/>
  <c r="L112" i="66"/>
  <c r="J112" i="66"/>
  <c r="S111" i="66"/>
  <c r="R111" i="66"/>
  <c r="O111" i="66"/>
  <c r="P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F108" i="66" s="1"/>
  <c r="N108" i="66"/>
  <c r="L108" i="66"/>
  <c r="J108" i="66"/>
  <c r="S107" i="66"/>
  <c r="R107" i="66"/>
  <c r="O107" i="66"/>
  <c r="P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F105" i="66" s="1"/>
  <c r="N105" i="66"/>
  <c r="L105" i="66"/>
  <c r="J105" i="66"/>
  <c r="S104" i="66"/>
  <c r="R104" i="66"/>
  <c r="O104" i="66"/>
  <c r="P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P102" i="66" s="1"/>
  <c r="N102" i="66"/>
  <c r="L102" i="66"/>
  <c r="J102" i="66"/>
  <c r="S101" i="66"/>
  <c r="R101" i="66"/>
  <c r="O101" i="66"/>
  <c r="P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P98" i="66" s="1"/>
  <c r="N98" i="66"/>
  <c r="L98" i="66"/>
  <c r="J98" i="66"/>
  <c r="S97" i="66"/>
  <c r="R97" i="66"/>
  <c r="O97" i="66"/>
  <c r="T97" i="66" s="1"/>
  <c r="V97" i="66" s="1"/>
  <c r="N97" i="66"/>
  <c r="L97" i="66"/>
  <c r="J97" i="66"/>
  <c r="S96" i="66"/>
  <c r="R96" i="66"/>
  <c r="O96" i="66"/>
  <c r="T96" i="66" s="1"/>
  <c r="V96" i="66" s="1"/>
  <c r="N96" i="66"/>
  <c r="L96" i="66"/>
  <c r="J96" i="66"/>
  <c r="AF95" i="66"/>
  <c r="S95" i="66"/>
  <c r="R95" i="66"/>
  <c r="O95" i="66"/>
  <c r="P95" i="66" s="1"/>
  <c r="N95" i="66"/>
  <c r="L95" i="66"/>
  <c r="J95" i="66"/>
  <c r="S94" i="66"/>
  <c r="R94" i="66"/>
  <c r="O94" i="66"/>
  <c r="T94" i="66" s="1"/>
  <c r="N94" i="66"/>
  <c r="L94" i="66"/>
  <c r="J94" i="66"/>
  <c r="S93" i="66"/>
  <c r="R93" i="66"/>
  <c r="O93" i="66"/>
  <c r="T93" i="66" s="1"/>
  <c r="N93" i="66"/>
  <c r="L93" i="66"/>
  <c r="J93" i="66"/>
  <c r="AH95" i="63"/>
  <c r="AI95" i="63"/>
  <c r="AJ95" i="63"/>
  <c r="AK95" i="63"/>
  <c r="AL95" i="63"/>
  <c r="AM95" i="63"/>
  <c r="AH96" i="63"/>
  <c r="AJ96" i="63"/>
  <c r="AM96" i="63"/>
  <c r="AG95" i="63"/>
  <c r="R112" i="63"/>
  <c r="O112" i="63"/>
  <c r="S112" i="63" s="1"/>
  <c r="N112" i="63"/>
  <c r="L112" i="63"/>
  <c r="J112" i="63"/>
  <c r="F112" i="63"/>
  <c r="R111" i="63"/>
  <c r="O111" i="63"/>
  <c r="P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V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V99" i="63" s="1"/>
  <c r="N99" i="63"/>
  <c r="L99" i="63"/>
  <c r="J99" i="63"/>
  <c r="F99" i="63"/>
  <c r="R98" i="63"/>
  <c r="O98" i="63"/>
  <c r="P98" i="63" s="1"/>
  <c r="N98" i="63"/>
  <c r="L98" i="63"/>
  <c r="J98" i="63"/>
  <c r="F98" i="63"/>
  <c r="R97" i="63"/>
  <c r="O97" i="63"/>
  <c r="P97" i="63" s="1"/>
  <c r="N97" i="63"/>
  <c r="L97" i="63"/>
  <c r="J97" i="63"/>
  <c r="F97" i="63"/>
  <c r="AI96" i="63" s="1"/>
  <c r="R96" i="63"/>
  <c r="O96" i="63"/>
  <c r="P96" i="63" s="1"/>
  <c r="N96" i="63"/>
  <c r="L96" i="63"/>
  <c r="J96" i="63"/>
  <c r="F96" i="63"/>
  <c r="AF95" i="63"/>
  <c r="R95" i="63"/>
  <c r="O95" i="63"/>
  <c r="S95" i="63" s="1"/>
  <c r="N95" i="63"/>
  <c r="L95" i="63"/>
  <c r="J95" i="63"/>
  <c r="F95" i="63"/>
  <c r="R94" i="63"/>
  <c r="O94" i="63"/>
  <c r="P94" i="63" s="1"/>
  <c r="N94" i="63"/>
  <c r="L94" i="63"/>
  <c r="J94" i="63"/>
  <c r="F94" i="63"/>
  <c r="AI118" i="63" s="1"/>
  <c r="R93" i="63"/>
  <c r="O93" i="63"/>
  <c r="S93" i="63" s="1"/>
  <c r="N93" i="63"/>
  <c r="L93" i="63"/>
  <c r="J93" i="63"/>
  <c r="F93" i="63"/>
  <c r="B8" i="25"/>
  <c r="A8" i="25"/>
  <c r="AI97" i="66" l="1"/>
  <c r="K65" i="41" s="1"/>
  <c r="AG96" i="63"/>
  <c r="F53" i="41" s="1"/>
  <c r="AG118" i="63"/>
  <c r="AK96" i="63"/>
  <c r="F58" i="41" s="1"/>
  <c r="AK118" i="63"/>
  <c r="AL96" i="63"/>
  <c r="H58" i="41" s="1"/>
  <c r="AL118" i="63"/>
  <c r="T104" i="66"/>
  <c r="V104" i="66" s="1"/>
  <c r="X104" i="66" s="1"/>
  <c r="AH97" i="66"/>
  <c r="I54" i="41" s="1"/>
  <c r="T98" i="66"/>
  <c r="V98" i="66" s="1"/>
  <c r="X98" i="66" s="1"/>
  <c r="T101" i="66"/>
  <c r="V101" i="66" s="1"/>
  <c r="W101" i="66" s="1"/>
  <c r="P108" i="66"/>
  <c r="F54" i="41"/>
  <c r="AG97" i="66"/>
  <c r="G54" i="41" s="1"/>
  <c r="J54" i="41"/>
  <c r="H54" i="41"/>
  <c r="AM97" i="66"/>
  <c r="K59" i="41" s="1"/>
  <c r="AL97" i="66"/>
  <c r="I59" i="41" s="1"/>
  <c r="AK97" i="66"/>
  <c r="G59" i="41" s="1"/>
  <c r="AJ97" i="66"/>
  <c r="M54" i="41" s="1"/>
  <c r="J59" i="41"/>
  <c r="J58" i="41"/>
  <c r="L53" i="41"/>
  <c r="H53" i="41"/>
  <c r="J53" i="41"/>
  <c r="AG97" i="63"/>
  <c r="G53" i="41" s="1"/>
  <c r="AM97" i="63"/>
  <c r="K58" i="41" s="1"/>
  <c r="AK97" i="63"/>
  <c r="G58" i="41" s="1"/>
  <c r="AJ97" i="63"/>
  <c r="M53" i="41" s="1"/>
  <c r="AI97" i="63"/>
  <c r="K53" i="41" s="1"/>
  <c r="AH97" i="63"/>
  <c r="I53" i="41" s="1"/>
  <c r="AL97" i="63"/>
  <c r="P97" i="66"/>
  <c r="P93" i="66"/>
  <c r="P96" i="66"/>
  <c r="T107" i="66"/>
  <c r="F107" i="66" s="1"/>
  <c r="P99" i="66"/>
  <c r="P105" i="66"/>
  <c r="T102" i="66"/>
  <c r="F102" i="66" s="1"/>
  <c r="T95" i="66"/>
  <c r="V95" i="66" s="1"/>
  <c r="W95" i="66" s="1"/>
  <c r="T111" i="66"/>
  <c r="U105" i="66"/>
  <c r="F97" i="66"/>
  <c r="U108" i="66"/>
  <c r="F96" i="66"/>
  <c r="V108" i="66"/>
  <c r="X108" i="66" s="1"/>
  <c r="P107" i="63"/>
  <c r="S105" i="63"/>
  <c r="V105" i="63" s="1"/>
  <c r="W105" i="63" s="1"/>
  <c r="V108" i="63"/>
  <c r="X108" i="63" s="1"/>
  <c r="U108" i="63"/>
  <c r="T108" i="63"/>
  <c r="P108" i="63"/>
  <c r="S111" i="63"/>
  <c r="V111" i="63" s="1"/>
  <c r="X111" i="63" s="1"/>
  <c r="P104" i="63"/>
  <c r="F99" i="66"/>
  <c r="V99" i="66"/>
  <c r="U99" i="66"/>
  <c r="V110" i="66"/>
  <c r="U110" i="66"/>
  <c r="F110" i="66"/>
  <c r="F94" i="66"/>
  <c r="V94" i="66"/>
  <c r="U94" i="66"/>
  <c r="X97" i="66"/>
  <c r="W97" i="66"/>
  <c r="F100" i="66"/>
  <c r="V100" i="66"/>
  <c r="U100" i="66"/>
  <c r="U103" i="66"/>
  <c r="F103" i="66"/>
  <c r="V103" i="66"/>
  <c r="V106" i="66"/>
  <c r="U106" i="66"/>
  <c r="F106" i="66"/>
  <c r="X96" i="66"/>
  <c r="W96" i="66"/>
  <c r="V109" i="66"/>
  <c r="U109" i="66"/>
  <c r="F109" i="66"/>
  <c r="V112" i="66"/>
  <c r="U112" i="66"/>
  <c r="F112" i="66"/>
  <c r="F93" i="66"/>
  <c r="V93" i="66"/>
  <c r="U93" i="66"/>
  <c r="V105" i="66"/>
  <c r="P110" i="66"/>
  <c r="U104" i="66"/>
  <c r="P112" i="66"/>
  <c r="P109" i="66"/>
  <c r="U96" i="66"/>
  <c r="U97" i="66"/>
  <c r="P106" i="66"/>
  <c r="P103" i="66"/>
  <c r="P94" i="66"/>
  <c r="P100" i="66"/>
  <c r="S94" i="63"/>
  <c r="T94" i="63" s="1"/>
  <c r="P99" i="63"/>
  <c r="P102" i="63"/>
  <c r="S97" i="63"/>
  <c r="V97" i="63" s="1"/>
  <c r="W97" i="63" s="1"/>
  <c r="S96" i="63"/>
  <c r="V96" i="63" s="1"/>
  <c r="X96" i="63" s="1"/>
  <c r="S98" i="63"/>
  <c r="V98" i="63" s="1"/>
  <c r="X98" i="63" s="1"/>
  <c r="V95" i="63"/>
  <c r="U95" i="63"/>
  <c r="T95" i="63"/>
  <c r="V110" i="63"/>
  <c r="U110" i="63"/>
  <c r="T110" i="63"/>
  <c r="X99" i="63"/>
  <c r="W99" i="63"/>
  <c r="X102" i="63"/>
  <c r="W102" i="63"/>
  <c r="V93" i="63"/>
  <c r="U93" i="63"/>
  <c r="T93" i="63"/>
  <c r="T100" i="63"/>
  <c r="V100" i="63"/>
  <c r="U100" i="63"/>
  <c r="U103" i="63"/>
  <c r="T103" i="63"/>
  <c r="V103" i="63"/>
  <c r="V106" i="63"/>
  <c r="U106" i="63"/>
  <c r="T106" i="63"/>
  <c r="V101" i="63"/>
  <c r="U101" i="63"/>
  <c r="T101" i="63"/>
  <c r="V104" i="63"/>
  <c r="U104" i="63"/>
  <c r="T104" i="63"/>
  <c r="V109" i="63"/>
  <c r="U109" i="63"/>
  <c r="T109" i="63"/>
  <c r="V107" i="63"/>
  <c r="U107" i="63"/>
  <c r="T107" i="63"/>
  <c r="V112" i="63"/>
  <c r="U112" i="63"/>
  <c r="T112" i="63"/>
  <c r="P93" i="63"/>
  <c r="T102" i="63"/>
  <c r="T99" i="63"/>
  <c r="U102" i="63"/>
  <c r="P110" i="63"/>
  <c r="U99" i="63"/>
  <c r="P95" i="63"/>
  <c r="P101" i="63"/>
  <c r="P112" i="63"/>
  <c r="P109" i="63"/>
  <c r="P106" i="63"/>
  <c r="P103" i="63"/>
  <c r="P100" i="63"/>
  <c r="V102" i="66" l="1"/>
  <c r="X102" i="66" s="1"/>
  <c r="F104" i="66"/>
  <c r="AK96" i="66"/>
  <c r="F59" i="41" s="1"/>
  <c r="AK118" i="66"/>
  <c r="AL118" i="66"/>
  <c r="T111" i="63"/>
  <c r="T105" i="63"/>
  <c r="U111" i="63"/>
  <c r="W104" i="66"/>
  <c r="U95" i="66"/>
  <c r="X95" i="66"/>
  <c r="U102" i="66"/>
  <c r="W98" i="66"/>
  <c r="U101" i="66"/>
  <c r="F101" i="66"/>
  <c r="U98" i="66"/>
  <c r="X101" i="66"/>
  <c r="F98" i="66"/>
  <c r="W111" i="63"/>
  <c r="F95" i="66"/>
  <c r="V107" i="66"/>
  <c r="U107" i="66"/>
  <c r="V111" i="66"/>
  <c r="U111" i="66"/>
  <c r="F111" i="66"/>
  <c r="AL96" i="66" s="1"/>
  <c r="H59" i="41" s="1"/>
  <c r="W108" i="66"/>
  <c r="X105" i="63"/>
  <c r="U105" i="63"/>
  <c r="W108" i="63"/>
  <c r="T97" i="63"/>
  <c r="T96" i="63"/>
  <c r="U97" i="63"/>
  <c r="X93" i="66"/>
  <c r="W93" i="66"/>
  <c r="X103" i="66"/>
  <c r="W103" i="66"/>
  <c r="X112" i="66"/>
  <c r="W112" i="66"/>
  <c r="X94" i="66"/>
  <c r="W94" i="66"/>
  <c r="X105" i="66"/>
  <c r="W105" i="66"/>
  <c r="X99" i="66"/>
  <c r="W99" i="66"/>
  <c r="X106" i="66"/>
  <c r="W106" i="66"/>
  <c r="X100" i="66"/>
  <c r="W100" i="66"/>
  <c r="W109" i="66"/>
  <c r="X109" i="66"/>
  <c r="X110" i="66"/>
  <c r="W110" i="66"/>
  <c r="X97" i="63"/>
  <c r="W96" i="63"/>
  <c r="V94" i="63"/>
  <c r="X94" i="63" s="1"/>
  <c r="U98" i="63"/>
  <c r="U94" i="63"/>
  <c r="U96" i="63"/>
  <c r="T98" i="63"/>
  <c r="W98" i="63"/>
  <c r="X100" i="63"/>
  <c r="W100" i="63"/>
  <c r="X93" i="63"/>
  <c r="W93" i="63"/>
  <c r="X104" i="63"/>
  <c r="W104" i="63"/>
  <c r="X101" i="63"/>
  <c r="W101" i="63"/>
  <c r="X106" i="63"/>
  <c r="W106" i="63"/>
  <c r="X110" i="63"/>
  <c r="W110" i="63"/>
  <c r="X112" i="63"/>
  <c r="W112" i="63"/>
  <c r="X103" i="63"/>
  <c r="W103" i="63"/>
  <c r="X107" i="63"/>
  <c r="W107" i="63"/>
  <c r="W109" i="63"/>
  <c r="X109" i="63"/>
  <c r="X95" i="63"/>
  <c r="W95" i="63"/>
  <c r="W102" i="66" l="1"/>
  <c r="AJ96" i="66"/>
  <c r="L54" i="41" s="1"/>
  <c r="AJ118" i="66"/>
  <c r="X111" i="66"/>
  <c r="W111" i="66"/>
  <c r="W107" i="66"/>
  <c r="X107" i="66"/>
  <c r="W94" i="63"/>
  <c r="R67" i="63" l="1"/>
  <c r="O67" i="63"/>
  <c r="S67" i="63" s="1"/>
  <c r="N67" i="63"/>
  <c r="L67" i="63"/>
  <c r="J67" i="63"/>
  <c r="F67" i="63"/>
  <c r="R66" i="63"/>
  <c r="O66" i="63"/>
  <c r="P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AG73" i="66"/>
  <c r="AH73" i="66"/>
  <c r="AI73" i="66"/>
  <c r="AJ73" i="66"/>
  <c r="AJ75" i="66" s="1"/>
  <c r="M43" i="41" s="1"/>
  <c r="AK73" i="66"/>
  <c r="AK75" i="66" s="1"/>
  <c r="G48" i="41" s="1"/>
  <c r="AL73" i="66"/>
  <c r="AL75" i="66" s="1"/>
  <c r="I48" i="41" s="1"/>
  <c r="AM73" i="66"/>
  <c r="AM75" i="66" s="1"/>
  <c r="K48" i="41" s="1"/>
  <c r="AH74" i="66"/>
  <c r="H43" i="41" s="1"/>
  <c r="AI74" i="66"/>
  <c r="J43" i="41" s="1"/>
  <c r="AM74" i="66"/>
  <c r="J48" i="41" s="1"/>
  <c r="AG74" i="66"/>
  <c r="F43" i="41" s="1"/>
  <c r="S90" i="66"/>
  <c r="R90" i="66"/>
  <c r="O90" i="66"/>
  <c r="T90" i="66" s="1"/>
  <c r="N90" i="66"/>
  <c r="L90" i="66"/>
  <c r="J90" i="66"/>
  <c r="S89" i="66"/>
  <c r="R89" i="66"/>
  <c r="O89" i="66"/>
  <c r="P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F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P84" i="66" s="1"/>
  <c r="N84" i="66"/>
  <c r="L84" i="66"/>
  <c r="J84" i="66"/>
  <c r="S83" i="66"/>
  <c r="R83" i="66"/>
  <c r="O83" i="66"/>
  <c r="P83" i="66" s="1"/>
  <c r="N83" i="66"/>
  <c r="L83" i="66"/>
  <c r="J83" i="66"/>
  <c r="S82" i="66"/>
  <c r="R82" i="66"/>
  <c r="O82" i="66"/>
  <c r="P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P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T74" i="66" s="1"/>
  <c r="N74" i="66"/>
  <c r="L74" i="66"/>
  <c r="J74" i="66"/>
  <c r="AF73" i="66"/>
  <c r="S73" i="66"/>
  <c r="R73" i="66"/>
  <c r="O73" i="66"/>
  <c r="T73" i="66" s="1"/>
  <c r="N73" i="66"/>
  <c r="L73" i="66"/>
  <c r="J73" i="66"/>
  <c r="S72" i="66"/>
  <c r="R72" i="66"/>
  <c r="O72" i="66"/>
  <c r="T72" i="66" s="1"/>
  <c r="N72" i="66"/>
  <c r="L72" i="66"/>
  <c r="J72" i="66"/>
  <c r="S71" i="66"/>
  <c r="R71" i="66"/>
  <c r="O71" i="66"/>
  <c r="P71" i="66" s="1"/>
  <c r="N71" i="66"/>
  <c r="L71" i="66"/>
  <c r="J71" i="66"/>
  <c r="AH51" i="66"/>
  <c r="AI51" i="66"/>
  <c r="AI53" i="66" s="1"/>
  <c r="K32" i="41" s="1"/>
  <c r="AJ51" i="66"/>
  <c r="AJ53" i="66" s="1"/>
  <c r="M32" i="41" s="1"/>
  <c r="AK51" i="66"/>
  <c r="AK53" i="66" s="1"/>
  <c r="G37" i="41" s="1"/>
  <c r="AL51" i="66"/>
  <c r="AL53" i="66" s="1"/>
  <c r="I37" i="41" s="1"/>
  <c r="AM51" i="66"/>
  <c r="AM53" i="66" s="1"/>
  <c r="K37" i="41" s="1"/>
  <c r="AH52" i="66"/>
  <c r="H32" i="41" s="1"/>
  <c r="AI52" i="66"/>
  <c r="J32" i="41" s="1"/>
  <c r="AM52" i="66"/>
  <c r="J37" i="41" s="1"/>
  <c r="AG52" i="66"/>
  <c r="F32" i="41" s="1"/>
  <c r="AG51" i="66"/>
  <c r="S68" i="66"/>
  <c r="R68" i="66"/>
  <c r="O68" i="66"/>
  <c r="T68" i="66" s="1"/>
  <c r="V68" i="66" s="1"/>
  <c r="N68" i="66"/>
  <c r="L68" i="66"/>
  <c r="J68" i="66"/>
  <c r="S67" i="66"/>
  <c r="R67" i="66"/>
  <c r="O67" i="66"/>
  <c r="P67" i="66" s="1"/>
  <c r="N67" i="66"/>
  <c r="L67" i="66"/>
  <c r="J67" i="66"/>
  <c r="S66" i="66"/>
  <c r="R66" i="66"/>
  <c r="O66" i="66"/>
  <c r="P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F64" i="66" s="1"/>
  <c r="N64" i="66"/>
  <c r="L64" i="66"/>
  <c r="J64" i="66"/>
  <c r="S63" i="66"/>
  <c r="R63" i="66"/>
  <c r="O63" i="66"/>
  <c r="P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P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P58" i="66" s="1"/>
  <c r="N58" i="66"/>
  <c r="L58" i="66"/>
  <c r="J58" i="66"/>
  <c r="S57" i="66"/>
  <c r="R57" i="66"/>
  <c r="O57" i="66"/>
  <c r="P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P54" i="66" s="1"/>
  <c r="N54" i="66"/>
  <c r="L54" i="66"/>
  <c r="J54" i="66"/>
  <c r="S53" i="66"/>
  <c r="R53" i="66"/>
  <c r="O53" i="66"/>
  <c r="P53" i="66" s="1"/>
  <c r="N53" i="66"/>
  <c r="L53" i="66"/>
  <c r="J53" i="66"/>
  <c r="S52" i="66"/>
  <c r="R52" i="66"/>
  <c r="O52" i="66"/>
  <c r="P52" i="66" s="1"/>
  <c r="N52" i="66"/>
  <c r="L52" i="66"/>
  <c r="J52" i="66"/>
  <c r="AF51" i="66"/>
  <c r="S51" i="66"/>
  <c r="R51" i="66"/>
  <c r="O51" i="66"/>
  <c r="T51" i="66" s="1"/>
  <c r="V51" i="66" s="1"/>
  <c r="N51" i="66"/>
  <c r="L51" i="66"/>
  <c r="J51" i="66"/>
  <c r="S50" i="66"/>
  <c r="R50" i="66"/>
  <c r="O50" i="66"/>
  <c r="T50" i="66" s="1"/>
  <c r="N50" i="66"/>
  <c r="L50" i="66"/>
  <c r="J50" i="66"/>
  <c r="S49" i="66"/>
  <c r="R49" i="66"/>
  <c r="O49" i="66"/>
  <c r="P49" i="66" s="1"/>
  <c r="N49" i="66"/>
  <c r="L49" i="66"/>
  <c r="J49" i="66"/>
  <c r="AH73" i="63"/>
  <c r="AI73" i="63"/>
  <c r="AI75" i="63" s="1"/>
  <c r="K42" i="41" s="1"/>
  <c r="AJ73" i="63"/>
  <c r="AJ75" i="63" s="1"/>
  <c r="M42" i="41" s="1"/>
  <c r="AK73" i="63"/>
  <c r="AK75" i="63" s="1"/>
  <c r="G47" i="41" s="1"/>
  <c r="AL73" i="63"/>
  <c r="AL75" i="63" s="1"/>
  <c r="I47" i="41" s="1"/>
  <c r="AM73" i="63"/>
  <c r="AM75" i="63" s="1"/>
  <c r="K47" i="41" s="1"/>
  <c r="AH74" i="63"/>
  <c r="H42" i="41" s="1"/>
  <c r="AJ74" i="63"/>
  <c r="L42" i="41" s="1"/>
  <c r="AK74" i="63"/>
  <c r="F47" i="41" s="1"/>
  <c r="AM74" i="63"/>
  <c r="J47" i="41" s="1"/>
  <c r="AG73" i="63"/>
  <c r="AF73" i="63"/>
  <c r="AH51" i="63"/>
  <c r="AI51" i="63"/>
  <c r="AJ51" i="63"/>
  <c r="AK51" i="63"/>
  <c r="AL51" i="63"/>
  <c r="AM51" i="63"/>
  <c r="AH52" i="63"/>
  <c r="H31" i="41" s="1"/>
  <c r="AJ52" i="63"/>
  <c r="L31" i="41" s="1"/>
  <c r="AM52" i="63"/>
  <c r="J36" i="41" s="1"/>
  <c r="AG5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S86" i="63" s="1"/>
  <c r="U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S84" i="63" s="1"/>
  <c r="N84" i="63"/>
  <c r="L84" i="63"/>
  <c r="J84" i="63"/>
  <c r="F84" i="63"/>
  <c r="R83" i="63"/>
  <c r="O83" i="63"/>
  <c r="P83" i="63" s="1"/>
  <c r="N83" i="63"/>
  <c r="L83" i="63"/>
  <c r="J83" i="63"/>
  <c r="F83" i="63"/>
  <c r="R82" i="63"/>
  <c r="O82" i="63"/>
  <c r="S82" i="63" s="1"/>
  <c r="N82" i="63"/>
  <c r="L82" i="63"/>
  <c r="J82" i="63"/>
  <c r="F82" i="63"/>
  <c r="R81" i="63"/>
  <c r="O81" i="63"/>
  <c r="S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S77" i="63" s="1"/>
  <c r="N77" i="63"/>
  <c r="L77" i="63"/>
  <c r="J77" i="63"/>
  <c r="F77" i="63"/>
  <c r="R76" i="63"/>
  <c r="O76" i="63"/>
  <c r="S76" i="63" s="1"/>
  <c r="N76" i="63"/>
  <c r="L76" i="63"/>
  <c r="J76" i="63"/>
  <c r="F76" i="63"/>
  <c r="R75" i="63"/>
  <c r="O75" i="63"/>
  <c r="S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R72" i="63"/>
  <c r="O72" i="63"/>
  <c r="P72" i="63" s="1"/>
  <c r="N72" i="63"/>
  <c r="L72" i="63"/>
  <c r="J72" i="63"/>
  <c r="F72" i="63"/>
  <c r="R71" i="63"/>
  <c r="O71" i="63"/>
  <c r="P71" i="63" s="1"/>
  <c r="N71" i="63"/>
  <c r="L71" i="63"/>
  <c r="J71" i="63"/>
  <c r="F71" i="63"/>
  <c r="AL74" i="63" s="1"/>
  <c r="H47" i="41" s="1"/>
  <c r="R68" i="63"/>
  <c r="O68" i="63"/>
  <c r="S68" i="63" s="1"/>
  <c r="N68" i="63"/>
  <c r="L68" i="63"/>
  <c r="J68" i="63"/>
  <c r="F68" i="63"/>
  <c r="R60" i="63"/>
  <c r="O60" i="63"/>
  <c r="S60" i="63" s="1"/>
  <c r="N60" i="63"/>
  <c r="L60" i="63"/>
  <c r="J60" i="63"/>
  <c r="F60" i="63"/>
  <c r="R59" i="63"/>
  <c r="O59" i="63"/>
  <c r="P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T56" i="63" s="1"/>
  <c r="N56" i="63"/>
  <c r="L56" i="63"/>
  <c r="J56" i="63"/>
  <c r="F56" i="63"/>
  <c r="R55" i="63"/>
  <c r="O55" i="63"/>
  <c r="S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N53" i="63"/>
  <c r="L53" i="63"/>
  <c r="J53" i="63"/>
  <c r="F53" i="63"/>
  <c r="R52" i="63"/>
  <c r="O52" i="63"/>
  <c r="S52" i="63" s="1"/>
  <c r="N52" i="63"/>
  <c r="L52" i="63"/>
  <c r="J52" i="63"/>
  <c r="F52" i="63"/>
  <c r="AF51" i="63"/>
  <c r="R51" i="63"/>
  <c r="O51" i="63"/>
  <c r="S51" i="63" s="1"/>
  <c r="N51" i="63"/>
  <c r="L51" i="63"/>
  <c r="J51" i="63"/>
  <c r="F51" i="63"/>
  <c r="R50" i="63"/>
  <c r="O50" i="63"/>
  <c r="P50" i="63" s="1"/>
  <c r="N50" i="63"/>
  <c r="L50" i="63"/>
  <c r="J50" i="63"/>
  <c r="F50" i="63"/>
  <c r="R49" i="63"/>
  <c r="O49" i="63"/>
  <c r="S49" i="63" s="1"/>
  <c r="N49" i="63"/>
  <c r="L49" i="63"/>
  <c r="J49" i="63"/>
  <c r="F49" i="63"/>
  <c r="AH53" i="66" l="1"/>
  <c r="I32" i="41" s="1"/>
  <c r="AG53" i="66"/>
  <c r="G32" i="41" s="1"/>
  <c r="AI75" i="66"/>
  <c r="K43" i="41" s="1"/>
  <c r="AH75" i="66"/>
  <c r="I43" i="41" s="1"/>
  <c r="AG75" i="66"/>
  <c r="G43" i="41" s="1"/>
  <c r="AK52" i="63"/>
  <c r="F36" i="41" s="1"/>
  <c r="C32" i="41"/>
  <c r="K78" i="62"/>
  <c r="K86" i="62"/>
  <c r="K70" i="62"/>
  <c r="K102" i="20"/>
  <c r="K86" i="19"/>
  <c r="K94" i="20"/>
  <c r="K78" i="19"/>
  <c r="K86" i="20"/>
  <c r="K110" i="20"/>
  <c r="K70" i="19"/>
  <c r="AI74" i="63"/>
  <c r="J42" i="41" s="1"/>
  <c r="AG74" i="63"/>
  <c r="F42" i="41" s="1"/>
  <c r="U63" i="63"/>
  <c r="T63" i="63"/>
  <c r="V63" i="63"/>
  <c r="X63" i="63" s="1"/>
  <c r="AH75" i="63"/>
  <c r="I42" i="41" s="1"/>
  <c r="P62" i="63"/>
  <c r="AL53" i="63"/>
  <c r="I36" i="41" s="1"/>
  <c r="AK53" i="63"/>
  <c r="G36" i="41" s="1"/>
  <c r="AG53" i="63"/>
  <c r="G31" i="41" s="1"/>
  <c r="AM53" i="63"/>
  <c r="K36" i="41" s="1"/>
  <c r="AJ53" i="63"/>
  <c r="M31" i="41" s="1"/>
  <c r="AI52" i="63"/>
  <c r="J31" i="41" s="1"/>
  <c r="AI53" i="63"/>
  <c r="K31" i="41" s="1"/>
  <c r="P63" i="63"/>
  <c r="AG75" i="63"/>
  <c r="G42" i="41" s="1"/>
  <c r="S72" i="63"/>
  <c r="T72" i="63" s="1"/>
  <c r="S66" i="63"/>
  <c r="T89" i="66"/>
  <c r="F89" i="66" s="1"/>
  <c r="V85" i="66"/>
  <c r="X85" i="66" s="1"/>
  <c r="F85" i="66"/>
  <c r="P86" i="66"/>
  <c r="P85" i="66"/>
  <c r="T88" i="66"/>
  <c r="V88" i="66" s="1"/>
  <c r="S89" i="63"/>
  <c r="T89" i="63" s="1"/>
  <c r="P86" i="63"/>
  <c r="S78" i="63"/>
  <c r="T78" i="63" s="1"/>
  <c r="C31" i="41"/>
  <c r="V65" i="63"/>
  <c r="U65" i="63"/>
  <c r="T65" i="63"/>
  <c r="V61" i="63"/>
  <c r="U61" i="63"/>
  <c r="T61" i="63"/>
  <c r="V64" i="63"/>
  <c r="U64" i="63"/>
  <c r="T64" i="63"/>
  <c r="V67" i="63"/>
  <c r="U67" i="63"/>
  <c r="T67" i="63"/>
  <c r="V62" i="63"/>
  <c r="X62" i="63" s="1"/>
  <c r="U62" i="63"/>
  <c r="T62" i="63"/>
  <c r="P65" i="63"/>
  <c r="P67" i="63"/>
  <c r="P64" i="63"/>
  <c r="P61" i="63"/>
  <c r="AG52" i="63"/>
  <c r="F31" i="41" s="1"/>
  <c r="AL52" i="63"/>
  <c r="H36" i="41" s="1"/>
  <c r="S50" i="63"/>
  <c r="V50" i="63" s="1"/>
  <c r="W50" i="63" s="1"/>
  <c r="V76" i="66"/>
  <c r="U76" i="66"/>
  <c r="F76" i="66"/>
  <c r="U72" i="66"/>
  <c r="F72" i="66"/>
  <c r="V72" i="66"/>
  <c r="U90" i="66"/>
  <c r="V90" i="66"/>
  <c r="F90" i="66"/>
  <c r="U74" i="66"/>
  <c r="V74" i="66"/>
  <c r="F74" i="66"/>
  <c r="U73" i="66"/>
  <c r="V73" i="66"/>
  <c r="F73" i="66"/>
  <c r="V78" i="66"/>
  <c r="F78" i="66"/>
  <c r="U78" i="66"/>
  <c r="V79" i="66"/>
  <c r="U79" i="66"/>
  <c r="F79" i="66"/>
  <c r="U81" i="66"/>
  <c r="F81" i="66"/>
  <c r="V81" i="66"/>
  <c r="F87" i="66"/>
  <c r="V87" i="66"/>
  <c r="U87" i="66"/>
  <c r="V75" i="66"/>
  <c r="U75" i="66"/>
  <c r="F75" i="66"/>
  <c r="T83" i="66"/>
  <c r="U86" i="66"/>
  <c r="T80" i="66"/>
  <c r="V86" i="66"/>
  <c r="T71" i="66"/>
  <c r="T77" i="66"/>
  <c r="T82" i="66"/>
  <c r="P73" i="66"/>
  <c r="P79" i="66"/>
  <c r="P74" i="66"/>
  <c r="P76" i="66"/>
  <c r="U85" i="66"/>
  <c r="P81" i="66"/>
  <c r="T84" i="66"/>
  <c r="P75" i="66"/>
  <c r="P90" i="66"/>
  <c r="P87" i="66"/>
  <c r="P72" i="66"/>
  <c r="P78" i="66"/>
  <c r="T52" i="66"/>
  <c r="V52" i="66" s="1"/>
  <c r="W52" i="66" s="1"/>
  <c r="T60" i="66"/>
  <c r="F60" i="66" s="1"/>
  <c r="T57" i="66"/>
  <c r="V57" i="66" s="1"/>
  <c r="X57" i="66" s="1"/>
  <c r="T54" i="66"/>
  <c r="V54" i="66" s="1"/>
  <c r="X54" i="66" s="1"/>
  <c r="P51" i="66"/>
  <c r="P64" i="66"/>
  <c r="T67" i="66"/>
  <c r="F67" i="66" s="1"/>
  <c r="T63" i="66"/>
  <c r="U63" i="66" s="1"/>
  <c r="T66" i="66"/>
  <c r="V66" i="66" s="1"/>
  <c r="W66" i="66" s="1"/>
  <c r="T53" i="66"/>
  <c r="V53" i="66" s="1"/>
  <c r="X53" i="66" s="1"/>
  <c r="P68" i="66"/>
  <c r="X51" i="66"/>
  <c r="W51" i="66"/>
  <c r="F55" i="66"/>
  <c r="V55" i="66"/>
  <c r="U55" i="66"/>
  <c r="F56" i="66"/>
  <c r="U56" i="66"/>
  <c r="V56" i="66"/>
  <c r="F61" i="66"/>
  <c r="V61" i="66"/>
  <c r="U61" i="66"/>
  <c r="U59" i="66"/>
  <c r="F59" i="66"/>
  <c r="V59" i="66"/>
  <c r="V62" i="66"/>
  <c r="U62" i="66"/>
  <c r="F62" i="66"/>
  <c r="U50" i="66"/>
  <c r="F50" i="66"/>
  <c r="V50" i="66"/>
  <c r="V65" i="66"/>
  <c r="U65" i="66"/>
  <c r="F65" i="66"/>
  <c r="X68" i="66"/>
  <c r="W68" i="66"/>
  <c r="P61" i="66"/>
  <c r="P55" i="66"/>
  <c r="F51" i="66"/>
  <c r="U64" i="66"/>
  <c r="T58" i="66"/>
  <c r="V64" i="66"/>
  <c r="T49" i="66"/>
  <c r="F68" i="66"/>
  <c r="U51" i="66"/>
  <c r="P65" i="66"/>
  <c r="P62" i="66"/>
  <c r="P59" i="66"/>
  <c r="P50" i="66"/>
  <c r="P56" i="66"/>
  <c r="U68" i="66"/>
  <c r="V79" i="63"/>
  <c r="U79" i="63"/>
  <c r="T79" i="63"/>
  <c r="U81" i="63"/>
  <c r="T81" i="63"/>
  <c r="V81" i="63"/>
  <c r="V75" i="63"/>
  <c r="U75" i="63"/>
  <c r="T75" i="63"/>
  <c r="V85" i="63"/>
  <c r="U85" i="63"/>
  <c r="T85" i="63"/>
  <c r="V82" i="63"/>
  <c r="U82" i="63"/>
  <c r="T82" i="63"/>
  <c r="V76" i="63"/>
  <c r="U76" i="63"/>
  <c r="T76" i="63"/>
  <c r="V74" i="63"/>
  <c r="U74" i="63"/>
  <c r="T74" i="63"/>
  <c r="U77" i="63"/>
  <c r="V77" i="63"/>
  <c r="T77" i="63"/>
  <c r="V73" i="63"/>
  <c r="U73" i="63"/>
  <c r="T73" i="63"/>
  <c r="V90" i="63"/>
  <c r="U90" i="63"/>
  <c r="T90" i="63"/>
  <c r="V84" i="63"/>
  <c r="U84" i="63"/>
  <c r="T84" i="63"/>
  <c r="V87" i="63"/>
  <c r="U87" i="63"/>
  <c r="T87" i="63"/>
  <c r="P77" i="63"/>
  <c r="S83" i="63"/>
  <c r="T86" i="63"/>
  <c r="S80" i="63"/>
  <c r="S71" i="63"/>
  <c r="V86" i="63"/>
  <c r="P82" i="63"/>
  <c r="S88" i="63"/>
  <c r="P85" i="63"/>
  <c r="P73" i="63"/>
  <c r="P79" i="63"/>
  <c r="P74" i="63"/>
  <c r="P75" i="63"/>
  <c r="P76" i="63"/>
  <c r="P90" i="63"/>
  <c r="P87" i="63"/>
  <c r="P84" i="63"/>
  <c r="P81" i="63"/>
  <c r="U56" i="63"/>
  <c r="S59" i="63"/>
  <c r="U59" i="63" s="1"/>
  <c r="V56" i="63"/>
  <c r="W56" i="63" s="1"/>
  <c r="V55" i="63"/>
  <c r="U55" i="63"/>
  <c r="T55" i="63"/>
  <c r="V58" i="63"/>
  <c r="U58" i="63"/>
  <c r="T58" i="63"/>
  <c r="V49" i="63"/>
  <c r="U49" i="63"/>
  <c r="T49" i="63"/>
  <c r="P49" i="63"/>
  <c r="AH53" i="63"/>
  <c r="I31" i="41" s="1"/>
  <c r="V54" i="63"/>
  <c r="U54" i="63"/>
  <c r="T54" i="63"/>
  <c r="V57" i="63"/>
  <c r="U57" i="63"/>
  <c r="T57" i="63"/>
  <c r="V53" i="63"/>
  <c r="U53" i="63"/>
  <c r="T53" i="63"/>
  <c r="P55" i="63"/>
  <c r="V60" i="63"/>
  <c r="U60" i="63"/>
  <c r="T60" i="63"/>
  <c r="P58" i="63"/>
  <c r="V52" i="63"/>
  <c r="U52" i="63"/>
  <c r="T52" i="63"/>
  <c r="U68" i="63"/>
  <c r="T68" i="63"/>
  <c r="V51" i="63"/>
  <c r="U51" i="63"/>
  <c r="T51" i="63"/>
  <c r="V68" i="63"/>
  <c r="P60" i="63"/>
  <c r="P51" i="63"/>
  <c r="P57" i="63"/>
  <c r="P52" i="63"/>
  <c r="P53" i="63"/>
  <c r="P54" i="63"/>
  <c r="P68" i="63"/>
  <c r="P56" i="63"/>
  <c r="U54" i="66" l="1"/>
  <c r="U89" i="63"/>
  <c r="V89" i="63"/>
  <c r="W54" i="66"/>
  <c r="W63" i="63"/>
  <c r="X50" i="63"/>
  <c r="F54" i="66"/>
  <c r="AL52" i="66" s="1"/>
  <c r="H37" i="41" s="1"/>
  <c r="F57" i="66"/>
  <c r="T66" i="63"/>
  <c r="U66" i="63"/>
  <c r="V66" i="63"/>
  <c r="V72" i="63"/>
  <c r="X72" i="63" s="1"/>
  <c r="T50" i="63"/>
  <c r="U72" i="63"/>
  <c r="U50" i="63"/>
  <c r="V89" i="66"/>
  <c r="X89" i="66" s="1"/>
  <c r="W85" i="66"/>
  <c r="U89" i="66"/>
  <c r="U88" i="66"/>
  <c r="F88" i="66"/>
  <c r="W72" i="63"/>
  <c r="U78" i="63"/>
  <c r="V78" i="63"/>
  <c r="U57" i="66"/>
  <c r="V67" i="66"/>
  <c r="X67" i="66" s="1"/>
  <c r="X66" i="66"/>
  <c r="U52" i="66"/>
  <c r="X52" i="66"/>
  <c r="U60" i="66"/>
  <c r="F53" i="66"/>
  <c r="F52" i="66"/>
  <c r="V60" i="66"/>
  <c r="X60" i="66" s="1"/>
  <c r="W62" i="63"/>
  <c r="X67" i="63"/>
  <c r="W67" i="63"/>
  <c r="W64" i="63"/>
  <c r="X64" i="63"/>
  <c r="X61" i="63"/>
  <c r="W61" i="63"/>
  <c r="X65" i="63"/>
  <c r="W65" i="63"/>
  <c r="V59" i="63"/>
  <c r="X59" i="63" s="1"/>
  <c r="T59" i="63"/>
  <c r="X56" i="63"/>
  <c r="F77" i="66"/>
  <c r="AL74" i="66" s="1"/>
  <c r="H48" i="41" s="1"/>
  <c r="V77" i="66"/>
  <c r="U77" i="66"/>
  <c r="F71" i="66"/>
  <c r="AK74" i="66" s="1"/>
  <c r="F48" i="41" s="1"/>
  <c r="U71" i="66"/>
  <c r="V71" i="66"/>
  <c r="W78" i="66"/>
  <c r="X78" i="66"/>
  <c r="X86" i="66"/>
  <c r="W86" i="66"/>
  <c r="X73" i="66"/>
  <c r="W73" i="66"/>
  <c r="F80" i="66"/>
  <c r="V80" i="66"/>
  <c r="U80" i="66"/>
  <c r="F83" i="66"/>
  <c r="V83" i="66"/>
  <c r="U83" i="66"/>
  <c r="X74" i="66"/>
  <c r="W74" i="66"/>
  <c r="X90" i="66"/>
  <c r="W90" i="66"/>
  <c r="V84" i="66"/>
  <c r="U84" i="66"/>
  <c r="F84" i="66"/>
  <c r="W87" i="66"/>
  <c r="X87" i="66"/>
  <c r="X72" i="66"/>
  <c r="W72" i="66"/>
  <c r="W81" i="66"/>
  <c r="X81" i="66"/>
  <c r="W75" i="66"/>
  <c r="X75" i="66"/>
  <c r="W76" i="66"/>
  <c r="X76" i="66"/>
  <c r="X88" i="66"/>
  <c r="W88" i="66"/>
  <c r="V82" i="66"/>
  <c r="U82" i="66"/>
  <c r="F82" i="66"/>
  <c r="X79" i="66"/>
  <c r="W79" i="66"/>
  <c r="W57" i="66"/>
  <c r="W53" i="66"/>
  <c r="V63" i="66"/>
  <c r="X63" i="66" s="1"/>
  <c r="U53" i="66"/>
  <c r="F66" i="66"/>
  <c r="F63" i="66"/>
  <c r="U66" i="66"/>
  <c r="U67" i="66"/>
  <c r="X59" i="66"/>
  <c r="W59" i="66"/>
  <c r="X61" i="66"/>
  <c r="W61" i="66"/>
  <c r="W56" i="66"/>
  <c r="X56" i="66"/>
  <c r="F49" i="66"/>
  <c r="AK52" i="66" s="1"/>
  <c r="F37" i="41" s="1"/>
  <c r="V49" i="66"/>
  <c r="U49" i="66"/>
  <c r="X64" i="66"/>
  <c r="W64" i="66"/>
  <c r="F58" i="66"/>
  <c r="V58" i="66"/>
  <c r="U58" i="66"/>
  <c r="W65" i="66"/>
  <c r="X65" i="66"/>
  <c r="X50" i="66"/>
  <c r="W50" i="66"/>
  <c r="X55" i="66"/>
  <c r="W55" i="66"/>
  <c r="W62" i="66"/>
  <c r="X62" i="66"/>
  <c r="V83" i="63"/>
  <c r="U83" i="63"/>
  <c r="T83" i="63"/>
  <c r="X74" i="63"/>
  <c r="W74" i="63"/>
  <c r="W87" i="63"/>
  <c r="X87" i="63"/>
  <c r="X82" i="63"/>
  <c r="W82" i="63"/>
  <c r="X84" i="63"/>
  <c r="W84" i="63"/>
  <c r="X85" i="63"/>
  <c r="W85" i="63"/>
  <c r="X76" i="63"/>
  <c r="W76" i="63"/>
  <c r="X90" i="63"/>
  <c r="W90" i="63"/>
  <c r="V88" i="63"/>
  <c r="U88" i="63"/>
  <c r="T88" i="63"/>
  <c r="X75" i="63"/>
  <c r="W75" i="63"/>
  <c r="X81" i="63"/>
  <c r="W81" i="63"/>
  <c r="W86" i="63"/>
  <c r="X86" i="63"/>
  <c r="X73" i="63"/>
  <c r="W73" i="63"/>
  <c r="U71" i="63"/>
  <c r="V71" i="63"/>
  <c r="T71" i="63"/>
  <c r="X89" i="63"/>
  <c r="W89" i="63"/>
  <c r="X77" i="63"/>
  <c r="W77" i="63"/>
  <c r="V80" i="63"/>
  <c r="U80" i="63"/>
  <c r="T80" i="63"/>
  <c r="X79" i="63"/>
  <c r="W79" i="63"/>
  <c r="W53" i="63"/>
  <c r="X53" i="63"/>
  <c r="X49" i="63"/>
  <c r="W49" i="63"/>
  <c r="X57" i="63"/>
  <c r="W57" i="63"/>
  <c r="W59" i="63"/>
  <c r="W52" i="63"/>
  <c r="X52" i="63"/>
  <c r="X58" i="63"/>
  <c r="W58" i="63"/>
  <c r="W54" i="63"/>
  <c r="X54" i="63"/>
  <c r="X55" i="63"/>
  <c r="W55" i="63"/>
  <c r="X68" i="63"/>
  <c r="W68" i="63"/>
  <c r="X60" i="63"/>
  <c r="W60" i="63"/>
  <c r="X51" i="63"/>
  <c r="W51" i="63"/>
  <c r="AJ74" i="66" l="1"/>
  <c r="L43" i="41" s="1"/>
  <c r="W89" i="66"/>
  <c r="X66" i="63"/>
  <c r="W66" i="63"/>
  <c r="W78" i="63"/>
  <c r="X78" i="63"/>
  <c r="W60" i="66"/>
  <c r="W67" i="66"/>
  <c r="AJ52" i="66"/>
  <c r="L32" i="41" s="1"/>
  <c r="W82" i="66"/>
  <c r="X82" i="66"/>
  <c r="X80" i="66"/>
  <c r="W80" i="66"/>
  <c r="X83" i="66"/>
  <c r="W83" i="66"/>
  <c r="X71" i="66"/>
  <c r="W71" i="66"/>
  <c r="X84" i="66"/>
  <c r="W84" i="66"/>
  <c r="X77" i="66"/>
  <c r="W77" i="66"/>
  <c r="W63" i="66"/>
  <c r="X58" i="66"/>
  <c r="W58" i="66"/>
  <c r="X49" i="66"/>
  <c r="W49" i="66"/>
  <c r="X88" i="63"/>
  <c r="W88" i="63"/>
  <c r="X80" i="63"/>
  <c r="W80" i="63"/>
  <c r="X71" i="63"/>
  <c r="W71" i="63"/>
  <c r="X83" i="63"/>
  <c r="W83" i="63"/>
  <c r="R46" i="63" l="1"/>
  <c r="R45" i="63"/>
  <c r="R44" i="63"/>
  <c r="R43" i="63"/>
  <c r="R42" i="63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AH29" i="66" l="1"/>
  <c r="AI29" i="66"/>
  <c r="AJ29" i="66"/>
  <c r="AK29" i="66"/>
  <c r="AL29" i="66"/>
  <c r="AM29" i="66"/>
  <c r="AH30" i="66"/>
  <c r="AI30" i="66"/>
  <c r="AM30" i="66"/>
  <c r="AG30" i="66"/>
  <c r="AG29" i="66"/>
  <c r="S46" i="66"/>
  <c r="R46" i="66"/>
  <c r="O46" i="66"/>
  <c r="P46" i="66" s="1"/>
  <c r="N46" i="66"/>
  <c r="L46" i="66"/>
  <c r="J46" i="66"/>
  <c r="S45" i="66"/>
  <c r="R45" i="66"/>
  <c r="O45" i="66"/>
  <c r="T45" i="66" s="1"/>
  <c r="N45" i="66"/>
  <c r="L45" i="66"/>
  <c r="J45" i="66"/>
  <c r="S44" i="66"/>
  <c r="R44" i="66"/>
  <c r="O44" i="66"/>
  <c r="P44" i="66" s="1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T42" i="66" s="1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T40" i="66" s="1"/>
  <c r="F40" i="66" s="1"/>
  <c r="N40" i="66"/>
  <c r="L40" i="66"/>
  <c r="J40" i="66"/>
  <c r="S39" i="66"/>
  <c r="R39" i="66"/>
  <c r="O39" i="66"/>
  <c r="T39" i="66" s="1"/>
  <c r="N39" i="66"/>
  <c r="L39" i="66"/>
  <c r="J39" i="66"/>
  <c r="S38" i="66"/>
  <c r="R38" i="66"/>
  <c r="O38" i="66"/>
  <c r="P38" i="66" s="1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P36" i="66" s="1"/>
  <c r="N36" i="66"/>
  <c r="L36" i="66"/>
  <c r="J36" i="66"/>
  <c r="S35" i="66"/>
  <c r="R35" i="66"/>
  <c r="O35" i="66"/>
  <c r="T35" i="66" s="1"/>
  <c r="U35" i="66" s="1"/>
  <c r="N35" i="66"/>
  <c r="L35" i="66"/>
  <c r="J35" i="66"/>
  <c r="S34" i="66"/>
  <c r="R34" i="66"/>
  <c r="O34" i="66"/>
  <c r="T34" i="66" s="1"/>
  <c r="N34" i="66"/>
  <c r="L34" i="66"/>
  <c r="J34" i="66"/>
  <c r="S33" i="66"/>
  <c r="R33" i="66"/>
  <c r="O33" i="66"/>
  <c r="P33" i="66" s="1"/>
  <c r="N33" i="66"/>
  <c r="L33" i="66"/>
  <c r="J33" i="66"/>
  <c r="S32" i="66"/>
  <c r="R32" i="66"/>
  <c r="O32" i="66"/>
  <c r="T32" i="66" s="1"/>
  <c r="N32" i="66"/>
  <c r="L32" i="66"/>
  <c r="J32" i="66"/>
  <c r="S31" i="66"/>
  <c r="R31" i="66"/>
  <c r="O31" i="66"/>
  <c r="T31" i="66" s="1"/>
  <c r="N31" i="66"/>
  <c r="L31" i="66"/>
  <c r="J31" i="66"/>
  <c r="S30" i="66"/>
  <c r="R30" i="66"/>
  <c r="O30" i="66"/>
  <c r="T30" i="66" s="1"/>
  <c r="N30" i="66"/>
  <c r="L30" i="66"/>
  <c r="J30" i="66"/>
  <c r="AF29" i="66"/>
  <c r="S29" i="66"/>
  <c r="R29" i="66"/>
  <c r="O29" i="66"/>
  <c r="T29" i="66" s="1"/>
  <c r="U29" i="66" s="1"/>
  <c r="N29" i="66"/>
  <c r="L29" i="66"/>
  <c r="J29" i="66"/>
  <c r="S28" i="66"/>
  <c r="R28" i="66"/>
  <c r="O28" i="66"/>
  <c r="P28" i="66" s="1"/>
  <c r="N28" i="66"/>
  <c r="L28" i="66"/>
  <c r="J28" i="66"/>
  <c r="S27" i="66"/>
  <c r="R27" i="66"/>
  <c r="O27" i="66"/>
  <c r="P27" i="66" s="1"/>
  <c r="N27" i="66"/>
  <c r="L27" i="66"/>
  <c r="J27" i="66"/>
  <c r="AH29" i="63"/>
  <c r="AI29" i="63"/>
  <c r="AJ29" i="63"/>
  <c r="AK29" i="63"/>
  <c r="AL29" i="63"/>
  <c r="AM29" i="63"/>
  <c r="AH30" i="63"/>
  <c r="AJ30" i="63"/>
  <c r="AM30" i="63"/>
  <c r="AG29" i="63"/>
  <c r="AG110" i="63" s="1"/>
  <c r="F27" i="63"/>
  <c r="F28" i="63"/>
  <c r="F29" i="63"/>
  <c r="F30" i="63"/>
  <c r="AK30" i="63" s="1"/>
  <c r="F31" i="63"/>
  <c r="F32" i="63"/>
  <c r="F33" i="63"/>
  <c r="F34" i="63"/>
  <c r="F35" i="63"/>
  <c r="F36" i="63"/>
  <c r="F37" i="63"/>
  <c r="F38" i="63"/>
  <c r="F39" i="63"/>
  <c r="AG30" i="63" s="1"/>
  <c r="F40" i="63"/>
  <c r="F41" i="63"/>
  <c r="F42" i="63"/>
  <c r="F43" i="63"/>
  <c r="F44" i="63"/>
  <c r="F45" i="63"/>
  <c r="F46" i="63"/>
  <c r="O46" i="63"/>
  <c r="S46" i="63" s="1"/>
  <c r="N46" i="63"/>
  <c r="L46" i="63"/>
  <c r="J46" i="63"/>
  <c r="O45" i="63"/>
  <c r="P45" i="63" s="1"/>
  <c r="N45" i="63"/>
  <c r="L45" i="63"/>
  <c r="J45" i="63"/>
  <c r="O44" i="63"/>
  <c r="S44" i="63" s="1"/>
  <c r="N44" i="63"/>
  <c r="L44" i="63"/>
  <c r="J44" i="63"/>
  <c r="O43" i="63"/>
  <c r="S43" i="63" s="1"/>
  <c r="N43" i="63"/>
  <c r="L43" i="63"/>
  <c r="J43" i="63"/>
  <c r="O42" i="63"/>
  <c r="S42" i="63" s="1"/>
  <c r="U42" i="63" s="1"/>
  <c r="N42" i="63"/>
  <c r="L42" i="63"/>
  <c r="J42" i="63"/>
  <c r="O41" i="63"/>
  <c r="S41" i="63" s="1"/>
  <c r="N41" i="63"/>
  <c r="L41" i="63"/>
  <c r="J41" i="63"/>
  <c r="O40" i="63"/>
  <c r="S40" i="63" s="1"/>
  <c r="N40" i="63"/>
  <c r="L40" i="63"/>
  <c r="J40" i="63"/>
  <c r="O39" i="63"/>
  <c r="S39" i="63" s="1"/>
  <c r="N39" i="63"/>
  <c r="L39" i="63"/>
  <c r="J39" i="63"/>
  <c r="O38" i="63"/>
  <c r="P38" i="63" s="1"/>
  <c r="N38" i="63"/>
  <c r="L38" i="63"/>
  <c r="J38" i="63"/>
  <c r="O37" i="63"/>
  <c r="S37" i="63" s="1"/>
  <c r="N37" i="63"/>
  <c r="L37" i="63"/>
  <c r="J37" i="63"/>
  <c r="O36" i="63"/>
  <c r="P36" i="63" s="1"/>
  <c r="N36" i="63"/>
  <c r="L36" i="63"/>
  <c r="J36" i="63"/>
  <c r="O35" i="63"/>
  <c r="P35" i="63" s="1"/>
  <c r="N35" i="63"/>
  <c r="L35" i="63"/>
  <c r="J35" i="63"/>
  <c r="O34" i="63"/>
  <c r="S34" i="63" s="1"/>
  <c r="N34" i="63"/>
  <c r="L34" i="63"/>
  <c r="J34" i="63"/>
  <c r="O33" i="63"/>
  <c r="P33" i="63" s="1"/>
  <c r="N33" i="63"/>
  <c r="L33" i="63"/>
  <c r="J33" i="63"/>
  <c r="O32" i="63"/>
  <c r="S32" i="63" s="1"/>
  <c r="V32" i="63" s="1"/>
  <c r="N32" i="63"/>
  <c r="L32" i="63"/>
  <c r="J32" i="63"/>
  <c r="O31" i="63"/>
  <c r="P31" i="63" s="1"/>
  <c r="N31" i="63"/>
  <c r="L31" i="63"/>
  <c r="J31" i="63"/>
  <c r="O30" i="63"/>
  <c r="S30" i="63" s="1"/>
  <c r="V30" i="63" s="1"/>
  <c r="N30" i="63"/>
  <c r="L30" i="63"/>
  <c r="J30" i="63"/>
  <c r="AF29" i="63"/>
  <c r="O29" i="63"/>
  <c r="P29" i="63" s="1"/>
  <c r="N29" i="63"/>
  <c r="L29" i="63"/>
  <c r="J29" i="63"/>
  <c r="O28" i="63"/>
  <c r="S28" i="63" s="1"/>
  <c r="N28" i="63"/>
  <c r="L28" i="63"/>
  <c r="J28" i="63"/>
  <c r="O27" i="63"/>
  <c r="S27" i="63" s="1"/>
  <c r="N27" i="63"/>
  <c r="L27" i="63"/>
  <c r="J27" i="63"/>
  <c r="C10" i="41"/>
  <c r="C21" i="41"/>
  <c r="AJ31" i="63" l="1"/>
  <c r="M20" i="41" s="1"/>
  <c r="AJ110" i="63"/>
  <c r="AK31" i="63"/>
  <c r="G25" i="41" s="1"/>
  <c r="AK110" i="63"/>
  <c r="AH31" i="63"/>
  <c r="I20" i="41" s="1"/>
  <c r="AH110" i="63"/>
  <c r="F25" i="41"/>
  <c r="AK111" i="63"/>
  <c r="L20" i="41"/>
  <c r="AJ111" i="63"/>
  <c r="AM31" i="63"/>
  <c r="K25" i="41" s="1"/>
  <c r="AM110" i="63"/>
  <c r="F20" i="41"/>
  <c r="AG111" i="63"/>
  <c r="H20" i="41"/>
  <c r="AH111" i="63"/>
  <c r="AL31" i="63"/>
  <c r="I25" i="41" s="1"/>
  <c r="AL110" i="63"/>
  <c r="AI31" i="63"/>
  <c r="K20" i="41" s="1"/>
  <c r="AI110" i="63"/>
  <c r="J25" i="41"/>
  <c r="AM111" i="63"/>
  <c r="AG31" i="63"/>
  <c r="G20" i="41" s="1"/>
  <c r="AL30" i="63"/>
  <c r="AG31" i="66"/>
  <c r="G21" i="41" s="1"/>
  <c r="F21" i="41"/>
  <c r="J26" i="41"/>
  <c r="J21" i="41"/>
  <c r="AM31" i="66"/>
  <c r="K26" i="41" s="1"/>
  <c r="AL31" i="66"/>
  <c r="I26" i="41" s="1"/>
  <c r="AJ31" i="66"/>
  <c r="M21" i="41" s="1"/>
  <c r="AI31" i="66"/>
  <c r="K21" i="41" s="1"/>
  <c r="H21" i="41"/>
  <c r="AK31" i="66"/>
  <c r="G26" i="41" s="1"/>
  <c r="AH31" i="66"/>
  <c r="I21" i="41" s="1"/>
  <c r="AI30" i="63"/>
  <c r="P35" i="66"/>
  <c r="T38" i="66"/>
  <c r="V38" i="66" s="1"/>
  <c r="X38" i="66" s="1"/>
  <c r="T41" i="66"/>
  <c r="V41" i="66" s="1"/>
  <c r="X41" i="66" s="1"/>
  <c r="T44" i="66"/>
  <c r="V44" i="66" s="1"/>
  <c r="X44" i="66" s="1"/>
  <c r="P29" i="66"/>
  <c r="P40" i="66"/>
  <c r="T43" i="66"/>
  <c r="V43" i="66" s="1"/>
  <c r="T46" i="66"/>
  <c r="V46" i="66" s="1"/>
  <c r="X46" i="66" s="1"/>
  <c r="V35" i="66"/>
  <c r="X35" i="66" s="1"/>
  <c r="V29" i="66"/>
  <c r="X29" i="66" s="1"/>
  <c r="F35" i="66"/>
  <c r="F29" i="66"/>
  <c r="V30" i="66"/>
  <c r="U30" i="66"/>
  <c r="F30" i="66"/>
  <c r="F39" i="66"/>
  <c r="V39" i="66"/>
  <c r="U39" i="66"/>
  <c r="U45" i="66"/>
  <c r="V45" i="66"/>
  <c r="F45" i="66"/>
  <c r="F34" i="66"/>
  <c r="U34" i="66"/>
  <c r="V34" i="66"/>
  <c r="V31" i="66"/>
  <c r="U31" i="66"/>
  <c r="F31" i="66"/>
  <c r="F42" i="66"/>
  <c r="V42" i="66"/>
  <c r="U42" i="66"/>
  <c r="X43" i="66"/>
  <c r="W43" i="66"/>
  <c r="V32" i="66"/>
  <c r="F32" i="66"/>
  <c r="U32" i="66"/>
  <c r="T37" i="66"/>
  <c r="U40" i="66"/>
  <c r="T28" i="66"/>
  <c r="P39" i="66"/>
  <c r="T36" i="66"/>
  <c r="T27" i="66"/>
  <c r="T33" i="66"/>
  <c r="P34" i="66"/>
  <c r="V40" i="66"/>
  <c r="P45" i="66"/>
  <c r="P42" i="66"/>
  <c r="P30" i="66"/>
  <c r="P31" i="66"/>
  <c r="P32" i="66"/>
  <c r="P32" i="63"/>
  <c r="P30" i="63"/>
  <c r="S45" i="63"/>
  <c r="T45" i="63" s="1"/>
  <c r="S38" i="63"/>
  <c r="V38" i="63" s="1"/>
  <c r="X38" i="63" s="1"/>
  <c r="S31" i="63"/>
  <c r="V31" i="63" s="1"/>
  <c r="X31" i="63" s="1"/>
  <c r="P37" i="63"/>
  <c r="S29" i="63"/>
  <c r="V29" i="63" s="1"/>
  <c r="X29" i="63" s="1"/>
  <c r="P42" i="63"/>
  <c r="S35" i="63"/>
  <c r="V35" i="63" s="1"/>
  <c r="X35" i="63" s="1"/>
  <c r="T34" i="63"/>
  <c r="V34" i="63"/>
  <c r="U34" i="63"/>
  <c r="T41" i="63"/>
  <c r="V41" i="63"/>
  <c r="U41" i="63"/>
  <c r="V28" i="63"/>
  <c r="U28" i="63"/>
  <c r="T28" i="63"/>
  <c r="U44" i="63"/>
  <c r="V44" i="63"/>
  <c r="T44" i="63"/>
  <c r="X30" i="63"/>
  <c r="W30" i="63"/>
  <c r="V27" i="63"/>
  <c r="U27" i="63"/>
  <c r="T27" i="63"/>
  <c r="V46" i="63"/>
  <c r="U46" i="63"/>
  <c r="T46" i="63"/>
  <c r="X32" i="63"/>
  <c r="W32" i="63"/>
  <c r="U39" i="63"/>
  <c r="V39" i="63"/>
  <c r="T39" i="63"/>
  <c r="U37" i="63"/>
  <c r="T37" i="63"/>
  <c r="V37" i="63"/>
  <c r="V40" i="63"/>
  <c r="U40" i="63"/>
  <c r="T40" i="63"/>
  <c r="V43" i="63"/>
  <c r="U43" i="63"/>
  <c r="T43" i="63"/>
  <c r="S33" i="63"/>
  <c r="P44" i="63"/>
  <c r="P41" i="63"/>
  <c r="P39" i="63"/>
  <c r="T42" i="63"/>
  <c r="S36" i="63"/>
  <c r="V42" i="63"/>
  <c r="P46" i="63"/>
  <c r="T30" i="63"/>
  <c r="T32" i="63"/>
  <c r="P43" i="63"/>
  <c r="U30" i="63"/>
  <c r="U32" i="63"/>
  <c r="P40" i="63"/>
  <c r="P28" i="63"/>
  <c r="P34" i="63"/>
  <c r="P27" i="63"/>
  <c r="C20" i="41"/>
  <c r="H25" i="41" l="1"/>
  <c r="AL111" i="63"/>
  <c r="J20" i="41"/>
  <c r="AI111" i="63"/>
  <c r="U46" i="66"/>
  <c r="W35" i="66"/>
  <c r="F43" i="66"/>
  <c r="F38" i="66"/>
  <c r="W29" i="66"/>
  <c r="F41" i="66"/>
  <c r="F46" i="66"/>
  <c r="U38" i="66"/>
  <c r="U41" i="66"/>
  <c r="W38" i="66"/>
  <c r="F44" i="66"/>
  <c r="W44" i="66"/>
  <c r="U44" i="66"/>
  <c r="W41" i="66"/>
  <c r="W46" i="66"/>
  <c r="U43" i="66"/>
  <c r="X42" i="66"/>
  <c r="W42" i="66"/>
  <c r="X30" i="66"/>
  <c r="W30" i="66"/>
  <c r="X31" i="66"/>
  <c r="W31" i="66"/>
  <c r="V33" i="66"/>
  <c r="U33" i="66"/>
  <c r="F33" i="66"/>
  <c r="W34" i="66"/>
  <c r="X34" i="66"/>
  <c r="F27" i="66"/>
  <c r="AK30" i="66" s="1"/>
  <c r="V27" i="66"/>
  <c r="U27" i="66"/>
  <c r="F36" i="66"/>
  <c r="V36" i="66"/>
  <c r="U36" i="66"/>
  <c r="F28" i="66"/>
  <c r="V28" i="66"/>
  <c r="U28" i="66"/>
  <c r="X45" i="66"/>
  <c r="W45" i="66"/>
  <c r="F37" i="66"/>
  <c r="V37" i="66"/>
  <c r="U37" i="66"/>
  <c r="X39" i="66"/>
  <c r="W39" i="66"/>
  <c r="X32" i="66"/>
  <c r="W32" i="66"/>
  <c r="W40" i="66"/>
  <c r="X40" i="66"/>
  <c r="U35" i="63"/>
  <c r="U38" i="63"/>
  <c r="W35" i="63"/>
  <c r="V45" i="63"/>
  <c r="X45" i="63" s="1"/>
  <c r="U45" i="63"/>
  <c r="U31" i="63"/>
  <c r="W29" i="63"/>
  <c r="W31" i="63"/>
  <c r="T31" i="63"/>
  <c r="U29" i="63"/>
  <c r="T35" i="63"/>
  <c r="W38" i="63"/>
  <c r="T29" i="63"/>
  <c r="T38" i="63"/>
  <c r="W40" i="63"/>
  <c r="X40" i="63"/>
  <c r="X42" i="63"/>
  <c r="W42" i="63"/>
  <c r="X46" i="63"/>
  <c r="W46" i="63"/>
  <c r="W34" i="63"/>
  <c r="X34" i="63"/>
  <c r="W43" i="63"/>
  <c r="X43" i="63"/>
  <c r="X44" i="63"/>
  <c r="W44" i="63"/>
  <c r="X37" i="63"/>
  <c r="W37" i="63"/>
  <c r="X28" i="63"/>
  <c r="W28" i="63"/>
  <c r="X39" i="63"/>
  <c r="W39" i="63"/>
  <c r="X41" i="63"/>
  <c r="W41" i="63"/>
  <c r="V36" i="63"/>
  <c r="U36" i="63"/>
  <c r="T36" i="63"/>
  <c r="V33" i="63"/>
  <c r="U33" i="63"/>
  <c r="T33" i="63"/>
  <c r="X27" i="63"/>
  <c r="W27" i="63"/>
  <c r="AJ30" i="66" l="1"/>
  <c r="F26" i="41"/>
  <c r="AL30" i="66"/>
  <c r="W45" i="63"/>
  <c r="X28" i="66"/>
  <c r="W28" i="66"/>
  <c r="X36" i="66"/>
  <c r="W36" i="66"/>
  <c r="X27" i="66"/>
  <c r="W27" i="66"/>
  <c r="X33" i="66"/>
  <c r="W33" i="66"/>
  <c r="X37" i="66"/>
  <c r="W37" i="66"/>
  <c r="X33" i="63"/>
  <c r="W33" i="63"/>
  <c r="X36" i="63"/>
  <c r="W36" i="63"/>
  <c r="L21" i="41" l="1"/>
  <c r="H26" i="41"/>
  <c r="AH7" i="66" l="1"/>
  <c r="AI7" i="66"/>
  <c r="AJ7" i="66"/>
  <c r="AK7" i="66"/>
  <c r="AL7" i="66"/>
  <c r="AM7" i="66"/>
  <c r="AH8" i="66"/>
  <c r="AI8" i="66"/>
  <c r="AM8" i="66"/>
  <c r="AG8" i="66"/>
  <c r="AG7" i="66"/>
  <c r="AF7" i="66"/>
  <c r="AH8" i="63"/>
  <c r="AJ8" i="63"/>
  <c r="AK8" i="63"/>
  <c r="AM8" i="63"/>
  <c r="AG7" i="63"/>
  <c r="AG112" i="63" s="1"/>
  <c r="G9" i="40" s="1"/>
  <c r="AH7" i="63"/>
  <c r="AH112" i="63" s="1"/>
  <c r="I9" i="40" s="1"/>
  <c r="AI7" i="63"/>
  <c r="AI112" i="63" s="1"/>
  <c r="K9" i="40" s="1"/>
  <c r="AJ7" i="63"/>
  <c r="AJ112" i="63" s="1"/>
  <c r="M9" i="40" s="1"/>
  <c r="AK7" i="63"/>
  <c r="AK112" i="63" s="1"/>
  <c r="G14" i="40" s="1"/>
  <c r="AL7" i="63"/>
  <c r="AM7" i="63"/>
  <c r="AF7" i="63"/>
  <c r="AM112" i="66" l="1"/>
  <c r="K15" i="40" s="1"/>
  <c r="AL112" i="66"/>
  <c r="I15" i="40" s="1"/>
  <c r="AK112" i="66"/>
  <c r="G15" i="40" s="1"/>
  <c r="J15" i="41"/>
  <c r="J15" i="40"/>
  <c r="J10" i="41"/>
  <c r="G10" i="40"/>
  <c r="F10" i="41"/>
  <c r="F10" i="40"/>
  <c r="AI112" i="66"/>
  <c r="K10" i="40" s="1"/>
  <c r="H10" i="41"/>
  <c r="H10" i="40"/>
  <c r="AJ112" i="66"/>
  <c r="M10" i="40" s="1"/>
  <c r="AH112" i="66"/>
  <c r="I10" i="40" s="1"/>
  <c r="F14" i="41"/>
  <c r="F14" i="40"/>
  <c r="H9" i="41"/>
  <c r="H9" i="40"/>
  <c r="L9" i="41"/>
  <c r="L9" i="40"/>
  <c r="AL8" i="63"/>
  <c r="AM112" i="63"/>
  <c r="K14" i="40" s="1"/>
  <c r="J14" i="41"/>
  <c r="J14" i="40"/>
  <c r="AL112" i="63"/>
  <c r="I14" i="40" s="1"/>
  <c r="AK9" i="63"/>
  <c r="G14" i="41" s="1"/>
  <c r="AJ9" i="63"/>
  <c r="M9" i="41" s="1"/>
  <c r="AG8" i="63"/>
  <c r="AI9" i="63"/>
  <c r="K9" i="41" s="1"/>
  <c r="AG9" i="63"/>
  <c r="G9" i="41" s="1"/>
  <c r="AI8" i="63"/>
  <c r="AG9" i="66"/>
  <c r="G10" i="41" s="1"/>
  <c r="AJ9" i="66"/>
  <c r="M10" i="41" s="1"/>
  <c r="AK9" i="66"/>
  <c r="G15" i="41" s="1"/>
  <c r="AH9" i="66"/>
  <c r="I10" i="41" s="1"/>
  <c r="AI9" i="66"/>
  <c r="K10" i="41" s="1"/>
  <c r="AM9" i="66"/>
  <c r="K15" i="41" s="1"/>
  <c r="AL9" i="66"/>
  <c r="I15" i="41" s="1"/>
  <c r="AH9" i="63"/>
  <c r="I9" i="41" s="1"/>
  <c r="AL9" i="63"/>
  <c r="I14" i="41" s="1"/>
  <c r="AM9" i="63"/>
  <c r="K14" i="41" s="1"/>
  <c r="H14" i="41" l="1"/>
  <c r="H14" i="40"/>
  <c r="F9" i="40"/>
  <c r="F9" i="41"/>
  <c r="J9" i="41"/>
  <c r="AK8" i="66"/>
  <c r="AL8" i="66"/>
  <c r="F15" i="41" l="1"/>
  <c r="F15" i="40"/>
  <c r="H15" i="41"/>
  <c r="H15" i="40"/>
  <c r="AJ8" i="66"/>
  <c r="J10" i="40"/>
  <c r="J9" i="40"/>
  <c r="L10" i="41" l="1"/>
  <c r="L10" i="40"/>
  <c r="G5" i="5"/>
  <c r="I5" i="5"/>
  <c r="M5" i="5"/>
  <c r="P5" i="5"/>
  <c r="S5" i="5"/>
  <c r="V5" i="5"/>
  <c r="I6" i="5"/>
  <c r="I7" i="5"/>
  <c r="I8" i="5"/>
  <c r="I9" i="5"/>
  <c r="K9" i="5" s="1"/>
  <c r="K7" i="39" s="1"/>
  <c r="I10" i="5"/>
  <c r="I11" i="5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D6" i="3"/>
  <c r="D7" i="3" l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5" i="3"/>
  <c r="B12" i="3" s="1"/>
  <c r="B19" i="3" s="1"/>
  <c r="B26" i="3" s="1"/>
  <c r="B33" i="3" s="1"/>
  <c r="C64" i="41"/>
  <c r="C65" i="41"/>
  <c r="V5" i="3"/>
  <c r="P5" i="3"/>
  <c r="J5" i="5"/>
  <c r="M26" i="58" l="1"/>
  <c r="M27" i="58"/>
  <c r="M28" i="58"/>
  <c r="M29" i="58"/>
  <c r="B9" i="40" l="1"/>
  <c r="P15" i="65" l="1"/>
  <c r="K11" i="13" s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I69" i="41" l="1"/>
  <c r="C15" i="39" l="1"/>
  <c r="D10" i="13"/>
  <c r="D8" i="13"/>
  <c r="E15" i="39" l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P7" i="65"/>
  <c r="E11" i="13" s="1"/>
  <c r="P6" i="65"/>
  <c r="E10" i="13" s="1"/>
  <c r="O5" i="65"/>
  <c r="N5" i="65"/>
  <c r="M5" i="65"/>
  <c r="P5" i="65" s="1"/>
  <c r="E9" i="13" s="1"/>
  <c r="L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22" i="58" l="1"/>
  <c r="M14" i="57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<sst xmlns="http://schemas.openxmlformats.org/spreadsheetml/2006/main" count="9620" uniqueCount="776">
  <si>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</si>
  <si>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</si>
  <si>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</si>
  <si>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</si>
  <si>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</si>
  <si>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</si>
  <si>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</si>
  <si>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</si>
  <si>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</si>
  <si>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</si>
  <si>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</si>
  <si>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</si>
  <si>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</si>
  <si>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</si>
  <si>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</si>
  <si>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</si>
  <si>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</si>
  <si>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</si>
  <si>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</si>
  <si>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</si>
  <si>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</si>
  <si>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</si>
  <si>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</si>
  <si>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</si>
  <si>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</si>
  <si>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</si>
  <si>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</si>
  <si>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</si>
  <si>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</si>
  <si>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</si>
  <si>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</si>
  <si>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</si>
  <si>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</si>
  <si>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</si>
  <si>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</si>
  <si>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</si>
  <si>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</si>
  <si>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</si>
  <si>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</si>
  <si>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</si>
  <si>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</si>
  <si>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</si>
  <si>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</si>
  <si>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</si>
  <si>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</si>
  <si>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</si>
  <si>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</si>
  <si>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</si>
  <si>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</si>
  <si>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</si>
  <si>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</si>
  <si>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</si>
  <si>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</si>
  <si>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</si>
  <si>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</si>
  <si>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</si>
  <si>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</si>
  <si>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</si>
  <si>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</si>
  <si>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</si>
  <si>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</si>
  <si>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</si>
  <si>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</si>
  <si>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</si>
  <si>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</si>
  <si>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</si>
  <si>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</si>
  <si>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</si>
  <si>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</si>
  <si>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</si>
  <si>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</si>
  <si>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</si>
  <si>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</si>
  <si>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</si>
  <si>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</si>
  <si>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</si>
  <si>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</si>
  <si>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</si>
  <si>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</si>
  <si>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</si>
  <si>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</si>
  <si>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</si>
  <si>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</si>
  <si>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</si>
  <si>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</si>
  <si>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</si>
  <si>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</si>
  <si>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</si>
  <si>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</si>
  <si>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</si>
  <si>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</si>
  <si>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</si>
  <si>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</si>
  <si>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</si>
  <si>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</si>
  <si>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</si>
  <si>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</si>
  <si>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</si>
  <si>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</si>
  <si>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</si>
  <si>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</si>
  <si>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</si>
  <si>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</si>
  <si>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</si>
  <si>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</si>
  <si>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</si>
  <si>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</si>
  <si>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</si>
  <si>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</si>
  <si>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</si>
  <si>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</si>
  <si>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</si>
  <si>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</si>
  <si>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</si>
  <si>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</si>
  <si>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</si>
  <si>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</si>
  <si>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</si>
  <si>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</si>
  <si>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</si>
  <si>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</si>
  <si>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</si>
  <si>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</si>
  <si>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</si>
  <si>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</si>
  <si>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</si>
  <si>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</si>
  <si>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</si>
  <si>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</si>
  <si>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</si>
  <si>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</si>
  <si>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</si>
  <si>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</si>
  <si>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</si>
  <si>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</si>
  <si>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</si>
  <si>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</si>
  <si>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</si>
  <si>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</si>
  <si>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</si>
  <si>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</si>
  <si>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</si>
  <si>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</si>
  <si>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</si>
  <si>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</si>
  <si>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</si>
  <si>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</si>
  <si>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</si>
  <si>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</si>
  <si>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</si>
  <si>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</si>
  <si>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</si>
  <si>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</si>
  <si>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</si>
  <si>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</si>
  <si>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</si>
  <si>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</si>
  <si>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</si>
  <si>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</si>
  <si>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</si>
  <si>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</si>
  <si>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</si>
  <si>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</si>
  <si>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</si>
  <si>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</si>
  <si>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</si>
  <si>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</si>
  <si>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</si>
  <si>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</si>
  <si>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</si>
  <si>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組合端</t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</si>
  <si>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</si>
  <si>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</si>
  <si>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</si>
  <si>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</si>
  <si>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</si>
  <si>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</si>
  <si>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</si>
  <si>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</si>
  <si>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</si>
  <si>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</si>
  <si>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</si>
  <si>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</si>
  <si>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</si>
  <si>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</si>
  <si>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</si>
  <si>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</si>
  <si>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</si>
  <si>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</si>
  <si>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</si>
  <si>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</si>
  <si>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</si>
  <si>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</si>
  <si>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</si>
  <si>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</si>
  <si>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</si>
  <si>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</si>
  <si>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</si>
  <si>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</si>
  <si>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</si>
  <si>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</si>
  <si>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</si>
  <si>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</si>
  <si>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</si>
  <si>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</si>
  <si>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</si>
  <si>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</si>
  <si>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</si>
  <si>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</si>
  <si>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</si>
  <si>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</si>
  <si>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</si>
  <si>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</si>
  <si>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</si>
  <si>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</si>
  <si>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</si>
  <si>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</si>
  <si>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</si>
  <si>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</si>
  <si>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</si>
  <si>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</si>
  <si>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</si>
  <si>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</si>
  <si>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</si>
  <si>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</si>
  <si>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</si>
  <si>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</si>
  <si>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</si>
  <si>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</si>
  <si>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</si>
  <si>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</si>
  <si>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其他原因</t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</si>
  <si>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</si>
  <si>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</si>
  <si>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</si>
  <si>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</si>
  <si>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</si>
  <si>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</si>
  <si>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</si>
  <si>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</si>
  <si>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</si>
  <si>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</si>
  <si>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</si>
  <si>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</si>
  <si>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</si>
  <si>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</si>
  <si>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</si>
  <si>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</si>
  <si>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</si>
  <si>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</si>
  <si>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</si>
  <si>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</si>
  <si>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</si>
  <si>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</si>
  <si>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</si>
  <si>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</si>
  <si>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</si>
  <si>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</si>
  <si>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</si>
  <si>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</si>
  <si>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</si>
  <si>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</si>
  <si>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</si>
  <si>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</si>
  <si>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</si>
  <si>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</si>
  <si>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</si>
  <si>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</si>
  <si>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</si>
  <si>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</si>
  <si>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</si>
  <si>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</si>
  <si>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</si>
  <si>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</si>
  <si>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</si>
  <si>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</si>
  <si>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</si>
  <si>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</si>
  <si>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</si>
  <si>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</si>
  <si>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</si>
  <si>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</si>
  <si>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</si>
  <si>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</si>
  <si>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</si>
  <si>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</si>
  <si>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</si>
  <si>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</si>
  <si>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</si>
  <si>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</si>
  <si>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</si>
  <si>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</si>
  <si>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</si>
  <si>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</si>
  <si>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</si>
  <si>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</si>
  <si>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</si>
  <si>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</si>
  <si>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</si>
  <si>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</si>
  <si>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</si>
  <si>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</si>
  <si>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</si>
  <si>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</si>
  <si>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</si>
  <si>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</si>
  <si>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</si>
  <si>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</si>
  <si>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</si>
  <si>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</si>
  <si>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</si>
  <si>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</si>
  <si>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</si>
  <si>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</si>
  <si>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</si>
  <si>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</si>
  <si>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</si>
  <si>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</si>
  <si>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</si>
  <si>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</si>
  <si>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</si>
  <si>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</si>
  <si>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</si>
  <si>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</si>
  <si>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</si>
  <si>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</si>
  <si>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</si>
  <si>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</si>
  <si>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</si>
  <si>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</si>
  <si>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</si>
  <si>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</si>
  <si>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</si>
  <si>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</si>
  <si>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</si>
  <si>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</si>
  <si>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</si>
  <si>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</si>
  <si>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</si>
  <si>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</si>
  <si>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</si>
  <si>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</si>
  <si>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</si>
  <si>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</si>
  <si>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</si>
  <si>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</si>
  <si>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</si>
  <si>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</si>
  <si>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</si>
  <si>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</si>
  <si>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</si>
  <si>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</si>
  <si>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</si>
  <si>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</si>
  <si>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</si>
  <si>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</si>
  <si>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</si>
  <si>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</si>
  <si>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</si>
  <si>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</si>
  <si>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</si>
  <si>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</si>
  <si>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</si>
  <si>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</si>
  <si>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</si>
  <si>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</si>
  <si>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</si>
  <si>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</si>
  <si>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</si>
  <si>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</si>
  <si>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</si>
  <si>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</si>
  <si>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</si>
  <si>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</si>
  <si>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</si>
  <si>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</si>
  <si>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</si>
  <si>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</si>
  <si>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</si>
  <si>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</si>
  <si>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</si>
  <si>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</si>
  <si>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</si>
  <si>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</si>
  <si>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</si>
  <si>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</si>
  <si>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</si>
  <si>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</si>
  <si>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</si>
  <si>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</si>
  <si>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</si>
  <si>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</si>
  <si>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</si>
  <si>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</si>
  <si>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</si>
  <si>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</si>
  <si>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</si>
  <si>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</si>
  <si>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</si>
  <si>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</si>
  <si>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79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</si>
  <si>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</si>
  <si>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</si>
  <si>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</si>
  <si>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</si>
  <si>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</si>
  <si>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</si>
  <si>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</si>
  <si>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</si>
  <si>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</si>
  <si>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</si>
  <si>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</si>
  <si>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</si>
  <si>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</si>
  <si>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</si>
  <si>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</si>
  <si>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</si>
  <si>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</si>
  <si>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</si>
  <si>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</si>
  <si>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後續對策</t>
    <phoneticPr fontId="13" type="noConversion"/>
  </si>
  <si>
    <t>展開量高於需求量</t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</si>
  <si>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</si>
  <si>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</si>
  <si>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</si>
  <si>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</si>
  <si>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</si>
  <si>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</si>
  <si>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</si>
  <si>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</si>
  <si>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</si>
  <si>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</si>
  <si>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</si>
  <si>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</si>
  <si>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</si>
  <si>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</si>
  <si>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</si>
  <si>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</si>
  <si>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</si>
  <si>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</si>
  <si>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</si>
  <si>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</si>
  <si>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</si>
  <si>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二配濃起司燻腸紅醬焗烤飯</t>
  </si>
  <si>
    <t>青花菜原物料規格偏大造成超用</t>
  </si>
  <si>
    <t>注餡機機台工差設定確認</t>
  </si>
  <si>
    <t>原物料肉片的大小塊差異</t>
  </si>
  <si>
    <t>抓量較不穩定造成超用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</si>
  <si>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</si>
  <si>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</si>
  <si>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</si>
  <si>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</si>
  <si>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</si>
  <si>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</si>
  <si>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</si>
  <si>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</si>
  <si>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</si>
  <si>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</si>
  <si>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</si>
  <si>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</si>
  <si>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</si>
  <si>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</si>
  <si>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</si>
  <si>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</si>
  <si>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</si>
  <si>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</si>
  <si>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</si>
  <si>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</si>
  <si>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</si>
  <si>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</si>
  <si>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</si>
  <si>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</si>
  <si>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</si>
  <si>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</si>
  <si>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</si>
  <si>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</si>
  <si>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</si>
  <si>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</si>
  <si>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</si>
  <si>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</si>
  <si>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</si>
  <si>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</si>
  <si>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</si>
  <si>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</si>
  <si>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</si>
  <si>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</si>
  <si>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</si>
  <si>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</si>
  <si>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</si>
  <si>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</si>
  <si>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</si>
  <si>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</si>
  <si>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</si>
  <si>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</si>
  <si>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</si>
  <si>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</si>
  <si>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原物料規格</t>
    <phoneticPr fontId="13" type="noConversion"/>
  </si>
  <si>
    <t>操作方式冰杓定量，因冰杓規格限制導致超用</t>
  </si>
  <si>
    <t>煮烏龍冷麵(113年)</t>
  </si>
  <si>
    <t>歐姆蛋-黑咖哩醬</t>
  </si>
  <si>
    <t>操作方式冰杓定量，生產餘料報廢</t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</si>
  <si>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</si>
  <si>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</si>
  <si>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</si>
  <si>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</si>
  <si>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</si>
  <si>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</si>
  <si>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</si>
  <si>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</si>
  <si>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</si>
  <si>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</si>
  <si>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</si>
  <si>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</si>
  <si>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</si>
  <si>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</si>
  <si>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</si>
  <si>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</si>
  <si>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</si>
  <si>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</si>
  <si>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</si>
  <si>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</si>
  <si>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</si>
  <si>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</si>
  <si>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</si>
  <si>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</si>
  <si>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蒸黑滷D4棒</t>
  </si>
  <si>
    <t>燉飯青醬(115年)</t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</si>
  <si>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</si>
  <si>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</si>
  <si>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</si>
  <si>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</si>
  <si>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</si>
  <si>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月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</si>
  <si>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</si>
  <si>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</si>
  <si>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</si>
  <si>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</si>
  <si>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</si>
  <si>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</si>
  <si>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消毒細切紅蘿蔔絲</t>
  </si>
  <si>
    <t>注餡機機台工差設定確認
生產前確認標準定量的機台設定，生產中抽查確認設定及實際出料重量，餘料報廢。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</si>
  <si>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</si>
  <si>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</si>
  <si>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</si>
  <si>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</si>
  <si>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</si>
  <si>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</si>
  <si>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</si>
  <si>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</si>
  <si>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越式牛肉寬粉</t>
  </si>
  <si>
    <t>越式湯凍(115年)</t>
  </si>
  <si>
    <t>二配鮭魚毛豆炊飯飯糰</t>
  </si>
  <si>
    <t>二配西班牙風味海鮮燉飯</t>
  </si>
  <si>
    <t>雙拼炒混蔬</t>
  </si>
  <si>
    <t>113年川燙綠豆芽</t>
  </si>
  <si>
    <t>蘑菇白醬</t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</si>
  <si>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</si>
  <si>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</si>
  <si>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</si>
  <si>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</si>
  <si>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糖燻野郎三十天熟成牛飯(115年)</t>
  </si>
  <si>
    <t>八</t>
    <phoneticPr fontId="13" type="noConversion"/>
  </si>
  <si>
    <t>地中海布格麥烤魚餐盒</t>
  </si>
  <si>
    <t>蒸-全熟雞肉絲CL(113年)</t>
  </si>
  <si>
    <t>煮茄汁豆腐</t>
  </si>
  <si>
    <t>餐盒用-三色高麗菜</t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</si>
  <si>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</si>
  <si>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</si>
  <si>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t>反映研發，後續開發列入考量，目前報廢量以穩定控制</t>
  </si>
  <si>
    <t>煮麵單籃批量設定，餘料報廢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</si>
  <si>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</si>
  <si>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</si>
  <si>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</si>
  <si>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</si>
  <si>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秤重標準差異造成超用</t>
  </si>
  <si>
    <t>菜梗、葉差異，影響人員放料手感抓量較不穩定造成超用</t>
  </si>
  <si>
    <t>針對人員手法教育訓練，並增加線上抽秤頻率。</t>
  </si>
  <si>
    <t>日式鮭魚茶泡烤飯</t>
  </si>
  <si>
    <t>日式蕎麥沾麵</t>
  </si>
  <si>
    <t>廢棄週合計</t>
    <phoneticPr fontId="13" type="noConversion"/>
  </si>
  <si>
    <t>超用週合計</t>
    <phoneticPr fontId="13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</si>
  <si>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</si>
  <si>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</si>
  <si>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</si>
  <si>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79" type="noConversion"/>
  </si>
  <si>
    <t>超用率A</t>
    <phoneticPr fontId="13" type="noConversion"/>
  </si>
  <si>
    <t>超用額B</t>
    <phoneticPr fontId="79" type="noConversion"/>
  </si>
  <si>
    <t>超用率B</t>
    <phoneticPr fontId="13" type="noConversion"/>
  </si>
  <si>
    <t>營業額合計</t>
    <phoneticPr fontId="79" type="noConversion"/>
  </si>
  <si>
    <t>煮熊本蕎麥生麵(角#18)</t>
  </si>
  <si>
    <t>泡飯-柴魚湯凍(115年)</t>
  </si>
  <si>
    <t>川燙青白花菜</t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</si>
  <si>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</si>
  <si>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</si>
  <si>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已調整尾數拆半批生產(半籃)，目前報廢量設定目標控制在半批內</t>
  </si>
  <si>
    <t>原物料規格大小差異造成超用剩餘料報廢</t>
  </si>
  <si>
    <t>強化截切及抓量標準化作業，落實人員教育訓練，並增加線上抽秤頻率，調理展開量下修，並已採用多次補單方式執行</t>
  </si>
  <si>
    <t>加強分切規格控管與線上秤重教育訓練，降低規格落差及剩料</t>
  </si>
  <si>
    <t>原物料規格大小差異，生產剩餘料報廢</t>
  </si>
  <si>
    <t>持續強化截切及抓量標準化作業，落實人員教育訓練，並增加線上抽秤頻率。</t>
  </si>
  <si>
    <t>加強教育人員穩定分切厚薄減少規格異常</t>
  </si>
  <si>
    <t>針對人員過磅標準教育訓練，並增加線上抽秤頻率，設定目標控制超用百分比1%內</t>
  </si>
  <si>
    <t>原物料肉片的大小塊差異超用剩餘料報廢
加強分切規格控管與線上秤重教育訓練，降低規格落差及剩料</t>
    <phoneticPr fontId="13" type="noConversion"/>
  </si>
  <si>
    <t>煮麵單籃批量設定，餘料報廢
已調整尾數拆半批生產(半籃)，目前報廢量設定目標控制在半批內</t>
    <phoneticPr fontId="10"/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</si>
  <si>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</si>
  <si>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</si>
  <si>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</si>
  <si>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菜梗、葉差異，影響人員放料手感抓量較不穩定造成超用
持續強化截切及抓量標準化作業，落實人員教育訓練，並增加線上抽秤頻率。</t>
    <phoneticPr fontId="13" type="noConversion"/>
  </si>
  <si>
    <t>一配鹽蔥生鮭飯糰</t>
  </si>
  <si>
    <t>一配青木瓜雞絲泰泰雙手卷</t>
  </si>
  <si>
    <t>月見烏龍冷麵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</si>
  <si>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性前幾名品項(0728-0803)</t>
    </r>
    <phoneticPr fontId="13" type="noConversion"/>
  </si>
  <si>
    <t>0728-0803</t>
    <phoneticPr fontId="13" type="noConversion"/>
  </si>
  <si>
    <t>拌明太子龍蝦沙拉(114年)</t>
  </si>
  <si>
    <t>冷凍鮭魚骰子丁(蔥鹽風味)</t>
  </si>
  <si>
    <t>明太子龍蝦風味沙拉飯糰(114年)</t>
  </si>
  <si>
    <t>抓量秤重差異造成超用</t>
  </si>
  <si>
    <t>確認分切工程穩定分切長度減少規格異常，再針對秤重手法教育訓練，並增加線上抽秤頻率。</t>
  </si>
  <si>
    <t>生產前確認標準定量的機台設定，生產中抽查確認設定及實際出料重量。</t>
  </si>
  <si>
    <t>（８）報廢原因別前幾名品項(0728-0803)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</si>
  <si>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</si>
  <si>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抓量秤重差異造成超用
確認分切工程穩定分切長度減少規格異常，再針對秤重手法教育訓練，並增加線上抽秤頻率。</t>
    <phoneticPr fontId="13" type="noConversion"/>
  </si>
  <si>
    <t>0728-0803 總合計↑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</si>
  <si>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週更新(0728-0803)</t>
    </r>
    <phoneticPr fontId="13" type="noConversion"/>
  </si>
  <si>
    <t>產線配置圖－每週更新(0728-0803)</t>
  </si>
  <si>
    <t>醬油生鮭脆卷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</si>
  <si>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週更新(0728-0803)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</si>
  <si>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性前幾名品項(0804-0810)</t>
    </r>
    <phoneticPr fontId="13" type="noConversion"/>
  </si>
  <si>
    <t>歐姆蛋(110年)</t>
  </si>
  <si>
    <t>調理展開量下修，並已採用多次補單方式執行，目前報廢量以穩定控制</t>
  </si>
  <si>
    <t>蒸箱製程後物料骨肉分離無法使用</t>
  </si>
  <si>
    <t>已調整蒸箱製程後段操作方式及入籃量下修，調整後報廢數量已降低。</t>
  </si>
  <si>
    <t>原物料肉塊的大小塊差異</t>
  </si>
  <si>
    <r>
      <rPr>
        <sz val="11"/>
        <color theme="1"/>
        <rFont val="Microsoft JhengHei"/>
        <family val="2"/>
      </rPr>
      <t>熱轉印辨識機完成建置,人數配置少</t>
    </r>
    <r>
      <rPr>
        <sz val="11"/>
        <color theme="1"/>
        <rFont val="Calibri"/>
        <family val="2"/>
      </rPr>
      <t>1</t>
    </r>
    <r>
      <rPr>
        <sz val="11"/>
        <color theme="1"/>
        <rFont val="Microsoft JhengHei"/>
        <family val="2"/>
      </rPr>
      <t>人</t>
    </r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</si>
  <si>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達成率提升中</t>
    </r>
    <phoneticPr fontId="13" type="noConversion"/>
  </si>
  <si>
    <t>切換促銷版膜料</t>
    <phoneticPr fontId="13" type="noConversion"/>
  </si>
  <si>
    <t>（８）報廢原因別前幾名品項(0804-0810)</t>
    <phoneticPr fontId="13" type="noConversion"/>
  </si>
  <si>
    <t>0804-0810 總合計↑</t>
    <phoneticPr fontId="13" type="noConversion"/>
  </si>
  <si>
    <t>蒸箱製程後物料骨肉分離無法使用
已調整蒸箱製程後段操作方式及入籃量下修，調整後報廢數量已降低。</t>
    <phoneticPr fontId="13" type="noConversion"/>
  </si>
  <si>
    <t>操作方式冰杓定量，因冰杓規格限制導致超用
針對人員手法教育訓練，並增加線上抽秤頻率。</t>
    <phoneticPr fontId="13" type="noConversion"/>
  </si>
  <si>
    <t>原物料肉片的大小塊差異
針對人員抓量手法教育訓練，並增加線上抽秤頻率。</t>
    <phoneticPr fontId="13" type="noConversion"/>
  </si>
  <si>
    <r>
      <t>8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</si>
  <si>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8月平均人時性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</si>
  <si>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性前幾名品項(0811-0817)</t>
    </r>
    <phoneticPr fontId="13" type="noConversion"/>
  </si>
  <si>
    <t>0804-0810</t>
    <phoneticPr fontId="13" type="noConversion"/>
  </si>
  <si>
    <t>0811-0817</t>
    <phoneticPr fontId="13" type="noConversion"/>
  </si>
  <si>
    <t>0818-0824</t>
    <phoneticPr fontId="13" type="noConversion"/>
  </si>
  <si>
    <t>0825-0831</t>
    <phoneticPr fontId="13" type="noConversion"/>
  </si>
  <si>
    <t>8月總報廢合計</t>
    <phoneticPr fontId="13" type="noConversion"/>
  </si>
  <si>
    <t>8月總報廢率</t>
    <phoneticPr fontId="13" type="noConversion"/>
  </si>
  <si>
    <r>
      <t>8月總超用A合計金額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</si>
  <si>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8月總超用率A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</si>
  <si>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8月總超用B合計金額
(多展-報廢)</t>
    <phoneticPr fontId="13" type="noConversion"/>
  </si>
  <si>
    <t>8月總超用率B
(多展-報廢)</t>
    <phoneticPr fontId="13" type="noConversion"/>
  </si>
  <si>
    <t>0811-0817 總合計↑</t>
    <phoneticPr fontId="13" type="noConversion"/>
  </si>
  <si>
    <t>0818-0824 總合計↑</t>
    <phoneticPr fontId="13" type="noConversion"/>
  </si>
  <si>
    <t>0825-0831 總合計↑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</si>
  <si>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週更新(0804-0810)</t>
    </r>
    <phoneticPr fontId="13" type="noConversion"/>
  </si>
  <si>
    <t>產線配置圖－每週更新(0804-0810)</t>
  </si>
  <si>
    <t>韓式泡菜冷麵</t>
  </si>
  <si>
    <t xml:space="preserve">煮白細麵生(方#10) </t>
  </si>
  <si>
    <t>西班牙烤雞腿丁(115年)</t>
  </si>
  <si>
    <t>炒黑胡椒豆芽(餐盒)</t>
  </si>
  <si>
    <t>煮蝦湯凍</t>
  </si>
  <si>
    <t>瀝-僑瑞切片泡菜(準備室)</t>
  </si>
  <si>
    <t>新冷凍銀鮭碎肉</t>
  </si>
  <si>
    <t>焙炒芝麻肉鬆(飯糰)</t>
  </si>
  <si>
    <t>經典肉鬆飯糰(114年)</t>
  </si>
  <si>
    <t>新品一週,達成率上升</t>
    <phoneticPr fontId="13" type="noConversion"/>
  </si>
  <si>
    <t>新品,達成率提升中</t>
    <phoneticPr fontId="13" type="noConversion"/>
  </si>
  <si>
    <t>原物料肉塊的大小塊差異超用剩餘料報廢</t>
  </si>
  <si>
    <r>
      <t>持續強化截切及抓量標準化作業，落實人員教育訓練，並增加線上抽秤頻率，超用量</t>
    </r>
    <r>
      <rPr>
        <sz val="12"/>
        <color theme="1"/>
        <rFont val="Microsoft JhengHei"/>
        <family val="2"/>
      </rPr>
      <t>穩定控制中。</t>
    </r>
    <phoneticPr fontId="13" type="noConversion"/>
  </si>
  <si>
    <r>
      <t>原物料</t>
    </r>
    <r>
      <rPr>
        <sz val="12"/>
        <color theme="1"/>
        <rFont val="Microsoft JhengHei"/>
        <family val="2"/>
      </rPr>
      <t>菜葉</t>
    </r>
    <r>
      <rPr>
        <sz val="12"/>
        <color theme="1"/>
        <rFont val="Meiryo UI"/>
        <family val="2"/>
      </rPr>
      <t>的大小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差異</t>
    </r>
    <phoneticPr fontId="13" type="noConversion"/>
  </si>
  <si>
    <t>針對人員過磅標準教育訓練，並增加線上抽秤頻率。</t>
    <phoneticPr fontId="13" type="noConversion"/>
  </si>
  <si>
    <t>（８）報廢原因別前幾名品項(0811-0817)</t>
    <phoneticPr fontId="13" type="noConversion"/>
  </si>
  <si>
    <t>原物料規格過小，無法使用
反映研發，後續開發列入考量，目前報廢量以穩定控制</t>
    <phoneticPr fontId="13" type="noConversion"/>
  </si>
  <si>
    <t>抓量較不穩定造成超用餘料報廢
調理展開量下修，並已採用多次補單方式執行，目前報廢量以穩定控制</t>
    <phoneticPr fontId="13" type="noConversion"/>
  </si>
  <si>
    <t>原物料肉塊的大小塊差異超用剩餘料報廢
調理展開量下修，並已採用多次補單方式執行，目前報廢量以穩定控制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</si>
  <si>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</si>
  <si>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週更新(0811-0817)</t>
    </r>
    <phoneticPr fontId="13" type="noConversion"/>
  </si>
  <si>
    <t>產線配置圖－每週更新(0811-0817)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</si>
  <si>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性前幾名品項(0818-0824)</t>
    </r>
    <phoneticPr fontId="13" type="noConversion"/>
  </si>
  <si>
    <t>(V)炒海苔香鬆(飯糰)</t>
  </si>
  <si>
    <t>煮寬粉(114年)</t>
  </si>
  <si>
    <t>二配芝麻香鬆飯糰(114年)</t>
  </si>
  <si>
    <r>
      <t>焗</t>
    </r>
    <r>
      <rPr>
        <sz val="12"/>
        <color rgb="FF000000"/>
        <rFont val="Meiryo UI"/>
        <family val="2"/>
        <charset val="128"/>
      </rPr>
      <t>飯-義式蕃茄紅</t>
    </r>
    <r>
      <rPr>
        <sz val="12"/>
        <color rgb="FF000000"/>
        <rFont val="Meiryo UI"/>
        <family val="2"/>
      </rPr>
      <t>醬</t>
    </r>
  </si>
  <si>
    <t>煮牛肉片(A7)</t>
  </si>
  <si>
    <t>焗飯-奶香白醬(114年)</t>
  </si>
  <si>
    <t>炒蔥花碎蛋</t>
  </si>
  <si>
    <t>切烤雞胸肉(111年)</t>
    <phoneticPr fontId="13" type="noConversion"/>
  </si>
  <si>
    <t>生產餘料報廢</t>
  </si>
  <si>
    <t>原物料規格大小顆，影響產出數量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</si>
  <si>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</si>
  <si>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增加線上抽秤頻率，調理展開量下修，並已採用多次補單方式執行</t>
    <phoneticPr fontId="13" type="noConversion"/>
  </si>
  <si>
    <t>注餡機機台工差設定確認</t>
    <phoneticPr fontId="13" type="noConversion"/>
  </si>
  <si>
    <t>新品一週,達成率提升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</si>
  <si>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性前幾名品項(0825-0831)</t>
    </r>
    <phoneticPr fontId="13" type="noConversion"/>
  </si>
  <si>
    <t>（８）報廢原因別前幾名品項(0818-0824)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</si>
  <si>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</si>
  <si>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烤盤產生炭渣，豆腐沾黏焦化物
定期更換烤盤，制定烤盤更換時程，降低豆腐沾黏焦化物而造成報廢</t>
    <phoneticPr fontId="13" type="noConversion"/>
  </si>
  <si>
    <t>烤箱製程蛋片規格厚薄差異
準備室分切剔除，確保賣相準定</t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</si>
  <si>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</si>
  <si>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蒸箱製程後物料骨肉分離無法使用
已調整蒸箱製程後段操作方式及入籃量下修，調整後報廢數量已降低。</t>
    <phoneticPr fontId="13" type="noConversion"/>
  </si>
  <si>
    <t>原物料規格過小，無法使用
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</si>
  <si>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</si>
  <si>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</si>
  <si>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生產餘料報廢
增加線上抽秤頻率，調理展開量下修，並已採用多次補單方式執行</t>
    <phoneticPr fontId="13" type="noConversion"/>
  </si>
  <si>
    <t>抓量較不穩定造成超用餘料報廢
調理展開量下修，並已採用多次補單方式執行，目前報廢量以穩定控制</t>
    <phoneticPr fontId="13" type="noConversion"/>
  </si>
  <si>
    <t>抓量較不穩定造成超用餘料報廢
調理展開量下修，並已採用多次補單方式執行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</si>
  <si>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</si>
  <si>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</si>
  <si>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</si>
  <si>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抓量較不穩定造成超用
針對人員抓量手法教育訓練，並增加線上抽秤頻率。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</si>
  <si>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</si>
  <si>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t>抓量秤重差異造成超用
確認分切工程穩定分切長度減少規格異常，再針對秤重手法教育訓練，並增加線上抽秤頻率。</t>
    <phoneticPr fontId="13" type="noConversion"/>
  </si>
  <si>
    <t>二配醬燒炙烤牛飯糰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</si>
  <si>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週更新(0818-0824)</t>
    </r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</si>
  <si>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</si>
  <si>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產線配置圖－每週更新(0818-0824)</t>
  </si>
  <si>
    <t>香烤鱈魚輕蔬餐盒</t>
  </si>
  <si>
    <t>益活雞胸補力餐盒</t>
  </si>
  <si>
    <t xml:space="preserve">                                                                                                                                                                                                       </t>
    <phoneticPr fontId="13" type="noConversion"/>
  </si>
  <si>
    <t xml:space="preserve">                                   </t>
    <phoneticPr fontId="13" type="noConversion"/>
  </si>
  <si>
    <t>蒸益活雞胸丁</t>
  </si>
  <si>
    <t>96切-蒸大漢板豆腐</t>
  </si>
  <si>
    <t>拌蒜香五花肉</t>
  </si>
  <si>
    <t>炒玉米筍段</t>
  </si>
  <si>
    <t>調味鮭魚熟碎肉CL</t>
  </si>
  <si>
    <t>反映研發，後續開發列入考量，目前報廢量以穩定控制</t>
    <phoneticPr fontId="13" type="noConversion"/>
  </si>
  <si>
    <t>調理展開量下修，並已採用多次補單方式執行，目前報廢量以穩定控制</t>
    <phoneticPr fontId="13" type="noConversion"/>
  </si>
  <si>
    <t>原物料肉塊規格大小差異，生產於料報廢</t>
    <phoneticPr fontId="13" type="noConversion"/>
  </si>
  <si>
    <t>反映研發，後續開發列入考量，調理展開量下修，並已採用多次補單方式執行</t>
    <phoneticPr fontId="13" type="noConversion"/>
  </si>
  <si>
    <t>分切製程導致破損報廢</t>
    <phoneticPr fontId="13" type="noConversion"/>
  </si>
  <si>
    <r>
      <t>強化</t>
    </r>
    <r>
      <rPr>
        <sz val="12"/>
        <color theme="1"/>
        <rFont val="Microsoft JhengHei"/>
        <family val="2"/>
      </rPr>
      <t>分切</t>
    </r>
    <r>
      <rPr>
        <sz val="12"/>
        <color theme="1"/>
        <rFont val="Meiryo UI"/>
        <family val="2"/>
      </rPr>
      <t>標準化作業，落實人員教育訓練</t>
    </r>
    <r>
      <rPr>
        <sz val="12"/>
        <color theme="1"/>
        <rFont val="Microsoft JhengHei"/>
        <family val="2"/>
      </rPr>
      <t>降低破損報廢</t>
    </r>
    <phoneticPr fontId="13" type="noConversion"/>
  </si>
  <si>
    <t>原物料肉塊的大小塊差異過大</t>
  </si>
  <si>
    <t>反映開發列入考量調整，先針對人員抓量手法教育訓練，並增加線上抽秤頻率。</t>
  </si>
  <si>
    <t>持續強化截切及抓量標準化作業，落實人員教育訓練，並增加線上抽秤頻率，超用量穩定控制中。</t>
  </si>
  <si>
    <t>（８）報廢原因別前幾名品項(0825-0831)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</si>
  <si>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性前幾名品項(0901-0907)</t>
    </r>
    <phoneticPr fontId="13" type="noConversion"/>
  </si>
  <si>
    <r>
      <rPr>
        <sz val="11"/>
        <color theme="1"/>
        <rFont val="細明體"/>
        <family val="2"/>
        <charset val="136"/>
      </rPr>
      <t>機台產力下調至</t>
    </r>
    <r>
      <rPr>
        <sz val="11"/>
        <color theme="1"/>
        <rFont val="Calibri"/>
        <family val="2"/>
      </rPr>
      <t>4200/hr.</t>
    </r>
    <r>
      <rPr>
        <sz val="11"/>
        <color theme="1"/>
        <rFont val="細明體"/>
        <family val="2"/>
        <charset val="136"/>
      </rPr>
      <t>人時性上升</t>
    </r>
    <phoneticPr fontId="13" type="noConversion"/>
  </si>
  <si>
    <r>
      <rPr>
        <sz val="11"/>
        <color theme="1"/>
        <rFont val="Microsoft JhengHei"/>
        <family val="2"/>
      </rPr>
      <t>配置下修一員</t>
    </r>
    <r>
      <rPr>
        <sz val="11"/>
        <color theme="1"/>
        <rFont val="Calibri"/>
        <family val="2"/>
      </rPr>
      <t>,</t>
    </r>
    <r>
      <rPr>
        <sz val="11"/>
        <color theme="1"/>
        <rFont val="Microsoft JhengHei"/>
        <family val="2"/>
      </rPr>
      <t>人時性提高</t>
    </r>
    <phoneticPr fontId="13" type="noConversion"/>
  </si>
  <si>
    <r>
      <rPr>
        <sz val="11"/>
        <color theme="1"/>
        <rFont val="Microsoft JhengHei"/>
        <family val="2"/>
      </rPr>
      <t>配置下修一員</t>
    </r>
    <r>
      <rPr>
        <sz val="11"/>
        <color theme="1"/>
        <rFont val="Calibri"/>
        <family val="2"/>
      </rPr>
      <t>,</t>
    </r>
    <r>
      <rPr>
        <sz val="11"/>
        <color theme="1"/>
        <rFont val="Microsoft JhengHei"/>
        <family val="2"/>
      </rPr>
      <t>人時性提高</t>
    </r>
    <r>
      <rPr>
        <sz val="11"/>
        <color theme="1"/>
        <rFont val="Meiryo UI"/>
        <family val="2"/>
        <charset val="128"/>
      </rPr>
      <t>(</t>
    </r>
    <r>
      <rPr>
        <sz val="11"/>
        <color theme="1"/>
        <rFont val="Microsoft JhengHei"/>
        <family val="2"/>
      </rPr>
      <t>促銷標張貼+1人)</t>
    </r>
    <phoneticPr fontId="13" type="noConversion"/>
  </si>
  <si>
    <t>原物料規格大小差異造成超用剩餘料報廢
調理展開量下修，並已採用多次補單方式執行，目前報廢量以穩定控制</t>
    <phoneticPr fontId="10"/>
  </si>
  <si>
    <t>烤箱製程蛋片規格厚薄差異
準備室分切剔除，確保賣相準定</t>
    <phoneticPr fontId="13" type="noConversion"/>
  </si>
  <si>
    <t>烤盤產生炭渣，豆腐沾黏焦化物
定期更換烤盤，制定烤盤更換時程，降低豆腐沾黏焦化物而造成報廢</t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</si>
  <si>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</si>
  <si>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原物料肉片的大小塊差異超用剩餘料報廢
加強分切規格控管與線上秤重教育訓練，降低規格落差及剩料</t>
    <phoneticPr fontId="13" type="noConversion"/>
  </si>
  <si>
    <t>分切製程導致破損報廢
強化分切標準化作業，落實人員教育訓練降低破損報廢</t>
    <phoneticPr fontId="13" type="noConversion"/>
  </si>
  <si>
    <t>原物料規格過小，無法使用
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</si>
  <si>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</si>
  <si>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</si>
  <si>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原物料肉塊規格大小差異，生產於料報廢
反映研發，後續開發列入考量，調理展開量下修，並已採用多次補單方式執行</t>
    <phoneticPr fontId="13" type="noConversion"/>
  </si>
  <si>
    <t>抓量較不穩定造成超用餘料報廢
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</si>
  <si>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</si>
  <si>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原物料肉塊的大小塊差異超用剩餘料報廢
調理展開量下修，並已採用多次補單方式執行，目前報廢量以穩定控制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</si>
  <si>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</si>
  <si>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原物料肉片的大小塊差異
加強教育人員穩定分切厚薄減少規格異常</t>
    <phoneticPr fontId="13" type="noConversion"/>
  </si>
  <si>
    <t>原物料肉塊的大小塊差異過大
反映開發列入考量調整，先針對人員抓量手法教育訓練，並增加線上抽秤頻率。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</si>
  <si>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</si>
  <si>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t>抓量秤重差異造成超用
確認分切工程穩定分切長度減少規格異常，再針對秤重手法教育訓練，並增加線上抽秤頻率。</t>
    <phoneticPr fontId="13" type="noConversion"/>
  </si>
  <si>
    <t>抓量較不穩定造成超用
針對人員抓量手法教育訓練，並增加線上抽秤頻率。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</si>
  <si>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</si>
  <si>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（８）報廢原因別前幾名品項(0901-0907)</t>
    <phoneticPr fontId="13" type="noConversion"/>
  </si>
  <si>
    <t>W4</t>
    <phoneticPr fontId="13" type="noConversion"/>
  </si>
  <si>
    <t>炙燒牛五花(115年)</t>
  </si>
  <si>
    <t>毛豆炒豆乾丁</t>
  </si>
  <si>
    <t>野郎醬(112年)</t>
  </si>
  <si>
    <t>0901-0907</t>
    <phoneticPr fontId="13" type="noConversion"/>
  </si>
  <si>
    <t>醬燒炙烤牛飯糰</t>
  </si>
  <si>
    <t>一配醬燒炙烤牛飯糰</t>
  </si>
  <si>
    <t>二配卵黃牛挽肉飯糰</t>
  </si>
  <si>
    <t>二配生鱈魚子鮭魚飯糰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</si>
  <si>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週更新(0825-0831)</t>
    </r>
    <phoneticPr fontId="13" type="noConversion"/>
  </si>
  <si>
    <t>產線配置圖－每週更新(0825-0831)</t>
  </si>
  <si>
    <t>蔥花生鮪魚脆卷</t>
  </si>
  <si>
    <t>香濃明太子嫩雞飯卷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</si>
</sst>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rgb="FF000000"/>
      <name val="Microsoft JhengHei"/>
      <family val="2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2"/>
      <color rgb="FF000000"/>
      <name val="Meiryo UI"/>
      <family val="2"/>
      <charset val="128"/>
    </font>
    <font>
      <sz val="12"/>
      <color theme="1"/>
      <name val="Microsoft JhengHe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9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7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3" fillId="9" borderId="30" xfId="5" applyFont="1" applyFill="1" applyBorder="1"/>
    <xf numFmtId="0" fontId="63" fillId="0" borderId="0" xfId="5" applyFont="1"/>
    <xf numFmtId="0" fontId="63" fillId="0" borderId="22" xfId="5" applyFont="1" applyBorder="1"/>
    <xf numFmtId="0" fontId="63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6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6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6" fillId="5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6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1" fontId="56" fillId="0" borderId="22" xfId="0" applyNumberFormat="1" applyFont="1" applyBorder="1" applyAlignment="1">
      <alignment shrinkToFit="1"/>
    </xf>
    <xf numFmtId="183" fontId="56" fillId="0" borderId="22" xfId="0" applyNumberFormat="1" applyFont="1" applyBorder="1" applyAlignment="1">
      <alignment shrinkToFit="1"/>
    </xf>
    <xf numFmtId="0" fontId="56" fillId="0" borderId="22" xfId="0" applyFont="1" applyBorder="1" applyAlignment="1">
      <alignment horizontal="right" shrinkToFit="1"/>
    </xf>
    <xf numFmtId="1" fontId="71" fillId="0" borderId="22" xfId="0" applyNumberFormat="1" applyFont="1" applyBorder="1" applyAlignment="1">
      <alignment shrinkToFit="1"/>
    </xf>
    <xf numFmtId="183" fontId="71" fillId="0" borderId="22" xfId="0" applyNumberFormat="1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7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6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7" fillId="0" borderId="6" xfId="11" applyFont="1" applyBorder="1" applyAlignment="1">
      <alignment horizontal="center" shrinkToFit="1"/>
    </xf>
    <xf numFmtId="0" fontId="57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3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5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3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3" fillId="0" borderId="1" xfId="11" applyFont="1" applyBorder="1" applyAlignment="1">
      <alignment horizontal="left" vertical="center" shrinkToFit="1"/>
    </xf>
    <xf numFmtId="0" fontId="67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3" fillId="0" borderId="55" xfId="11" applyFont="1" applyBorder="1" applyAlignment="1">
      <alignment horizontal="left" vertical="center" shrinkToFit="1"/>
    </xf>
    <xf numFmtId="0" fontId="75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3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2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7" fillId="0" borderId="0" xfId="0" applyFont="1" applyAlignment="1">
      <alignment shrinkToFit="1"/>
    </xf>
    <xf numFmtId="0" fontId="65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7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6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5" fillId="0" borderId="0" xfId="11" applyFont="1" applyAlignment="1">
      <alignment vertical="center" shrinkToFit="1"/>
    </xf>
    <xf numFmtId="0" fontId="65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7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7" fillId="0" borderId="0" xfId="11" applyFont="1" applyAlignment="1">
      <alignment horizontal="left" vertical="center"/>
    </xf>
    <xf numFmtId="0" fontId="67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6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2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1" fontId="60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7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0" fontId="93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4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2"/>
    </xf>
    <xf numFmtId="0" fontId="65" fillId="0" borderId="0" xfId="11" applyFont="1"/>
    <xf numFmtId="0" fontId="65" fillId="0" borderId="0" xfId="11" applyFont="1" applyAlignment="1">
      <alignment horizontal="left" vertical="center"/>
    </xf>
    <xf numFmtId="0" fontId="65" fillId="0" borderId="0" xfId="11" applyFont="1" applyAlignment="1">
      <alignment horizontal="left" vertical="center" indent="2"/>
    </xf>
    <xf numFmtId="0" fontId="94" fillId="0" borderId="0" xfId="11" applyFont="1" applyAlignment="1">
      <alignment horizontal="left" vertical="center" indent="1"/>
    </xf>
    <xf numFmtId="0" fontId="94" fillId="0" borderId="0" xfId="11" applyFont="1" applyAlignment="1">
      <alignment horizontal="left" vertical="center"/>
    </xf>
    <xf numFmtId="0" fontId="65" fillId="0" borderId="0" xfId="0" applyFont="1" applyAlignment="1">
      <alignment shrinkToFit="1"/>
    </xf>
    <xf numFmtId="0" fontId="65" fillId="0" borderId="0" xfId="0" applyFont="1"/>
    <xf numFmtId="3" fontId="28" fillId="6" borderId="22" xfId="0" applyNumberFormat="1" applyFont="1" applyFill="1" applyBorder="1" applyAlignment="1">
      <alignment shrinkToFit="1"/>
    </xf>
    <xf numFmtId="0" fontId="95" fillId="0" borderId="83" xfId="11" applyFont="1" applyBorder="1" applyAlignment="1">
      <alignment horizontal="center" vertical="center"/>
    </xf>
    <xf numFmtId="0" fontId="95" fillId="0" borderId="84" xfId="11" applyFont="1" applyBorder="1" applyAlignment="1">
      <alignment horizontal="center" vertical="center"/>
    </xf>
    <xf numFmtId="196" fontId="96" fillId="0" borderId="22" xfId="11" applyNumberFormat="1" applyFont="1" applyBorder="1" applyAlignment="1">
      <alignment horizontal="right" vertical="center"/>
    </xf>
    <xf numFmtId="198" fontId="96" fillId="0" borderId="22" xfId="11" applyNumberFormat="1" applyFont="1" applyBorder="1" applyAlignment="1">
      <alignment horizontal="right" vertical="center"/>
    </xf>
    <xf numFmtId="186" fontId="96" fillId="0" borderId="22" xfId="13" applyNumberFormat="1" applyFont="1" applyBorder="1" applyAlignment="1">
      <alignment vertical="center"/>
    </xf>
    <xf numFmtId="10" fontId="96" fillId="0" borderId="22" xfId="13" applyNumberFormat="1" applyFont="1" applyBorder="1" applyAlignment="1">
      <alignment vertical="center"/>
    </xf>
    <xf numFmtId="183" fontId="96" fillId="0" borderId="22" xfId="11" applyNumberFormat="1" applyFont="1" applyBorder="1" applyAlignment="1">
      <alignment vertical="center"/>
    </xf>
    <xf numFmtId="183" fontId="96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6" fillId="0" borderId="22" xfId="11" applyFont="1" applyBorder="1" applyAlignment="1">
      <alignment vertical="center"/>
    </xf>
    <xf numFmtId="196" fontId="96" fillId="9" borderId="86" xfId="11" applyNumberFormat="1" applyFont="1" applyFill="1" applyBorder="1"/>
    <xf numFmtId="0" fontId="96" fillId="9" borderId="22" xfId="11" applyFont="1" applyFill="1" applyBorder="1" applyAlignment="1">
      <alignment vertical="center"/>
    </xf>
    <xf numFmtId="10" fontId="97" fillId="9" borderId="22" xfId="13" applyNumberFormat="1" applyFont="1" applyFill="1" applyBorder="1" applyAlignment="1">
      <alignment horizontal="right" vertical="center"/>
    </xf>
    <xf numFmtId="10" fontId="96" fillId="9" borderId="22" xfId="13" applyNumberFormat="1" applyFont="1" applyFill="1" applyBorder="1" applyAlignment="1">
      <alignment horizontal="right" vertical="center"/>
    </xf>
    <xf numFmtId="10" fontId="96" fillId="9" borderId="86" xfId="13" applyNumberFormat="1" applyFont="1" applyFill="1" applyBorder="1" applyAlignment="1"/>
    <xf numFmtId="0" fontId="96" fillId="0" borderId="85" xfId="11" applyFont="1" applyBorder="1" applyAlignment="1">
      <alignment horizontal="left"/>
    </xf>
    <xf numFmtId="197" fontId="96" fillId="0" borderId="22" xfId="11" applyNumberFormat="1" applyFont="1" applyBorder="1" applyAlignment="1">
      <alignment horizontal="right" vertical="center"/>
    </xf>
    <xf numFmtId="198" fontId="96" fillId="9" borderId="86" xfId="11" applyNumberFormat="1" applyFont="1" applyFill="1" applyBorder="1"/>
    <xf numFmtId="10" fontId="96" fillId="9" borderId="86" xfId="13" applyNumberFormat="1" applyFont="1" applyFill="1" applyBorder="1" applyAlignment="1">
      <alignment horizontal="right" vertical="center"/>
    </xf>
    <xf numFmtId="186" fontId="96" fillId="9" borderId="86" xfId="13" applyNumberFormat="1" applyFont="1" applyFill="1" applyBorder="1" applyAlignment="1">
      <alignment horizontal="right" vertical="center"/>
    </xf>
    <xf numFmtId="10" fontId="96" fillId="0" borderId="22" xfId="13" applyNumberFormat="1" applyFont="1" applyBorder="1" applyAlignment="1"/>
    <xf numFmtId="197" fontId="96" fillId="9" borderId="86" xfId="13" applyNumberFormat="1" applyFont="1" applyFill="1" applyBorder="1" applyAlignment="1">
      <alignment horizontal="right" vertical="center"/>
    </xf>
    <xf numFmtId="0" fontId="96" fillId="0" borderId="23" xfId="11" applyFont="1" applyBorder="1" applyAlignment="1">
      <alignment vertical="center"/>
    </xf>
    <xf numFmtId="183" fontId="96" fillId="0" borderId="23" xfId="11" applyNumberFormat="1" applyFont="1" applyBorder="1" applyAlignment="1">
      <alignment vertical="center"/>
    </xf>
    <xf numFmtId="0" fontId="96" fillId="0" borderId="88" xfId="11" applyFont="1" applyBorder="1" applyAlignment="1">
      <alignment vertical="center"/>
    </xf>
    <xf numFmtId="197" fontId="96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1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5" fillId="0" borderId="0" xfId="11" applyFont="1" applyAlignment="1">
      <alignment horizontal="center" shrinkToFit="1"/>
    </xf>
    <xf numFmtId="0" fontId="105" fillId="0" borderId="0" xfId="15" applyFont="1">
      <alignment vertical="center"/>
    </xf>
    <xf numFmtId="193" fontId="105" fillId="0" borderId="0" xfId="15" applyNumberFormat="1" applyFont="1">
      <alignment vertical="center"/>
    </xf>
    <xf numFmtId="193" fontId="109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1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57" fillId="0" borderId="0" xfId="0" applyFont="1" applyAlignment="1">
      <alignment vertical="center"/>
    </xf>
    <xf numFmtId="198" fontId="60" fillId="0" borderId="22" xfId="11" applyNumberFormat="1" applyFont="1" applyBorder="1" applyAlignment="1">
      <alignment horizontal="center" vertical="center"/>
    </xf>
    <xf numFmtId="185" fontId="60" fillId="0" borderId="22" xfId="13" applyNumberFormat="1" applyFont="1" applyFill="1" applyBorder="1" applyAlignment="1">
      <alignment horizontal="center" vertical="center"/>
    </xf>
    <xf numFmtId="196" fontId="60" fillId="0" borderId="22" xfId="13" applyNumberFormat="1" applyFont="1" applyFill="1" applyBorder="1" applyAlignment="1">
      <alignment horizontal="center" vertical="center"/>
    </xf>
    <xf numFmtId="0" fontId="115" fillId="0" borderId="0" xfId="15" applyFont="1">
      <alignment vertical="center"/>
    </xf>
    <xf numFmtId="0" fontId="37" fillId="0" borderId="0" xfId="15" applyFont="1">
      <alignment vertical="center"/>
    </xf>
    <xf numFmtId="193" fontId="105" fillId="0" borderId="23" xfId="15" applyNumberFormat="1" applyFont="1" applyBorder="1" applyAlignment="1">
      <alignment horizontal="center" vertical="center"/>
    </xf>
    <xf numFmtId="0" fontId="105" fillId="0" borderId="27" xfId="15" applyFont="1" applyBorder="1" applyAlignment="1">
      <alignment horizontal="center" vertical="center" wrapText="1"/>
    </xf>
    <xf numFmtId="0" fontId="105" fillId="0" borderId="25" xfId="15" applyFont="1" applyBorder="1" applyAlignment="1">
      <alignment horizontal="center" vertical="center" wrapText="1"/>
    </xf>
    <xf numFmtId="0" fontId="116" fillId="0" borderId="23" xfId="15" applyFont="1" applyBorder="1" applyAlignment="1">
      <alignment horizontal="center" vertical="center" wrapText="1"/>
    </xf>
    <xf numFmtId="0" fontId="116" fillId="0" borderId="25" xfId="15" applyFont="1" applyBorder="1" applyAlignment="1">
      <alignment horizontal="center" vertical="center" wrapText="1"/>
    </xf>
    <xf numFmtId="10" fontId="105" fillId="0" borderId="23" xfId="3" applyNumberFormat="1" applyFont="1" applyBorder="1" applyAlignment="1">
      <alignment horizontal="center" vertical="center"/>
    </xf>
    <xf numFmtId="193" fontId="116" fillId="0" borderId="23" xfId="15" applyNumberFormat="1" applyFont="1" applyBorder="1" applyAlignment="1">
      <alignment horizontal="center" vertical="center"/>
    </xf>
    <xf numFmtId="10" fontId="116" fillId="0" borderId="23" xfId="3" applyNumberFormat="1" applyFont="1" applyBorder="1" applyAlignment="1">
      <alignment horizontal="center" vertical="center"/>
    </xf>
    <xf numFmtId="0" fontId="105" fillId="0" borderId="0" xfId="15" applyFont="1" applyAlignment="1">
      <alignment horizontal="center" vertical="center"/>
    </xf>
    <xf numFmtId="10" fontId="105" fillId="0" borderId="0" xfId="3" applyNumberFormat="1" applyFont="1" applyFill="1" applyBorder="1" applyAlignment="1">
      <alignment horizontal="center" vertical="center"/>
    </xf>
    <xf numFmtId="0" fontId="106" fillId="0" borderId="23" xfId="15" applyFont="1" applyBorder="1" applyAlignment="1">
      <alignment horizontal="center" vertical="center" wrapText="1"/>
    </xf>
    <xf numFmtId="0" fontId="117" fillId="0" borderId="23" xfId="15" applyFont="1" applyBorder="1" applyAlignment="1">
      <alignment horizontal="center" vertical="center" wrapText="1"/>
    </xf>
    <xf numFmtId="193" fontId="108" fillId="0" borderId="0" xfId="15" applyNumberFormat="1" applyFont="1">
      <alignment vertical="center"/>
    </xf>
    <xf numFmtId="195" fontId="115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0" fillId="5" borderId="22" xfId="5" applyNumberFormat="1" applyFont="1" applyFill="1" applyBorder="1" applyAlignment="1">
      <alignment horizontal="center" vertical="center"/>
    </xf>
    <xf numFmtId="10" fontId="115" fillId="0" borderId="22" xfId="3" applyNumberFormat="1" applyFont="1" applyBorder="1" applyAlignment="1">
      <alignment horizontal="center" vertical="center"/>
    </xf>
    <xf numFmtId="193" fontId="118" fillId="9" borderId="22" xfId="6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4" fontId="80" fillId="10" borderId="22" xfId="5" applyNumberFormat="1" applyFont="1" applyFill="1" applyBorder="1" applyAlignment="1">
      <alignment horizontal="center" vertical="center"/>
    </xf>
    <xf numFmtId="194" fontId="80" fillId="0" borderId="22" xfId="5" applyNumberFormat="1" applyFont="1" applyBorder="1" applyAlignment="1">
      <alignment horizontal="center" vertical="center"/>
    </xf>
    <xf numFmtId="193" fontId="115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193" fontId="115" fillId="9" borderId="22" xfId="15" applyNumberFormat="1" applyFont="1" applyFill="1" applyBorder="1" applyAlignment="1">
      <alignment horizontal="center" vertical="center"/>
    </xf>
    <xf numFmtId="186" fontId="115" fillId="0" borderId="22" xfId="15" applyNumberFormat="1" applyFont="1" applyBorder="1" applyAlignment="1">
      <alignment horizontal="center" vertical="center"/>
    </xf>
    <xf numFmtId="0" fontId="28" fillId="0" borderId="27" xfId="11" applyFont="1" applyBorder="1" applyAlignment="1">
      <alignment vertical="center"/>
    </xf>
    <xf numFmtId="0" fontId="69" fillId="0" borderId="0" xfId="0" applyFont="1" applyAlignment="1">
      <alignment vertical="center"/>
    </xf>
    <xf numFmtId="191" fontId="43" fillId="0" borderId="22" xfId="0" applyNumberFormat="1" applyFont="1" applyBorder="1" applyAlignment="1">
      <alignment horizontal="right" shrinkToFit="1"/>
    </xf>
    <xf numFmtId="10" fontId="43" fillId="0" borderId="22" xfId="0" applyNumberFormat="1" applyFont="1" applyBorder="1" applyAlignment="1">
      <alignment shrinkToFit="1"/>
    </xf>
    <xf numFmtId="0" fontId="85" fillId="0" borderId="22" xfId="0" applyFont="1" applyBorder="1" applyAlignment="1">
      <alignment horizontal="center" vertical="center"/>
    </xf>
    <xf numFmtId="0" fontId="85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0" fontId="96" fillId="0" borderId="85" xfId="11" applyFont="1" applyBorder="1" applyAlignment="1">
      <alignment horizontal="left" vertical="center"/>
    </xf>
    <xf numFmtId="0" fontId="96" fillId="0" borderId="90" xfId="11" applyFont="1" applyBorder="1" applyAlignment="1">
      <alignment horizontal="left" vertical="center"/>
    </xf>
    <xf numFmtId="0" fontId="96" fillId="0" borderId="87" xfId="11" applyFont="1" applyBorder="1" applyAlignment="1">
      <alignment horizontal="left" vertical="center"/>
    </xf>
    <xf numFmtId="0" fontId="95" fillId="0" borderId="82" xfId="11" applyFont="1" applyBorder="1" applyAlignment="1">
      <alignment horizontal="center" vertical="center"/>
    </xf>
    <xf numFmtId="0" fontId="95" fillId="0" borderId="83" xfId="11" applyFont="1" applyBorder="1" applyAlignment="1">
      <alignment horizontal="center" vertical="center"/>
    </xf>
    <xf numFmtId="0" fontId="96" fillId="0" borderId="91" xfId="11" applyFont="1" applyBorder="1" applyAlignment="1">
      <alignment horizontal="left" vertical="center"/>
    </xf>
    <xf numFmtId="0" fontId="96" fillId="0" borderId="92" xfId="11" applyFont="1" applyBorder="1" applyAlignment="1">
      <alignment horizontal="left" vertical="center"/>
    </xf>
    <xf numFmtId="0" fontId="48" fillId="9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0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1" fillId="0" borderId="29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0" fontId="111" fillId="0" borderId="23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8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12" fillId="0" borderId="37" xfId="0" applyFont="1" applyBorder="1" applyAlignment="1">
      <alignment horizontal="left" vertical="center"/>
    </xf>
    <xf numFmtId="0" fontId="114" fillId="0" borderId="37" xfId="0" applyFont="1" applyBorder="1" applyAlignment="1">
      <alignment horizontal="left" vertical="center"/>
    </xf>
    <xf numFmtId="0" fontId="114" fillId="0" borderId="32" xfId="0" applyFont="1" applyBorder="1" applyAlignment="1">
      <alignment horizontal="left" vertical="center"/>
    </xf>
    <xf numFmtId="0" fontId="114" fillId="0" borderId="26" xfId="0" applyFont="1" applyBorder="1" applyAlignment="1">
      <alignment horizontal="left" vertical="center"/>
    </xf>
    <xf numFmtId="0" fontId="1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81" fillId="0" borderId="37" xfId="0" applyFont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71" fillId="0" borderId="22" xfId="0" applyFont="1" applyBorder="1" applyAlignment="1">
      <alignment horizontal="center" vertical="center" shrinkToFit="1"/>
    </xf>
    <xf numFmtId="0" fontId="119" fillId="0" borderId="22" xfId="0" applyFont="1" applyBorder="1" applyAlignment="1">
      <alignment shrinkToFit="1"/>
    </xf>
    <xf numFmtId="0" fontId="120" fillId="0" borderId="22" xfId="0" applyFont="1" applyBorder="1" applyAlignment="1">
      <alignment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0" fontId="119" fillId="0" borderId="27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4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3" fillId="0" borderId="22" xfId="11" applyFont="1" applyBorder="1" applyAlignment="1">
      <alignment horizontal="left" vertical="center" wrapText="1"/>
    </xf>
    <xf numFmtId="0" fontId="63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3" fillId="4" borderId="22" xfId="11" applyFont="1" applyFill="1" applyBorder="1" applyAlignment="1">
      <alignment vertical="center" wrapText="1"/>
    </xf>
    <xf numFmtId="0" fontId="63" fillId="0" borderId="22" xfId="11" applyFont="1" applyBorder="1" applyAlignment="1">
      <alignment vertical="center" wrapText="1"/>
    </xf>
    <xf numFmtId="0" fontId="51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horizontal="center" vertical="center" shrinkToFit="1"/>
    </xf>
    <xf numFmtId="0" fontId="76" fillId="0" borderId="3" xfId="11" applyFont="1" applyBorder="1" applyAlignment="1">
      <alignment horizontal="center" vertical="center" shrinkToFit="1"/>
    </xf>
    <xf numFmtId="0" fontId="76" fillId="0" borderId="4" xfId="11" applyFont="1" applyBorder="1" applyAlignment="1">
      <alignment horizontal="center" shrinkToFit="1"/>
    </xf>
    <xf numFmtId="0" fontId="76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vertical="center" wrapText="1" shrinkToFit="1"/>
    </xf>
    <xf numFmtId="0" fontId="76" fillId="0" borderId="3" xfId="11" applyFont="1" applyBorder="1" applyAlignment="1">
      <alignment vertical="center" wrapText="1" shrinkToFit="1"/>
    </xf>
    <xf numFmtId="0" fontId="76" fillId="0" borderId="4" xfId="11" applyFont="1" applyBorder="1" applyAlignment="1">
      <alignment vertical="center" wrapText="1"/>
    </xf>
    <xf numFmtId="0" fontId="76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76" fillId="0" borderId="4" xfId="11" applyFont="1" applyBorder="1" applyAlignment="1">
      <alignment horizontal="left" vertical="top" wrapText="1"/>
    </xf>
    <xf numFmtId="0" fontId="76" fillId="0" borderId="3" xfId="11" applyFont="1" applyBorder="1" applyAlignment="1">
      <alignment horizontal="left" vertical="top" wrapText="1"/>
    </xf>
    <xf numFmtId="0" fontId="76" fillId="0" borderId="4" xfId="11" applyFont="1" applyBorder="1" applyAlignment="1">
      <alignment horizontal="left" vertical="center" wrapText="1"/>
    </xf>
    <xf numFmtId="0" fontId="76" fillId="0" borderId="3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vertical="center" wrapText="1"/>
    </xf>
    <xf numFmtId="0" fontId="76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horizontal="left" vertical="center" wrapText="1"/>
    </xf>
    <xf numFmtId="0" fontId="76" fillId="4" borderId="3" xfId="11" applyFont="1" applyFill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 shrinkToFit="1"/>
    </xf>
    <xf numFmtId="0" fontId="76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3" fillId="0" borderId="4" xfId="11" applyFont="1" applyBorder="1" applyAlignment="1">
      <alignment horizontal="left" vertical="center" wrapText="1"/>
    </xf>
    <xf numFmtId="0" fontId="63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3" fillId="2" borderId="57" xfId="11" applyFont="1" applyFill="1" applyBorder="1" applyAlignment="1">
      <alignment horizontal="center" vertical="center" shrinkToFit="1"/>
    </xf>
    <xf numFmtId="0" fontId="63" fillId="2" borderId="61" xfId="11" applyFont="1" applyFill="1" applyBorder="1" applyAlignment="1">
      <alignment horizontal="center" vertical="center" shrinkToFit="1"/>
    </xf>
    <xf numFmtId="0" fontId="63" fillId="2" borderId="57" xfId="11" applyFont="1" applyFill="1" applyBorder="1" applyAlignment="1">
      <alignment horizontal="left" vertical="center" shrinkToFit="1"/>
    </xf>
    <xf numFmtId="0" fontId="63" fillId="2" borderId="61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shrinkToFit="1"/>
    </xf>
    <xf numFmtId="0" fontId="63" fillId="0" borderId="62" xfId="11" applyFont="1" applyBorder="1" applyAlignment="1">
      <alignment horizontal="left" vertical="center" shrinkToFit="1"/>
    </xf>
    <xf numFmtId="0" fontId="63" fillId="2" borderId="52" xfId="11" applyFont="1" applyFill="1" applyBorder="1" applyAlignment="1">
      <alignment horizontal="center" vertical="center" shrinkToFit="1"/>
    </xf>
    <xf numFmtId="0" fontId="63" fillId="2" borderId="26" xfId="11" applyFont="1" applyFill="1" applyBorder="1" applyAlignment="1">
      <alignment horizontal="center" vertical="center" shrinkToFit="1"/>
    </xf>
    <xf numFmtId="0" fontId="63" fillId="2" borderId="36" xfId="11" applyFont="1" applyFill="1" applyBorder="1" applyAlignment="1">
      <alignment horizontal="center" vertical="center" shrinkToFit="1"/>
    </xf>
    <xf numFmtId="0" fontId="63" fillId="0" borderId="68" xfId="11" applyFont="1" applyBorder="1" applyAlignment="1">
      <alignment horizontal="left" vertical="center" wrapText="1"/>
    </xf>
    <xf numFmtId="0" fontId="63" fillId="0" borderId="61" xfId="11" applyFont="1" applyBorder="1" applyAlignment="1">
      <alignment horizontal="left" vertical="center" wrapText="1"/>
    </xf>
    <xf numFmtId="0" fontId="63" fillId="2" borderId="52" xfId="11" applyFont="1" applyFill="1" applyBorder="1" applyAlignment="1">
      <alignment horizontal="left" vertical="center" shrinkToFit="1"/>
    </xf>
    <xf numFmtId="0" fontId="63" fillId="2" borderId="26" xfId="11" applyFont="1" applyFill="1" applyBorder="1" applyAlignment="1">
      <alignment horizontal="left" vertical="center" shrinkToFit="1"/>
    </xf>
    <xf numFmtId="0" fontId="63" fillId="2" borderId="53" xfId="11" applyFont="1" applyFill="1" applyBorder="1" applyAlignment="1">
      <alignment horizontal="left" vertical="center" shrinkToFit="1"/>
    </xf>
    <xf numFmtId="0" fontId="56" fillId="0" borderId="22" xfId="11" applyFont="1" applyBorder="1" applyAlignment="1">
      <alignment horizontal="center" vertical="center" shrinkToFit="1"/>
    </xf>
    <xf numFmtId="0" fontId="76" fillId="4" borderId="4" xfId="11" applyFont="1" applyFill="1" applyBorder="1" applyAlignment="1">
      <alignment vertical="top" wrapText="1" shrinkToFit="1"/>
    </xf>
    <xf numFmtId="0" fontId="76" fillId="4" borderId="3" xfId="11" applyFont="1" applyFill="1" applyBorder="1" applyAlignment="1">
      <alignment vertical="top" wrapText="1" shrinkToFit="1"/>
    </xf>
    <xf numFmtId="0" fontId="76" fillId="0" borderId="4" xfId="11" applyFont="1" applyBorder="1" applyAlignment="1">
      <alignment vertical="top" wrapText="1" shrinkToFit="1"/>
    </xf>
    <xf numFmtId="0" fontId="76" fillId="0" borderId="3" xfId="11" applyFont="1" applyBorder="1" applyAlignment="1">
      <alignment vertical="top" wrapText="1" shrinkToFi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8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4" fillId="0" borderId="27" xfId="11" applyFont="1" applyBorder="1" applyAlignment="1">
      <alignment horizontal="center" vertical="center" shrinkToFit="1"/>
    </xf>
    <xf numFmtId="0" fontId="54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3" fillId="0" borderId="71" xfId="11" applyFont="1" applyBorder="1" applyAlignment="1">
      <alignment horizontal="left" vertical="center" wrapText="1"/>
    </xf>
    <xf numFmtId="0" fontId="50" fillId="0" borderId="37" xfId="11" applyFont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wrapText="1" shrinkToFit="1"/>
    </xf>
    <xf numFmtId="0" fontId="63" fillId="0" borderId="3" xfId="11" applyFont="1" applyBorder="1" applyAlignment="1">
      <alignment horizontal="left" vertical="center" wrapText="1" shrinkToFit="1"/>
    </xf>
    <xf numFmtId="0" fontId="86" fillId="0" borderId="4" xfId="11" applyFont="1" applyBorder="1" applyAlignment="1">
      <alignment horizontal="left" vertical="center" wrapText="1"/>
    </xf>
    <xf numFmtId="0" fontId="86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3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/>
    </xf>
    <xf numFmtId="0" fontId="76" fillId="4" borderId="62" xfId="11" applyFont="1" applyFill="1" applyBorder="1" applyAlignment="1">
      <alignment horizontal="left" vertical="center" wrapText="1"/>
    </xf>
    <xf numFmtId="0" fontId="41" fillId="0" borderId="31" xfId="11" applyFont="1" applyBorder="1" applyAlignment="1">
      <alignment horizontal="center" vertical="center" shrinkToFit="1"/>
    </xf>
    <xf numFmtId="0" fontId="41" fillId="0" borderId="37" xfId="11" applyFont="1" applyBorder="1" applyAlignment="1">
      <alignment horizontal="center" vertical="center" shrinkToFit="1"/>
    </xf>
    <xf numFmtId="0" fontId="41" fillId="0" borderId="32" xfId="11" applyFont="1" applyBorder="1" applyAlignment="1">
      <alignment horizontal="center" vertical="center" shrinkToFit="1"/>
    </xf>
    <xf numFmtId="0" fontId="41" fillId="0" borderId="33" xfId="11" applyFont="1" applyBorder="1" applyAlignment="1">
      <alignment horizontal="center" vertical="center" shrinkToFit="1"/>
    </xf>
    <xf numFmtId="0" fontId="41" fillId="0" borderId="34" xfId="11" applyFont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15" fillId="5" borderId="22" xfId="15" applyNumberFormat="1" applyFont="1" applyFill="1" applyBorder="1" applyAlignment="1">
      <alignment horizontal="center" vertical="center"/>
    </xf>
    <xf numFmtId="195" fontId="115" fillId="10" borderId="22" xfId="15" applyNumberFormat="1" applyFont="1" applyFill="1" applyBorder="1" applyAlignment="1">
      <alignment horizontal="center" vertical="center"/>
    </xf>
    <xf numFmtId="0" fontId="104" fillId="11" borderId="22" xfId="15" applyFont="1" applyFill="1" applyBorder="1" applyAlignment="1">
      <alignment horizontal="center" vertical="center"/>
    </xf>
    <xf numFmtId="0" fontId="105" fillId="0" borderId="23" xfId="15" applyFont="1" applyBorder="1" applyAlignment="1">
      <alignment horizontal="center" vertical="center"/>
    </xf>
    <xf numFmtId="0" fontId="105" fillId="0" borderId="30" xfId="15" applyFont="1" applyBorder="1" applyAlignment="1">
      <alignment horizontal="center" vertical="center"/>
    </xf>
    <xf numFmtId="193" fontId="105" fillId="0" borderId="23" xfId="15" applyNumberFormat="1" applyFont="1" applyBorder="1" applyAlignment="1">
      <alignment horizontal="center" vertical="center"/>
    </xf>
    <xf numFmtId="193" fontId="105" fillId="0" borderId="30" xfId="15" applyNumberFormat="1" applyFont="1" applyBorder="1" applyAlignment="1">
      <alignment horizontal="center" vertical="center"/>
    </xf>
    <xf numFmtId="186" fontId="105" fillId="0" borderId="23" xfId="15" applyNumberFormat="1" applyFont="1" applyBorder="1" applyAlignment="1">
      <alignment horizontal="center" vertical="center"/>
    </xf>
    <xf numFmtId="186" fontId="105" fillId="0" borderId="30" xfId="15" applyNumberFormat="1" applyFont="1" applyBorder="1" applyAlignment="1">
      <alignment horizontal="center" vertical="center"/>
    </xf>
    <xf numFmtId="0" fontId="107" fillId="0" borderId="23" xfId="11" applyFont="1" applyBorder="1" applyAlignment="1">
      <alignment horizontal="center" vertical="center"/>
    </xf>
    <xf numFmtId="0" fontId="107" fillId="0" borderId="29" xfId="11" applyFont="1" applyBorder="1" applyAlignment="1">
      <alignment horizontal="center" vertical="center"/>
    </xf>
    <xf numFmtId="0" fontId="107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8" fillId="5" borderId="31" xfId="5" applyFont="1" applyFill="1" applyBorder="1" applyAlignment="1">
      <alignment horizontal="center" vertical="center"/>
    </xf>
    <xf numFmtId="0" fontId="48" fillId="5" borderId="37" xfId="5" applyFont="1" applyFill="1" applyBorder="1" applyAlignment="1">
      <alignment horizontal="center" vertical="center"/>
    </xf>
    <xf numFmtId="0" fontId="48" fillId="5" borderId="32" xfId="5" applyFont="1" applyFill="1" applyBorder="1" applyAlignment="1">
      <alignment horizontal="center" vertical="center"/>
    </xf>
    <xf numFmtId="0" fontId="48" fillId="5" borderId="33" xfId="5" applyFont="1" applyFill="1" applyBorder="1" applyAlignment="1">
      <alignment horizontal="center" vertical="center"/>
    </xf>
    <xf numFmtId="0" fontId="48" fillId="5" borderId="0" xfId="5" applyFont="1" applyFill="1" applyAlignment="1">
      <alignment horizontal="center" vertical="center"/>
    </xf>
    <xf numFmtId="0" fontId="48" fillId="5" borderId="34" xfId="5" applyFont="1" applyFill="1" applyBorder="1" applyAlignment="1">
      <alignment horizontal="center" vertical="center"/>
    </xf>
    <xf numFmtId="0" fontId="48" fillId="5" borderId="35" xfId="5" applyFont="1" applyFill="1" applyBorder="1" applyAlignment="1">
      <alignment horizontal="center" vertical="center"/>
    </xf>
    <xf numFmtId="0" fontId="48" fillId="5" borderId="26" xfId="5" applyFont="1" applyFill="1" applyBorder="1" applyAlignment="1">
      <alignment horizontal="center" vertical="center"/>
    </xf>
    <xf numFmtId="0" fontId="48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0" fillId="5" borderId="31" xfId="22" applyFont="1" applyFill="1" applyBorder="1" applyAlignment="1">
      <alignment horizontal="center" vertical="center" wrapText="1"/>
    </xf>
    <xf numFmtId="0" fontId="60" fillId="5" borderId="37" xfId="22" applyFont="1" applyFill="1" applyBorder="1" applyAlignment="1">
      <alignment horizontal="center" vertical="center" wrapText="1"/>
    </xf>
    <xf numFmtId="0" fontId="60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1" fillId="5" borderId="23" xfId="22" applyFont="1" applyFill="1" applyBorder="1" applyAlignment="1">
      <alignment horizontal="center" vertical="center" wrapText="1"/>
    </xf>
    <xf numFmtId="0" fontId="39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 wrapTex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  <xf numFmtId="0" fontId="28" fillId="0" borderId="97" xfId="11" applyFont="1" applyBorder="1" applyAlignment="1">
      <alignment vertic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workbookViewId="0">
      <selection activeCell="K37" sqref="K37:K45"/>
    </sheetView>
  </sheetViews>
  <sheetFormatPr defaultColWidth="8.7109375" defaultRowHeight="13.5"/>
  <cols>
    <col min="1" max="1" width="8.7109375" style="386"/>
    <col min="2" max="2" width="27.7109375" style="386" bestFit="1" customWidth="1"/>
    <col min="3" max="3" width="34.7109375" style="386" customWidth="1"/>
    <col min="4" max="15" width="12.7109375" style="386" customWidth="1"/>
    <col min="16" max="16" width="15.7109375" style="386" customWidth="1"/>
    <col min="17" max="16384" width="8.7109375" style="386"/>
  </cols>
  <sheetData>
    <row r="1" spans="2:16" ht="18.75">
      <c r="B1" s="525" t="s">
        <v>180</v>
      </c>
      <c r="C1" s="526"/>
      <c r="D1" s="394" t="s">
        <v>448</v>
      </c>
      <c r="E1" s="394" t="s">
        <v>450</v>
      </c>
      <c r="F1" s="394" t="s">
        <v>451</v>
      </c>
      <c r="G1" s="394" t="s">
        <v>452</v>
      </c>
      <c r="H1" s="394" t="s">
        <v>453</v>
      </c>
      <c r="I1" s="394" t="s">
        <v>454</v>
      </c>
      <c r="J1" s="394" t="s">
        <v>455</v>
      </c>
      <c r="K1" s="394" t="s">
        <v>456</v>
      </c>
      <c r="L1" s="394" t="s">
        <v>457</v>
      </c>
      <c r="M1" s="394" t="s">
        <v>458</v>
      </c>
      <c r="N1" s="394" t="s">
        <v>459</v>
      </c>
      <c r="O1" s="394" t="s">
        <v>460</v>
      </c>
      <c r="P1" s="395" t="s">
        <v>461</v>
      </c>
    </row>
    <row r="2" spans="2:16" ht="15.75">
      <c r="B2" s="522" t="s">
        <v>472</v>
      </c>
      <c r="C2" s="407" t="s">
        <v>462</v>
      </c>
      <c r="D2" s="396">
        <v>146299.93539000006</v>
      </c>
      <c r="E2" s="396">
        <v>116569.43023000001</v>
      </c>
      <c r="F2" s="396">
        <v>148837.99842999995</v>
      </c>
      <c r="G2" s="396">
        <v>160648.31477000003</v>
      </c>
      <c r="H2" s="396">
        <v>181836.62618999998</v>
      </c>
      <c r="I2" s="396">
        <v>194099.28702000002</v>
      </c>
      <c r="J2" s="396">
        <v>199388.61726000003</v>
      </c>
      <c r="K2" s="396">
        <v>175321.62117</v>
      </c>
      <c r="L2" s="396"/>
      <c r="M2" s="396"/>
      <c r="N2" s="396"/>
      <c r="O2" s="396"/>
      <c r="P2" s="408">
        <f>SUM(D2:O2)</f>
        <v>1323001.8304600001</v>
      </c>
    </row>
    <row r="3" spans="2:16" ht="15.75">
      <c r="B3" s="522"/>
      <c r="C3" s="407" t="s">
        <v>463</v>
      </c>
      <c r="D3" s="396">
        <v>4768701</v>
      </c>
      <c r="E3" s="396">
        <v>3787002</v>
      </c>
      <c r="F3" s="396">
        <v>5045753</v>
      </c>
      <c r="G3" s="396">
        <v>5396292</v>
      </c>
      <c r="H3" s="396">
        <v>6084520</v>
      </c>
      <c r="I3" s="396">
        <v>6275618</v>
      </c>
      <c r="J3" s="396">
        <v>6323244</v>
      </c>
      <c r="K3" s="396">
        <v>5581950</v>
      </c>
      <c r="L3" s="396"/>
      <c r="M3" s="396"/>
      <c r="N3" s="396"/>
      <c r="O3" s="396"/>
      <c r="P3" s="408">
        <f>SUM(D3:O3)</f>
        <v>43263080</v>
      </c>
    </row>
    <row r="4" spans="2:16" ht="15.75">
      <c r="B4" s="522"/>
      <c r="C4" s="407" t="s">
        <v>464</v>
      </c>
      <c r="D4" s="396">
        <v>93253</v>
      </c>
      <c r="E4" s="396">
        <v>74777</v>
      </c>
      <c r="F4" s="396">
        <v>93614</v>
      </c>
      <c r="G4" s="396">
        <v>104435</v>
      </c>
      <c r="H4" s="396">
        <v>116562</v>
      </c>
      <c r="I4" s="396">
        <v>126964</v>
      </c>
      <c r="J4" s="396">
        <v>134056.59496639523</v>
      </c>
      <c r="K4" s="396">
        <v>119419.26352012459</v>
      </c>
      <c r="L4" s="396"/>
      <c r="M4" s="396"/>
      <c r="N4" s="396"/>
      <c r="O4" s="396"/>
      <c r="P4" s="408">
        <f>SUM(D4:O4)</f>
        <v>863080.85848651989</v>
      </c>
    </row>
    <row r="5" spans="2:16" ht="15.75">
      <c r="B5" s="522"/>
      <c r="C5" s="409" t="s">
        <v>473</v>
      </c>
      <c r="D5" s="410">
        <v>0.65500000000000003</v>
      </c>
      <c r="E5" s="410">
        <v>0.65300000000000002</v>
      </c>
      <c r="F5" s="410">
        <v>0.64800000000000002</v>
      </c>
      <c r="G5" s="410">
        <v>0.66300000000000003</v>
      </c>
      <c r="H5" s="410">
        <v>0.67200000000000004</v>
      </c>
      <c r="I5" s="410">
        <v>0.67500000000000004</v>
      </c>
      <c r="J5" s="410">
        <v>0.67233825485427423</v>
      </c>
      <c r="K5" s="410">
        <v>0.68114396115656561</v>
      </c>
      <c r="L5" s="411" t="str">
        <f t="shared" ref="K5:O5" si="0">IFERROR(L4/L2, "")</f>
        <v/>
      </c>
      <c r="M5" s="411" t="str">
        <f t="shared" si="0"/>
        <v/>
      </c>
      <c r="N5" s="411" t="str">
        <f t="shared" si="0"/>
        <v/>
      </c>
      <c r="O5" s="411" t="str">
        <f t="shared" si="0"/>
        <v/>
      </c>
      <c r="P5" s="412">
        <f>AVERAGEIF(D5:O5, "&gt;0")</f>
        <v>0.66493527700135502</v>
      </c>
    </row>
    <row r="6" spans="2:16" ht="15.75">
      <c r="B6" s="522"/>
      <c r="C6" s="407" t="s">
        <v>465</v>
      </c>
      <c r="D6" s="396">
        <v>22378</v>
      </c>
      <c r="E6" s="396">
        <v>22860</v>
      </c>
      <c r="F6" s="396">
        <v>22710</v>
      </c>
      <c r="G6" s="396">
        <v>23226</v>
      </c>
      <c r="H6" s="396">
        <v>24474</v>
      </c>
      <c r="I6" s="396">
        <v>26795</v>
      </c>
      <c r="J6" s="396">
        <v>27431.996822000001</v>
      </c>
      <c r="K6" s="396">
        <v>25354.549750000002</v>
      </c>
      <c r="L6" s="396"/>
      <c r="M6" s="396"/>
      <c r="N6" s="396"/>
      <c r="O6" s="396"/>
      <c r="P6" s="408">
        <f t="shared" ref="P6" si="1">SUM(D6:O6)</f>
        <v>195229.54657200002</v>
      </c>
    </row>
    <row r="7" spans="2:16" ht="15.75">
      <c r="B7" s="522"/>
      <c r="C7" s="409" t="s">
        <v>474</v>
      </c>
      <c r="D7" s="410">
        <v>0.157</v>
      </c>
      <c r="E7" s="410">
        <v>0.2</v>
      </c>
      <c r="F7" s="410">
        <v>0.157</v>
      </c>
      <c r="G7" s="410">
        <v>0.14699999999999999</v>
      </c>
      <c r="H7" s="410">
        <v>0.14099999999999999</v>
      </c>
      <c r="I7" s="410">
        <v>0.14199999999999999</v>
      </c>
      <c r="J7" s="410">
        <v>0.13758055599647925</v>
      </c>
      <c r="K7" s="410">
        <v>0.14461735854823665</v>
      </c>
      <c r="L7" s="411" t="str">
        <f t="shared" ref="K7:O7" si="2">IFERROR(L6/L2, "")</f>
        <v/>
      </c>
      <c r="M7" s="411" t="str">
        <f t="shared" si="2"/>
        <v/>
      </c>
      <c r="N7" s="411" t="str">
        <f t="shared" si="2"/>
        <v/>
      </c>
      <c r="O7" s="411" t="str">
        <f t="shared" si="2"/>
        <v/>
      </c>
      <c r="P7" s="412">
        <f>AVERAGEIF(D7:O7, "&gt;0")</f>
        <v>0.15327473931808949</v>
      </c>
    </row>
    <row r="8" spans="2:16" ht="15.75">
      <c r="B8" s="413"/>
      <c r="C8" s="407"/>
      <c r="D8" s="396"/>
      <c r="E8" s="396"/>
      <c r="F8" s="396"/>
      <c r="G8" s="396"/>
      <c r="H8" s="396"/>
      <c r="I8" s="396"/>
      <c r="J8" s="396"/>
      <c r="K8" s="396"/>
      <c r="L8" s="396"/>
      <c r="M8" s="396"/>
      <c r="N8" s="396"/>
      <c r="O8" s="396"/>
      <c r="P8" s="408"/>
    </row>
    <row r="9" spans="2:16" ht="15.75">
      <c r="B9" s="522" t="s">
        <v>130</v>
      </c>
      <c r="C9" s="407" t="s">
        <v>475</v>
      </c>
      <c r="D9" s="414">
        <v>497.6</v>
      </c>
      <c r="E9" s="414">
        <v>497.6</v>
      </c>
      <c r="F9" s="414">
        <v>497.6</v>
      </c>
      <c r="G9" s="414">
        <v>497.6</v>
      </c>
      <c r="H9" s="397">
        <v>497.6</v>
      </c>
      <c r="I9" s="397">
        <v>497.6</v>
      </c>
      <c r="J9" s="397">
        <v>497.6</v>
      </c>
      <c r="K9" s="397">
        <v>500.4</v>
      </c>
      <c r="L9" s="397"/>
      <c r="M9" s="397"/>
      <c r="N9" s="397"/>
      <c r="O9" s="397"/>
      <c r="P9" s="415">
        <f>AVERAGEIF(D9:O9, "&gt;0")</f>
        <v>497.95</v>
      </c>
    </row>
    <row r="10" spans="2:16" ht="15.75">
      <c r="B10" s="522"/>
      <c r="C10" s="407" t="s">
        <v>466</v>
      </c>
      <c r="D10" s="414">
        <v>458.3841382804668</v>
      </c>
      <c r="E10" s="414">
        <v>476.04171528829499</v>
      </c>
      <c r="F10" s="414">
        <v>409.81563372836604</v>
      </c>
      <c r="G10" s="397">
        <v>402.86432092718081</v>
      </c>
      <c r="H10" s="397">
        <v>419.38045550218868</v>
      </c>
      <c r="I10" s="397">
        <v>425.95259125022073</v>
      </c>
      <c r="J10" s="397">
        <v>434.66889417885551</v>
      </c>
      <c r="K10" s="397">
        <v>448.73865593082098</v>
      </c>
      <c r="L10" s="397"/>
      <c r="M10" s="397"/>
      <c r="N10" s="397"/>
      <c r="O10" s="397"/>
      <c r="P10" s="415">
        <f>AVERAGEIF(D10:O10, "&gt;0")</f>
        <v>434.48080063579937</v>
      </c>
    </row>
    <row r="11" spans="2:16" ht="15.75">
      <c r="B11" s="522"/>
      <c r="C11" s="409" t="s">
        <v>467</v>
      </c>
      <c r="D11" s="411">
        <f t="shared" ref="D11:O11" si="3">IFERROR(D10/D9, "")</f>
        <v>0.92118998850576117</v>
      </c>
      <c r="E11" s="411">
        <f t="shared" si="3"/>
        <v>0.95667547284625198</v>
      </c>
      <c r="F11" s="411">
        <f t="shared" si="3"/>
        <v>0.82358447292678061</v>
      </c>
      <c r="G11" s="411">
        <f t="shared" si="3"/>
        <v>0.80961479286008997</v>
      </c>
      <c r="H11" s="411">
        <v>0.94796667156914272</v>
      </c>
      <c r="I11" s="411">
        <v>0.96282231295257903</v>
      </c>
      <c r="J11" s="411">
        <v>0.98252462517824501</v>
      </c>
      <c r="K11" s="411">
        <v>0.89675990393849114</v>
      </c>
      <c r="L11" s="411" t="str">
        <f t="shared" si="3"/>
        <v/>
      </c>
      <c r="M11" s="411" t="str">
        <f t="shared" si="3"/>
        <v/>
      </c>
      <c r="N11" s="411" t="str">
        <f t="shared" si="3"/>
        <v/>
      </c>
      <c r="O11" s="411" t="str">
        <f t="shared" si="3"/>
        <v/>
      </c>
      <c r="P11" s="416">
        <f>AVERAGEIF(D11:O11, "&gt;0")</f>
        <v>0.91264228009716764</v>
      </c>
    </row>
    <row r="12" spans="2:16" ht="15.75">
      <c r="B12" s="522"/>
      <c r="C12" s="407" t="s">
        <v>468</v>
      </c>
      <c r="D12" s="399">
        <v>2.4135432458014692E-3</v>
      </c>
      <c r="E12" s="398">
        <v>2.3657636051419204E-3</v>
      </c>
      <c r="F12" s="398">
        <v>2.0222247634522129E-3</v>
      </c>
      <c r="G12" s="398">
        <v>2.0113648122943311E-3</v>
      </c>
      <c r="H12" s="398">
        <v>2.0088240498114199E-3</v>
      </c>
      <c r="I12" s="398">
        <v>2.0072505835617024E-3</v>
      </c>
      <c r="J12" s="398">
        <v>2.0067058203413666E-3</v>
      </c>
      <c r="K12" s="398">
        <v>2.0066949915476767E-3</v>
      </c>
      <c r="L12" s="398"/>
      <c r="M12" s="398"/>
      <c r="N12" s="398"/>
      <c r="O12" s="398"/>
      <c r="P12" s="417">
        <f>AVERAGEIF(D12:O12, "&gt;0")</f>
        <v>2.1052964839940124E-3</v>
      </c>
    </row>
    <row r="13" spans="2:16" ht="15.75">
      <c r="B13" s="522"/>
      <c r="C13" s="407" t="s">
        <v>469</v>
      </c>
      <c r="D13" s="399">
        <v>5.599443330875099E-3</v>
      </c>
      <c r="E13" s="399">
        <v>5.2393000579921759E-3</v>
      </c>
      <c r="F13" s="399">
        <v>4.8799137535570384E-3</v>
      </c>
      <c r="G13" s="399">
        <v>4.3085188206646403E-3</v>
      </c>
      <c r="H13" s="399">
        <v>6.1874817008048359E-3</v>
      </c>
      <c r="I13" s="399">
        <v>6.077521140456379E-3</v>
      </c>
      <c r="J13" s="399">
        <v>6.0144112131268234E-3</v>
      </c>
      <c r="K13" s="399">
        <v>6.0131110259086448E-3</v>
      </c>
      <c r="L13" s="399"/>
      <c r="M13" s="399"/>
      <c r="N13" s="399"/>
      <c r="O13" s="399"/>
      <c r="P13" s="416">
        <f>AVERAGEIF(D13:O13, "&gt;0")</f>
        <v>5.5399626304232048E-3</v>
      </c>
    </row>
    <row r="14" spans="2:16" ht="15.75">
      <c r="B14" s="522"/>
      <c r="C14" s="407" t="s">
        <v>476</v>
      </c>
      <c r="D14" s="399">
        <v>0.89999999999999947</v>
      </c>
      <c r="E14" s="399">
        <v>0.89999999999999958</v>
      </c>
      <c r="F14" s="399">
        <v>0.89999999999999947</v>
      </c>
      <c r="G14" s="399">
        <v>0.89999999999999958</v>
      </c>
      <c r="H14" s="399">
        <v>0.89999999999999947</v>
      </c>
      <c r="I14" s="399">
        <v>0.89999999999999958</v>
      </c>
      <c r="J14" s="399">
        <v>0.89999999999999947</v>
      </c>
      <c r="K14" s="399">
        <v>0.89999999999999947</v>
      </c>
      <c r="L14" s="399"/>
      <c r="M14" s="399"/>
      <c r="N14" s="399"/>
      <c r="O14" s="399"/>
      <c r="P14" s="416">
        <f t="shared" ref="P14" si="4">AVERAGEIF(D14:O14, "&gt;0")</f>
        <v>0.89999999999999947</v>
      </c>
    </row>
    <row r="15" spans="2:16" ht="15.75">
      <c r="B15" s="522"/>
      <c r="C15" s="407" t="s">
        <v>477</v>
      </c>
      <c r="D15" s="399">
        <v>5.7692307692307702E-2</v>
      </c>
      <c r="E15" s="399">
        <v>0.13873626373626369</v>
      </c>
      <c r="F15" s="399">
        <v>0.21960297766749381</v>
      </c>
      <c r="G15" s="399">
        <v>0.30384615384615377</v>
      </c>
      <c r="H15" s="399">
        <v>0.38709677419354849</v>
      </c>
      <c r="I15" s="399">
        <v>0.47115384615384609</v>
      </c>
      <c r="J15" s="399">
        <v>0.55521091811414403</v>
      </c>
      <c r="K15" s="399">
        <v>0.63957816377171217</v>
      </c>
      <c r="L15" s="399"/>
      <c r="M15" s="399"/>
      <c r="N15" s="399"/>
      <c r="O15" s="399"/>
      <c r="P15" s="416">
        <f>MAX(D15:O15)</f>
        <v>0.63957816377171217</v>
      </c>
    </row>
    <row r="16" spans="2:16" ht="15.75">
      <c r="B16" s="413"/>
      <c r="C16" s="407"/>
      <c r="D16" s="399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416"/>
    </row>
    <row r="17" spans="2:16" ht="15.75">
      <c r="B17" s="523" t="s">
        <v>478</v>
      </c>
      <c r="C17" s="407" t="s">
        <v>479</v>
      </c>
      <c r="D17" s="418">
        <v>0.36139567422949059</v>
      </c>
      <c r="E17" s="418">
        <v>0.34737656751091073</v>
      </c>
      <c r="F17" s="418">
        <v>0.36414345188530645</v>
      </c>
      <c r="G17" s="418">
        <v>0.38079955956950995</v>
      </c>
      <c r="H17" s="418">
        <v>0.36318310058720077</v>
      </c>
      <c r="I17" s="418">
        <v>0.29977346874027683</v>
      </c>
      <c r="J17" s="418">
        <v>0.28835229016623554</v>
      </c>
      <c r="K17" s="418">
        <v>0.29075759167530862</v>
      </c>
      <c r="L17" s="418"/>
      <c r="M17" s="418"/>
      <c r="N17" s="418"/>
      <c r="O17" s="418"/>
      <c r="P17" s="416">
        <f>AVERAGEIF(D17:O17, "&gt;0")</f>
        <v>0.33697271304552995</v>
      </c>
    </row>
    <row r="18" spans="2:16" ht="15.75">
      <c r="B18" s="527"/>
      <c r="C18" s="407" t="s">
        <v>205</v>
      </c>
      <c r="D18" s="418">
        <v>6.9633574224369291E-2</v>
      </c>
      <c r="E18" s="418">
        <v>7.7793665132509071E-2</v>
      </c>
      <c r="F18" s="418">
        <v>8.4480826486750038E-2</v>
      </c>
      <c r="G18" s="418">
        <v>6.0267903798814304E-2</v>
      </c>
      <c r="H18" s="418">
        <v>4.1707027010475142E-2</v>
      </c>
      <c r="I18" s="418">
        <v>3.5290065487433755E-2</v>
      </c>
      <c r="J18" s="418">
        <v>4.0105546996058235E-2</v>
      </c>
      <c r="K18" s="418">
        <v>4.4488660713654524E-2</v>
      </c>
      <c r="L18" s="418"/>
      <c r="M18" s="418"/>
      <c r="N18" s="418"/>
      <c r="O18" s="418"/>
      <c r="P18" s="416">
        <f t="shared" ref="P18:P45" si="5">AVERAGEIF(D18:O18, "&gt;0")</f>
        <v>5.6720908731258041E-2</v>
      </c>
    </row>
    <row r="19" spans="2:16" ht="15.75">
      <c r="B19" s="527"/>
      <c r="C19" s="407" t="s">
        <v>218</v>
      </c>
      <c r="D19" s="418">
        <v>2.2453221877666876E-2</v>
      </c>
      <c r="E19" s="418">
        <v>2.1676449691951108E-2</v>
      </c>
      <c r="F19" s="418">
        <v>2.4365160296787799E-2</v>
      </c>
      <c r="G19" s="418">
        <v>1.8891117808144807E-2</v>
      </c>
      <c r="H19" s="418">
        <v>1.3969000103124941E-2</v>
      </c>
      <c r="I19" s="418">
        <v>1.0903808522397734E-2</v>
      </c>
      <c r="J19" s="418">
        <v>2.3749545962421303E-2</v>
      </c>
      <c r="K19" s="418">
        <v>1.1407879625187018E-2</v>
      </c>
      <c r="L19" s="418"/>
      <c r="M19" s="418"/>
      <c r="N19" s="418"/>
      <c r="O19" s="418"/>
      <c r="P19" s="416">
        <f t="shared" si="5"/>
        <v>1.84270229859602E-2</v>
      </c>
    </row>
    <row r="20" spans="2:16" ht="15.75">
      <c r="B20" s="527"/>
      <c r="C20" s="407" t="s">
        <v>203</v>
      </c>
      <c r="D20" s="418">
        <v>8.5850389930237133E-3</v>
      </c>
      <c r="E20" s="418">
        <v>9.9523222144173289E-3</v>
      </c>
      <c r="F20" s="418">
        <v>1.4684918119400437E-2</v>
      </c>
      <c r="G20" s="418">
        <v>2.8316295795027466E-2</v>
      </c>
      <c r="H20" s="418">
        <v>3.4128077824737396E-2</v>
      </c>
      <c r="I20" s="418">
        <v>4.9548361396139648E-2</v>
      </c>
      <c r="J20" s="418">
        <v>3.7024873543174894E-2</v>
      </c>
      <c r="K20" s="418">
        <v>4.8449399984521024E-2</v>
      </c>
      <c r="L20" s="418"/>
      <c r="M20" s="418"/>
      <c r="N20" s="418"/>
      <c r="O20" s="418"/>
      <c r="P20" s="416">
        <f t="shared" si="5"/>
        <v>2.8836160983805238E-2</v>
      </c>
    </row>
    <row r="21" spans="2:16" ht="15.75">
      <c r="B21" s="527"/>
      <c r="C21" s="407" t="s">
        <v>207</v>
      </c>
      <c r="D21" s="418">
        <v>0.16215294044225204</v>
      </c>
      <c r="E21" s="418">
        <v>0.18214707911075978</v>
      </c>
      <c r="F21" s="418">
        <v>0.20289323995580696</v>
      </c>
      <c r="G21" s="418">
        <v>0.15628267987712793</v>
      </c>
      <c r="H21" s="418">
        <v>0.13415543936957161</v>
      </c>
      <c r="I21" s="418">
        <v>0.13432459995236101</v>
      </c>
      <c r="J21" s="418">
        <v>0.15806064650573423</v>
      </c>
      <c r="K21" s="418">
        <v>0.14990660595429861</v>
      </c>
      <c r="L21" s="418"/>
      <c r="M21" s="418"/>
      <c r="N21" s="418"/>
      <c r="O21" s="418"/>
      <c r="P21" s="416">
        <f t="shared" si="5"/>
        <v>0.15999040389598904</v>
      </c>
    </row>
    <row r="22" spans="2:16" ht="15.75">
      <c r="B22" s="527"/>
      <c r="C22" s="407" t="s">
        <v>209</v>
      </c>
      <c r="D22" s="418">
        <v>0.27057088032525339</v>
      </c>
      <c r="E22" s="418">
        <v>0.27529225824200032</v>
      </c>
      <c r="F22" s="418">
        <v>0.29293399487971084</v>
      </c>
      <c r="G22" s="418">
        <v>0.27842233710348685</v>
      </c>
      <c r="H22" s="418">
        <v>0.26474822074458115</v>
      </c>
      <c r="I22" s="418">
        <v>0.22905816354399502</v>
      </c>
      <c r="J22" s="418">
        <v>0.22396345871524598</v>
      </c>
      <c r="K22" s="418">
        <v>0.25307982503182791</v>
      </c>
      <c r="L22" s="418"/>
      <c r="M22" s="418"/>
      <c r="N22" s="418"/>
      <c r="O22" s="418"/>
      <c r="P22" s="416">
        <f t="shared" si="5"/>
        <v>0.26100864232326271</v>
      </c>
    </row>
    <row r="23" spans="2:16" ht="15.75">
      <c r="B23" s="527"/>
      <c r="C23" s="407" t="s">
        <v>219</v>
      </c>
      <c r="D23" s="418">
        <v>2.9234371078829206E-2</v>
      </c>
      <c r="E23" s="418">
        <v>8.9796818765835347E-3</v>
      </c>
      <c r="F23" s="418">
        <v>0</v>
      </c>
      <c r="G23" s="418">
        <v>0</v>
      </c>
      <c r="H23" s="418">
        <v>0</v>
      </c>
      <c r="I23" s="418">
        <v>0</v>
      </c>
      <c r="J23" s="418">
        <v>0</v>
      </c>
      <c r="K23" s="418">
        <v>0</v>
      </c>
      <c r="L23" s="418"/>
      <c r="M23" s="418"/>
      <c r="N23" s="418"/>
      <c r="O23" s="418"/>
      <c r="P23" s="416">
        <f t="shared" si="5"/>
        <v>1.910702647770637E-2</v>
      </c>
    </row>
    <row r="24" spans="2:16" ht="15.75">
      <c r="B24" s="527"/>
      <c r="C24" s="407" t="s">
        <v>220</v>
      </c>
      <c r="D24" s="418">
        <v>4.0564165966170615E-2</v>
      </c>
      <c r="E24" s="418">
        <v>4.0109498783470192E-2</v>
      </c>
      <c r="F24" s="418">
        <v>1.6541184549440737E-3</v>
      </c>
      <c r="G24" s="418">
        <v>6.4343547299571813E-2</v>
      </c>
      <c r="H24" s="418">
        <v>0.13502459319909141</v>
      </c>
      <c r="I24" s="418">
        <v>0.17184921115430482</v>
      </c>
      <c r="J24" s="418">
        <v>0.16810091634415497</v>
      </c>
      <c r="K24" s="418">
        <v>0.16627334059233648</v>
      </c>
      <c r="L24" s="418"/>
      <c r="M24" s="418"/>
      <c r="N24" s="418"/>
      <c r="O24" s="418"/>
      <c r="P24" s="416">
        <f t="shared" si="5"/>
        <v>9.8489923974255544E-2</v>
      </c>
    </row>
    <row r="25" spans="2:16" ht="15.75">
      <c r="B25" s="528"/>
      <c r="C25" s="407" t="s">
        <v>215</v>
      </c>
      <c r="D25" s="418">
        <v>3.5410132862943831E-2</v>
      </c>
      <c r="E25" s="418">
        <v>3.6672477437397863E-2</v>
      </c>
      <c r="F25" s="418">
        <v>1.4844289921293864E-2</v>
      </c>
      <c r="G25" s="418">
        <v>1.2676558748316833E-2</v>
      </c>
      <c r="H25" s="418">
        <v>1.308454116121764E-2</v>
      </c>
      <c r="I25" s="418">
        <v>6.925232120309105E-2</v>
      </c>
      <c r="J25" s="418">
        <v>6.0642721766974744E-2</v>
      </c>
      <c r="K25" s="418">
        <v>3.5636696422865967E-2</v>
      </c>
      <c r="L25" s="418"/>
      <c r="M25" s="418"/>
      <c r="N25" s="418"/>
      <c r="O25" s="418"/>
      <c r="P25" s="416">
        <f t="shared" si="5"/>
        <v>3.4777467440512723E-2</v>
      </c>
    </row>
    <row r="26" spans="2:16" ht="15.75">
      <c r="B26" s="413"/>
      <c r="C26" s="407"/>
      <c r="D26" s="399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416"/>
    </row>
    <row r="27" spans="2:16" ht="15.75">
      <c r="B27" s="523" t="s">
        <v>480</v>
      </c>
      <c r="C27" s="407" t="s">
        <v>479</v>
      </c>
      <c r="D27" s="418">
        <v>0.58577126139802016</v>
      </c>
      <c r="E27" s="418">
        <v>0.57025346170928881</v>
      </c>
      <c r="F27" s="418">
        <v>0.57640851623137324</v>
      </c>
      <c r="G27" s="418">
        <v>0.58366911946203059</v>
      </c>
      <c r="H27" s="418">
        <v>0.56064800510147061</v>
      </c>
      <c r="I27" s="418">
        <v>0.49244058513440431</v>
      </c>
      <c r="J27" s="418">
        <v>0.47778244837618161</v>
      </c>
      <c r="K27" s="418">
        <v>0.48579009127634609</v>
      </c>
      <c r="L27" s="418"/>
      <c r="M27" s="418"/>
      <c r="N27" s="418"/>
      <c r="O27" s="418"/>
      <c r="P27" s="416">
        <f>AVERAGEIF(D27:O27, "&gt;0")</f>
        <v>0.54159543608613936</v>
      </c>
    </row>
    <row r="28" spans="2:16" ht="15.75">
      <c r="B28" s="527"/>
      <c r="C28" s="407" t="s">
        <v>205</v>
      </c>
      <c r="D28" s="418">
        <v>8.1693945583923164E-2</v>
      </c>
      <c r="E28" s="418">
        <v>9.1615478418020382E-2</v>
      </c>
      <c r="F28" s="418">
        <v>0.10179987010858439</v>
      </c>
      <c r="G28" s="418">
        <v>6.8907686982098079E-2</v>
      </c>
      <c r="H28" s="418">
        <v>4.4634580870799995E-2</v>
      </c>
      <c r="I28" s="418">
        <v>3.785093356542734E-2</v>
      </c>
      <c r="J28" s="418">
        <v>4.3692920912114096E-2</v>
      </c>
      <c r="K28" s="418">
        <v>4.8227053269914638E-2</v>
      </c>
      <c r="L28" s="418"/>
      <c r="M28" s="418"/>
      <c r="N28" s="418"/>
      <c r="O28" s="418"/>
      <c r="P28" s="416">
        <f t="shared" si="5"/>
        <v>6.4802808713860252E-2</v>
      </c>
    </row>
    <row r="29" spans="2:16" ht="15.75">
      <c r="B29" s="527"/>
      <c r="C29" s="407" t="s">
        <v>218</v>
      </c>
      <c r="D29" s="418">
        <v>2.4966128092325353E-2</v>
      </c>
      <c r="E29" s="418">
        <v>2.3825971045169769E-2</v>
      </c>
      <c r="F29" s="418">
        <v>2.6809080825002728E-2</v>
      </c>
      <c r="G29" s="418">
        <v>2.031339297428679E-2</v>
      </c>
      <c r="H29" s="418">
        <v>1.4309263508049936E-2</v>
      </c>
      <c r="I29" s="418">
        <v>1.1252756302247842E-2</v>
      </c>
      <c r="J29" s="418">
        <v>2.5356763079204283E-2</v>
      </c>
      <c r="K29" s="418">
        <v>1.1955499422244914E-2</v>
      </c>
      <c r="L29" s="418"/>
      <c r="M29" s="418"/>
      <c r="N29" s="418"/>
      <c r="O29" s="418"/>
      <c r="P29" s="416">
        <f t="shared" si="5"/>
        <v>1.9848606906066452E-2</v>
      </c>
    </row>
    <row r="30" spans="2:16" ht="15.75">
      <c r="B30" s="527"/>
      <c r="C30" s="407" t="s">
        <v>203</v>
      </c>
      <c r="D30" s="418">
        <v>9.7963785106258503E-3</v>
      </c>
      <c r="E30" s="418">
        <v>1.1706621755150907E-2</v>
      </c>
      <c r="F30" s="418">
        <v>1.640151628508173E-2</v>
      </c>
      <c r="G30" s="418">
        <v>3.1347821800599376E-2</v>
      </c>
      <c r="H30" s="418">
        <v>4.8132802587550046E-2</v>
      </c>
      <c r="I30" s="418">
        <v>6.2276894482742574E-2</v>
      </c>
      <c r="J30" s="418">
        <v>4.8683239172804336E-2</v>
      </c>
      <c r="K30" s="418">
        <v>6.2519191322029044E-2</v>
      </c>
      <c r="L30" s="418"/>
      <c r="M30" s="418"/>
      <c r="N30" s="418"/>
      <c r="O30" s="418"/>
      <c r="P30" s="416">
        <f t="shared" si="5"/>
        <v>3.6358058239572985E-2</v>
      </c>
    </row>
    <row r="31" spans="2:16" ht="15.75">
      <c r="B31" s="527"/>
      <c r="C31" s="407" t="s">
        <v>207</v>
      </c>
      <c r="D31" s="418">
        <v>8.9953008167213674E-2</v>
      </c>
      <c r="E31" s="418">
        <v>0.10114834901064219</v>
      </c>
      <c r="F31" s="418">
        <v>0.11343936177613133</v>
      </c>
      <c r="G31" s="418">
        <v>8.956298139537297E-2</v>
      </c>
      <c r="H31" s="418">
        <v>7.5610894532354242E-2</v>
      </c>
      <c r="I31" s="418">
        <v>7.6646793989054149E-2</v>
      </c>
      <c r="J31" s="418">
        <v>9.2940901853542271E-2</v>
      </c>
      <c r="K31" s="418">
        <v>8.7620992663854036E-2</v>
      </c>
      <c r="L31" s="418"/>
      <c r="M31" s="418"/>
      <c r="N31" s="418"/>
      <c r="O31" s="418"/>
      <c r="P31" s="416">
        <f t="shared" si="5"/>
        <v>9.0865410423520615E-2</v>
      </c>
    </row>
    <row r="32" spans="2:16" ht="15.75">
      <c r="B32" s="527"/>
      <c r="C32" s="407" t="s">
        <v>209</v>
      </c>
      <c r="D32" s="418">
        <v>0.13708177551916129</v>
      </c>
      <c r="E32" s="418">
        <v>0.14060779476747043</v>
      </c>
      <c r="F32" s="418">
        <v>0.14223546019791297</v>
      </c>
      <c r="G32" s="418">
        <v>0.13317793032697267</v>
      </c>
      <c r="H32" s="418">
        <v>0.12743437444531369</v>
      </c>
      <c r="I32" s="418">
        <v>0.11321896903221325</v>
      </c>
      <c r="J32" s="418">
        <v>0.11314919999924089</v>
      </c>
      <c r="K32" s="418">
        <v>0.1282962047313215</v>
      </c>
      <c r="L32" s="418"/>
      <c r="M32" s="418"/>
      <c r="N32" s="418"/>
      <c r="O32" s="418"/>
      <c r="P32" s="416">
        <f t="shared" si="5"/>
        <v>0.12940021362745083</v>
      </c>
    </row>
    <row r="33" spans="2:16" ht="15.75">
      <c r="B33" s="527"/>
      <c r="C33" s="407" t="s">
        <v>219</v>
      </c>
      <c r="D33" s="418">
        <v>1.5652480623129864E-2</v>
      </c>
      <c r="E33" s="418">
        <v>4.823868590510383E-3</v>
      </c>
      <c r="F33" s="418">
        <v>0</v>
      </c>
      <c r="G33" s="418">
        <v>0</v>
      </c>
      <c r="H33" s="418">
        <v>0</v>
      </c>
      <c r="I33" s="418">
        <v>0</v>
      </c>
      <c r="J33" s="418">
        <v>0</v>
      </c>
      <c r="K33" s="418">
        <v>0</v>
      </c>
      <c r="L33" s="418"/>
      <c r="M33" s="418"/>
      <c r="N33" s="418"/>
      <c r="O33" s="418"/>
      <c r="P33" s="416">
        <f t="shared" si="5"/>
        <v>1.0238174606820123E-2</v>
      </c>
    </row>
    <row r="34" spans="2:16" ht="15.75">
      <c r="B34" s="527"/>
      <c r="C34" s="407" t="s">
        <v>220</v>
      </c>
      <c r="D34" s="418">
        <v>2.2004734622699137E-2</v>
      </c>
      <c r="E34" s="418">
        <v>2.0902022232890293E-2</v>
      </c>
      <c r="F34" s="418">
        <v>6.7918504928798538E-4</v>
      </c>
      <c r="G34" s="418">
        <v>5.3864579603920618E-2</v>
      </c>
      <c r="H34" s="418">
        <v>0.11022479998422226</v>
      </c>
      <c r="I34" s="418">
        <v>0.14207987165566802</v>
      </c>
      <c r="J34" s="418">
        <v>0.13977856935459076</v>
      </c>
      <c r="K34" s="418">
        <v>0.13758704395417373</v>
      </c>
      <c r="L34" s="418"/>
      <c r="M34" s="418"/>
      <c r="N34" s="418"/>
      <c r="O34" s="418"/>
      <c r="P34" s="416">
        <f t="shared" si="5"/>
        <v>7.8390100807181604E-2</v>
      </c>
    </row>
    <row r="35" spans="2:16" ht="15.75">
      <c r="B35" s="528"/>
      <c r="C35" s="407" t="s">
        <v>215</v>
      </c>
      <c r="D35" s="418">
        <v>3.3080287482901531E-2</v>
      </c>
      <c r="E35" s="418">
        <v>3.5116432470856891E-2</v>
      </c>
      <c r="F35" s="418">
        <v>2.2227009526625659E-2</v>
      </c>
      <c r="G35" s="418">
        <v>1.9156487454718908E-2</v>
      </c>
      <c r="H35" s="418">
        <v>1.900527897023923E-2</v>
      </c>
      <c r="I35" s="418">
        <v>6.4233195838242538E-2</v>
      </c>
      <c r="J35" s="418">
        <v>5.861595725232175E-2</v>
      </c>
      <c r="K35" s="418">
        <v>3.8003923360116092E-2</v>
      </c>
      <c r="L35" s="418"/>
      <c r="M35" s="418"/>
      <c r="N35" s="418"/>
      <c r="O35" s="418"/>
      <c r="P35" s="416">
        <f t="shared" si="5"/>
        <v>3.6179821544502826E-2</v>
      </c>
    </row>
    <row r="36" spans="2:16" ht="15.75">
      <c r="B36" s="413"/>
      <c r="C36" s="407"/>
      <c r="D36" s="399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416"/>
    </row>
    <row r="37" spans="2:16" ht="15.75">
      <c r="B37" s="522" t="s">
        <v>481</v>
      </c>
      <c r="C37" s="407" t="s">
        <v>479</v>
      </c>
      <c r="D37" s="400">
        <v>768.96508698264131</v>
      </c>
      <c r="E37" s="400">
        <v>774.12086448722914</v>
      </c>
      <c r="F37" s="400">
        <v>757.5904244152307</v>
      </c>
      <c r="G37" s="400">
        <v>740.76981301731939</v>
      </c>
      <c r="H37" s="400">
        <v>765.35781664687147</v>
      </c>
      <c r="I37" s="400">
        <v>783.42710865003369</v>
      </c>
      <c r="J37" s="400">
        <v>771.87393132465104</v>
      </c>
      <c r="K37" s="400">
        <v>782.5286838234781</v>
      </c>
      <c r="L37" s="400"/>
      <c r="M37" s="400"/>
      <c r="N37" s="400"/>
      <c r="O37" s="400"/>
      <c r="P37" s="419">
        <f>AVERAGEIF(D37:O37, "&gt;0")</f>
        <v>768.0792161684318</v>
      </c>
    </row>
    <row r="38" spans="2:16" ht="15.75">
      <c r="B38" s="523"/>
      <c r="C38" s="420" t="s">
        <v>205</v>
      </c>
      <c r="D38" s="421">
        <v>280.52357557404559</v>
      </c>
      <c r="E38" s="421">
        <v>304.46478382945497</v>
      </c>
      <c r="F38" s="421">
        <v>311.70581961708376</v>
      </c>
      <c r="G38" s="421">
        <v>320.67204374311393</v>
      </c>
      <c r="H38" s="421">
        <v>308.1159721716769</v>
      </c>
      <c r="I38" s="421">
        <v>298.23676867480344</v>
      </c>
      <c r="J38" s="421">
        <v>296.14735806418179</v>
      </c>
      <c r="K38" s="421">
        <v>295.72183077104819</v>
      </c>
      <c r="L38" s="421"/>
      <c r="M38" s="421"/>
      <c r="N38" s="421"/>
      <c r="O38" s="421"/>
      <c r="P38" s="419">
        <f t="shared" si="5"/>
        <v>301.94851905567606</v>
      </c>
    </row>
    <row r="39" spans="2:16" ht="15.75">
      <c r="B39" s="523"/>
      <c r="C39" s="420" t="s">
        <v>218</v>
      </c>
      <c r="D39" s="421">
        <v>258.56166578115295</v>
      </c>
      <c r="E39" s="421">
        <v>203.2437413385673</v>
      </c>
      <c r="F39" s="421">
        <v>331.13667122055222</v>
      </c>
      <c r="G39" s="421">
        <v>331.07659362533582</v>
      </c>
      <c r="H39" s="421">
        <v>209.58696420097431</v>
      </c>
      <c r="I39" s="421">
        <v>118.56652276295132</v>
      </c>
      <c r="J39" s="421">
        <v>117.05022912035081</v>
      </c>
      <c r="K39" s="421">
        <v>119.39248251748248</v>
      </c>
      <c r="L39" s="421"/>
      <c r="M39" s="421"/>
      <c r="N39" s="421"/>
      <c r="O39" s="421"/>
      <c r="P39" s="419">
        <f t="shared" si="5"/>
        <v>211.0768588209209</v>
      </c>
    </row>
    <row r="40" spans="2:16" ht="15.75">
      <c r="B40" s="523"/>
      <c r="C40" s="420" t="s">
        <v>203</v>
      </c>
      <c r="D40" s="421">
        <v>486.07170829520021</v>
      </c>
      <c r="E40" s="421">
        <v>490.19814173593841</v>
      </c>
      <c r="F40" s="421">
        <v>493.97618103140815</v>
      </c>
      <c r="G40" s="421">
        <v>416.80190173613738</v>
      </c>
      <c r="H40" s="421">
        <v>367.707567900654</v>
      </c>
      <c r="I40" s="421">
        <v>397.08854160526414</v>
      </c>
      <c r="J40" s="421">
        <v>437.64998264612387</v>
      </c>
      <c r="K40" s="421">
        <v>448.4207728009294</v>
      </c>
      <c r="L40" s="421"/>
      <c r="M40" s="421"/>
      <c r="N40" s="421"/>
      <c r="O40" s="421"/>
      <c r="P40" s="419">
        <f t="shared" si="5"/>
        <v>442.23934971895699</v>
      </c>
    </row>
    <row r="41" spans="2:16" ht="15.75">
      <c r="B41" s="523"/>
      <c r="C41" s="420" t="s">
        <v>207</v>
      </c>
      <c r="D41" s="421">
        <v>82.669482447974161</v>
      </c>
      <c r="E41" s="421">
        <v>81.452411562244222</v>
      </c>
      <c r="F41" s="421">
        <v>79.94999927589204</v>
      </c>
      <c r="G41" s="421">
        <v>82.282454157599574</v>
      </c>
      <c r="H41" s="421">
        <v>81.90398870846974</v>
      </c>
      <c r="I41" s="421">
        <v>84.227709910361142</v>
      </c>
      <c r="J41" s="421">
        <v>84.954232333344365</v>
      </c>
      <c r="K41" s="421">
        <v>84.887087996889008</v>
      </c>
      <c r="L41" s="421"/>
      <c r="M41" s="421"/>
      <c r="N41" s="421"/>
      <c r="O41" s="421"/>
      <c r="P41" s="419">
        <f t="shared" si="5"/>
        <v>82.790920799096796</v>
      </c>
    </row>
    <row r="42" spans="2:16" ht="15.75">
      <c r="B42" s="523"/>
      <c r="C42" s="420" t="s">
        <v>209</v>
      </c>
      <c r="D42" s="421">
        <v>78.306366965294018</v>
      </c>
      <c r="E42" s="421">
        <v>77.971322564328403</v>
      </c>
      <c r="F42" s="421">
        <v>77.906796798443906</v>
      </c>
      <c r="G42" s="421">
        <v>78.189351465199536</v>
      </c>
      <c r="H42" s="421">
        <v>79.190461701431943</v>
      </c>
      <c r="I42" s="421">
        <v>79.718377211575145</v>
      </c>
      <c r="J42" s="421">
        <v>79.472250627696354</v>
      </c>
      <c r="K42" s="421">
        <v>79.704121168901651</v>
      </c>
      <c r="L42" s="421"/>
      <c r="M42" s="421"/>
      <c r="N42" s="421"/>
      <c r="O42" s="421"/>
      <c r="P42" s="419">
        <f t="shared" si="5"/>
        <v>78.80738106285888</v>
      </c>
    </row>
    <row r="43" spans="2:16" ht="15.75">
      <c r="B43" s="523"/>
      <c r="C43" s="420" t="s">
        <v>219</v>
      </c>
      <c r="D43" s="421">
        <v>76.250132772766719</v>
      </c>
      <c r="E43" s="421">
        <v>72.949975663847383</v>
      </c>
      <c r="F43" s="421">
        <v>0</v>
      </c>
      <c r="G43" s="421">
        <v>0</v>
      </c>
      <c r="H43" s="421">
        <v>0</v>
      </c>
      <c r="I43" s="421">
        <v>0</v>
      </c>
      <c r="J43" s="421">
        <v>0</v>
      </c>
      <c r="K43" s="421">
        <v>0</v>
      </c>
      <c r="L43" s="421"/>
      <c r="M43" s="421"/>
      <c r="N43" s="421"/>
      <c r="O43" s="421"/>
      <c r="P43" s="419">
        <f t="shared" si="5"/>
        <v>74.600054218307051</v>
      </c>
    </row>
    <row r="44" spans="2:16" ht="15.75">
      <c r="B44" s="523"/>
      <c r="C44" s="420" t="s">
        <v>220</v>
      </c>
      <c r="D44" s="421">
        <v>110.80830487807768</v>
      </c>
      <c r="E44" s="421">
        <v>97.15750138812345</v>
      </c>
      <c r="F44" s="421">
        <v>84.60142398436416</v>
      </c>
      <c r="G44" s="421">
        <v>159.74228643292116</v>
      </c>
      <c r="H44" s="421">
        <v>161.80618458291255</v>
      </c>
      <c r="I44" s="421">
        <v>157.36335172582426</v>
      </c>
      <c r="J44" s="421">
        <v>155.73662529229455</v>
      </c>
      <c r="K44" s="421">
        <v>158.12481452190781</v>
      </c>
      <c r="L44" s="421"/>
      <c r="M44" s="421"/>
      <c r="N44" s="421"/>
      <c r="O44" s="421"/>
      <c r="P44" s="419">
        <f t="shared" si="5"/>
        <v>135.6675616008032</v>
      </c>
    </row>
    <row r="45" spans="2:16" ht="16.5" thickBot="1">
      <c r="B45" s="524"/>
      <c r="C45" s="422" t="s">
        <v>215</v>
      </c>
      <c r="D45" s="401">
        <v>76.123665150077642</v>
      </c>
      <c r="E45" s="401">
        <v>77.592138128204311</v>
      </c>
      <c r="F45" s="401">
        <v>83.044478559400275</v>
      </c>
      <c r="G45" s="401">
        <v>83.064526679068933</v>
      </c>
      <c r="H45" s="401">
        <v>89.419712752776604</v>
      </c>
      <c r="I45" s="401">
        <v>118.28436587813741</v>
      </c>
      <c r="J45" s="401">
        <v>117.58780675275712</v>
      </c>
      <c r="K45" s="401">
        <v>102.5938619423931</v>
      </c>
      <c r="L45" s="401"/>
      <c r="M45" s="401"/>
      <c r="N45" s="401"/>
      <c r="O45" s="401"/>
      <c r="P45" s="423">
        <f t="shared" si="5"/>
        <v>93.46381948035193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tabSelected="1" view="pageBreakPreview" zoomScale="115" zoomScaleNormal="10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18" t="s">
        <v>313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98"/>
    </row>
    <row r="2" spans="1:12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</row>
    <row r="3" spans="1:12" ht="21.6" customHeight="1">
      <c r="A3" s="113" t="s">
        <v>73</v>
      </c>
      <c r="B3" s="114">
        <v>8</v>
      </c>
      <c r="C3" s="113" t="s">
        <v>20</v>
      </c>
      <c r="D3" s="529" t="s">
        <v>337</v>
      </c>
      <c r="E3" s="529"/>
      <c r="F3" s="99"/>
      <c r="G3" s="108"/>
      <c r="H3" s="99"/>
      <c r="I3" s="99"/>
      <c r="J3" s="99"/>
      <c r="K3" s="99"/>
    </row>
    <row r="4" spans="1:12" ht="15.75" customHeight="1">
      <c r="A4" s="109" t="s">
        <v>449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180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24">
        <f>'（１）收支狀況'!H9/1000</f>
        <v>175321.62117</v>
      </c>
      <c r="C6" s="393">
        <v>199388.61726000003</v>
      </c>
      <c r="D6" s="116">
        <f t="shared" ref="D6:D11" si="0">B6-C6</f>
        <v>-24066.99609000003</v>
      </c>
      <c r="E6" s="393">
        <f>'數值累積總表(月)'!P2</f>
        <v>1323001.8304600001</v>
      </c>
      <c r="G6" s="106" t="s">
        <v>181</v>
      </c>
      <c r="H6" s="118">
        <v>497.6</v>
      </c>
      <c r="I6" s="425">
        <f>'（２）ＫＰＩ達成進度'!H9</f>
        <v>448.73865593082098</v>
      </c>
      <c r="J6" s="403">
        <v>434.66889417885551</v>
      </c>
      <c r="K6" s="403">
        <f>'數值累積總表(月)'!P10</f>
        <v>434.48080063579937</v>
      </c>
      <c r="L6" s="100" t="s">
        <v>178</v>
      </c>
    </row>
    <row r="7" spans="1:12" ht="18" customHeight="1">
      <c r="A7" s="106" t="s">
        <v>25</v>
      </c>
      <c r="B7" s="424">
        <f>'（１）收支狀況'!K9</f>
        <v>5581950</v>
      </c>
      <c r="C7" s="393">
        <v>6323244</v>
      </c>
      <c r="D7" s="116">
        <f t="shared" si="0"/>
        <v>-741294</v>
      </c>
      <c r="E7" s="393">
        <f>'數值累積總表(月)'!P3</f>
        <v>43263080</v>
      </c>
      <c r="G7" s="106" t="s">
        <v>182</v>
      </c>
      <c r="H7" s="117">
        <v>0.8</v>
      </c>
      <c r="I7" s="402">
        <f>'（２）ＫＰＩ達成進度'!K9</f>
        <v>0.89675990393849114</v>
      </c>
      <c r="J7" s="405">
        <v>0.98252462517824479</v>
      </c>
      <c r="K7" s="405">
        <f>'數值累積總表(月)'!P11</f>
        <v>0.91264228009716764</v>
      </c>
      <c r="L7" s="100" t="s">
        <v>4</v>
      </c>
    </row>
    <row r="8" spans="1:12" ht="18" customHeight="1">
      <c r="A8" s="106" t="s">
        <v>5</v>
      </c>
      <c r="B8" s="424">
        <f>'（１）收支狀況'!N9/1000</f>
        <v>119419.26352012459</v>
      </c>
      <c r="C8" s="393">
        <v>131878</v>
      </c>
      <c r="D8" s="116">
        <f>B8-C8</f>
        <v>-12458.736479875413</v>
      </c>
      <c r="E8" s="393">
        <f>'數值累積總表(月)'!P4</f>
        <v>863080.85848651989</v>
      </c>
      <c r="G8" s="106" t="s">
        <v>183</v>
      </c>
      <c r="H8" s="117">
        <v>2.5000000000000001E-3</v>
      </c>
      <c r="I8" s="426">
        <f>'（２）ＫＰＩ達成進度'!N9</f>
        <v>2.0066949915476767E-3</v>
      </c>
      <c r="J8" s="404">
        <v>2.0067058203413666E-3</v>
      </c>
      <c r="K8" s="404">
        <f>'數值累積總表(月)'!P12</f>
        <v>2.1052964839940124E-3</v>
      </c>
      <c r="L8" s="100" t="s">
        <v>55</v>
      </c>
    </row>
    <row r="9" spans="1:12" ht="18" customHeight="1">
      <c r="A9" s="106" t="s">
        <v>6</v>
      </c>
      <c r="B9" s="448">
        <f>'（１）收支狀況'!Q9</f>
        <v>0.68114396115656561</v>
      </c>
      <c r="C9" s="427">
        <v>0.67500000000000004</v>
      </c>
      <c r="D9" s="117">
        <f t="shared" si="0"/>
        <v>6.1439611565655694E-3</v>
      </c>
      <c r="E9" s="427">
        <f>'數值累積總表(月)'!P5</f>
        <v>0.66493527700135502</v>
      </c>
      <c r="G9" s="106" t="s">
        <v>184</v>
      </c>
      <c r="H9" s="117">
        <v>4.0000000000000001E-3</v>
      </c>
      <c r="I9" s="402">
        <f>'（２）ＫＰＩ達成進度'!Q9</f>
        <v>6.0131110259086448E-3</v>
      </c>
      <c r="J9" s="405">
        <v>6.0144112131268234E-3</v>
      </c>
      <c r="K9" s="405">
        <f>'數值累積總表(月)'!P13</f>
        <v>5.5399626304232048E-3</v>
      </c>
      <c r="L9" s="100" t="s">
        <v>98</v>
      </c>
    </row>
    <row r="10" spans="1:12" ht="18" customHeight="1">
      <c r="A10" s="106" t="s">
        <v>64</v>
      </c>
      <c r="B10" s="424">
        <f>'（１）收支狀況'!T9/1000</f>
        <v>25354.549750000002</v>
      </c>
      <c r="C10" s="393">
        <v>26966</v>
      </c>
      <c r="D10" s="116">
        <f>B10-C10</f>
        <v>-1611.4502499999981</v>
      </c>
      <c r="E10" s="393">
        <f>'數值累積總表(月)'!P6</f>
        <v>195229.54657200002</v>
      </c>
      <c r="G10" s="106" t="s">
        <v>185</v>
      </c>
      <c r="H10" s="117">
        <v>0.8</v>
      </c>
      <c r="I10" s="402">
        <f>'（２）ＫＰＩ達成進度'!T9</f>
        <v>0.89999999999999947</v>
      </c>
      <c r="J10" s="405">
        <v>0.89999999999999947</v>
      </c>
      <c r="K10" s="405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48">
        <f>'（１）收支狀況'!W9</f>
        <v>0.14461735854823665</v>
      </c>
      <c r="C11" s="427">
        <v>0.13800000000000001</v>
      </c>
      <c r="D11" s="117">
        <f t="shared" si="0"/>
        <v>6.6173585482366404E-3</v>
      </c>
      <c r="E11" s="427">
        <f>'數值累積總表(月)'!P7</f>
        <v>0.15327473931808949</v>
      </c>
      <c r="G11" s="106" t="s">
        <v>186</v>
      </c>
      <c r="H11" s="117">
        <v>1</v>
      </c>
      <c r="I11" s="402">
        <f>'（２）ＫＰＩ達成進度'!W9</f>
        <v>0.63957816377171217</v>
      </c>
      <c r="J11" s="405">
        <v>0.55521091811414403</v>
      </c>
      <c r="K11" s="405">
        <f>'數值累積總表(月)'!P15</f>
        <v>0.63957816377171217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8" t="s">
        <v>23</v>
      </c>
      <c r="G13" s="109" t="s">
        <v>33</v>
      </c>
      <c r="K13" s="308" t="s">
        <v>401</v>
      </c>
      <c r="L13" s="98"/>
    </row>
    <row r="14" spans="1:12" s="105" customFormat="1" ht="14.25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358</v>
      </c>
      <c r="B15" s="424">
        <f>SUM('（３）業績構成比'!M11:M41)/1000</f>
        <v>50976.092340000003</v>
      </c>
      <c r="C15" s="117">
        <f>IFERROR(B15/$B$6,"")</f>
        <v>0.29075759167530862</v>
      </c>
      <c r="D15" s="428">
        <v>0.29977346874027683</v>
      </c>
      <c r="E15" s="117">
        <f>IFERROR(C15-D15,"")</f>
        <v>-9.015877064968203E-3</v>
      </c>
      <c r="G15" s="106" t="s">
        <v>359</v>
      </c>
      <c r="H15" s="424">
        <f>SUM('（４）訂單數量構成比'!M11:M41)</f>
        <v>2711656</v>
      </c>
      <c r="I15" s="117">
        <f t="shared" ref="I15:I23" si="1">IFERROR(H15/$B$7,"")</f>
        <v>0.48579009127634609</v>
      </c>
      <c r="J15" s="428">
        <v>0.47778244837618161</v>
      </c>
      <c r="K15" s="117">
        <f>IFERROR(I15-J15,"")</f>
        <v>8.00764290016448E-3</v>
      </c>
      <c r="L15" s="98"/>
    </row>
    <row r="16" spans="1:12" ht="18" customHeight="1">
      <c r="A16" s="106" t="s">
        <v>206</v>
      </c>
      <c r="B16" s="424">
        <f>SUM('（３）業績構成比'!S11:S41)/1000</f>
        <v>7799.8241200000002</v>
      </c>
      <c r="C16" s="117">
        <f t="shared" ref="C16:C23" si="2">IFERROR(B16/$B$6,"")</f>
        <v>4.4488660713654524E-2</v>
      </c>
      <c r="D16" s="428">
        <v>3.5290065487433755E-2</v>
      </c>
      <c r="E16" s="117">
        <f t="shared" ref="E16:E23" si="3">IFERROR(C16-D16,"")</f>
        <v>9.1985952262207682E-3</v>
      </c>
      <c r="G16" s="106" t="s">
        <v>206</v>
      </c>
      <c r="H16" s="424">
        <f>SUM('（４）訂單數量構成比'!S11:S41)</f>
        <v>269201</v>
      </c>
      <c r="I16" s="117">
        <f t="shared" si="1"/>
        <v>4.8227053269914638E-2</v>
      </c>
      <c r="J16" s="428">
        <v>4.3692920912114096E-2</v>
      </c>
      <c r="K16" s="117">
        <f t="shared" ref="K16:K23" si="4">IFERROR(I16-J16,"")</f>
        <v>4.5341323578005424E-3</v>
      </c>
      <c r="L16" s="98"/>
    </row>
    <row r="17" spans="1:16" ht="18" customHeight="1">
      <c r="A17" s="106" t="s">
        <v>202</v>
      </c>
      <c r="B17" s="424">
        <f>SUM('（３）業績構成比'!U11:U41)/1000</f>
        <v>2000.0479499999999</v>
      </c>
      <c r="C17" s="117">
        <f t="shared" si="2"/>
        <v>1.1407879625187018E-2</v>
      </c>
      <c r="D17" s="428">
        <v>1.0903808522397734E-2</v>
      </c>
      <c r="E17" s="117">
        <f t="shared" si="3"/>
        <v>5.0407110278928406E-4</v>
      </c>
      <c r="G17" s="106" t="s">
        <v>218</v>
      </c>
      <c r="H17" s="424">
        <f>SUM('（４）訂單數量構成比'!U11:U41)</f>
        <v>66735</v>
      </c>
      <c r="I17" s="117">
        <f t="shared" si="1"/>
        <v>1.1955499422244914E-2</v>
      </c>
      <c r="J17" s="428">
        <v>2.5356763079204283E-2</v>
      </c>
      <c r="K17" s="117">
        <f t="shared" si="4"/>
        <v>-1.3401263656959369E-2</v>
      </c>
      <c r="L17" s="98"/>
    </row>
    <row r="18" spans="1:16" ht="18" customHeight="1">
      <c r="A18" s="106" t="s">
        <v>204</v>
      </c>
      <c r="B18" s="424">
        <f>SUM('（３）業績構成比'!W11:W41)/1000</f>
        <v>8494.2273499999992</v>
      </c>
      <c r="C18" s="117">
        <f t="shared" si="2"/>
        <v>4.8449399984521024E-2</v>
      </c>
      <c r="D18" s="428">
        <v>4.9548361396139648E-2</v>
      </c>
      <c r="E18" s="117">
        <f t="shared" si="3"/>
        <v>-1.0989614116186236E-3</v>
      </c>
      <c r="G18" s="106" t="s">
        <v>203</v>
      </c>
      <c r="H18" s="424">
        <f>SUM('（４）訂單數量構成比'!W11:W41)</f>
        <v>348979</v>
      </c>
      <c r="I18" s="117">
        <f t="shared" si="1"/>
        <v>6.2519191322029044E-2</v>
      </c>
      <c r="J18" s="428">
        <v>4.8683239172804336E-2</v>
      </c>
      <c r="K18" s="117">
        <f t="shared" si="4"/>
        <v>1.3835952149224708E-2</v>
      </c>
      <c r="L18" s="98"/>
    </row>
    <row r="19" spans="1:16" ht="18" customHeight="1">
      <c r="A19" s="106" t="s">
        <v>208</v>
      </c>
      <c r="B19" s="424">
        <f>SUM('（３）業績構成比'!AC11:AC41)/1000</f>
        <v>26281.869180000005</v>
      </c>
      <c r="C19" s="117">
        <f t="shared" si="2"/>
        <v>0.14990660595429861</v>
      </c>
      <c r="D19" s="428">
        <v>0.13432459995236101</v>
      </c>
      <c r="E19" s="117">
        <f t="shared" si="3"/>
        <v>1.5582006001937598E-2</v>
      </c>
      <c r="G19" s="106" t="s">
        <v>207</v>
      </c>
      <c r="H19" s="424">
        <f>SUM('（４）訂單數量構成比'!AC11:AC41)</f>
        <v>489096</v>
      </c>
      <c r="I19" s="117">
        <f t="shared" si="1"/>
        <v>8.7620992663854036E-2</v>
      </c>
      <c r="J19" s="428">
        <v>9.2940901853542271E-2</v>
      </c>
      <c r="K19" s="117">
        <f t="shared" si="4"/>
        <v>-5.319909189688235E-3</v>
      </c>
      <c r="L19" s="98"/>
    </row>
    <row r="20" spans="1:16" ht="18" customHeight="1">
      <c r="A20" s="106" t="s">
        <v>210</v>
      </c>
      <c r="B20" s="424">
        <f>SUM('（３）業績構成比'!AE11:AE41)/1000</f>
        <v>44370.365210000011</v>
      </c>
      <c r="C20" s="117">
        <f t="shared" si="2"/>
        <v>0.25307982503182791</v>
      </c>
      <c r="D20" s="428">
        <v>0.22905816354399502</v>
      </c>
      <c r="E20" s="117">
        <f t="shared" si="3"/>
        <v>2.4021661487832885E-2</v>
      </c>
      <c r="G20" s="106" t="s">
        <v>209</v>
      </c>
      <c r="H20" s="424">
        <f>SUM('（４）訂單數量構成比'!AE11:AE41)</f>
        <v>716143</v>
      </c>
      <c r="I20" s="117">
        <f t="shared" si="1"/>
        <v>0.1282962047313215</v>
      </c>
      <c r="J20" s="428">
        <v>0.11314919999924089</v>
      </c>
      <c r="K20" s="117">
        <f t="shared" si="4"/>
        <v>1.514700473208061E-2</v>
      </c>
      <c r="L20" s="98"/>
    </row>
    <row r="21" spans="1:16" ht="18" customHeight="1">
      <c r="A21" s="106" t="s">
        <v>213</v>
      </c>
      <c r="B21" s="424">
        <f>SUM('（３）業績構成比'!AG11:AG41)/1000</f>
        <v>0</v>
      </c>
      <c r="C21" s="117">
        <f t="shared" si="2"/>
        <v>0</v>
      </c>
      <c r="D21" s="428">
        <v>0</v>
      </c>
      <c r="E21" s="117">
        <f t="shared" si="3"/>
        <v>0</v>
      </c>
      <c r="G21" s="106" t="s">
        <v>219</v>
      </c>
      <c r="H21" s="424">
        <f>SUM('（４）訂單數量構成比'!AG11:AG41)</f>
        <v>0</v>
      </c>
      <c r="I21" s="117">
        <f t="shared" si="1"/>
        <v>0</v>
      </c>
      <c r="J21" s="428">
        <v>0</v>
      </c>
      <c r="K21" s="117">
        <f t="shared" si="4"/>
        <v>0</v>
      </c>
      <c r="L21" s="98"/>
    </row>
    <row r="22" spans="1:16" ht="18" customHeight="1">
      <c r="A22" s="106" t="s">
        <v>214</v>
      </c>
      <c r="B22" s="424">
        <f>SUM('（３）業績構成比'!AI11:AI41)/1000</f>
        <v>29151.31163</v>
      </c>
      <c r="C22" s="117">
        <f t="shared" si="2"/>
        <v>0.16627334059233648</v>
      </c>
      <c r="D22" s="428">
        <v>0.17184921115430482</v>
      </c>
      <c r="E22" s="117">
        <f t="shared" si="3"/>
        <v>-5.5758705619683435E-3</v>
      </c>
      <c r="G22" s="106" t="s">
        <v>220</v>
      </c>
      <c r="H22" s="424">
        <f>SUM('（４）訂單數量構成比'!AI11:AI41)</f>
        <v>768004</v>
      </c>
      <c r="I22" s="117">
        <f t="shared" si="1"/>
        <v>0.13758704395417373</v>
      </c>
      <c r="J22" s="428">
        <v>0.13977856935459076</v>
      </c>
      <c r="K22" s="117">
        <f t="shared" si="4"/>
        <v>-2.1915254004170326E-3</v>
      </c>
      <c r="L22" s="98"/>
    </row>
    <row r="23" spans="1:16" ht="18" customHeight="1">
      <c r="A23" s="106" t="s">
        <v>216</v>
      </c>
      <c r="B23" s="424">
        <f>SUM('（３）業績構成比'!AK11:AK41)/1000</f>
        <v>6247.8833900000009</v>
      </c>
      <c r="C23" s="117">
        <f t="shared" si="2"/>
        <v>3.5636696422865967E-2</v>
      </c>
      <c r="D23" s="428">
        <v>6.925232120309105E-2</v>
      </c>
      <c r="E23" s="117">
        <f t="shared" si="3"/>
        <v>-3.3615624780225083E-2</v>
      </c>
      <c r="G23" s="106" t="s">
        <v>215</v>
      </c>
      <c r="H23" s="424">
        <f>SUM('（４）訂單數量構成比'!AK11:AK41)</f>
        <v>212136</v>
      </c>
      <c r="I23" s="117">
        <f t="shared" si="1"/>
        <v>3.8003923360116092E-2</v>
      </c>
      <c r="J23" s="428">
        <v>5.861595725232175E-2</v>
      </c>
      <c r="K23" s="117">
        <f t="shared" si="4"/>
        <v>-2.0612033892205658E-2</v>
      </c>
      <c r="L23" s="98"/>
    </row>
    <row r="24" spans="1:16" ht="15.75" customHeight="1">
      <c r="C24" s="111">
        <f>SUM(C15:C23)</f>
        <v>1.0000000000000002</v>
      </c>
      <c r="D24" s="111">
        <f t="shared" ref="D24" si="5">SUM(D15:D23)</f>
        <v>1</v>
      </c>
      <c r="I24" s="111">
        <f t="shared" ref="I24:J24" si="6">SUM(I15:I23)</f>
        <v>1</v>
      </c>
      <c r="J24" s="111">
        <f t="shared" si="6"/>
        <v>1.0000000000000002</v>
      </c>
      <c r="L24" s="98"/>
    </row>
    <row r="25" spans="1:16" ht="9.6" customHeight="1">
      <c r="A25" s="112"/>
      <c r="L25" s="98"/>
    </row>
    <row r="26" spans="1:16" ht="15.75" customHeight="1">
      <c r="A26" s="109" t="s">
        <v>179</v>
      </c>
      <c r="L26" s="98"/>
    </row>
    <row r="27" spans="1:16" ht="15.75" customHeight="1">
      <c r="A27" s="106" t="s">
        <v>171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217</v>
      </c>
      <c r="B28" s="429">
        <f>'（５-1）品群別人時生產性(18℃-飯糰)'!C1</f>
        <v>782.5286838234781</v>
      </c>
      <c r="C28" s="430">
        <v>771.87393132465104</v>
      </c>
      <c r="D28" s="221">
        <f t="shared" ref="D28:D36" si="7">B28-C28</f>
        <v>10.654752498827065</v>
      </c>
      <c r="E28" s="406">
        <f>'數值累積總表(月)'!P37</f>
        <v>768.0792161684318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205</v>
      </c>
      <c r="B29" s="429">
        <f>'（５-2）品群別人時生產性(18℃-壽司手卷)'!C1</f>
        <v>295.72183077104819</v>
      </c>
      <c r="C29" s="430">
        <v>296.14735806418179</v>
      </c>
      <c r="D29" s="221">
        <f t="shared" si="7"/>
        <v>-0.42552729313359805</v>
      </c>
      <c r="E29" s="406">
        <f>'數值累積總表(月)'!P38</f>
        <v>301.94851905567606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218</v>
      </c>
      <c r="B30" s="429">
        <f>'（５-3）品群別人時生產性(4℃-飯糰)'!C1</f>
        <v>119.39248251748248</v>
      </c>
      <c r="C30" s="430">
        <v>117.05022912035081</v>
      </c>
      <c r="D30" s="221">
        <f t="shared" si="7"/>
        <v>2.342253397131671</v>
      </c>
      <c r="E30" s="406">
        <f>'數值累積總表(月)'!P39</f>
        <v>211.0768588209209</v>
      </c>
      <c r="L30" s="98"/>
    </row>
    <row r="31" spans="1:16" ht="18" customHeight="1">
      <c r="A31" s="106" t="s">
        <v>203</v>
      </c>
      <c r="B31" s="429">
        <f>'（５-4）品群別人時生產性(4℃-壽司手卷)'!C1</f>
        <v>448.4207728009294</v>
      </c>
      <c r="C31" s="430">
        <v>437.64998264612387</v>
      </c>
      <c r="D31" s="221">
        <f t="shared" si="7"/>
        <v>10.770790154805525</v>
      </c>
      <c r="E31" s="406">
        <f>'數值累積總表(月)'!P40</f>
        <v>442.23934971895699</v>
      </c>
      <c r="L31" s="98"/>
    </row>
    <row r="32" spans="1:16" ht="18" customHeight="1">
      <c r="A32" s="106" t="s">
        <v>207</v>
      </c>
      <c r="B32" s="429">
        <f>'（５-5）品群別人時生產性(微波主食) '!C1</f>
        <v>84.887087996889008</v>
      </c>
      <c r="C32" s="430">
        <v>84.954232333344365</v>
      </c>
      <c r="D32" s="221">
        <f t="shared" si="7"/>
        <v>-6.7144336455356779E-2</v>
      </c>
      <c r="E32" s="406">
        <f>'數值累積總表(月)'!P41</f>
        <v>82.790920799096796</v>
      </c>
      <c r="L32" s="98"/>
    </row>
    <row r="33" spans="1:12" ht="18" customHeight="1">
      <c r="A33" s="106" t="s">
        <v>209</v>
      </c>
      <c r="B33" s="429">
        <f>'（５-6）品群別人時生產性(便當)'!C1</f>
        <v>79.704121168901651</v>
      </c>
      <c r="C33" s="430">
        <v>79.472250627696354</v>
      </c>
      <c r="D33" s="221">
        <f t="shared" si="7"/>
        <v>0.23187054120529638</v>
      </c>
      <c r="E33" s="406">
        <f>'數值累積總表(月)'!P42</f>
        <v>78.80738106285888</v>
      </c>
      <c r="L33" s="98"/>
    </row>
    <row r="34" spans="1:12" ht="18" customHeight="1">
      <c r="A34" s="106" t="s">
        <v>219</v>
      </c>
      <c r="B34" s="429">
        <f>'（５-7）品群別人時生產性(熱食義麵) '!C1</f>
        <v>0</v>
      </c>
      <c r="C34" s="430">
        <v>0</v>
      </c>
      <c r="D34" s="221">
        <f t="shared" si="7"/>
        <v>0</v>
      </c>
      <c r="E34" s="406">
        <f>'數值累積總表(月)'!P43</f>
        <v>74.600054218307051</v>
      </c>
      <c r="L34" s="98"/>
    </row>
    <row r="35" spans="1:12" ht="18" customHeight="1">
      <c r="A35" s="106" t="s">
        <v>220</v>
      </c>
      <c r="B35" s="429">
        <f>'（５-8）品群別人時生產性(季節調理麵) '!C1</f>
        <v>158.12481452190781</v>
      </c>
      <c r="C35" s="430">
        <v>155.73662529229455</v>
      </c>
      <c r="D35" s="221">
        <f t="shared" si="7"/>
        <v>2.3881892296132605</v>
      </c>
      <c r="E35" s="406">
        <f>'數值累積總表(月)'!P44</f>
        <v>135.6675616008032</v>
      </c>
      <c r="L35" s="98"/>
    </row>
    <row r="36" spans="1:12" ht="18" customHeight="1">
      <c r="A36" s="102" t="s">
        <v>215</v>
      </c>
      <c r="B36" s="429">
        <f>'（５-9）品群別人時生產性(微波小吃)'!C1</f>
        <v>102.5938619423931</v>
      </c>
      <c r="C36" s="430">
        <v>117.58780675275712</v>
      </c>
      <c r="D36" s="221">
        <f t="shared" si="7"/>
        <v>-14.993944810364013</v>
      </c>
      <c r="E36" s="406">
        <f>'數值累積總表(月)'!P45</f>
        <v>93.46381948035193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I15" sqref="I15:I23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18" t="s">
        <v>338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98"/>
    </row>
    <row r="2" spans="1:16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</row>
    <row r="3" spans="1:16" ht="21.6" customHeight="1">
      <c r="A3" s="113" t="s">
        <v>304</v>
      </c>
      <c r="B3" s="114">
        <v>8</v>
      </c>
      <c r="C3" s="156" t="s">
        <v>305</v>
      </c>
      <c r="D3" s="114" t="s">
        <v>763</v>
      </c>
      <c r="E3" s="113" t="s">
        <v>20</v>
      </c>
      <c r="F3" s="520" t="s">
        <v>337</v>
      </c>
      <c r="G3" s="521"/>
      <c r="H3" s="99"/>
      <c r="I3" s="108"/>
      <c r="J3" s="99"/>
      <c r="K3" s="99"/>
      <c r="M3" s="99"/>
      <c r="N3" s="99"/>
    </row>
    <row r="4" spans="1:16" ht="15.75" customHeight="1">
      <c r="A4" s="109" t="s">
        <v>380</v>
      </c>
      <c r="E4" s="101" t="s">
        <v>386</v>
      </c>
      <c r="G4" s="110" t="s">
        <v>71</v>
      </c>
      <c r="L4" s="98"/>
    </row>
    <row r="5" spans="1:16" s="103" customFormat="1" ht="15.75" customHeight="1">
      <c r="A5" s="120" t="s">
        <v>180</v>
      </c>
      <c r="B5" s="120" t="s">
        <v>307</v>
      </c>
      <c r="C5" s="120" t="s">
        <v>309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306</v>
      </c>
      <c r="J5" s="115" t="s">
        <v>308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'（１）收支狀況'!G33/1000</f>
        <v>36749.311969999995</v>
      </c>
      <c r="C6" s="116">
        <v>39537.269799999995</v>
      </c>
      <c r="D6" s="116">
        <f>B6-C6</f>
        <v>-2787.9578299999994</v>
      </c>
      <c r="E6" s="215">
        <f>'（１）收支狀況'!H9:H9/1000</f>
        <v>175321.62117</v>
      </c>
      <c r="G6" s="216" t="s">
        <v>382</v>
      </c>
      <c r="H6" s="514">
        <v>500.4</v>
      </c>
      <c r="I6" s="217">
        <f>'（２）ＫＰＩ達成進度'!G33</f>
        <v>451.70211489829472</v>
      </c>
      <c r="J6" s="217">
        <v>453.22646308681612</v>
      </c>
      <c r="K6" s="217">
        <f>'（２）ＫＰＩ達成進度'!H9</f>
        <v>448.73865593082098</v>
      </c>
      <c r="L6" s="100" t="s">
        <v>178</v>
      </c>
    </row>
    <row r="7" spans="1:16" ht="18" customHeight="1">
      <c r="A7" s="106" t="s">
        <v>25</v>
      </c>
      <c r="B7" s="116">
        <f>'（１）收支狀況'!J33</f>
        <v>1138303</v>
      </c>
      <c r="C7" s="116">
        <v>1252535</v>
      </c>
      <c r="D7" s="116">
        <f t="shared" ref="D7:D11" si="0">B7-C7</f>
        <v>-114232</v>
      </c>
      <c r="E7" s="215">
        <f>'（１）收支狀況'!K9:K9</f>
        <v>5581950</v>
      </c>
      <c r="G7" s="216" t="s">
        <v>383</v>
      </c>
      <c r="H7" s="218">
        <v>0.8</v>
      </c>
      <c r="I7" s="117">
        <f>'（２）ＫＰＩ達成進度'!J33</f>
        <v>0.90268208412928608</v>
      </c>
      <c r="J7" s="117">
        <v>0.90572834349883313</v>
      </c>
      <c r="K7" s="218">
        <f>'（２）ＫＰＩ達成進度'!K9</f>
        <v>0.89675990393849114</v>
      </c>
      <c r="L7" s="100" t="s">
        <v>4</v>
      </c>
    </row>
    <row r="8" spans="1:16" ht="18" customHeight="1">
      <c r="A8" s="106" t="s">
        <v>381</v>
      </c>
      <c r="B8" s="116">
        <f>'（１）收支狀況'!M33/1000</f>
        <v>24963.663615531757</v>
      </c>
      <c r="C8" s="116">
        <v>27086.185165090727</v>
      </c>
      <c r="D8" s="116">
        <f>B8-C8</f>
        <v>-2122.5215495589691</v>
      </c>
      <c r="E8" s="215">
        <f>'（１）收支狀況'!N9:N9/1000</f>
        <v>119419.26352012459</v>
      </c>
      <c r="G8" s="216" t="s">
        <v>183</v>
      </c>
      <c r="H8" s="117">
        <v>2.5000000000000001E-3</v>
      </c>
      <c r="I8" s="219">
        <f>'（２）ＫＰＩ達成進度'!M33</f>
        <v>2.0090437528970531E-3</v>
      </c>
      <c r="J8" s="219">
        <v>2.0093126637172574E-3</v>
      </c>
      <c r="K8" s="219">
        <f>'（２）ＫＰＩ達成進度'!N9</f>
        <v>2.0066949915476767E-3</v>
      </c>
      <c r="L8" s="100" t="s">
        <v>55</v>
      </c>
    </row>
    <row r="9" spans="1:16" ht="18" customHeight="1">
      <c r="A9" s="106" t="s">
        <v>6</v>
      </c>
      <c r="B9" s="218">
        <f>'（１）收支狀況'!P33</f>
        <v>0.67929608140448017</v>
      </c>
      <c r="C9" s="218">
        <v>0.68507980703034599</v>
      </c>
      <c r="D9" s="218">
        <f t="shared" si="0"/>
        <v>-5.783725625865821E-3</v>
      </c>
      <c r="E9" s="218">
        <f>'（１）收支狀況'!Q9</f>
        <v>0.68114396115656561</v>
      </c>
      <c r="G9" s="216" t="s">
        <v>184</v>
      </c>
      <c r="H9" s="515">
        <v>2.5000000000000001E-3</v>
      </c>
      <c r="I9" s="117">
        <f>'（２）ＫＰＩ達成進度'!P33</f>
        <v>6.0132432682844092E-3</v>
      </c>
      <c r="J9" s="117">
        <v>6.0171883073483054E-3</v>
      </c>
      <c r="K9" s="117">
        <f>'（２）ＫＰＩ達成進度'!Q9</f>
        <v>6.0131110259086448E-3</v>
      </c>
      <c r="L9" s="100" t="s">
        <v>98</v>
      </c>
    </row>
    <row r="10" spans="1:16" ht="18" customHeight="1">
      <c r="A10" s="106" t="s">
        <v>64</v>
      </c>
      <c r="B10" s="116">
        <f>'（１）收支狀況'!S33/1000</f>
        <v>5571.3564319999996</v>
      </c>
      <c r="C10" s="116">
        <v>5751.7538040000009</v>
      </c>
      <c r="D10" s="116">
        <f t="shared" si="0"/>
        <v>-180.39737200000127</v>
      </c>
      <c r="E10" s="215">
        <f>'（１）收支狀況'!T9/1000</f>
        <v>25354.549750000002</v>
      </c>
      <c r="G10" s="216" t="s">
        <v>384</v>
      </c>
      <c r="H10" s="218">
        <v>0.8</v>
      </c>
      <c r="I10" s="218">
        <f>'（２）ＫＰＩ達成進度'!S33</f>
        <v>0.90000000000000013</v>
      </c>
      <c r="J10" s="218">
        <v>0.90000000000000013</v>
      </c>
      <c r="K10" s="218">
        <f>'（２）ＫＰＩ達成進度'!T9</f>
        <v>0.89999999999999947</v>
      </c>
      <c r="L10" s="100" t="s">
        <v>7</v>
      </c>
      <c r="M10" s="309"/>
      <c r="N10" s="309"/>
      <c r="O10" s="309"/>
      <c r="P10" s="309"/>
    </row>
    <row r="11" spans="1:16" ht="18" customHeight="1">
      <c r="A11" s="106" t="s">
        <v>65</v>
      </c>
      <c r="B11" s="218">
        <f>'（１）收支狀況'!V33</f>
        <v>0.15160437388727527</v>
      </c>
      <c r="C11" s="218">
        <v>0.14547675732531234</v>
      </c>
      <c r="D11" s="218">
        <f t="shared" si="0"/>
        <v>6.127616561962923E-3</v>
      </c>
      <c r="E11" s="218">
        <f>'（１）收支狀況'!W9</f>
        <v>0.14461735854823665</v>
      </c>
      <c r="G11" s="216" t="s">
        <v>385</v>
      </c>
      <c r="H11" s="218">
        <v>1</v>
      </c>
      <c r="I11" s="306">
        <f>35/52*100%</f>
        <v>0.67307692307692313</v>
      </c>
      <c r="J11" s="306">
        <v>0.65384615384615385</v>
      </c>
      <c r="K11" s="306">
        <f>'（２）ＫＰＩ達成進度'!W9</f>
        <v>0.63957816377171217</v>
      </c>
      <c r="L11" s="100" t="s">
        <v>62</v>
      </c>
      <c r="M11" s="310"/>
      <c r="N11" s="310"/>
      <c r="O11" s="310"/>
      <c r="P11" s="310"/>
    </row>
    <row r="12" spans="1:16" ht="9.6" customHeight="1">
      <c r="L12" s="98"/>
    </row>
    <row r="13" spans="1:16" ht="15.75" customHeight="1">
      <c r="A13" s="109" t="s">
        <v>32</v>
      </c>
      <c r="E13" s="308" t="s">
        <v>23</v>
      </c>
      <c r="G13" s="109" t="s">
        <v>33</v>
      </c>
      <c r="K13" s="308" t="s">
        <v>401</v>
      </c>
      <c r="L13" s="98"/>
    </row>
    <row r="14" spans="1:16" s="105" customFormat="1" ht="14.25">
      <c r="A14" s="119"/>
      <c r="B14" s="157" t="s">
        <v>307</v>
      </c>
      <c r="C14" s="119" t="s">
        <v>66</v>
      </c>
      <c r="D14" s="157" t="s">
        <v>310</v>
      </c>
      <c r="E14" s="119" t="s">
        <v>68</v>
      </c>
      <c r="G14" s="119"/>
      <c r="H14" s="157" t="s">
        <v>307</v>
      </c>
      <c r="I14" s="119" t="s">
        <v>66</v>
      </c>
      <c r="J14" s="157" t="s">
        <v>310</v>
      </c>
      <c r="K14" s="119" t="s">
        <v>68</v>
      </c>
    </row>
    <row r="15" spans="1:16" ht="18" customHeight="1">
      <c r="A15" s="106" t="s">
        <v>358</v>
      </c>
      <c r="B15" s="116">
        <f>SUM('（３）業績構成比'!M35:M41)/1000</f>
        <v>9678.1872600000006</v>
      </c>
      <c r="C15" s="218">
        <f>IFERROR(B15/$B$6,"")</f>
        <v>0.26335696482972826</v>
      </c>
      <c r="D15" s="218">
        <v>0.2979849696146698</v>
      </c>
      <c r="E15" s="218">
        <f>IFERROR(C15-D15,"")</f>
        <v>-3.4628004784941546E-2</v>
      </c>
      <c r="G15" s="106" t="s">
        <v>359</v>
      </c>
      <c r="H15" s="116">
        <f>SUM('（４）訂單數量構成比'!M35:M41)</f>
        <v>512777</v>
      </c>
      <c r="I15" s="218">
        <f>IFERROR(H15/$B$7,"")</f>
        <v>0.45047496141185606</v>
      </c>
      <c r="J15" s="218">
        <v>0.50358672611942978</v>
      </c>
      <c r="K15" s="218">
        <f t="shared" ref="K15:K23" si="1">IFERROR(I15-J15,"")</f>
        <v>-5.3111764707573728E-2</v>
      </c>
      <c r="L15" s="98"/>
    </row>
    <row r="16" spans="1:16" ht="18" customHeight="1">
      <c r="A16" s="106" t="s">
        <v>206</v>
      </c>
      <c r="B16" s="116">
        <f>SUM('（３）業績構成比'!S35:S41)/1000</f>
        <v>1350.7705100000001</v>
      </c>
      <c r="C16" s="218">
        <f t="shared" ref="C16:C23" si="2">IFERROR(B16/$B$6,"")</f>
        <v>3.6756348284906412E-2</v>
      </c>
      <c r="D16" s="218">
        <v>4.4778672603235752E-2</v>
      </c>
      <c r="E16" s="218">
        <f t="shared" ref="E16:E23" si="3">IFERROR(C16-D16,"")</f>
        <v>-8.0223243183293394E-3</v>
      </c>
      <c r="G16" s="106" t="s">
        <v>233</v>
      </c>
      <c r="H16" s="116">
        <f>SUM('（４）訂單數量構成比'!S35:S41)</f>
        <v>46718</v>
      </c>
      <c r="I16" s="218">
        <f>IFERROR(H16/$B$7,"")</f>
        <v>4.1041796428543192E-2</v>
      </c>
      <c r="J16" s="218">
        <v>4.8872885787622701E-2</v>
      </c>
      <c r="K16" s="218">
        <f t="shared" si="1"/>
        <v>-7.8310893590795086E-3</v>
      </c>
      <c r="L16" s="98"/>
    </row>
    <row r="17" spans="1:17" ht="18" customHeight="1">
      <c r="A17" s="106" t="s">
        <v>202</v>
      </c>
      <c r="B17" s="116">
        <f>SUM('（３）業績構成比'!U35:U41)/1000</f>
        <v>441.81774000000001</v>
      </c>
      <c r="C17" s="218">
        <f t="shared" si="2"/>
        <v>1.2022476512231695E-2</v>
      </c>
      <c r="D17" s="218">
        <v>1.115424894614246E-2</v>
      </c>
      <c r="E17" s="218">
        <f t="shared" si="3"/>
        <v>8.6822756608923544E-4</v>
      </c>
      <c r="G17" s="106" t="s">
        <v>218</v>
      </c>
      <c r="H17" s="116">
        <f>SUM('（４）訂單數量構成比'!U35:U41)</f>
        <v>14742</v>
      </c>
      <c r="I17" s="218">
        <f t="shared" ref="I17:I23" si="4">IFERROR(H17/$B$7,"")</f>
        <v>1.2950857548473473E-2</v>
      </c>
      <c r="J17" s="218">
        <v>1.1748174701704943E-2</v>
      </c>
      <c r="K17" s="218">
        <f t="shared" si="1"/>
        <v>1.2026828467685304E-3</v>
      </c>
      <c r="L17" s="98"/>
    </row>
    <row r="18" spans="1:17" ht="18" customHeight="1">
      <c r="A18" s="106" t="s">
        <v>204</v>
      </c>
      <c r="B18" s="116">
        <f>SUM('（３）業績構成比'!W35:W41)/1000</f>
        <v>3059.23209</v>
      </c>
      <c r="C18" s="218">
        <f t="shared" si="2"/>
        <v>8.3245969135350872E-2</v>
      </c>
      <c r="D18" s="218">
        <v>3.5831888422401897E-2</v>
      </c>
      <c r="E18" s="218">
        <f t="shared" si="3"/>
        <v>4.7414080712948975E-2</v>
      </c>
      <c r="G18" s="106" t="s">
        <v>203</v>
      </c>
      <c r="H18" s="116">
        <f>SUM('（４）訂單數量構成比'!W35:W41)</f>
        <v>115763</v>
      </c>
      <c r="I18" s="218">
        <f t="shared" si="4"/>
        <v>0.1016978783329219</v>
      </c>
      <c r="J18" s="218">
        <v>4.9038150630521304E-2</v>
      </c>
      <c r="K18" s="218">
        <f t="shared" si="1"/>
        <v>5.2659727702400599E-2</v>
      </c>
      <c r="L18" s="98"/>
    </row>
    <row r="19" spans="1:17" ht="18" customHeight="1">
      <c r="A19" s="106" t="s">
        <v>208</v>
      </c>
      <c r="B19" s="116">
        <f>SUM('（３）業績構成比'!AC35:AC41)/1000</f>
        <v>5885.7607900000003</v>
      </c>
      <c r="C19" s="218">
        <f t="shared" si="2"/>
        <v>0.16015975468615015</v>
      </c>
      <c r="D19" s="218">
        <v>0.14497125620950188</v>
      </c>
      <c r="E19" s="218">
        <f t="shared" si="3"/>
        <v>1.5188498476648271E-2</v>
      </c>
      <c r="G19" s="106" t="s">
        <v>207</v>
      </c>
      <c r="H19" s="116">
        <f>SUM('（４）訂單數量構成比'!AC35:AC41)</f>
        <v>109168</v>
      </c>
      <c r="I19" s="218">
        <f t="shared" si="4"/>
        <v>9.5904166113943298E-2</v>
      </c>
      <c r="J19" s="218">
        <v>8.5138539042821162E-2</v>
      </c>
      <c r="K19" s="218">
        <f t="shared" si="1"/>
        <v>1.0765627071122136E-2</v>
      </c>
      <c r="L19" s="98"/>
    </row>
    <row r="20" spans="1:17" ht="18" customHeight="1">
      <c r="A20" s="106" t="s">
        <v>210</v>
      </c>
      <c r="B20" s="116">
        <f>SUM('（３）業績構成比'!AE35:AE41)/1000</f>
        <v>9897.9553999999989</v>
      </c>
      <c r="C20" s="218">
        <f t="shared" si="2"/>
        <v>0.2693371622325913</v>
      </c>
      <c r="D20" s="218">
        <v>0.28794555915441594</v>
      </c>
      <c r="E20" s="218">
        <f t="shared" si="3"/>
        <v>-1.8608396921824644E-2</v>
      </c>
      <c r="G20" s="106" t="s">
        <v>209</v>
      </c>
      <c r="H20" s="116">
        <f>SUM('（４）訂單數量構成比'!AE35:AE41)</f>
        <v>160069</v>
      </c>
      <c r="I20" s="218">
        <f t="shared" si="4"/>
        <v>0.14062073103558542</v>
      </c>
      <c r="J20" s="218">
        <v>0.14495163807797787</v>
      </c>
      <c r="K20" s="218">
        <f t="shared" si="1"/>
        <v>-4.3309070423924456E-3</v>
      </c>
      <c r="L20" s="98"/>
    </row>
    <row r="21" spans="1:17" ht="18" customHeight="1">
      <c r="A21" s="106" t="s">
        <v>213</v>
      </c>
      <c r="B21" s="116">
        <f>SUM('（３）業績構成比'!AG35:AG41)/1000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219</v>
      </c>
      <c r="H21" s="116">
        <f>SUM('（４）訂單數量構成比'!AG35:AG41)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214</v>
      </c>
      <c r="B22" s="116">
        <f>SUM('（３）業績構成比'!AI35:AI41)/1000</f>
        <v>5520.0142999999998</v>
      </c>
      <c r="C22" s="218">
        <f t="shared" si="2"/>
        <v>0.15020728291474461</v>
      </c>
      <c r="D22" s="218">
        <v>0.15417559256962149</v>
      </c>
      <c r="E22" s="218">
        <f t="shared" si="3"/>
        <v>-3.9683096548768781E-3</v>
      </c>
      <c r="G22" s="106" t="s">
        <v>220</v>
      </c>
      <c r="H22" s="116">
        <f>SUM('（４）訂單數量構成比'!AI35:AI41)</f>
        <v>145233</v>
      </c>
      <c r="I22" s="218">
        <f t="shared" si="4"/>
        <v>0.12758729441985131</v>
      </c>
      <c r="J22" s="218">
        <v>0.12943909751024921</v>
      </c>
      <c r="K22" s="218">
        <f t="shared" si="1"/>
        <v>-1.8518030903978966E-3</v>
      </c>
      <c r="L22" s="98"/>
    </row>
    <row r="23" spans="1:17" ht="18" customHeight="1">
      <c r="A23" s="106" t="s">
        <v>216</v>
      </c>
      <c r="B23" s="116">
        <f>SUM('（３）業績構成比'!AK35:AK41)/1000</f>
        <v>915.57388000000003</v>
      </c>
      <c r="C23" s="218">
        <f t="shared" si="2"/>
        <v>2.4914041404296806E-2</v>
      </c>
      <c r="D23" s="218">
        <v>2.3157812480010947E-2</v>
      </c>
      <c r="E23" s="218">
        <f t="shared" si="3"/>
        <v>1.7562289242858582E-3</v>
      </c>
      <c r="G23" s="106" t="s">
        <v>215</v>
      </c>
      <c r="H23" s="116">
        <f>SUM('（４）訂單數量構成比'!AK35:AK41)</f>
        <v>33833</v>
      </c>
      <c r="I23" s="218">
        <f t="shared" si="4"/>
        <v>2.9722314708825331E-2</v>
      </c>
      <c r="J23" s="218">
        <v>2.7224788129673022E-2</v>
      </c>
      <c r="K23" s="218">
        <f t="shared" si="1"/>
        <v>2.4975265791523094E-3</v>
      </c>
      <c r="L23" s="98"/>
    </row>
    <row r="24" spans="1:17" ht="15.75" customHeight="1">
      <c r="B24" s="101"/>
      <c r="C24" s="111">
        <f>SUM(C15:C23)</f>
        <v>1.0000000000000002</v>
      </c>
      <c r="D24" s="111">
        <f>SUM(D15:D23)</f>
        <v>1.0000000000000002</v>
      </c>
      <c r="I24" s="111">
        <f>SUM(I15:I23)</f>
        <v>0.99999999999999989</v>
      </c>
      <c r="J24" s="111">
        <f>SUM(J15:J23)</f>
        <v>1</v>
      </c>
      <c r="L24" s="98"/>
    </row>
    <row r="25" spans="1:17" ht="9.6" customHeight="1">
      <c r="A25" s="112"/>
      <c r="L25" s="98"/>
    </row>
    <row r="26" spans="1:17" ht="15.75" customHeight="1">
      <c r="A26" s="110" t="s">
        <v>592</v>
      </c>
      <c r="L26" s="98"/>
    </row>
    <row r="27" spans="1:17" ht="15.75" customHeight="1">
      <c r="A27" s="106" t="s">
        <v>171</v>
      </c>
      <c r="B27" s="158" t="s">
        <v>307</v>
      </c>
      <c r="C27" s="158" t="s">
        <v>309</v>
      </c>
      <c r="D27" s="106" t="s">
        <v>2</v>
      </c>
      <c r="E27" s="106" t="s">
        <v>3</v>
      </c>
      <c r="L27" s="98"/>
    </row>
    <row r="28" spans="1:17" ht="18" customHeight="1">
      <c r="A28" s="106" t="s">
        <v>359</v>
      </c>
      <c r="B28" s="209">
        <f>'（５-1）品群別人時生產性(18℃-飯糰)'!L175</f>
        <v>784.91185488547501</v>
      </c>
      <c r="C28" s="209">
        <v>779.44928705475968</v>
      </c>
      <c r="D28" s="220">
        <f>B28-C28</f>
        <v>5.4625678307153294</v>
      </c>
      <c r="E28" s="221">
        <f>'（５-1）品群別人時生產性(18℃-飯糰)'!C1</f>
        <v>782.5286838234781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205</v>
      </c>
      <c r="B29" s="209">
        <f>'（５-2）品群別人時生產性(18℃-壽司手卷)'!L87</f>
        <v>295.74145034041237</v>
      </c>
      <c r="C29" s="209">
        <v>295.7399973498712</v>
      </c>
      <c r="D29" s="220">
        <f>B29-C29</f>
        <v>1.4529905411677646E-3</v>
      </c>
      <c r="E29" s="221">
        <f>'（５-2）品群別人時生產性(18℃-壽司手卷)'!C1</f>
        <v>295.72183077104819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218</v>
      </c>
      <c r="B30" s="209">
        <f>'（５-3）品群別人時生產性(4℃-飯糰)'!L87</f>
        <v>119.39248251748248</v>
      </c>
      <c r="C30" s="209">
        <v>119.39248251748248</v>
      </c>
      <c r="D30" s="220">
        <f>B30-C30</f>
        <v>0</v>
      </c>
      <c r="E30" s="221">
        <f>'（５-3）品群別人時生產性(4℃-飯糰)'!C1</f>
        <v>119.39248251748248</v>
      </c>
      <c r="L30" s="98"/>
    </row>
    <row r="31" spans="1:17" ht="18" customHeight="1">
      <c r="A31" s="106" t="s">
        <v>203</v>
      </c>
      <c r="B31" s="209">
        <f>'（５-4）品群別人時生產性(4℃-壽司手卷)'!L87</f>
        <v>452.58861480177103</v>
      </c>
      <c r="C31" s="209">
        <v>460.72330415785461</v>
      </c>
      <c r="D31" s="220">
        <f>B31-C31</f>
        <v>-8.1346893560835838</v>
      </c>
      <c r="E31" s="221">
        <f>'（５-4）品群別人時生產性(4℃-壽司手卷)'!C1</f>
        <v>448.4207728009294</v>
      </c>
      <c r="L31" s="98"/>
    </row>
    <row r="32" spans="1:17" ht="18" customHeight="1">
      <c r="A32" s="106" t="s">
        <v>208</v>
      </c>
      <c r="B32" s="209">
        <f>'（５-5）品群別人時生產性(微波主食) '!L87</f>
        <v>84.953502597504084</v>
      </c>
      <c r="C32" s="209">
        <v>84.909150493339126</v>
      </c>
      <c r="D32" s="220">
        <f t="shared" ref="D32:D36" si="5">B32-C32</f>
        <v>4.4352104164957495E-2</v>
      </c>
      <c r="E32" s="221">
        <f>'（５-5）品群別人時生產性(微波主食) '!C1</f>
        <v>84.887087996889008</v>
      </c>
      <c r="L32" s="98"/>
    </row>
    <row r="33" spans="1:12" ht="18" customHeight="1">
      <c r="A33" s="106" t="s">
        <v>209</v>
      </c>
      <c r="B33" s="209">
        <f>'（５-6）品群別人時生產性(便當)'!L87</f>
        <v>80.0581520479505</v>
      </c>
      <c r="C33" s="209">
        <v>78.664488425164365</v>
      </c>
      <c r="D33" s="220">
        <f t="shared" si="5"/>
        <v>1.3936636227861356</v>
      </c>
      <c r="E33" s="221">
        <f>'（５-6）品群別人時生產性(便當)'!C1</f>
        <v>79.704121168901651</v>
      </c>
      <c r="L33" s="98"/>
    </row>
    <row r="34" spans="1:12" ht="18" customHeight="1">
      <c r="A34" s="106" t="s">
        <v>219</v>
      </c>
      <c r="B34" s="209">
        <f>'（５-7）品群別人時生產性(熱食義麵) '!L87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220</v>
      </c>
      <c r="B35" s="209">
        <f>'（５-8）品群別人時生產性(季節調理麵) '!L87</f>
        <v>162.29407598337048</v>
      </c>
      <c r="C35" s="209">
        <v>160.80443802187071</v>
      </c>
      <c r="D35" s="220">
        <f t="shared" si="5"/>
        <v>1.489637961499767</v>
      </c>
      <c r="E35" s="221">
        <f>'（５-8）品群別人時生產性(季節調理麵) '!C1</f>
        <v>158.12481452190781</v>
      </c>
      <c r="L35" s="98"/>
    </row>
    <row r="36" spans="1:12" ht="18" customHeight="1">
      <c r="A36" s="102" t="s">
        <v>215</v>
      </c>
      <c r="B36" s="209">
        <f>'（５-9）品群別人時生產性(微波小吃)'!L87</f>
        <v>89.167635232135822</v>
      </c>
      <c r="C36" s="209">
        <v>89.174367447289043</v>
      </c>
      <c r="D36" s="220">
        <f t="shared" si="5"/>
        <v>-6.7322151532209773E-3</v>
      </c>
      <c r="E36" s="222">
        <f>'（５-9）品群別人時生產性(微波小吃)'!C1</f>
        <v>102.5938619423931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39"/>
  <sheetViews>
    <sheetView topLeftCell="G1" zoomScale="80" zoomScaleNormal="80" workbookViewId="0">
      <selection activeCell="K9" sqref="K9:K39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31" t="s">
        <v>126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</row>
    <row r="3" spans="2:23" s="77" customFormat="1" ht="23.45" customHeight="1">
      <c r="B3" s="535" t="s">
        <v>122</v>
      </c>
      <c r="C3" s="536" t="s">
        <v>119</v>
      </c>
      <c r="D3" s="537" t="s">
        <v>105</v>
      </c>
      <c r="E3" s="537"/>
      <c r="F3" s="534" t="s">
        <v>123</v>
      </c>
      <c r="G3" s="534"/>
      <c r="H3" s="534"/>
      <c r="I3" s="532" t="s">
        <v>124</v>
      </c>
      <c r="J3" s="532"/>
      <c r="K3" s="532"/>
      <c r="L3" s="533" t="s">
        <v>125</v>
      </c>
      <c r="M3" s="533"/>
      <c r="N3" s="533"/>
      <c r="O3" s="530" t="s">
        <v>127</v>
      </c>
      <c r="P3" s="530"/>
      <c r="Q3" s="530"/>
      <c r="R3" s="538" t="s">
        <v>128</v>
      </c>
      <c r="S3" s="538"/>
      <c r="T3" s="538"/>
      <c r="U3" s="530" t="s">
        <v>129</v>
      </c>
      <c r="V3" s="530"/>
      <c r="W3" s="530"/>
    </row>
    <row r="4" spans="2:23" s="77" customFormat="1" ht="23.45" customHeight="1">
      <c r="B4" s="535"/>
      <c r="C4" s="536"/>
      <c r="D4" s="537"/>
      <c r="E4" s="537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39">
        <f>D6+7</f>
        <v>46239</v>
      </c>
      <c r="C5" s="545"/>
      <c r="D5" s="80">
        <v>46231</v>
      </c>
      <c r="E5" s="80" t="s">
        <v>118</v>
      </c>
      <c r="F5" s="163">
        <v>6626056.8699999992</v>
      </c>
      <c r="G5" s="540">
        <f>SUM(F5:F11)</f>
        <v>42486866.159999996</v>
      </c>
      <c r="H5" s="540"/>
      <c r="I5" s="213">
        <v>213264</v>
      </c>
      <c r="J5" s="541">
        <f t="shared" ref="J5" si="0">SUM(I5:I11)</f>
        <v>1361947</v>
      </c>
      <c r="K5" s="541"/>
      <c r="L5" s="163">
        <v>4366639.7871946385</v>
      </c>
      <c r="M5" s="540">
        <f t="shared" ref="M5" si="1">SUM(L5:L11)</f>
        <v>28602573.767007634</v>
      </c>
      <c r="N5" s="540"/>
      <c r="O5" s="153">
        <f t="shared" ref="O5:O11" si="2">L5/F5</f>
        <v>0.65901030927835047</v>
      </c>
      <c r="P5" s="543">
        <f>M5/G5</f>
        <v>0.67320977874183685</v>
      </c>
      <c r="Q5" s="542"/>
      <c r="R5" s="164">
        <v>925337.42799999996</v>
      </c>
      <c r="S5" s="544">
        <f t="shared" ref="S5" si="3">SUM(R5:R11)</f>
        <v>6007602.3720000004</v>
      </c>
      <c r="T5" s="540"/>
      <c r="U5" s="153">
        <f t="shared" ref="U5:U11" si="4">R5/F5</f>
        <v>0.13965129580905636</v>
      </c>
      <c r="V5" s="543">
        <f>S5/G5</f>
        <v>0.14139904669306871</v>
      </c>
      <c r="W5" s="542"/>
    </row>
    <row r="6" spans="2:23">
      <c r="B6" s="539"/>
      <c r="C6" s="545"/>
      <c r="D6" s="80">
        <f t="shared" ref="D6:D39" si="5">D5+1</f>
        <v>46232</v>
      </c>
      <c r="E6" s="80" t="s">
        <v>112</v>
      </c>
      <c r="F6" s="163">
        <v>6255627.21</v>
      </c>
      <c r="G6" s="540"/>
      <c r="H6" s="540"/>
      <c r="I6" s="213">
        <v>201459</v>
      </c>
      <c r="J6" s="541"/>
      <c r="K6" s="541"/>
      <c r="L6" s="163">
        <v>4227643.1559210317</v>
      </c>
      <c r="M6" s="540"/>
      <c r="N6" s="540"/>
      <c r="O6" s="153">
        <f t="shared" si="2"/>
        <v>0.67581443298969091</v>
      </c>
      <c r="P6" s="543"/>
      <c r="Q6" s="542"/>
      <c r="R6" s="164">
        <v>889269.56400000001</v>
      </c>
      <c r="S6" s="544"/>
      <c r="T6" s="540"/>
      <c r="U6" s="153">
        <f t="shared" si="4"/>
        <v>0.14215514034762952</v>
      </c>
      <c r="V6" s="543"/>
      <c r="W6" s="542"/>
    </row>
    <row r="7" spans="2:23">
      <c r="B7" s="539"/>
      <c r="C7" s="545"/>
      <c r="D7" s="80">
        <f t="shared" si="5"/>
        <v>46233</v>
      </c>
      <c r="E7" s="80" t="s">
        <v>113</v>
      </c>
      <c r="F7" s="163">
        <v>5785963.21</v>
      </c>
      <c r="G7" s="540"/>
      <c r="H7" s="540"/>
      <c r="I7" s="213">
        <v>187092</v>
      </c>
      <c r="J7" s="541"/>
      <c r="K7" s="541"/>
      <c r="L7" s="163">
        <v>3888763.7681725775</v>
      </c>
      <c r="M7" s="540"/>
      <c r="N7" s="540"/>
      <c r="O7" s="153">
        <f t="shared" si="2"/>
        <v>0.67210309278350522</v>
      </c>
      <c r="P7" s="543"/>
      <c r="Q7" s="542"/>
      <c r="R7" s="164">
        <v>833792.64</v>
      </c>
      <c r="S7" s="544"/>
      <c r="T7" s="540"/>
      <c r="U7" s="153">
        <f t="shared" si="4"/>
        <v>0.14410610813406816</v>
      </c>
      <c r="V7" s="543"/>
      <c r="W7" s="542"/>
    </row>
    <row r="8" spans="2:23">
      <c r="B8" s="539"/>
      <c r="C8" s="545"/>
      <c r="D8" s="80">
        <f t="shared" si="5"/>
        <v>46234</v>
      </c>
      <c r="E8" s="80" t="s">
        <v>114</v>
      </c>
      <c r="F8" s="163">
        <v>4936115.0199999996</v>
      </c>
      <c r="G8" s="540"/>
      <c r="H8" s="540"/>
      <c r="I8" s="213">
        <v>159659</v>
      </c>
      <c r="J8" s="541"/>
      <c r="K8" s="541"/>
      <c r="L8" s="163">
        <v>3353708.4977121642</v>
      </c>
      <c r="M8" s="540"/>
      <c r="N8" s="540"/>
      <c r="O8" s="153">
        <f t="shared" si="2"/>
        <v>0.67942268041237108</v>
      </c>
      <c r="P8" s="543"/>
      <c r="Q8" s="542"/>
      <c r="R8" s="164">
        <v>775080.81</v>
      </c>
      <c r="S8" s="544"/>
      <c r="T8" s="540"/>
      <c r="U8" s="153">
        <f t="shared" si="4"/>
        <v>0.15702243705009938</v>
      </c>
      <c r="V8" s="543"/>
      <c r="W8" s="542"/>
    </row>
    <row r="9" spans="2:23">
      <c r="B9" s="539"/>
      <c r="C9" s="545" t="s">
        <v>561</v>
      </c>
      <c r="D9" s="80">
        <f t="shared" si="5"/>
        <v>46235</v>
      </c>
      <c r="E9" s="80" t="s">
        <v>115</v>
      </c>
      <c r="F9" s="163">
        <v>5278918.5600000005</v>
      </c>
      <c r="G9" s="540"/>
      <c r="H9" s="540">
        <f>SUM(F9:F39)</f>
        <v>175321621.16999999</v>
      </c>
      <c r="I9" s="213">
        <v>170810</v>
      </c>
      <c r="J9" s="541"/>
      <c r="K9" s="541">
        <f>SUM(I9:I39)</f>
        <v>5581950</v>
      </c>
      <c r="L9" s="163">
        <v>3538725.7777880416</v>
      </c>
      <c r="M9" s="540"/>
      <c r="N9" s="540">
        <f>SUM(L9:L39)</f>
        <v>119419263.52012458</v>
      </c>
      <c r="O9" s="153">
        <f t="shared" si="2"/>
        <v>0.67035051546391755</v>
      </c>
      <c r="P9" s="543"/>
      <c r="Q9" s="542">
        <f>N9/H9</f>
        <v>0.68114396115656561</v>
      </c>
      <c r="R9" s="164">
        <v>791868.99199999997</v>
      </c>
      <c r="S9" s="544"/>
      <c r="T9" s="540">
        <f>SUM(R9:R39)</f>
        <v>25354549.750000004</v>
      </c>
      <c r="U9" s="153">
        <f t="shared" si="4"/>
        <v>0.15000591181690817</v>
      </c>
      <c r="V9" s="543"/>
      <c r="W9" s="542">
        <f>T9/H9</f>
        <v>0.14461735854823665</v>
      </c>
    </row>
    <row r="10" spans="2:23">
      <c r="B10" s="539"/>
      <c r="C10" s="545"/>
      <c r="D10" s="80">
        <f t="shared" si="5"/>
        <v>46236</v>
      </c>
      <c r="E10" s="80" t="s">
        <v>116</v>
      </c>
      <c r="F10" s="163">
        <v>6878371.4600000009</v>
      </c>
      <c r="G10" s="540"/>
      <c r="H10" s="540"/>
      <c r="I10" s="213">
        <v>216220</v>
      </c>
      <c r="J10" s="541"/>
      <c r="K10" s="541"/>
      <c r="L10" s="163">
        <v>4644248.0453736102</v>
      </c>
      <c r="M10" s="540"/>
      <c r="N10" s="540"/>
      <c r="O10" s="153">
        <f t="shared" si="2"/>
        <v>0.67519587628865996</v>
      </c>
      <c r="P10" s="543"/>
      <c r="Q10" s="542"/>
      <c r="R10" s="164">
        <v>910527.826</v>
      </c>
      <c r="S10" s="544"/>
      <c r="T10" s="540"/>
      <c r="U10" s="153">
        <f t="shared" si="4"/>
        <v>0.13237549488203998</v>
      </c>
      <c r="V10" s="543"/>
      <c r="W10" s="542"/>
    </row>
    <row r="11" spans="2:23">
      <c r="B11" s="539"/>
      <c r="C11" s="545"/>
      <c r="D11" s="80">
        <f t="shared" si="5"/>
        <v>46237</v>
      </c>
      <c r="E11" s="80" t="s">
        <v>117</v>
      </c>
      <c r="F11" s="163">
        <v>6725813.8300000001</v>
      </c>
      <c r="G11" s="540"/>
      <c r="H11" s="540"/>
      <c r="I11" s="213">
        <v>213443</v>
      </c>
      <c r="J11" s="541"/>
      <c r="K11" s="541"/>
      <c r="L11" s="163">
        <v>4582844.7348455666</v>
      </c>
      <c r="M11" s="540"/>
      <c r="N11" s="540"/>
      <c r="O11" s="153">
        <f t="shared" si="2"/>
        <v>0.68138144329896899</v>
      </c>
      <c r="P11" s="543"/>
      <c r="Q11" s="542"/>
      <c r="R11" s="164">
        <v>881725.11199999996</v>
      </c>
      <c r="S11" s="544"/>
      <c r="T11" s="540"/>
      <c r="U11" s="153">
        <f t="shared" si="4"/>
        <v>0.13109567619417736</v>
      </c>
      <c r="V11" s="543"/>
      <c r="W11" s="542"/>
    </row>
    <row r="12" spans="2:23">
      <c r="B12" s="539">
        <f>B5+7</f>
        <v>46246</v>
      </c>
      <c r="C12" s="545"/>
      <c r="D12" s="80">
        <f t="shared" si="5"/>
        <v>46238</v>
      </c>
      <c r="E12" s="80" t="s">
        <v>118</v>
      </c>
      <c r="F12" s="163">
        <v>6631265.1100000003</v>
      </c>
      <c r="G12" s="540">
        <f>SUM(F12:F18)</f>
        <v>41863930.679999992</v>
      </c>
      <c r="H12" s="540"/>
      <c r="I12" s="213">
        <v>211425</v>
      </c>
      <c r="J12" s="541">
        <f t="shared" ref="J12" si="6">SUM(I12:I18)</f>
        <v>1345846</v>
      </c>
      <c r="K12" s="541"/>
      <c r="L12" s="163">
        <v>4510217.3646096913</v>
      </c>
      <c r="M12" s="540">
        <f t="shared" ref="M12" si="7">SUM(L12:L18)</f>
        <v>28482742.541629076</v>
      </c>
      <c r="N12" s="540"/>
      <c r="O12" s="153">
        <f t="shared" ref="O12:O18" si="8">L12/F12</f>
        <v>0.68014432989690732</v>
      </c>
      <c r="P12" s="543">
        <f>M12/G12</f>
        <v>0.68036474547375403</v>
      </c>
      <c r="Q12" s="542"/>
      <c r="R12" s="164">
        <v>904901.96</v>
      </c>
      <c r="S12" s="544">
        <f t="shared" ref="S12" si="9">SUM(R12:R18)</f>
        <v>5978077.1260000002</v>
      </c>
      <c r="T12" s="540"/>
      <c r="U12" s="153">
        <f t="shared" ref="U12:U18" si="10">R12/F12</f>
        <v>0.136459928081506</v>
      </c>
      <c r="V12" s="543">
        <f>S12/G12</f>
        <v>0.14279779822146413</v>
      </c>
      <c r="W12" s="542"/>
    </row>
    <row r="13" spans="2:23">
      <c r="B13" s="539"/>
      <c r="C13" s="545"/>
      <c r="D13" s="80">
        <f t="shared" si="5"/>
        <v>46239</v>
      </c>
      <c r="E13" s="80" t="s">
        <v>112</v>
      </c>
      <c r="F13" s="163">
        <v>6359055.9800000004</v>
      </c>
      <c r="G13" s="540"/>
      <c r="H13" s="540"/>
      <c r="I13" s="213">
        <v>203649</v>
      </c>
      <c r="J13" s="541"/>
      <c r="K13" s="541"/>
      <c r="L13" s="163">
        <v>4293608.3747847434</v>
      </c>
      <c r="M13" s="540"/>
      <c r="N13" s="540"/>
      <c r="O13" s="153">
        <f t="shared" si="8"/>
        <v>0.67519587628865996</v>
      </c>
      <c r="P13" s="543"/>
      <c r="Q13" s="542"/>
      <c r="R13" s="164">
        <v>873214.77</v>
      </c>
      <c r="S13" s="544"/>
      <c r="T13" s="540"/>
      <c r="U13" s="153">
        <f t="shared" si="10"/>
        <v>0.13731830207917117</v>
      </c>
      <c r="V13" s="543"/>
      <c r="W13" s="542"/>
    </row>
    <row r="14" spans="2:23">
      <c r="B14" s="539"/>
      <c r="C14" s="545"/>
      <c r="D14" s="80">
        <f t="shared" si="5"/>
        <v>46240</v>
      </c>
      <c r="E14" s="80" t="s">
        <v>113</v>
      </c>
      <c r="F14" s="163">
        <v>5817645.9100000001</v>
      </c>
      <c r="G14" s="540"/>
      <c r="H14" s="540"/>
      <c r="I14" s="213">
        <v>188918</v>
      </c>
      <c r="J14" s="541"/>
      <c r="K14" s="541"/>
      <c r="L14" s="163">
        <v>3989225.7737911344</v>
      </c>
      <c r="M14" s="540"/>
      <c r="N14" s="540"/>
      <c r="O14" s="153">
        <f t="shared" si="8"/>
        <v>0.68571134020618563</v>
      </c>
      <c r="P14" s="543"/>
      <c r="Q14" s="542"/>
      <c r="R14" s="164">
        <v>838149.93599999999</v>
      </c>
      <c r="S14" s="544"/>
      <c r="T14" s="540"/>
      <c r="U14" s="153">
        <f t="shared" si="10"/>
        <v>0.14407029045189859</v>
      </c>
      <c r="V14" s="543"/>
      <c r="W14" s="542"/>
    </row>
    <row r="15" spans="2:23">
      <c r="B15" s="539"/>
      <c r="C15" s="545"/>
      <c r="D15" s="80">
        <f t="shared" si="5"/>
        <v>46241</v>
      </c>
      <c r="E15" s="80" t="s">
        <v>114</v>
      </c>
      <c r="F15" s="163">
        <v>4858510.08</v>
      </c>
      <c r="G15" s="540"/>
      <c r="H15" s="540"/>
      <c r="I15" s="213">
        <v>157640</v>
      </c>
      <c r="J15" s="541"/>
      <c r="K15" s="541"/>
      <c r="L15" s="163">
        <v>3320015.2798218564</v>
      </c>
      <c r="M15" s="540"/>
      <c r="N15" s="540"/>
      <c r="O15" s="153">
        <f t="shared" si="8"/>
        <v>0.68334020618556712</v>
      </c>
      <c r="P15" s="543"/>
      <c r="Q15" s="542"/>
      <c r="R15" s="164">
        <v>766305.87199999997</v>
      </c>
      <c r="S15" s="544"/>
      <c r="T15" s="540"/>
      <c r="U15" s="153">
        <f t="shared" si="10"/>
        <v>0.15772445860604245</v>
      </c>
      <c r="V15" s="543"/>
      <c r="W15" s="542"/>
    </row>
    <row r="16" spans="2:23">
      <c r="B16" s="539"/>
      <c r="C16" s="545"/>
      <c r="D16" s="80">
        <f t="shared" si="5"/>
        <v>46242</v>
      </c>
      <c r="E16" s="80" t="s">
        <v>115</v>
      </c>
      <c r="F16" s="163">
        <v>5207709.95</v>
      </c>
      <c r="G16" s="540"/>
      <c r="H16" s="540"/>
      <c r="I16" s="213">
        <v>168530</v>
      </c>
      <c r="J16" s="541"/>
      <c r="K16" s="541"/>
      <c r="L16" s="163">
        <v>3540920.6396113406</v>
      </c>
      <c r="M16" s="540"/>
      <c r="N16" s="540"/>
      <c r="O16" s="153">
        <f t="shared" si="8"/>
        <v>0.67993814432989697</v>
      </c>
      <c r="P16" s="543"/>
      <c r="Q16" s="542"/>
      <c r="R16" s="164">
        <v>804139.21799999999</v>
      </c>
      <c r="S16" s="544"/>
      <c r="T16" s="540"/>
      <c r="U16" s="153">
        <f t="shared" si="10"/>
        <v>0.15441321151152052</v>
      </c>
      <c r="V16" s="543"/>
      <c r="W16" s="542"/>
    </row>
    <row r="17" spans="2:23">
      <c r="B17" s="539"/>
      <c r="C17" s="545"/>
      <c r="D17" s="80">
        <f t="shared" si="5"/>
        <v>46243</v>
      </c>
      <c r="E17" s="80" t="s">
        <v>116</v>
      </c>
      <c r="F17" s="163">
        <v>6655646.0600000005</v>
      </c>
      <c r="G17" s="540"/>
      <c r="H17" s="540"/>
      <c r="I17" s="213">
        <v>211756</v>
      </c>
      <c r="J17" s="541"/>
      <c r="K17" s="541"/>
      <c r="L17" s="163">
        <v>4561793.532505569</v>
      </c>
      <c r="M17" s="540"/>
      <c r="N17" s="540"/>
      <c r="O17" s="153">
        <f t="shared" si="8"/>
        <v>0.68540206185567032</v>
      </c>
      <c r="P17" s="543"/>
      <c r="Q17" s="542"/>
      <c r="R17" s="164">
        <v>912097.29599999997</v>
      </c>
      <c r="S17" s="544"/>
      <c r="T17" s="540"/>
      <c r="U17" s="153">
        <f t="shared" si="10"/>
        <v>0.13704113586833369</v>
      </c>
      <c r="V17" s="543"/>
      <c r="W17" s="542"/>
    </row>
    <row r="18" spans="2:23">
      <c r="B18" s="539"/>
      <c r="C18" s="545"/>
      <c r="D18" s="80">
        <f t="shared" si="5"/>
        <v>46244</v>
      </c>
      <c r="E18" s="80" t="s">
        <v>117</v>
      </c>
      <c r="F18" s="163">
        <v>6334097.5899999999</v>
      </c>
      <c r="G18" s="540"/>
      <c r="H18" s="540"/>
      <c r="I18" s="213">
        <v>203928</v>
      </c>
      <c r="J18" s="541"/>
      <c r="K18" s="541"/>
      <c r="L18" s="163">
        <v>4266961.5765047427</v>
      </c>
      <c r="M18" s="540"/>
      <c r="N18" s="540"/>
      <c r="O18" s="153">
        <f t="shared" si="8"/>
        <v>0.67364948453608253</v>
      </c>
      <c r="P18" s="543"/>
      <c r="Q18" s="542"/>
      <c r="R18" s="164">
        <v>879268.07400000002</v>
      </c>
      <c r="S18" s="544"/>
      <c r="T18" s="540"/>
      <c r="U18" s="153">
        <f t="shared" si="10"/>
        <v>0.13881505005356257</v>
      </c>
      <c r="V18" s="543"/>
      <c r="W18" s="542"/>
    </row>
    <row r="19" spans="2:23">
      <c r="B19" s="539">
        <f>B12+7</f>
        <v>46253</v>
      </c>
      <c r="C19" s="545"/>
      <c r="D19" s="80">
        <f t="shared" si="5"/>
        <v>46245</v>
      </c>
      <c r="E19" s="80" t="s">
        <v>118</v>
      </c>
      <c r="F19" s="163">
        <v>5779689.7399999984</v>
      </c>
      <c r="G19" s="540">
        <f>SUM(F19:F25)</f>
        <v>38288004.869999997</v>
      </c>
      <c r="H19" s="540"/>
      <c r="I19" s="213">
        <v>187621</v>
      </c>
      <c r="J19" s="541">
        <f t="shared" ref="J19" si="11">SUM(I19:I25)</f>
        <v>1244793</v>
      </c>
      <c r="K19" s="541"/>
      <c r="L19" s="163">
        <v>3925660.6064964943</v>
      </c>
      <c r="M19" s="540">
        <f t="shared" ref="M19" si="12">SUM(L19:L25)</f>
        <v>26120853.639865775</v>
      </c>
      <c r="N19" s="540"/>
      <c r="O19" s="153">
        <f t="shared" ref="O19:O32" si="13">L19/F19</f>
        <v>0.67921649484536095</v>
      </c>
      <c r="P19" s="543">
        <f>M19/G19</f>
        <v>0.68222028618504449</v>
      </c>
      <c r="Q19" s="542"/>
      <c r="R19" s="164">
        <v>808693.20799999998</v>
      </c>
      <c r="S19" s="544">
        <f t="shared" ref="S19" si="14">SUM(R19:R25)</f>
        <v>5469240.4580000006</v>
      </c>
      <c r="T19" s="540"/>
      <c r="U19" s="153">
        <f t="shared" ref="U19:U32" si="15">R19/F19</f>
        <v>0.13991983036791872</v>
      </c>
      <c r="V19" s="543">
        <f>S19/G19</f>
        <v>0.14284474932997471</v>
      </c>
      <c r="W19" s="542"/>
    </row>
    <row r="20" spans="2:23">
      <c r="B20" s="539"/>
      <c r="C20" s="545"/>
      <c r="D20" s="80">
        <f t="shared" si="5"/>
        <v>46246</v>
      </c>
      <c r="E20" s="80" t="s">
        <v>112</v>
      </c>
      <c r="F20" s="163">
        <v>5663016.0199999996</v>
      </c>
      <c r="G20" s="540"/>
      <c r="H20" s="540"/>
      <c r="I20" s="213">
        <v>184147</v>
      </c>
      <c r="J20" s="541"/>
      <c r="K20" s="541"/>
      <c r="L20" s="163">
        <v>3904795.4998111343</v>
      </c>
      <c r="M20" s="540"/>
      <c r="N20" s="540"/>
      <c r="O20" s="153">
        <f t="shared" si="13"/>
        <v>0.68952577319587638</v>
      </c>
      <c r="P20" s="543"/>
      <c r="Q20" s="542"/>
      <c r="R20" s="164">
        <v>808683.83799999999</v>
      </c>
      <c r="S20" s="544"/>
      <c r="T20" s="540"/>
      <c r="U20" s="153">
        <f t="shared" si="15"/>
        <v>0.14280090947014487</v>
      </c>
      <c r="V20" s="543"/>
      <c r="W20" s="542"/>
    </row>
    <row r="21" spans="2:23">
      <c r="B21" s="539"/>
      <c r="C21" s="545"/>
      <c r="D21" s="80">
        <f t="shared" si="5"/>
        <v>46247</v>
      </c>
      <c r="E21" s="80" t="s">
        <v>113</v>
      </c>
      <c r="F21" s="163">
        <v>5284211.26</v>
      </c>
      <c r="G21" s="540"/>
      <c r="H21" s="540"/>
      <c r="I21" s="213">
        <v>172846</v>
      </c>
      <c r="J21" s="541"/>
      <c r="K21" s="541"/>
      <c r="L21" s="163">
        <v>3602197.7871777322</v>
      </c>
      <c r="M21" s="540"/>
      <c r="N21" s="540"/>
      <c r="O21" s="153">
        <f t="shared" si="13"/>
        <v>0.68169072164948463</v>
      </c>
      <c r="P21" s="543"/>
      <c r="Q21" s="542"/>
      <c r="R21" s="164">
        <v>759116.79599999997</v>
      </c>
      <c r="S21" s="544"/>
      <c r="T21" s="540"/>
      <c r="U21" s="153">
        <f t="shared" si="15"/>
        <v>0.14365754104993902</v>
      </c>
      <c r="V21" s="543"/>
      <c r="W21" s="542"/>
    </row>
    <row r="22" spans="2:23">
      <c r="B22" s="539"/>
      <c r="C22" s="545"/>
      <c r="D22" s="80">
        <f t="shared" si="5"/>
        <v>46248</v>
      </c>
      <c r="E22" s="80" t="s">
        <v>114</v>
      </c>
      <c r="F22" s="163">
        <v>4470999.01</v>
      </c>
      <c r="G22" s="540"/>
      <c r="H22" s="540"/>
      <c r="I22" s="213">
        <v>146977</v>
      </c>
      <c r="J22" s="541"/>
      <c r="K22" s="541"/>
      <c r="L22" s="163">
        <v>3078259.771998351</v>
      </c>
      <c r="M22" s="540"/>
      <c r="N22" s="540"/>
      <c r="O22" s="153">
        <f t="shared" si="13"/>
        <v>0.68849484536082484</v>
      </c>
      <c r="P22" s="543"/>
      <c r="Q22" s="542"/>
      <c r="R22" s="164">
        <v>708139.37</v>
      </c>
      <c r="S22" s="544"/>
      <c r="T22" s="540"/>
      <c r="U22" s="153">
        <f t="shared" si="15"/>
        <v>0.15838504289894711</v>
      </c>
      <c r="V22" s="543"/>
      <c r="W22" s="542"/>
    </row>
    <row r="23" spans="2:23">
      <c r="B23" s="539"/>
      <c r="C23" s="545"/>
      <c r="D23" s="80">
        <f t="shared" si="5"/>
        <v>46249</v>
      </c>
      <c r="E23" s="80" t="s">
        <v>115</v>
      </c>
      <c r="F23" s="163">
        <v>4735598.2299999995</v>
      </c>
      <c r="G23" s="540"/>
      <c r="H23" s="540"/>
      <c r="I23" s="213">
        <v>155408</v>
      </c>
      <c r="J23" s="541"/>
      <c r="K23" s="541"/>
      <c r="L23" s="163">
        <v>3231630.8168723709</v>
      </c>
      <c r="M23" s="540"/>
      <c r="N23" s="540"/>
      <c r="O23" s="153">
        <f t="shared" si="13"/>
        <v>0.68241237113402065</v>
      </c>
      <c r="P23" s="543"/>
      <c r="Q23" s="542"/>
      <c r="R23" s="164">
        <v>734523.98</v>
      </c>
      <c r="S23" s="544"/>
      <c r="T23" s="540"/>
      <c r="U23" s="153">
        <f t="shared" si="15"/>
        <v>0.15510690399088187</v>
      </c>
      <c r="V23" s="543"/>
      <c r="W23" s="542"/>
    </row>
    <row r="24" spans="2:23">
      <c r="B24" s="539"/>
      <c r="C24" s="545"/>
      <c r="D24" s="80">
        <f t="shared" si="5"/>
        <v>46250</v>
      </c>
      <c r="E24" s="80" t="s">
        <v>116</v>
      </c>
      <c r="F24" s="163">
        <v>6269913.0899999999</v>
      </c>
      <c r="G24" s="540"/>
      <c r="H24" s="540"/>
      <c r="I24" s="213">
        <v>200927</v>
      </c>
      <c r="J24" s="541"/>
      <c r="K24" s="541"/>
      <c r="L24" s="163">
        <v>4219845.424407836</v>
      </c>
      <c r="M24" s="540"/>
      <c r="N24" s="540"/>
      <c r="O24" s="153">
        <f t="shared" si="13"/>
        <v>0.6730309278350517</v>
      </c>
      <c r="P24" s="543"/>
      <c r="Q24" s="542"/>
      <c r="R24" s="164">
        <v>884957.24199999997</v>
      </c>
      <c r="S24" s="544"/>
      <c r="T24" s="540"/>
      <c r="U24" s="153">
        <f t="shared" si="15"/>
        <v>0.14114346232508942</v>
      </c>
      <c r="V24" s="543"/>
      <c r="W24" s="542"/>
    </row>
    <row r="25" spans="2:23">
      <c r="B25" s="539"/>
      <c r="C25" s="545"/>
      <c r="D25" s="80">
        <f t="shared" si="5"/>
        <v>46251</v>
      </c>
      <c r="E25" s="80" t="s">
        <v>117</v>
      </c>
      <c r="F25" s="163">
        <v>6084577.5200000005</v>
      </c>
      <c r="G25" s="540"/>
      <c r="H25" s="540"/>
      <c r="I25" s="213">
        <v>196867</v>
      </c>
      <c r="J25" s="541"/>
      <c r="K25" s="541"/>
      <c r="L25" s="163">
        <v>4158463.7331018569</v>
      </c>
      <c r="M25" s="540"/>
      <c r="N25" s="540"/>
      <c r="O25" s="153">
        <f t="shared" si="13"/>
        <v>0.6834432989690723</v>
      </c>
      <c r="P25" s="543"/>
      <c r="Q25" s="542"/>
      <c r="R25" s="164">
        <v>765126.02399999998</v>
      </c>
      <c r="S25" s="544"/>
      <c r="T25" s="540"/>
      <c r="U25" s="153">
        <f t="shared" si="15"/>
        <v>0.12574842238183859</v>
      </c>
      <c r="V25" s="543"/>
      <c r="W25" s="542"/>
    </row>
    <row r="26" spans="2:23">
      <c r="B26" s="539">
        <f>B19+7</f>
        <v>46260</v>
      </c>
      <c r="C26" s="545"/>
      <c r="D26" s="80">
        <f t="shared" si="5"/>
        <v>46252</v>
      </c>
      <c r="E26" s="80" t="s">
        <v>118</v>
      </c>
      <c r="F26" s="163">
        <v>6583839.5199999996</v>
      </c>
      <c r="G26" s="540">
        <f>SUM(F26:F32)</f>
        <v>39537269.799999997</v>
      </c>
      <c r="H26" s="540"/>
      <c r="I26" s="213">
        <v>201857</v>
      </c>
      <c r="J26" s="541">
        <f t="shared" ref="J26" si="16">SUM(I26:I32)</f>
        <v>1252535</v>
      </c>
      <c r="K26" s="541"/>
      <c r="L26" s="163">
        <v>4492214.7916668039</v>
      </c>
      <c r="M26" s="540">
        <f t="shared" ref="M26" si="17">SUM(L26:L32)</f>
        <v>27086185.165090725</v>
      </c>
      <c r="N26" s="540"/>
      <c r="O26" s="153">
        <f t="shared" si="13"/>
        <v>0.68230927835051547</v>
      </c>
      <c r="P26" s="543">
        <f>M26/G26</f>
        <v>0.68507980703034599</v>
      </c>
      <c r="Q26" s="542"/>
      <c r="R26" s="164">
        <v>901149.48800000001</v>
      </c>
      <c r="S26" s="544">
        <f t="shared" ref="S26" si="18">SUM(R26:R32)</f>
        <v>5751753.8040000005</v>
      </c>
      <c r="T26" s="540"/>
      <c r="U26" s="153">
        <f t="shared" si="15"/>
        <v>0.13687294249237716</v>
      </c>
      <c r="V26" s="543">
        <f>S26/G26</f>
        <v>0.14547675732531234</v>
      </c>
      <c r="W26" s="542"/>
    </row>
    <row r="27" spans="2:23">
      <c r="B27" s="539"/>
      <c r="C27" s="545"/>
      <c r="D27" s="80">
        <f t="shared" si="5"/>
        <v>46253</v>
      </c>
      <c r="E27" s="80" t="s">
        <v>112</v>
      </c>
      <c r="F27" s="163">
        <v>5965361.7000000002</v>
      </c>
      <c r="G27" s="540"/>
      <c r="H27" s="540"/>
      <c r="I27" s="213">
        <v>188974</v>
      </c>
      <c r="J27" s="541"/>
      <c r="K27" s="541"/>
      <c r="L27" s="163">
        <v>4067146.7079154649</v>
      </c>
      <c r="M27" s="540"/>
      <c r="N27" s="540"/>
      <c r="O27" s="153">
        <f t="shared" si="13"/>
        <v>0.68179381443298981</v>
      </c>
      <c r="P27" s="543"/>
      <c r="Q27" s="542"/>
      <c r="R27" s="164">
        <v>844162.55799999996</v>
      </c>
      <c r="S27" s="544"/>
      <c r="T27" s="540"/>
      <c r="U27" s="153">
        <f t="shared" si="15"/>
        <v>0.14151070805983146</v>
      </c>
      <c r="V27" s="543"/>
      <c r="W27" s="542"/>
    </row>
    <row r="28" spans="2:23">
      <c r="B28" s="539"/>
      <c r="C28" s="545"/>
      <c r="D28" s="80">
        <f t="shared" si="5"/>
        <v>46254</v>
      </c>
      <c r="E28" s="80" t="s">
        <v>113</v>
      </c>
      <c r="F28" s="163">
        <v>5515098.4399999995</v>
      </c>
      <c r="G28" s="540"/>
      <c r="H28" s="540"/>
      <c r="I28" s="213">
        <v>175085</v>
      </c>
      <c r="J28" s="541"/>
      <c r="K28" s="541"/>
      <c r="L28" s="163">
        <v>3809056.7514367006</v>
      </c>
      <c r="M28" s="540"/>
      <c r="N28" s="540"/>
      <c r="O28" s="153">
        <f t="shared" si="13"/>
        <v>0.69065979381443299</v>
      </c>
      <c r="P28" s="543"/>
      <c r="Q28" s="542"/>
      <c r="R28" s="164">
        <v>808002.69200000004</v>
      </c>
      <c r="S28" s="544"/>
      <c r="T28" s="540"/>
      <c r="U28" s="153">
        <f t="shared" si="15"/>
        <v>0.14650739253169162</v>
      </c>
      <c r="V28" s="543"/>
      <c r="W28" s="542"/>
    </row>
    <row r="29" spans="2:23">
      <c r="B29" s="539"/>
      <c r="C29" s="545"/>
      <c r="D29" s="80">
        <f t="shared" si="5"/>
        <v>46255</v>
      </c>
      <c r="E29" s="80" t="s">
        <v>114</v>
      </c>
      <c r="F29" s="163">
        <v>4265125.8</v>
      </c>
      <c r="G29" s="540"/>
      <c r="H29" s="540"/>
      <c r="I29" s="213">
        <v>140181</v>
      </c>
      <c r="J29" s="541"/>
      <c r="K29" s="541"/>
      <c r="L29" s="163">
        <v>2935637.7207340207</v>
      </c>
      <c r="M29" s="540"/>
      <c r="N29" s="540"/>
      <c r="O29" s="153">
        <f t="shared" si="13"/>
        <v>0.68828865979381448</v>
      </c>
      <c r="P29" s="543"/>
      <c r="Q29" s="542"/>
      <c r="R29" s="164">
        <v>727337.01800000004</v>
      </c>
      <c r="S29" s="544"/>
      <c r="T29" s="540"/>
      <c r="U29" s="153">
        <f t="shared" si="15"/>
        <v>0.17053119933766081</v>
      </c>
      <c r="V29" s="543"/>
      <c r="W29" s="542"/>
    </row>
    <row r="30" spans="2:23">
      <c r="B30" s="539"/>
      <c r="C30" s="545"/>
      <c r="D30" s="80">
        <f t="shared" si="5"/>
        <v>46256</v>
      </c>
      <c r="E30" s="80" t="s">
        <v>115</v>
      </c>
      <c r="F30" s="163">
        <v>4672768.7700000005</v>
      </c>
      <c r="G30" s="540"/>
      <c r="H30" s="540"/>
      <c r="I30" s="213">
        <v>150801</v>
      </c>
      <c r="J30" s="541"/>
      <c r="K30" s="541"/>
      <c r="L30" s="163">
        <v>3213805.1105338149</v>
      </c>
      <c r="M30" s="540"/>
      <c r="N30" s="540"/>
      <c r="O30" s="153">
        <f t="shared" si="13"/>
        <v>0.68777319587628871</v>
      </c>
      <c r="P30" s="543"/>
      <c r="Q30" s="542"/>
      <c r="R30" s="164">
        <v>740066.26</v>
      </c>
      <c r="S30" s="544"/>
      <c r="T30" s="540"/>
      <c r="U30" s="153">
        <f t="shared" si="15"/>
        <v>0.15837853239204899</v>
      </c>
      <c r="V30" s="543"/>
      <c r="W30" s="542"/>
    </row>
    <row r="31" spans="2:23">
      <c r="B31" s="539"/>
      <c r="C31" s="545"/>
      <c r="D31" s="80">
        <f t="shared" si="5"/>
        <v>46257</v>
      </c>
      <c r="E31" s="80" t="s">
        <v>116</v>
      </c>
      <c r="F31" s="163">
        <v>6356809.7199999997</v>
      </c>
      <c r="G31" s="540"/>
      <c r="H31" s="540"/>
      <c r="I31" s="213">
        <v>197801</v>
      </c>
      <c r="J31" s="541"/>
      <c r="K31" s="541"/>
      <c r="L31" s="163">
        <v>4345829.6883719591</v>
      </c>
      <c r="M31" s="540"/>
      <c r="N31" s="540"/>
      <c r="O31" s="153">
        <f t="shared" si="13"/>
        <v>0.68364948453608254</v>
      </c>
      <c r="P31" s="543"/>
      <c r="Q31" s="542"/>
      <c r="R31" s="164">
        <v>886504.03</v>
      </c>
      <c r="S31" s="544"/>
      <c r="T31" s="540"/>
      <c r="U31" s="153">
        <f t="shared" si="15"/>
        <v>0.13945738020297391</v>
      </c>
      <c r="V31" s="543"/>
      <c r="W31" s="542"/>
    </row>
    <row r="32" spans="2:23">
      <c r="B32" s="539"/>
      <c r="C32" s="545"/>
      <c r="D32" s="80">
        <f t="shared" si="5"/>
        <v>46258</v>
      </c>
      <c r="E32" s="80" t="s">
        <v>117</v>
      </c>
      <c r="F32" s="163">
        <v>6178265.8499999996</v>
      </c>
      <c r="G32" s="540"/>
      <c r="H32" s="540"/>
      <c r="I32" s="213">
        <v>197836</v>
      </c>
      <c r="J32" s="541"/>
      <c r="K32" s="541"/>
      <c r="L32" s="163">
        <v>4222494.394431958</v>
      </c>
      <c r="M32" s="540"/>
      <c r="N32" s="540"/>
      <c r="O32" s="153">
        <f t="shared" si="13"/>
        <v>0.68344329896907208</v>
      </c>
      <c r="P32" s="543"/>
      <c r="Q32" s="542"/>
      <c r="R32" s="164">
        <v>844531.75800000003</v>
      </c>
      <c r="S32" s="544"/>
      <c r="T32" s="540"/>
      <c r="U32" s="153">
        <f t="shared" si="15"/>
        <v>0.13669398153205078</v>
      </c>
      <c r="V32" s="543"/>
      <c r="W32" s="542"/>
    </row>
    <row r="33" spans="2:23">
      <c r="B33" s="539">
        <f>B26+7</f>
        <v>46267</v>
      </c>
      <c r="C33" s="545"/>
      <c r="D33" s="80">
        <f t="shared" si="5"/>
        <v>46259</v>
      </c>
      <c r="E33" s="80" t="s">
        <v>118</v>
      </c>
      <c r="F33" s="163">
        <v>6384123.5300000003</v>
      </c>
      <c r="G33" s="540">
        <f>SUM(F33:F39)</f>
        <v>36749311.969999999</v>
      </c>
      <c r="H33" s="540"/>
      <c r="I33" s="213">
        <v>208377</v>
      </c>
      <c r="J33" s="541">
        <f t="shared" ref="J33" si="19">SUM(I33:I39)</f>
        <v>1138303</v>
      </c>
      <c r="K33" s="541"/>
      <c r="L33" s="163">
        <v>4287498.3839002065</v>
      </c>
      <c r="M33" s="540">
        <f t="shared" ref="M33" si="20">SUM(L33:L39)</f>
        <v>24963663.615531757</v>
      </c>
      <c r="N33" s="540"/>
      <c r="O33" s="153">
        <f t="shared" ref="O33:O39" si="21">L33/F33</f>
        <v>0.67158762886597945</v>
      </c>
      <c r="P33" s="543">
        <f>M33/G33</f>
        <v>0.67929608140448017</v>
      </c>
      <c r="Q33" s="542"/>
      <c r="R33" s="164">
        <v>934133.47199999995</v>
      </c>
      <c r="S33" s="544">
        <f t="shared" ref="S33" si="22">SUM(R33:R39)</f>
        <v>5571356.432</v>
      </c>
      <c r="T33" s="540"/>
      <c r="U33" s="153">
        <f t="shared" ref="U33:U39" si="23">R33/F33</f>
        <v>0.1463213341048869</v>
      </c>
      <c r="V33" s="543">
        <f>S33/G33</f>
        <v>0.15160437388727527</v>
      </c>
      <c r="W33" s="542"/>
    </row>
    <row r="34" spans="2:23">
      <c r="B34" s="539"/>
      <c r="C34" s="545"/>
      <c r="D34" s="80">
        <f t="shared" si="5"/>
        <v>46260</v>
      </c>
      <c r="E34" s="80" t="s">
        <v>112</v>
      </c>
      <c r="F34" s="163">
        <v>5681937.0600000005</v>
      </c>
      <c r="G34" s="540"/>
      <c r="H34" s="540"/>
      <c r="I34" s="213">
        <v>184347</v>
      </c>
      <c r="J34" s="541"/>
      <c r="K34" s="541"/>
      <c r="L34" s="163">
        <v>3807132.1368828872</v>
      </c>
      <c r="M34" s="540"/>
      <c r="N34" s="540"/>
      <c r="O34" s="153">
        <f t="shared" si="21"/>
        <v>0.67004123711340213</v>
      </c>
      <c r="P34" s="543"/>
      <c r="Q34" s="542"/>
      <c r="R34" s="164">
        <v>841535.96600000001</v>
      </c>
      <c r="S34" s="544"/>
      <c r="T34" s="540"/>
      <c r="U34" s="153">
        <f t="shared" si="23"/>
        <v>0.14810723123356806</v>
      </c>
      <c r="V34" s="543"/>
      <c r="W34" s="542"/>
    </row>
    <row r="35" spans="2:23">
      <c r="B35" s="539"/>
      <c r="C35" s="545"/>
      <c r="D35" s="80">
        <f t="shared" si="5"/>
        <v>46261</v>
      </c>
      <c r="E35" s="80" t="s">
        <v>113</v>
      </c>
      <c r="F35" s="163">
        <v>4735272.9000000004</v>
      </c>
      <c r="G35" s="540"/>
      <c r="H35" s="540"/>
      <c r="I35" s="213">
        <v>144091</v>
      </c>
      <c r="J35" s="541"/>
      <c r="K35" s="541"/>
      <c r="L35" s="163">
        <v>3255817.430851547</v>
      </c>
      <c r="M35" s="540"/>
      <c r="N35" s="540"/>
      <c r="O35" s="153">
        <f t="shared" si="21"/>
        <v>0.68756701030927847</v>
      </c>
      <c r="P35" s="543"/>
      <c r="Q35" s="542"/>
      <c r="R35" s="164">
        <v>752033.99399999995</v>
      </c>
      <c r="S35" s="544"/>
      <c r="T35" s="540"/>
      <c r="U35" s="153">
        <f t="shared" si="23"/>
        <v>0.15881534388440419</v>
      </c>
      <c r="V35" s="543"/>
      <c r="W35" s="542"/>
    </row>
    <row r="36" spans="2:23">
      <c r="B36" s="539"/>
      <c r="C36" s="545"/>
      <c r="D36" s="80">
        <f t="shared" si="5"/>
        <v>46262</v>
      </c>
      <c r="E36" s="80" t="s">
        <v>114</v>
      </c>
      <c r="F36" s="163">
        <v>3911723.8</v>
      </c>
      <c r="G36" s="540"/>
      <c r="H36" s="540"/>
      <c r="I36" s="213">
        <v>119527</v>
      </c>
      <c r="J36" s="541"/>
      <c r="K36" s="541"/>
      <c r="L36" s="163">
        <v>2700460.5416824743</v>
      </c>
      <c r="M36" s="540"/>
      <c r="N36" s="540"/>
      <c r="O36" s="153">
        <f t="shared" si="21"/>
        <v>0.69035051546391757</v>
      </c>
      <c r="P36" s="543"/>
      <c r="Q36" s="542"/>
      <c r="R36" s="164">
        <v>681681.272</v>
      </c>
      <c r="S36" s="544"/>
      <c r="T36" s="540"/>
      <c r="U36" s="153">
        <f t="shared" si="23"/>
        <v>0.17426620764993683</v>
      </c>
      <c r="V36" s="543"/>
      <c r="W36" s="542"/>
    </row>
    <row r="37" spans="2:23">
      <c r="B37" s="539"/>
      <c r="C37" s="545"/>
      <c r="D37" s="80">
        <f t="shared" si="5"/>
        <v>46263</v>
      </c>
      <c r="E37" s="80" t="s">
        <v>115</v>
      </c>
      <c r="F37" s="163">
        <v>4263630.51</v>
      </c>
      <c r="G37" s="540"/>
      <c r="H37" s="540"/>
      <c r="I37" s="213">
        <v>130180</v>
      </c>
      <c r="J37" s="541"/>
      <c r="K37" s="541"/>
      <c r="L37" s="163">
        <v>2908675.1068942272</v>
      </c>
      <c r="M37" s="540"/>
      <c r="N37" s="540"/>
      <c r="O37" s="153">
        <f t="shared" si="21"/>
        <v>0.6822061855670104</v>
      </c>
      <c r="P37" s="543"/>
      <c r="Q37" s="542"/>
      <c r="R37" s="164">
        <v>698343.08799999999</v>
      </c>
      <c r="S37" s="544"/>
      <c r="T37" s="540"/>
      <c r="U37" s="153">
        <f t="shared" si="23"/>
        <v>0.163790714594544</v>
      </c>
      <c r="V37" s="543"/>
      <c r="W37" s="542"/>
    </row>
    <row r="38" spans="2:23">
      <c r="B38" s="539"/>
      <c r="C38" s="545"/>
      <c r="D38" s="80">
        <f t="shared" si="5"/>
        <v>46264</v>
      </c>
      <c r="E38" s="80" t="s">
        <v>116</v>
      </c>
      <c r="F38" s="163">
        <v>5874431.6899999995</v>
      </c>
      <c r="G38" s="540"/>
      <c r="H38" s="540"/>
      <c r="I38" s="213">
        <v>174500</v>
      </c>
      <c r="J38" s="541"/>
      <c r="K38" s="541"/>
      <c r="L38" s="163">
        <v>3986377.2326037111</v>
      </c>
      <c r="M38" s="540"/>
      <c r="N38" s="540"/>
      <c r="O38" s="153">
        <f t="shared" si="21"/>
        <v>0.67859793814432989</v>
      </c>
      <c r="P38" s="543"/>
      <c r="Q38" s="542"/>
      <c r="R38" s="164">
        <v>821515.77599999995</v>
      </c>
      <c r="S38" s="544"/>
      <c r="T38" s="540"/>
      <c r="U38" s="153">
        <f t="shared" si="23"/>
        <v>0.13984600032007521</v>
      </c>
      <c r="V38" s="543"/>
      <c r="W38" s="542"/>
    </row>
    <row r="39" spans="2:23">
      <c r="B39" s="539"/>
      <c r="C39" s="545"/>
      <c r="D39" s="80">
        <f t="shared" si="5"/>
        <v>46265</v>
      </c>
      <c r="E39" s="80" t="s">
        <v>117</v>
      </c>
      <c r="F39" s="163">
        <v>5898192.4800000004</v>
      </c>
      <c r="G39" s="540"/>
      <c r="H39" s="540"/>
      <c r="I39" s="213">
        <v>177281</v>
      </c>
      <c r="J39" s="541"/>
      <c r="K39" s="541"/>
      <c r="L39" s="163">
        <v>4017702.7827167013</v>
      </c>
      <c r="M39" s="540"/>
      <c r="N39" s="540"/>
      <c r="O39" s="153">
        <f t="shared" si="21"/>
        <v>0.68117525773195875</v>
      </c>
      <c r="P39" s="543"/>
      <c r="Q39" s="542"/>
      <c r="R39" s="164">
        <v>842112.86399999994</v>
      </c>
      <c r="S39" s="544"/>
      <c r="T39" s="540"/>
      <c r="U39" s="153">
        <f t="shared" si="23"/>
        <v>0.14277473426909931</v>
      </c>
      <c r="V39" s="543"/>
      <c r="W39" s="542"/>
    </row>
  </sheetData>
  <mergeCells count="59">
    <mergeCell ref="S33:S39"/>
    <mergeCell ref="V33:V39"/>
    <mergeCell ref="C9:C39"/>
    <mergeCell ref="H9:H39"/>
    <mergeCell ref="K9:K39"/>
    <mergeCell ref="N9:N39"/>
    <mergeCell ref="Q9:Q39"/>
    <mergeCell ref="T9:T39"/>
    <mergeCell ref="S12:S18"/>
    <mergeCell ref="V12:V18"/>
    <mergeCell ref="P5:P11"/>
    <mergeCell ref="S19:S25"/>
    <mergeCell ref="V19:V25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5:B11"/>
    <mergeCell ref="G5:G11"/>
    <mergeCell ref="J5:J11"/>
    <mergeCell ref="M5:M11"/>
    <mergeCell ref="W5:W8"/>
    <mergeCell ref="H5:H8"/>
    <mergeCell ref="K5:K8"/>
    <mergeCell ref="T5:T8"/>
    <mergeCell ref="V5:V11"/>
    <mergeCell ref="N5:N8"/>
    <mergeCell ref="S5:S11"/>
    <mergeCell ref="C5:C8"/>
    <mergeCell ref="Q5:Q8"/>
    <mergeCell ref="W9:W39"/>
    <mergeCell ref="S26:S32"/>
    <mergeCell ref="V26:V32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39"/>
  <sheetViews>
    <sheetView topLeftCell="A4" zoomScale="80" zoomScaleNormal="80" workbookViewId="0">
      <selection activeCell="H9" sqref="H9:H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2" t="s">
        <v>334</v>
      </c>
      <c r="C1" s="165">
        <v>500.4</v>
      </c>
    </row>
    <row r="2" spans="2:23" ht="38.1" customHeight="1">
      <c r="B2" s="531" t="s">
        <v>130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</row>
    <row r="3" spans="2:23" s="71" customFormat="1" ht="23.45" customHeight="1">
      <c r="B3" s="535" t="s">
        <v>122</v>
      </c>
      <c r="C3" s="536" t="s">
        <v>119</v>
      </c>
      <c r="D3" s="537" t="s">
        <v>105</v>
      </c>
      <c r="E3" s="537"/>
      <c r="F3" s="547" t="s">
        <v>107</v>
      </c>
      <c r="G3" s="547"/>
      <c r="H3" s="547"/>
      <c r="I3" s="549" t="s">
        <v>108</v>
      </c>
      <c r="J3" s="549"/>
      <c r="K3" s="549"/>
      <c r="L3" s="548" t="s">
        <v>303</v>
      </c>
      <c r="M3" s="548"/>
      <c r="N3" s="548"/>
      <c r="O3" s="548" t="s">
        <v>106</v>
      </c>
      <c r="P3" s="548"/>
      <c r="Q3" s="548"/>
      <c r="R3" s="548" t="s">
        <v>333</v>
      </c>
      <c r="S3" s="548"/>
      <c r="T3" s="548"/>
      <c r="U3" s="548" t="s">
        <v>402</v>
      </c>
      <c r="V3" s="548"/>
      <c r="W3" s="548"/>
    </row>
    <row r="4" spans="2:23" ht="15.75">
      <c r="B4" s="535"/>
      <c r="C4" s="536"/>
      <c r="D4" s="537"/>
      <c r="E4" s="537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>
      <c r="B5" s="539">
        <v>46239</v>
      </c>
      <c r="C5" s="545"/>
      <c r="D5" s="80">
        <v>46231</v>
      </c>
      <c r="E5" s="431" t="s">
        <v>118</v>
      </c>
      <c r="F5" s="87">
        <v>435.56217864447569</v>
      </c>
      <c r="G5" s="554">
        <f t="shared" ref="G5" si="0">AVERAGE(F5:F11)</f>
        <v>441.50044683537647</v>
      </c>
      <c r="H5" s="551"/>
      <c r="I5" s="153">
        <f t="shared" ref="I5:I11" si="1">F5/$C$1</f>
        <v>0.87042801487704979</v>
      </c>
      <c r="J5" s="553">
        <f t="shared" ref="J5" si="2">AVERAGE(I5:I11)</f>
        <v>0.88229505762465343</v>
      </c>
      <c r="K5" s="550"/>
      <c r="L5" s="161">
        <v>2.003779723067786E-3</v>
      </c>
      <c r="M5" s="552">
        <f t="shared" ref="M5" si="3">AVERAGE(L5:L11)</f>
        <v>2.0021910448978601E-3</v>
      </c>
      <c r="N5" s="552"/>
      <c r="O5" s="84">
        <v>6.0038060765995179E-3</v>
      </c>
      <c r="P5" s="550">
        <f t="shared" ref="P5" si="4">AVERAGE(O5:O11)</f>
        <v>6.0080319327112108E-3</v>
      </c>
      <c r="Q5" s="552"/>
      <c r="R5" s="153">
        <v>0.9</v>
      </c>
      <c r="S5" s="553">
        <f t="shared" ref="S5" si="5">AVERAGE(R5:R11)</f>
        <v>0.90000000000000013</v>
      </c>
      <c r="T5" s="550"/>
      <c r="U5" s="153">
        <f>31/52*100%</f>
        <v>0.59615384615384615</v>
      </c>
      <c r="V5" s="543">
        <f t="shared" ref="V5" si="6">AVERAGE(U5:U11)</f>
        <v>0.59615384615384615</v>
      </c>
      <c r="W5" s="550"/>
    </row>
    <row r="6" spans="2:23">
      <c r="B6" s="539"/>
      <c r="C6" s="545"/>
      <c r="D6" s="80">
        <f t="shared" ref="D6:D39" si="7">D5+1</f>
        <v>46232</v>
      </c>
      <c r="E6" s="431" t="s">
        <v>112</v>
      </c>
      <c r="F6" s="87">
        <v>438.34046289481421</v>
      </c>
      <c r="G6" s="554"/>
      <c r="H6" s="551"/>
      <c r="I6" s="153">
        <f t="shared" si="1"/>
        <v>0.87598014167628746</v>
      </c>
      <c r="J6" s="553"/>
      <c r="K6" s="550"/>
      <c r="L6" s="161">
        <v>2.001947891009318E-3</v>
      </c>
      <c r="M6" s="552"/>
      <c r="N6" s="552"/>
      <c r="O6" s="84">
        <v>6.001752540493858E-3</v>
      </c>
      <c r="P6" s="550"/>
      <c r="Q6" s="552"/>
      <c r="R6" s="153">
        <v>0.9</v>
      </c>
      <c r="S6" s="553"/>
      <c r="T6" s="550"/>
      <c r="U6" s="153">
        <f t="shared" ref="U6:U11" si="8">31/52*100%</f>
        <v>0.59615384615384615</v>
      </c>
      <c r="V6" s="543"/>
      <c r="W6" s="550"/>
    </row>
    <row r="7" spans="2:23">
      <c r="B7" s="539"/>
      <c r="C7" s="545"/>
      <c r="D7" s="80">
        <f t="shared" si="7"/>
        <v>46233</v>
      </c>
      <c r="E7" s="431" t="s">
        <v>113</v>
      </c>
      <c r="F7" s="87">
        <v>441.47627351718859</v>
      </c>
      <c r="G7" s="554"/>
      <c r="H7" s="551"/>
      <c r="I7" s="153">
        <f t="shared" si="1"/>
        <v>0.88224674963466942</v>
      </c>
      <c r="J7" s="553"/>
      <c r="K7" s="550"/>
      <c r="L7" s="161">
        <v>1.998529005510217E-3</v>
      </c>
      <c r="M7" s="552"/>
      <c r="N7" s="552"/>
      <c r="O7" s="84">
        <v>5.9985558394174427E-3</v>
      </c>
      <c r="P7" s="550"/>
      <c r="Q7" s="552"/>
      <c r="R7" s="153">
        <v>0.9</v>
      </c>
      <c r="S7" s="553"/>
      <c r="T7" s="550"/>
      <c r="U7" s="153">
        <f t="shared" si="8"/>
        <v>0.59615384615384615</v>
      </c>
      <c r="V7" s="543"/>
      <c r="W7" s="550"/>
    </row>
    <row r="8" spans="2:23">
      <c r="B8" s="539"/>
      <c r="C8" s="545"/>
      <c r="D8" s="80">
        <f t="shared" si="7"/>
        <v>46234</v>
      </c>
      <c r="E8" s="431" t="s">
        <v>114</v>
      </c>
      <c r="F8" s="87">
        <v>442.8554545488073</v>
      </c>
      <c r="G8" s="554"/>
      <c r="H8" s="551"/>
      <c r="I8" s="153">
        <f t="shared" si="1"/>
        <v>0.88500290677219684</v>
      </c>
      <c r="J8" s="553"/>
      <c r="K8" s="550"/>
      <c r="L8" s="161">
        <v>1.9964655928945505E-3</v>
      </c>
      <c r="M8" s="552"/>
      <c r="N8" s="552"/>
      <c r="O8" s="84">
        <v>5.9963010545892826E-3</v>
      </c>
      <c r="P8" s="550"/>
      <c r="Q8" s="552"/>
      <c r="R8" s="153">
        <v>0.9</v>
      </c>
      <c r="S8" s="553"/>
      <c r="T8" s="550"/>
      <c r="U8" s="153">
        <f t="shared" si="8"/>
        <v>0.59615384615384615</v>
      </c>
      <c r="V8" s="543"/>
      <c r="W8" s="550"/>
    </row>
    <row r="9" spans="2:23">
      <c r="B9" s="539"/>
      <c r="C9" s="545" t="s">
        <v>561</v>
      </c>
      <c r="D9" s="80">
        <f t="shared" si="7"/>
        <v>46235</v>
      </c>
      <c r="E9" s="431" t="s">
        <v>115</v>
      </c>
      <c r="F9" s="87">
        <v>443.7999820460866</v>
      </c>
      <c r="G9" s="554"/>
      <c r="H9" s="551">
        <f>AVERAGEIF(F9:F39,"&lt;&gt;0")</f>
        <v>448.73865593082098</v>
      </c>
      <c r="I9" s="153">
        <f t="shared" si="1"/>
        <v>0.88689045173078862</v>
      </c>
      <c r="J9" s="553"/>
      <c r="K9" s="550">
        <f>AVERAGEIF(I9:I39,"&lt;&gt;0")</f>
        <v>0.89675990393849114</v>
      </c>
      <c r="L9" s="161">
        <v>2.0022606865145497E-3</v>
      </c>
      <c r="M9" s="552"/>
      <c r="N9" s="552">
        <f>AVERAGEIF(L9:L39,"&lt;&gt;0")</f>
        <v>2.0066949915476767E-3</v>
      </c>
      <c r="O9" s="84">
        <v>6.002430543274E-3</v>
      </c>
      <c r="P9" s="550"/>
      <c r="Q9" s="552">
        <f>AVERAGEIF(O9:O39,"&lt;&gt;0")</f>
        <v>6.0131110259086448E-3</v>
      </c>
      <c r="R9" s="153">
        <v>0.9</v>
      </c>
      <c r="S9" s="553"/>
      <c r="T9" s="550">
        <f>AVERAGEIF(R9:R39,"&lt;&gt;0")</f>
        <v>0.89999999999999947</v>
      </c>
      <c r="U9" s="153">
        <f t="shared" si="8"/>
        <v>0.59615384615384615</v>
      </c>
      <c r="V9" s="543"/>
      <c r="W9" s="550">
        <f>AVERAGEIF(U9:U39,"&lt;&gt;0")</f>
        <v>0.63957816377171217</v>
      </c>
    </row>
    <row r="10" spans="2:23">
      <c r="B10" s="539"/>
      <c r="C10" s="545"/>
      <c r="D10" s="80">
        <f t="shared" si="7"/>
        <v>46236</v>
      </c>
      <c r="E10" s="431" t="s">
        <v>116</v>
      </c>
      <c r="F10" s="87">
        <v>443.89283392882203</v>
      </c>
      <c r="G10" s="554"/>
      <c r="H10" s="551"/>
      <c r="I10" s="153">
        <f t="shared" si="1"/>
        <v>0.88707600705200251</v>
      </c>
      <c r="J10" s="553"/>
      <c r="K10" s="550"/>
      <c r="L10" s="161">
        <v>2.0060667092847008E-3</v>
      </c>
      <c r="M10" s="552"/>
      <c r="N10" s="552"/>
      <c r="O10" s="84">
        <v>6.039855122915971E-3</v>
      </c>
      <c r="P10" s="550"/>
      <c r="Q10" s="552"/>
      <c r="R10" s="153">
        <v>0.9</v>
      </c>
      <c r="S10" s="553"/>
      <c r="T10" s="550"/>
      <c r="U10" s="153">
        <f t="shared" si="8"/>
        <v>0.59615384615384615</v>
      </c>
      <c r="V10" s="543"/>
      <c r="W10" s="550"/>
    </row>
    <row r="11" spans="2:23">
      <c r="B11" s="539"/>
      <c r="C11" s="545"/>
      <c r="D11" s="80">
        <f t="shared" si="7"/>
        <v>46237</v>
      </c>
      <c r="E11" s="431" t="s">
        <v>117</v>
      </c>
      <c r="F11" s="87">
        <v>444.57594226744095</v>
      </c>
      <c r="G11" s="554"/>
      <c r="H11" s="551"/>
      <c r="I11" s="153">
        <f t="shared" si="1"/>
        <v>0.88844113162957827</v>
      </c>
      <c r="J11" s="553"/>
      <c r="K11" s="550"/>
      <c r="L11" s="161">
        <v>2.0062877060038997E-3</v>
      </c>
      <c r="M11" s="552"/>
      <c r="N11" s="552"/>
      <c r="O11" s="84">
        <v>6.0135223516884009E-3</v>
      </c>
      <c r="P11" s="550"/>
      <c r="Q11" s="552"/>
      <c r="R11" s="153">
        <v>0.9</v>
      </c>
      <c r="S11" s="553"/>
      <c r="T11" s="550"/>
      <c r="U11" s="153">
        <f t="shared" si="8"/>
        <v>0.59615384615384615</v>
      </c>
      <c r="V11" s="543"/>
      <c r="W11" s="550"/>
    </row>
    <row r="12" spans="2:23">
      <c r="B12" s="539">
        <f t="shared" ref="B12" si="9">B5+7</f>
        <v>46246</v>
      </c>
      <c r="C12" s="545"/>
      <c r="D12" s="80">
        <f t="shared" si="7"/>
        <v>46238</v>
      </c>
      <c r="E12" s="431" t="s">
        <v>118</v>
      </c>
      <c r="F12" s="87">
        <v>444.8745339433334</v>
      </c>
      <c r="G12" s="554">
        <f t="shared" ref="G12" si="10">AVERAGE(F12:F18)</f>
        <v>444.98752613705216</v>
      </c>
      <c r="H12" s="551"/>
      <c r="I12" s="153">
        <f t="shared" ref="I12:I18" si="11">F12/$C$1</f>
        <v>0.88903783761657362</v>
      </c>
      <c r="J12" s="553">
        <f t="shared" ref="J12" si="12">AVERAGE(I12:I18)</f>
        <v>0.88926364136101566</v>
      </c>
      <c r="K12" s="550"/>
      <c r="L12" s="161">
        <v>2.0035649879182704E-3</v>
      </c>
      <c r="M12" s="552">
        <f t="shared" ref="M12" si="13">AVERAGE(L12:L18)</f>
        <v>2.0032276116361881E-3</v>
      </c>
      <c r="N12" s="552"/>
      <c r="O12" s="84">
        <v>6.0082803415470757E-3</v>
      </c>
      <c r="P12" s="550">
        <f t="shared" ref="P12" si="14">AVERAGE(O12:O18)</f>
        <v>6.0088059078215522E-3</v>
      </c>
      <c r="Q12" s="552"/>
      <c r="R12" s="153">
        <v>0.9</v>
      </c>
      <c r="S12" s="553">
        <f t="shared" ref="S12" si="15">AVERAGE(R12:R18)</f>
        <v>0.90000000000000013</v>
      </c>
      <c r="T12" s="550"/>
      <c r="U12" s="153">
        <f>32/52*100%</f>
        <v>0.61538461538461542</v>
      </c>
      <c r="V12" s="543">
        <f t="shared" ref="V12" si="16">AVERAGE(U12:U18)</f>
        <v>0.61538461538461553</v>
      </c>
      <c r="W12" s="550"/>
    </row>
    <row r="13" spans="2:23">
      <c r="B13" s="539"/>
      <c r="C13" s="545"/>
      <c r="D13" s="80">
        <f t="shared" si="7"/>
        <v>46239</v>
      </c>
      <c r="E13" s="431" t="s">
        <v>112</v>
      </c>
      <c r="F13" s="87">
        <v>444.99873215552265</v>
      </c>
      <c r="G13" s="554"/>
      <c r="H13" s="551"/>
      <c r="I13" s="153">
        <f t="shared" si="11"/>
        <v>0.88928603548265917</v>
      </c>
      <c r="J13" s="553"/>
      <c r="K13" s="550"/>
      <c r="L13" s="161">
        <v>2.0020241589381316E-3</v>
      </c>
      <c r="M13" s="552"/>
      <c r="N13" s="552"/>
      <c r="O13" s="84">
        <v>6.0023976860791818E-3</v>
      </c>
      <c r="P13" s="550"/>
      <c r="Q13" s="552"/>
      <c r="R13" s="153">
        <v>0.9</v>
      </c>
      <c r="S13" s="553"/>
      <c r="T13" s="550"/>
      <c r="U13" s="153">
        <f t="shared" ref="U13:U18" si="17">32/52*100%</f>
        <v>0.61538461538461542</v>
      </c>
      <c r="V13" s="543"/>
      <c r="W13" s="550"/>
    </row>
    <row r="14" spans="2:23">
      <c r="B14" s="539"/>
      <c r="C14" s="545"/>
      <c r="D14" s="80">
        <f t="shared" si="7"/>
        <v>46240</v>
      </c>
      <c r="E14" s="431" t="s">
        <v>113</v>
      </c>
      <c r="F14" s="87">
        <v>444.39754394761871</v>
      </c>
      <c r="G14" s="554"/>
      <c r="H14" s="551"/>
      <c r="I14" s="153">
        <f t="shared" si="11"/>
        <v>0.88808462019907819</v>
      </c>
      <c r="J14" s="553"/>
      <c r="K14" s="550"/>
      <c r="L14" s="161">
        <v>1.9980106523877464E-3</v>
      </c>
      <c r="M14" s="552"/>
      <c r="N14" s="552"/>
      <c r="O14" s="84">
        <v>6.0038798408066033E-3</v>
      </c>
      <c r="P14" s="550"/>
      <c r="Q14" s="552"/>
      <c r="R14" s="153">
        <v>0.9</v>
      </c>
      <c r="S14" s="553"/>
      <c r="T14" s="550"/>
      <c r="U14" s="153">
        <f t="shared" si="17"/>
        <v>0.61538461538461542</v>
      </c>
      <c r="V14" s="543"/>
      <c r="W14" s="550"/>
    </row>
    <row r="15" spans="2:23">
      <c r="B15" s="539"/>
      <c r="C15" s="545"/>
      <c r="D15" s="80">
        <f t="shared" si="7"/>
        <v>46241</v>
      </c>
      <c r="E15" s="431" t="s">
        <v>114</v>
      </c>
      <c r="F15" s="87">
        <v>444.01185470423195</v>
      </c>
      <c r="G15" s="554"/>
      <c r="H15" s="551"/>
      <c r="I15" s="153">
        <f t="shared" si="11"/>
        <v>0.88731385832180654</v>
      </c>
      <c r="J15" s="553"/>
      <c r="K15" s="550"/>
      <c r="L15" s="161">
        <v>1.9963328551949821E-3</v>
      </c>
      <c r="M15" s="552"/>
      <c r="N15" s="552"/>
      <c r="O15" s="84">
        <v>5.9962863553429096E-3</v>
      </c>
      <c r="P15" s="550"/>
      <c r="Q15" s="552"/>
      <c r="R15" s="153">
        <v>0.9</v>
      </c>
      <c r="S15" s="553"/>
      <c r="T15" s="550"/>
      <c r="U15" s="153">
        <f t="shared" si="17"/>
        <v>0.61538461538461542</v>
      </c>
      <c r="V15" s="543"/>
      <c r="W15" s="550"/>
    </row>
    <row r="16" spans="2:23">
      <c r="B16" s="539"/>
      <c r="C16" s="545"/>
      <c r="D16" s="80">
        <f t="shared" si="7"/>
        <v>46242</v>
      </c>
      <c r="E16" s="431" t="s">
        <v>115</v>
      </c>
      <c r="F16" s="87">
        <v>444.63999207797815</v>
      </c>
      <c r="G16" s="554"/>
      <c r="H16" s="551"/>
      <c r="I16" s="153">
        <f t="shared" si="11"/>
        <v>0.88856912885287409</v>
      </c>
      <c r="J16" s="553"/>
      <c r="K16" s="550"/>
      <c r="L16" s="161">
        <v>2.0022747042584433E-3</v>
      </c>
      <c r="M16" s="552"/>
      <c r="N16" s="552"/>
      <c r="O16" s="84">
        <v>6.0082593885629112E-3</v>
      </c>
      <c r="P16" s="550"/>
      <c r="Q16" s="552"/>
      <c r="R16" s="153">
        <v>0.9</v>
      </c>
      <c r="S16" s="553"/>
      <c r="T16" s="550"/>
      <c r="U16" s="153">
        <f t="shared" si="17"/>
        <v>0.61538461538461542</v>
      </c>
      <c r="V16" s="543"/>
      <c r="W16" s="550"/>
    </row>
    <row r="17" spans="2:23">
      <c r="B17" s="539"/>
      <c r="C17" s="545"/>
      <c r="D17" s="80">
        <f t="shared" si="7"/>
        <v>46243</v>
      </c>
      <c r="E17" s="431" t="s">
        <v>116</v>
      </c>
      <c r="F17" s="87">
        <v>445.08292708957987</v>
      </c>
      <c r="G17" s="554"/>
      <c r="H17" s="551"/>
      <c r="I17" s="153">
        <f t="shared" si="11"/>
        <v>0.88945429074656257</v>
      </c>
      <c r="J17" s="553"/>
      <c r="K17" s="550"/>
      <c r="L17" s="161">
        <v>2.0120046467735392E-3</v>
      </c>
      <c r="M17" s="552"/>
      <c r="N17" s="552"/>
      <c r="O17" s="84">
        <v>6.0243766928916326E-3</v>
      </c>
      <c r="P17" s="550"/>
      <c r="Q17" s="552"/>
      <c r="R17" s="153">
        <v>0.9</v>
      </c>
      <c r="S17" s="553"/>
      <c r="T17" s="550"/>
      <c r="U17" s="153">
        <f t="shared" si="17"/>
        <v>0.61538461538461542</v>
      </c>
      <c r="V17" s="543"/>
      <c r="W17" s="550"/>
    </row>
    <row r="18" spans="2:23">
      <c r="B18" s="539"/>
      <c r="C18" s="545"/>
      <c r="D18" s="80">
        <f t="shared" si="7"/>
        <v>46244</v>
      </c>
      <c r="E18" s="431" t="s">
        <v>117</v>
      </c>
      <c r="F18" s="87">
        <v>446.90709904110037</v>
      </c>
      <c r="G18" s="554"/>
      <c r="H18" s="551"/>
      <c r="I18" s="153">
        <f t="shared" si="11"/>
        <v>0.89309971830755475</v>
      </c>
      <c r="J18" s="553"/>
      <c r="K18" s="550"/>
      <c r="L18" s="161">
        <v>2.0083812759822042E-3</v>
      </c>
      <c r="M18" s="552"/>
      <c r="N18" s="552"/>
      <c r="O18" s="84">
        <v>6.0181610495205502E-3</v>
      </c>
      <c r="P18" s="550"/>
      <c r="Q18" s="552"/>
      <c r="R18" s="153">
        <v>0.9</v>
      </c>
      <c r="S18" s="553"/>
      <c r="T18" s="550"/>
      <c r="U18" s="153">
        <f t="shared" si="17"/>
        <v>0.61538461538461542</v>
      </c>
      <c r="V18" s="543"/>
      <c r="W18" s="550"/>
    </row>
    <row r="19" spans="2:23">
      <c r="B19" s="539">
        <f t="shared" ref="B19" si="18">B12+7</f>
        <v>46253</v>
      </c>
      <c r="C19" s="545"/>
      <c r="D19" s="80">
        <f t="shared" si="7"/>
        <v>46245</v>
      </c>
      <c r="E19" s="431" t="s">
        <v>118</v>
      </c>
      <c r="F19" s="87">
        <v>447.04911568533424</v>
      </c>
      <c r="G19" s="554">
        <f t="shared" ref="G19" si="19">AVERAGE(F19:F25)</f>
        <v>447.03097810828018</v>
      </c>
      <c r="H19" s="551"/>
      <c r="I19" s="153">
        <f t="shared" ref="I19:I25" si="20">F19/$C$1</f>
        <v>0.89338352455102765</v>
      </c>
      <c r="J19" s="553">
        <f t="shared" ref="J19" si="21">AVERAGE(I19:I25)</f>
        <v>0.8933472783938452</v>
      </c>
      <c r="K19" s="550"/>
      <c r="L19" s="161">
        <v>2.0055281375709272E-3</v>
      </c>
      <c r="M19" s="552">
        <f t="shared" ref="M19" si="22">AVERAGE(L19:L25)</f>
        <v>2.0059773483459046E-3</v>
      </c>
      <c r="N19" s="552"/>
      <c r="O19" s="84">
        <v>6.0164484538576595E-3</v>
      </c>
      <c r="P19" s="550">
        <f t="shared" ref="P19" si="23">AVERAGE(O19:O25)</f>
        <v>6.0108530573013946E-3</v>
      </c>
      <c r="Q19" s="552"/>
      <c r="R19" s="153">
        <v>0.9</v>
      </c>
      <c r="S19" s="553">
        <f t="shared" ref="S19" si="24">AVERAGE(R19:R25)</f>
        <v>0.90000000000000013</v>
      </c>
      <c r="T19" s="550"/>
      <c r="U19" s="153">
        <f>33/52*100%</f>
        <v>0.63461538461538458</v>
      </c>
      <c r="V19" s="543">
        <f t="shared" ref="V19" si="25">AVERAGE(U19:U25)</f>
        <v>0.63461538461538447</v>
      </c>
      <c r="W19" s="550"/>
    </row>
    <row r="20" spans="2:23">
      <c r="B20" s="539"/>
      <c r="C20" s="545"/>
      <c r="D20" s="80">
        <f t="shared" si="7"/>
        <v>46246</v>
      </c>
      <c r="E20" s="431" t="s">
        <v>112</v>
      </c>
      <c r="F20" s="87">
        <v>447.17079051995063</v>
      </c>
      <c r="G20" s="554"/>
      <c r="H20" s="551"/>
      <c r="I20" s="153">
        <f t="shared" si="20"/>
        <v>0.8936266796961444</v>
      </c>
      <c r="J20" s="553"/>
      <c r="K20" s="550"/>
      <c r="L20" s="161">
        <v>2.0042621387463427E-3</v>
      </c>
      <c r="M20" s="552"/>
      <c r="N20" s="552"/>
      <c r="O20" s="84">
        <v>6.0102545498361467E-3</v>
      </c>
      <c r="P20" s="550"/>
      <c r="Q20" s="552"/>
      <c r="R20" s="153">
        <v>0.9</v>
      </c>
      <c r="S20" s="553"/>
      <c r="T20" s="550"/>
      <c r="U20" s="153">
        <f t="shared" ref="U20:U25" si="26">33/52*100%</f>
        <v>0.63461538461538458</v>
      </c>
      <c r="V20" s="543"/>
      <c r="W20" s="550"/>
    </row>
    <row r="21" spans="2:23">
      <c r="B21" s="539"/>
      <c r="C21" s="545"/>
      <c r="D21" s="80">
        <f t="shared" si="7"/>
        <v>46247</v>
      </c>
      <c r="E21" s="431" t="s">
        <v>113</v>
      </c>
      <c r="F21" s="87">
        <v>446.55731391334319</v>
      </c>
      <c r="G21" s="554"/>
      <c r="H21" s="551"/>
      <c r="I21" s="153">
        <f t="shared" si="20"/>
        <v>0.89240070726087772</v>
      </c>
      <c r="J21" s="553"/>
      <c r="K21" s="550"/>
      <c r="L21" s="161">
        <v>2.0036080086623942E-3</v>
      </c>
      <c r="M21" s="552"/>
      <c r="N21" s="552"/>
      <c r="O21" s="84">
        <v>6.005796804573629E-3</v>
      </c>
      <c r="P21" s="550"/>
      <c r="Q21" s="552"/>
      <c r="R21" s="153">
        <v>0.9</v>
      </c>
      <c r="S21" s="553"/>
      <c r="T21" s="550"/>
      <c r="U21" s="153">
        <f t="shared" si="26"/>
        <v>0.63461538461538458</v>
      </c>
      <c r="V21" s="543"/>
      <c r="W21" s="550"/>
    </row>
    <row r="22" spans="2:23">
      <c r="B22" s="539"/>
      <c r="C22" s="545"/>
      <c r="D22" s="80">
        <f t="shared" si="7"/>
        <v>46248</v>
      </c>
      <c r="E22" s="431" t="s">
        <v>114</v>
      </c>
      <c r="F22" s="87">
        <v>448.30134768549226</v>
      </c>
      <c r="G22" s="554"/>
      <c r="H22" s="551"/>
      <c r="I22" s="153">
        <f t="shared" si="20"/>
        <v>0.89588598658171914</v>
      </c>
      <c r="J22" s="553"/>
      <c r="K22" s="550"/>
      <c r="L22" s="161">
        <v>2.0019534291956824E-3</v>
      </c>
      <c r="M22" s="552"/>
      <c r="N22" s="552"/>
      <c r="O22" s="84">
        <v>6.0037292426061151E-3</v>
      </c>
      <c r="P22" s="550"/>
      <c r="Q22" s="552"/>
      <c r="R22" s="153">
        <v>0.9</v>
      </c>
      <c r="S22" s="553"/>
      <c r="T22" s="550"/>
      <c r="U22" s="153">
        <f t="shared" si="26"/>
        <v>0.63461538461538458</v>
      </c>
      <c r="V22" s="543"/>
      <c r="W22" s="550"/>
    </row>
    <row r="23" spans="2:23">
      <c r="B23" s="539"/>
      <c r="C23" s="545"/>
      <c r="D23" s="80">
        <f t="shared" si="7"/>
        <v>46249</v>
      </c>
      <c r="E23" s="431" t="s">
        <v>115</v>
      </c>
      <c r="F23" s="87">
        <v>446.41708896835672</v>
      </c>
      <c r="G23" s="554"/>
      <c r="H23" s="551"/>
      <c r="I23" s="153">
        <f t="shared" si="20"/>
        <v>0.89212048155147228</v>
      </c>
      <c r="J23" s="553"/>
      <c r="K23" s="550"/>
      <c r="L23" s="161">
        <v>2.0038676296236383E-3</v>
      </c>
      <c r="M23" s="552"/>
      <c r="N23" s="552"/>
      <c r="O23" s="84">
        <v>6.0078387604262564E-3</v>
      </c>
      <c r="P23" s="550"/>
      <c r="Q23" s="552"/>
      <c r="R23" s="153">
        <v>0.9</v>
      </c>
      <c r="S23" s="553"/>
      <c r="T23" s="550"/>
      <c r="U23" s="153">
        <f t="shared" si="26"/>
        <v>0.63461538461538458</v>
      </c>
      <c r="V23" s="543"/>
      <c r="W23" s="550"/>
    </row>
    <row r="24" spans="2:23">
      <c r="B24" s="539"/>
      <c r="C24" s="545"/>
      <c r="D24" s="80">
        <f t="shared" si="7"/>
        <v>46250</v>
      </c>
      <c r="E24" s="431" t="s">
        <v>116</v>
      </c>
      <c r="F24" s="87">
        <v>446.80394608953105</v>
      </c>
      <c r="G24" s="554"/>
      <c r="H24" s="551"/>
      <c r="I24" s="153">
        <f t="shared" si="20"/>
        <v>0.89289357731720842</v>
      </c>
      <c r="J24" s="553"/>
      <c r="K24" s="550"/>
      <c r="L24" s="161">
        <v>2.014407874352211E-3</v>
      </c>
      <c r="M24" s="552"/>
      <c r="N24" s="552"/>
      <c r="O24" s="84">
        <v>6.0199032200620164E-3</v>
      </c>
      <c r="P24" s="550"/>
      <c r="Q24" s="552"/>
      <c r="R24" s="153">
        <v>0.9</v>
      </c>
      <c r="S24" s="553"/>
      <c r="T24" s="550"/>
      <c r="U24" s="153">
        <f t="shared" si="26"/>
        <v>0.63461538461538458</v>
      </c>
      <c r="V24" s="543"/>
      <c r="W24" s="550"/>
    </row>
    <row r="25" spans="2:23">
      <c r="B25" s="539"/>
      <c r="C25" s="545"/>
      <c r="D25" s="80">
        <f t="shared" si="7"/>
        <v>46251</v>
      </c>
      <c r="E25" s="431" t="s">
        <v>117</v>
      </c>
      <c r="F25" s="87">
        <v>446.91724389595288</v>
      </c>
      <c r="G25" s="554"/>
      <c r="H25" s="551"/>
      <c r="I25" s="153">
        <f t="shared" si="20"/>
        <v>0.89311999179846702</v>
      </c>
      <c r="J25" s="553"/>
      <c r="K25" s="550"/>
      <c r="L25" s="161">
        <v>2.0082142202701371E-3</v>
      </c>
      <c r="M25" s="552"/>
      <c r="N25" s="552"/>
      <c r="O25" s="84">
        <v>6.012000369747938E-3</v>
      </c>
      <c r="P25" s="550"/>
      <c r="Q25" s="552"/>
      <c r="R25" s="153">
        <v>0.9</v>
      </c>
      <c r="S25" s="553"/>
      <c r="T25" s="550"/>
      <c r="U25" s="153">
        <f t="shared" si="26"/>
        <v>0.63461538461538458</v>
      </c>
      <c r="V25" s="543"/>
      <c r="W25" s="550"/>
    </row>
    <row r="26" spans="2:23">
      <c r="B26" s="539">
        <f t="shared" ref="B26" si="27">B19+7</f>
        <v>46260</v>
      </c>
      <c r="C26" s="545"/>
      <c r="D26" s="80">
        <f t="shared" si="7"/>
        <v>46252</v>
      </c>
      <c r="E26" s="431" t="s">
        <v>118</v>
      </c>
      <c r="F26" s="87">
        <v>449.7826722307878</v>
      </c>
      <c r="G26" s="554">
        <f t="shared" ref="G26" si="28">AVERAGE(F26:F32)</f>
        <v>453.22646308681612</v>
      </c>
      <c r="H26" s="551"/>
      <c r="I26" s="153">
        <f t="shared" ref="I26:I32" si="29">F26/$C$1</f>
        <v>0.89884626744761753</v>
      </c>
      <c r="J26" s="553">
        <f t="shared" ref="J26" si="30">AVERAGE(I26:I32)</f>
        <v>0.90572834349883313</v>
      </c>
      <c r="K26" s="550"/>
      <c r="L26" s="161">
        <v>2.0120114501211294E-3</v>
      </c>
      <c r="M26" s="552">
        <f t="shared" ref="M26" si="31">AVERAGE(L26:L32)</f>
        <v>2.0093126637172574E-3</v>
      </c>
      <c r="N26" s="552"/>
      <c r="O26" s="84">
        <v>6.0242774113060471E-3</v>
      </c>
      <c r="P26" s="550">
        <f t="shared" ref="P26" si="32">AVERAGE(O26:O32)</f>
        <v>6.0171883073483054E-3</v>
      </c>
      <c r="Q26" s="552"/>
      <c r="R26" s="153">
        <v>0.9</v>
      </c>
      <c r="S26" s="553">
        <f t="shared" ref="S26" si="33">AVERAGE(R26:R32)</f>
        <v>0.90000000000000013</v>
      </c>
      <c r="T26" s="550"/>
      <c r="U26" s="153">
        <f>34/52*100%</f>
        <v>0.65384615384615385</v>
      </c>
      <c r="V26" s="543">
        <f t="shared" ref="V26" si="34">AVERAGE(U26:U32)</f>
        <v>0.65384615384615385</v>
      </c>
      <c r="W26" s="550"/>
    </row>
    <row r="27" spans="2:23">
      <c r="B27" s="539"/>
      <c r="C27" s="545"/>
      <c r="D27" s="80">
        <f t="shared" si="7"/>
        <v>46253</v>
      </c>
      <c r="E27" s="431" t="s">
        <v>112</v>
      </c>
      <c r="F27" s="87">
        <v>450.85113187298828</v>
      </c>
      <c r="G27" s="554"/>
      <c r="H27" s="551"/>
      <c r="I27" s="153">
        <f t="shared" si="29"/>
        <v>0.90098147856312605</v>
      </c>
      <c r="J27" s="553"/>
      <c r="K27" s="550"/>
      <c r="L27" s="161">
        <v>2.0060207078474385E-3</v>
      </c>
      <c r="M27" s="552"/>
      <c r="N27" s="552"/>
      <c r="O27" s="84">
        <v>6.0115048681792429E-3</v>
      </c>
      <c r="P27" s="550"/>
      <c r="Q27" s="552"/>
      <c r="R27" s="153">
        <v>0.9</v>
      </c>
      <c r="S27" s="553"/>
      <c r="T27" s="550"/>
      <c r="U27" s="153">
        <f t="shared" ref="U27:U32" si="35">34/52*100%</f>
        <v>0.65384615384615385</v>
      </c>
      <c r="V27" s="543"/>
      <c r="W27" s="550"/>
    </row>
    <row r="28" spans="2:23">
      <c r="B28" s="539"/>
      <c r="C28" s="545"/>
      <c r="D28" s="80">
        <f t="shared" si="7"/>
        <v>46254</v>
      </c>
      <c r="E28" s="431" t="s">
        <v>113</v>
      </c>
      <c r="F28" s="87">
        <v>451.28890681251289</v>
      </c>
      <c r="G28" s="554"/>
      <c r="H28" s="551"/>
      <c r="I28" s="153">
        <f t="shared" si="29"/>
        <v>0.90185632856217612</v>
      </c>
      <c r="J28" s="553"/>
      <c r="K28" s="550"/>
      <c r="L28" s="161">
        <v>2.0078395735761336E-3</v>
      </c>
      <c r="M28" s="552"/>
      <c r="N28" s="552"/>
      <c r="O28" s="84">
        <v>6.0216162651123908E-3</v>
      </c>
      <c r="P28" s="550"/>
      <c r="Q28" s="552"/>
      <c r="R28" s="153">
        <v>0.9</v>
      </c>
      <c r="S28" s="553"/>
      <c r="T28" s="550"/>
      <c r="U28" s="153">
        <f t="shared" si="35"/>
        <v>0.65384615384615385</v>
      </c>
      <c r="V28" s="543"/>
      <c r="W28" s="550"/>
    </row>
    <row r="29" spans="2:23">
      <c r="B29" s="539"/>
      <c r="C29" s="545"/>
      <c r="D29" s="80">
        <f t="shared" si="7"/>
        <v>46255</v>
      </c>
      <c r="E29" s="431" t="s">
        <v>114</v>
      </c>
      <c r="F29" s="87">
        <v>453.28714798285432</v>
      </c>
      <c r="G29" s="554"/>
      <c r="H29" s="551"/>
      <c r="I29" s="153">
        <f t="shared" si="29"/>
        <v>0.90584961627269056</v>
      </c>
      <c r="J29" s="553"/>
      <c r="K29" s="550"/>
      <c r="L29" s="161">
        <v>2.0053932993019797E-3</v>
      </c>
      <c r="M29" s="552"/>
      <c r="N29" s="552"/>
      <c r="O29" s="84">
        <v>6.0117639437504942E-3</v>
      </c>
      <c r="P29" s="550"/>
      <c r="Q29" s="552"/>
      <c r="R29" s="153">
        <v>0.9</v>
      </c>
      <c r="S29" s="553"/>
      <c r="T29" s="550"/>
      <c r="U29" s="153">
        <f t="shared" si="35"/>
        <v>0.65384615384615385</v>
      </c>
      <c r="V29" s="543"/>
      <c r="W29" s="550"/>
    </row>
    <row r="30" spans="2:23">
      <c r="B30" s="539"/>
      <c r="C30" s="545"/>
      <c r="D30" s="80">
        <f t="shared" si="7"/>
        <v>46256</v>
      </c>
      <c r="E30" s="431" t="s">
        <v>115</v>
      </c>
      <c r="F30" s="87">
        <v>452.55058186391261</v>
      </c>
      <c r="G30" s="554"/>
      <c r="H30" s="551"/>
      <c r="I30" s="153">
        <f t="shared" si="29"/>
        <v>0.90437766159854638</v>
      </c>
      <c r="J30" s="553"/>
      <c r="K30" s="550"/>
      <c r="L30" s="161">
        <v>2.009878181924247E-3</v>
      </c>
      <c r="M30" s="552"/>
      <c r="N30" s="552"/>
      <c r="O30" s="84">
        <v>6.0097968083278322E-3</v>
      </c>
      <c r="P30" s="550"/>
      <c r="Q30" s="552"/>
      <c r="R30" s="153">
        <v>0.9</v>
      </c>
      <c r="S30" s="553"/>
      <c r="T30" s="550"/>
      <c r="U30" s="153">
        <f t="shared" si="35"/>
        <v>0.65384615384615385</v>
      </c>
      <c r="V30" s="543"/>
      <c r="W30" s="550"/>
    </row>
    <row r="31" spans="2:23">
      <c r="B31" s="539"/>
      <c r="C31" s="545"/>
      <c r="D31" s="80">
        <f t="shared" si="7"/>
        <v>46257</v>
      </c>
      <c r="E31" s="431" t="s">
        <v>116</v>
      </c>
      <c r="F31" s="87">
        <v>454.36932622675317</v>
      </c>
      <c r="G31" s="554"/>
      <c r="H31" s="551"/>
      <c r="I31" s="153">
        <f t="shared" si="29"/>
        <v>0.90801224265937885</v>
      </c>
      <c r="J31" s="553"/>
      <c r="K31" s="550"/>
      <c r="L31" s="161">
        <v>2.0143218633261219E-3</v>
      </c>
      <c r="M31" s="552"/>
      <c r="N31" s="552"/>
      <c r="O31" s="84">
        <v>6.023716412263477E-3</v>
      </c>
      <c r="P31" s="550"/>
      <c r="Q31" s="552"/>
      <c r="R31" s="153">
        <v>0.9</v>
      </c>
      <c r="S31" s="553"/>
      <c r="T31" s="550"/>
      <c r="U31" s="153">
        <f t="shared" si="35"/>
        <v>0.65384615384615385</v>
      </c>
      <c r="V31" s="543"/>
      <c r="W31" s="550"/>
    </row>
    <row r="32" spans="2:23">
      <c r="B32" s="539"/>
      <c r="C32" s="545"/>
      <c r="D32" s="80">
        <f t="shared" si="7"/>
        <v>46258</v>
      </c>
      <c r="E32" s="431" t="s">
        <v>117</v>
      </c>
      <c r="F32" s="87">
        <v>460.45547461790341</v>
      </c>
      <c r="G32" s="554"/>
      <c r="H32" s="551"/>
      <c r="I32" s="153">
        <f t="shared" si="29"/>
        <v>0.92017480938829621</v>
      </c>
      <c r="J32" s="553"/>
      <c r="K32" s="550"/>
      <c r="L32" s="161">
        <v>2.0097235699237511E-3</v>
      </c>
      <c r="M32" s="552"/>
      <c r="N32" s="552"/>
      <c r="O32" s="84">
        <v>6.0176424424986498E-3</v>
      </c>
      <c r="P32" s="550"/>
      <c r="Q32" s="552"/>
      <c r="R32" s="153">
        <v>0.9</v>
      </c>
      <c r="S32" s="553"/>
      <c r="T32" s="550"/>
      <c r="U32" s="153">
        <f t="shared" si="35"/>
        <v>0.65384615384615385</v>
      </c>
      <c r="V32" s="543"/>
      <c r="W32" s="550"/>
    </row>
    <row r="33" spans="2:23">
      <c r="B33" s="539">
        <f t="shared" ref="B33" si="36">B26+7</f>
        <v>46267</v>
      </c>
      <c r="C33" s="545"/>
      <c r="D33" s="80">
        <f t="shared" si="7"/>
        <v>46259</v>
      </c>
      <c r="E33" s="431" t="s">
        <v>118</v>
      </c>
      <c r="F33" s="87">
        <v>450.42791447795366</v>
      </c>
      <c r="G33" s="554">
        <f t="shared" ref="G33" si="37">AVERAGE(F33:F39)</f>
        <v>451.70211489829472</v>
      </c>
      <c r="H33" s="551"/>
      <c r="I33" s="153">
        <f t="shared" ref="I33:I39" si="38">F33/$C$1</f>
        <v>0.90013572037960365</v>
      </c>
      <c r="J33" s="553">
        <f t="shared" ref="J33" si="39">AVERAGE(I33:I39)</f>
        <v>0.90268208412928608</v>
      </c>
      <c r="K33" s="550"/>
      <c r="L33" s="161">
        <v>2.0037384677611346E-3</v>
      </c>
      <c r="M33" s="552">
        <f t="shared" ref="M33" si="40">AVERAGE(L33:L39)</f>
        <v>2.0090437528970531E-3</v>
      </c>
      <c r="N33" s="552"/>
      <c r="O33" s="84">
        <v>6.0135773876543383E-3</v>
      </c>
      <c r="P33" s="550">
        <f t="shared" ref="P33" si="41">AVERAGE(O33:O39)</f>
        <v>6.0132432682844092E-3</v>
      </c>
      <c r="Q33" s="552"/>
      <c r="R33" s="153">
        <v>0.9</v>
      </c>
      <c r="S33" s="553">
        <f t="shared" ref="S33" si="42">AVERAGE(R33:R39)</f>
        <v>0.90000000000000013</v>
      </c>
      <c r="T33" s="550"/>
      <c r="U33" s="153">
        <f>35/52*100%</f>
        <v>0.67307692307692313</v>
      </c>
      <c r="V33" s="543">
        <f t="shared" ref="V33" si="43">AVERAGE(U33:U39)</f>
        <v>0.67307692307692324</v>
      </c>
      <c r="W33" s="550"/>
    </row>
    <row r="34" spans="2:23">
      <c r="B34" s="539"/>
      <c r="C34" s="545"/>
      <c r="D34" s="80">
        <f t="shared" si="7"/>
        <v>46260</v>
      </c>
      <c r="E34" s="431" t="s">
        <v>112</v>
      </c>
      <c r="F34" s="87">
        <v>450.16071809276951</v>
      </c>
      <c r="G34" s="554"/>
      <c r="H34" s="551"/>
      <c r="I34" s="153">
        <f t="shared" si="38"/>
        <v>0.89960175478171367</v>
      </c>
      <c r="J34" s="553"/>
      <c r="K34" s="550"/>
      <c r="L34" s="161">
        <v>2.0181624820743791E-3</v>
      </c>
      <c r="M34" s="552"/>
      <c r="N34" s="552"/>
      <c r="O34" s="84">
        <v>6.017874914651028E-3</v>
      </c>
      <c r="P34" s="550"/>
      <c r="Q34" s="552"/>
      <c r="R34" s="153">
        <v>0.9</v>
      </c>
      <c r="S34" s="553"/>
      <c r="T34" s="550"/>
      <c r="U34" s="153">
        <f t="shared" ref="U34:U39" si="44">35/52*100%</f>
        <v>0.67307692307692313</v>
      </c>
      <c r="V34" s="543"/>
      <c r="W34" s="550"/>
    </row>
    <row r="35" spans="2:23">
      <c r="B35" s="539"/>
      <c r="C35" s="545"/>
      <c r="D35" s="80">
        <f t="shared" si="7"/>
        <v>46261</v>
      </c>
      <c r="E35" s="431" t="s">
        <v>113</v>
      </c>
      <c r="F35" s="87">
        <v>449.82107516401845</v>
      </c>
      <c r="G35" s="554"/>
      <c r="H35" s="551"/>
      <c r="I35" s="153">
        <f t="shared" si="38"/>
        <v>0.8989230119185021</v>
      </c>
      <c r="J35" s="553"/>
      <c r="K35" s="550"/>
      <c r="L35" s="161">
        <v>2.0116664659390595E-3</v>
      </c>
      <c r="M35" s="552"/>
      <c r="N35" s="552"/>
      <c r="O35" s="84">
        <v>6.0119581914698126E-3</v>
      </c>
      <c r="P35" s="550"/>
      <c r="Q35" s="552"/>
      <c r="R35" s="153">
        <v>0.9</v>
      </c>
      <c r="S35" s="553"/>
      <c r="T35" s="550"/>
      <c r="U35" s="153">
        <f t="shared" si="44"/>
        <v>0.67307692307692313</v>
      </c>
      <c r="V35" s="543"/>
      <c r="W35" s="550"/>
    </row>
    <row r="36" spans="2:23">
      <c r="B36" s="539"/>
      <c r="C36" s="545"/>
      <c r="D36" s="80">
        <f t="shared" si="7"/>
        <v>46262</v>
      </c>
      <c r="E36" s="431" t="s">
        <v>114</v>
      </c>
      <c r="F36" s="87">
        <v>453.08650273769558</v>
      </c>
      <c r="G36" s="554"/>
      <c r="H36" s="551"/>
      <c r="I36" s="153">
        <f t="shared" si="38"/>
        <v>0.90544864655814472</v>
      </c>
      <c r="J36" s="553"/>
      <c r="K36" s="550"/>
      <c r="L36" s="161">
        <v>2.0003443494655739E-3</v>
      </c>
      <c r="M36" s="552"/>
      <c r="N36" s="552"/>
      <c r="O36" s="84">
        <v>6.0095149100250897E-3</v>
      </c>
      <c r="P36" s="550"/>
      <c r="Q36" s="552"/>
      <c r="R36" s="153">
        <v>0.9</v>
      </c>
      <c r="S36" s="553"/>
      <c r="T36" s="550"/>
      <c r="U36" s="153">
        <f t="shared" si="44"/>
        <v>0.67307692307692313</v>
      </c>
      <c r="V36" s="543"/>
      <c r="W36" s="550"/>
    </row>
    <row r="37" spans="2:23">
      <c r="B37" s="539"/>
      <c r="C37" s="545"/>
      <c r="D37" s="80">
        <f t="shared" si="7"/>
        <v>46263</v>
      </c>
      <c r="E37" s="431" t="s">
        <v>115</v>
      </c>
      <c r="F37" s="87">
        <v>455.90035891547546</v>
      </c>
      <c r="G37" s="554"/>
      <c r="H37" s="551"/>
      <c r="I37" s="153">
        <f t="shared" si="38"/>
        <v>0.91107186034267684</v>
      </c>
      <c r="J37" s="553"/>
      <c r="K37" s="550"/>
      <c r="L37" s="161">
        <v>2.0036691922443351E-3</v>
      </c>
      <c r="M37" s="552"/>
      <c r="N37" s="552"/>
      <c r="O37" s="84">
        <v>6.0054863900483712E-3</v>
      </c>
      <c r="P37" s="550"/>
      <c r="Q37" s="552"/>
      <c r="R37" s="153">
        <v>0.9</v>
      </c>
      <c r="S37" s="553"/>
      <c r="T37" s="550"/>
      <c r="U37" s="153">
        <f t="shared" si="44"/>
        <v>0.67307692307692313</v>
      </c>
      <c r="V37" s="543"/>
      <c r="W37" s="550"/>
    </row>
    <row r="38" spans="2:23">
      <c r="B38" s="539"/>
      <c r="C38" s="545"/>
      <c r="D38" s="80">
        <f t="shared" si="7"/>
        <v>46264</v>
      </c>
      <c r="E38" s="431" t="s">
        <v>116</v>
      </c>
      <c r="F38" s="87">
        <v>454.23384888649366</v>
      </c>
      <c r="G38" s="554"/>
      <c r="H38" s="551"/>
      <c r="I38" s="153">
        <f t="shared" si="38"/>
        <v>0.90774150456933189</v>
      </c>
      <c r="J38" s="553"/>
      <c r="K38" s="550"/>
      <c r="L38" s="161">
        <v>2.0137153046033626E-3</v>
      </c>
      <c r="M38" s="552"/>
      <c r="N38" s="552"/>
      <c r="O38" s="84">
        <v>6.0144913013704653E-3</v>
      </c>
      <c r="P38" s="550"/>
      <c r="Q38" s="552"/>
      <c r="R38" s="153">
        <v>0.9</v>
      </c>
      <c r="S38" s="553"/>
      <c r="T38" s="550"/>
      <c r="U38" s="153">
        <f t="shared" si="44"/>
        <v>0.67307692307692313</v>
      </c>
      <c r="V38" s="543"/>
      <c r="W38" s="550"/>
    </row>
    <row r="39" spans="2:23">
      <c r="B39" s="539"/>
      <c r="C39" s="545"/>
      <c r="D39" s="80">
        <f t="shared" si="7"/>
        <v>46265</v>
      </c>
      <c r="E39" s="431" t="s">
        <v>117</v>
      </c>
      <c r="F39" s="87">
        <v>448.28438601365673</v>
      </c>
      <c r="G39" s="554"/>
      <c r="H39" s="551"/>
      <c r="I39" s="153">
        <f t="shared" si="38"/>
        <v>0.89585209035502944</v>
      </c>
      <c r="J39" s="553"/>
      <c r="K39" s="550"/>
      <c r="L39" s="161">
        <v>2.0120100081915267E-3</v>
      </c>
      <c r="M39" s="552"/>
      <c r="N39" s="552"/>
      <c r="O39" s="84">
        <v>6.0197997827717573E-3</v>
      </c>
      <c r="P39" s="550"/>
      <c r="Q39" s="552"/>
      <c r="R39" s="153">
        <v>0.9</v>
      </c>
      <c r="S39" s="553"/>
      <c r="T39" s="550"/>
      <c r="U39" s="153">
        <f t="shared" si="44"/>
        <v>0.67307692307692313</v>
      </c>
      <c r="V39" s="543"/>
      <c r="W39" s="550"/>
    </row>
  </sheetData>
  <mergeCells count="59">
    <mergeCell ref="B33:B39"/>
    <mergeCell ref="G33:G39"/>
    <mergeCell ref="J33:J39"/>
    <mergeCell ref="M33:M39"/>
    <mergeCell ref="P33:P39"/>
    <mergeCell ref="C9:C39"/>
    <mergeCell ref="H9:H39"/>
    <mergeCell ref="K9:K39"/>
    <mergeCell ref="N9:N39"/>
    <mergeCell ref="B26:B32"/>
    <mergeCell ref="G26:G32"/>
    <mergeCell ref="J26:J32"/>
    <mergeCell ref="M26:M32"/>
    <mergeCell ref="P26:P32"/>
    <mergeCell ref="B5:B11"/>
    <mergeCell ref="G5:G11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J5:J11"/>
    <mergeCell ref="M5:M11"/>
    <mergeCell ref="P5:P11"/>
    <mergeCell ref="S12:S18"/>
    <mergeCell ref="V12:V18"/>
    <mergeCell ref="Q9:Q39"/>
    <mergeCell ref="T9:T39"/>
    <mergeCell ref="T5:T8"/>
    <mergeCell ref="S5:S11"/>
    <mergeCell ref="V5:V11"/>
    <mergeCell ref="W9:W39"/>
    <mergeCell ref="S26:S32"/>
    <mergeCell ref="V26:V32"/>
    <mergeCell ref="S33:S39"/>
    <mergeCell ref="V33:V39"/>
    <mergeCell ref="S19:S25"/>
    <mergeCell ref="V19:V25"/>
    <mergeCell ref="C5:C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W5:W8"/>
    <mergeCell ref="H5:H8"/>
    <mergeCell ref="K5:K8"/>
    <mergeCell ref="N5:N8"/>
    <mergeCell ref="Q5:Q8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41"/>
  <sheetViews>
    <sheetView topLeftCell="A4" zoomScale="85" zoomScaleNormal="85" workbookViewId="0">
      <selection activeCell="M11" sqref="M11:M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8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31" t="s">
        <v>301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</row>
    <row r="3" spans="1:40" ht="25.35" customHeight="1">
      <c r="B3" s="557" t="s">
        <v>151</v>
      </c>
      <c r="C3" s="558" t="s">
        <v>144</v>
      </c>
      <c r="D3" s="559" t="s">
        <v>105</v>
      </c>
      <c r="E3" s="559"/>
      <c r="F3" s="561" t="s">
        <v>135</v>
      </c>
      <c r="G3" s="561"/>
      <c r="H3" s="561"/>
      <c r="I3" s="562" t="s">
        <v>109</v>
      </c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562"/>
      <c r="AD3" s="562"/>
      <c r="AE3" s="562"/>
      <c r="AF3" s="562"/>
      <c r="AG3" s="562"/>
      <c r="AH3" s="562"/>
      <c r="AI3" s="562"/>
      <c r="AJ3" s="562"/>
      <c r="AK3" s="562"/>
      <c r="AL3" s="562"/>
    </row>
    <row r="4" spans="1:40" ht="25.35" customHeight="1">
      <c r="B4" s="557"/>
      <c r="C4" s="558"/>
      <c r="D4" s="559"/>
      <c r="E4" s="559"/>
      <c r="F4" s="561"/>
      <c r="G4" s="561"/>
      <c r="H4" s="561"/>
      <c r="I4" s="555" t="s">
        <v>145</v>
      </c>
      <c r="J4" s="555"/>
      <c r="K4" s="555"/>
      <c r="L4" s="555"/>
      <c r="M4" s="555"/>
      <c r="N4" s="555"/>
      <c r="O4" s="555" t="s">
        <v>146</v>
      </c>
      <c r="P4" s="555"/>
      <c r="Q4" s="555"/>
      <c r="R4" s="555"/>
      <c r="S4" s="555"/>
      <c r="T4" s="555"/>
      <c r="U4" s="555" t="s">
        <v>147</v>
      </c>
      <c r="V4" s="555"/>
      <c r="W4" s="555" t="s">
        <v>148</v>
      </c>
      <c r="X4" s="555"/>
      <c r="Y4" s="555" t="s">
        <v>139</v>
      </c>
      <c r="Z4" s="555"/>
      <c r="AA4" s="555"/>
      <c r="AB4" s="555"/>
      <c r="AC4" s="555"/>
      <c r="AD4" s="555"/>
      <c r="AE4" s="555" t="s">
        <v>137</v>
      </c>
      <c r="AF4" s="555"/>
      <c r="AG4" s="555" t="s">
        <v>149</v>
      </c>
      <c r="AH4" s="555"/>
      <c r="AI4" s="555" t="s">
        <v>150</v>
      </c>
      <c r="AJ4" s="555"/>
      <c r="AK4" s="555" t="s">
        <v>143</v>
      </c>
      <c r="AL4" s="555"/>
    </row>
    <row r="5" spans="1:40" ht="25.35" customHeight="1">
      <c r="B5" s="557"/>
      <c r="C5" s="558"/>
      <c r="D5" s="559"/>
      <c r="E5" s="559"/>
      <c r="F5" s="564" t="s">
        <v>116</v>
      </c>
      <c r="G5" s="556" t="s">
        <v>120</v>
      </c>
      <c r="H5" s="556" t="s">
        <v>121</v>
      </c>
      <c r="I5" s="555" t="s">
        <v>133</v>
      </c>
      <c r="J5" s="555"/>
      <c r="K5" s="555" t="s">
        <v>134</v>
      </c>
      <c r="L5" s="555"/>
      <c r="M5" s="563" t="s">
        <v>152</v>
      </c>
      <c r="N5" s="555"/>
      <c r="O5" s="555" t="s">
        <v>133</v>
      </c>
      <c r="P5" s="555"/>
      <c r="Q5" s="555" t="s">
        <v>134</v>
      </c>
      <c r="R5" s="555"/>
      <c r="S5" s="563" t="s">
        <v>152</v>
      </c>
      <c r="T5" s="555"/>
      <c r="U5" s="555" t="s">
        <v>133</v>
      </c>
      <c r="V5" s="555"/>
      <c r="W5" s="555" t="s">
        <v>133</v>
      </c>
      <c r="X5" s="555"/>
      <c r="Y5" s="555" t="s">
        <v>133</v>
      </c>
      <c r="Z5" s="555"/>
      <c r="AA5" s="555" t="s">
        <v>134</v>
      </c>
      <c r="AB5" s="555"/>
      <c r="AC5" s="563" t="s">
        <v>152</v>
      </c>
      <c r="AD5" s="555"/>
      <c r="AE5" s="555" t="s">
        <v>133</v>
      </c>
      <c r="AF5" s="555"/>
      <c r="AG5" s="555" t="s">
        <v>133</v>
      </c>
      <c r="AH5" s="555"/>
      <c r="AI5" s="555" t="s">
        <v>133</v>
      </c>
      <c r="AJ5" s="555"/>
      <c r="AK5" s="555" t="s">
        <v>133</v>
      </c>
      <c r="AL5" s="555"/>
    </row>
    <row r="6" spans="1:40" s="77" customFormat="1" ht="23.45" customHeight="1">
      <c r="B6" s="557"/>
      <c r="C6" s="558"/>
      <c r="D6" s="560"/>
      <c r="E6" s="560"/>
      <c r="F6" s="565"/>
      <c r="G6" s="556"/>
      <c r="H6" s="556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68">
        <v>46239</v>
      </c>
      <c r="C7" s="572"/>
      <c r="D7" s="170">
        <v>46231</v>
      </c>
      <c r="E7" s="170" t="s">
        <v>118</v>
      </c>
      <c r="F7" s="319">
        <f t="shared" ref="F7:F41" si="0">SUM(M7,S7,U7,W7,AC7,AE7,AG7,AI7,AK7)</f>
        <v>6626056.8699999992</v>
      </c>
      <c r="G7" s="571">
        <f t="shared" ref="G7" si="1">SUM(F7:F13)</f>
        <v>42486866.159999996</v>
      </c>
      <c r="H7" s="566"/>
      <c r="I7" s="171">
        <v>916210.92</v>
      </c>
      <c r="J7" s="172">
        <f t="shared" ref="J7:J41" si="2">I7/$F7</f>
        <v>0.13827392942372982</v>
      </c>
      <c r="K7" s="171">
        <v>1056654.74</v>
      </c>
      <c r="L7" s="172">
        <f t="shared" ref="L7:L41" si="3">K7/$F7</f>
        <v>0.15946961529776307</v>
      </c>
      <c r="M7" s="171">
        <f t="shared" ref="M7:M41" si="4">I7+K7</f>
        <v>1972865.6600000001</v>
      </c>
      <c r="N7" s="172">
        <f t="shared" ref="N7" si="5">M7/$F7</f>
        <v>0.29774354472149289</v>
      </c>
      <c r="O7" s="171">
        <v>332859.43</v>
      </c>
      <c r="P7" s="172">
        <f t="shared" ref="P7:P41" si="6">O7/$F7</f>
        <v>5.0234918976782048E-2</v>
      </c>
      <c r="Q7" s="171">
        <v>0</v>
      </c>
      <c r="R7" s="172">
        <f t="shared" ref="R7:R41" si="7">Q7/$F7</f>
        <v>0</v>
      </c>
      <c r="S7" s="171">
        <f t="shared" ref="S7:S41" si="8">O7+Q7</f>
        <v>332859.43</v>
      </c>
      <c r="T7" s="172">
        <f t="shared" ref="T7" si="9">S7/$F7</f>
        <v>5.0234918976782048E-2</v>
      </c>
      <c r="U7" s="171">
        <v>72647.28</v>
      </c>
      <c r="V7" s="172">
        <f t="shared" ref="V7" si="10">U7/$F7</f>
        <v>1.0963878129225897E-2</v>
      </c>
      <c r="W7" s="171">
        <v>405052.75</v>
      </c>
      <c r="X7" s="172">
        <f t="shared" ref="X7:X41" si="11">W7/$F7</f>
        <v>6.1130285771302181E-2</v>
      </c>
      <c r="Y7" s="171">
        <v>391742.31</v>
      </c>
      <c r="Z7" s="172">
        <f t="shared" ref="Z7:Z41" si="12">Y7/$F7</f>
        <v>5.9121483211779326E-2</v>
      </c>
      <c r="AA7" s="171">
        <v>564780.37</v>
      </c>
      <c r="AB7" s="172">
        <f t="shared" ref="AB7:AB41" si="13">AA7/$F7</f>
        <v>8.5236269636786266E-2</v>
      </c>
      <c r="AC7" s="171">
        <f t="shared" ref="AC7:AC41" si="14">Y7+AA7</f>
        <v>956522.67999999993</v>
      </c>
      <c r="AD7" s="172">
        <f t="shared" ref="AD7:AD41" si="15">AC7/$F7</f>
        <v>0.14435775284856558</v>
      </c>
      <c r="AE7" s="171">
        <v>1542665.3900000001</v>
      </c>
      <c r="AF7" s="172">
        <f t="shared" ref="AF7:AF41" si="16">AE7/F7</f>
        <v>0.23281801232110469</v>
      </c>
      <c r="AG7" s="171">
        <v>0</v>
      </c>
      <c r="AH7" s="172">
        <f t="shared" ref="AH7:AH41" si="17">AG7/$F7</f>
        <v>0</v>
      </c>
      <c r="AI7" s="171">
        <v>974769.30999999994</v>
      </c>
      <c r="AJ7" s="172">
        <f t="shared" ref="AJ7:AJ41" si="18">AI7/$F7</f>
        <v>0.14711152184843834</v>
      </c>
      <c r="AK7" s="171">
        <v>368674.37</v>
      </c>
      <c r="AL7" s="172">
        <f t="shared" ref="AL7:AL41" si="19">AK7/$F7</f>
        <v>5.5640085383088483E-2</v>
      </c>
      <c r="AN7" s="72"/>
    </row>
    <row r="8" spans="1:40" s="73" customFormat="1" ht="14.25" customHeight="1">
      <c r="B8" s="569"/>
      <c r="C8" s="572"/>
      <c r="D8" s="170">
        <v>46232</v>
      </c>
      <c r="E8" s="170" t="s">
        <v>112</v>
      </c>
      <c r="F8" s="319">
        <f t="shared" si="0"/>
        <v>6255627.21</v>
      </c>
      <c r="G8" s="571"/>
      <c r="H8" s="566"/>
      <c r="I8" s="171">
        <v>892990.06000000017</v>
      </c>
      <c r="J8" s="172">
        <f t="shared" si="2"/>
        <v>0.14274988422783591</v>
      </c>
      <c r="K8" s="171">
        <v>1002618.0599999998</v>
      </c>
      <c r="L8" s="172">
        <f t="shared" si="3"/>
        <v>0.1602745857996867</v>
      </c>
      <c r="M8" s="171">
        <f t="shared" si="4"/>
        <v>1895608.12</v>
      </c>
      <c r="N8" s="172">
        <f t="shared" ref="N8" si="20">M8/F8</f>
        <v>0.30302447002752264</v>
      </c>
      <c r="O8" s="171">
        <v>335009.01</v>
      </c>
      <c r="P8" s="172">
        <f t="shared" si="6"/>
        <v>5.3553224761294559E-2</v>
      </c>
      <c r="Q8" s="171">
        <v>0</v>
      </c>
      <c r="R8" s="172">
        <f t="shared" si="7"/>
        <v>0</v>
      </c>
      <c r="S8" s="171">
        <f t="shared" si="8"/>
        <v>335009.01</v>
      </c>
      <c r="T8" s="172">
        <f t="shared" ref="T8" si="21">S8/F8</f>
        <v>5.3553224761294559E-2</v>
      </c>
      <c r="U8" s="171">
        <v>65034.899999999994</v>
      </c>
      <c r="V8" s="172">
        <f t="shared" ref="V8" si="22">U8/F8</f>
        <v>1.0396223722545001E-2</v>
      </c>
      <c r="W8" s="171">
        <v>310798.37</v>
      </c>
      <c r="X8" s="172">
        <f t="shared" si="11"/>
        <v>4.9683006925855477E-2</v>
      </c>
      <c r="Y8" s="171">
        <v>360085.06</v>
      </c>
      <c r="Z8" s="172">
        <f t="shared" si="12"/>
        <v>5.7561783640876517E-2</v>
      </c>
      <c r="AA8" s="171">
        <v>557071.84000000008</v>
      </c>
      <c r="AB8" s="172">
        <f t="shared" si="13"/>
        <v>8.9051316726400653E-2</v>
      </c>
      <c r="AC8" s="171">
        <f t="shared" si="14"/>
        <v>917156.90000000014</v>
      </c>
      <c r="AD8" s="172">
        <f t="shared" si="15"/>
        <v>0.14661310036727718</v>
      </c>
      <c r="AE8" s="171">
        <v>1411466.67</v>
      </c>
      <c r="AF8" s="172">
        <f t="shared" si="16"/>
        <v>0.22563151904955026</v>
      </c>
      <c r="AG8" s="171">
        <v>0</v>
      </c>
      <c r="AH8" s="172">
        <f t="shared" si="17"/>
        <v>0</v>
      </c>
      <c r="AI8" s="171">
        <v>957447.54999999993</v>
      </c>
      <c r="AJ8" s="172">
        <f t="shared" si="18"/>
        <v>0.15305380545526465</v>
      </c>
      <c r="AK8" s="171">
        <v>363105.69</v>
      </c>
      <c r="AL8" s="172">
        <f t="shared" si="19"/>
        <v>5.8044649690690252E-2</v>
      </c>
      <c r="AN8" s="72"/>
    </row>
    <row r="9" spans="1:40" s="73" customFormat="1" ht="14.25" customHeight="1">
      <c r="B9" s="569"/>
      <c r="C9" s="572"/>
      <c r="D9" s="170">
        <v>46233</v>
      </c>
      <c r="E9" s="170" t="s">
        <v>113</v>
      </c>
      <c r="F9" s="319">
        <f t="shared" si="0"/>
        <v>5785963.21</v>
      </c>
      <c r="G9" s="571"/>
      <c r="H9" s="566"/>
      <c r="I9" s="171">
        <v>838667.45</v>
      </c>
      <c r="J9" s="172">
        <f t="shared" si="2"/>
        <v>0.14494863163846491</v>
      </c>
      <c r="K9" s="171">
        <v>888975.99999999988</v>
      </c>
      <c r="L9" s="172">
        <f t="shared" si="3"/>
        <v>0.15364356248646108</v>
      </c>
      <c r="M9" s="171">
        <f t="shared" si="4"/>
        <v>1727643.4499999997</v>
      </c>
      <c r="N9" s="172">
        <f t="shared" ref="N9" si="23">M9/$F9</f>
        <v>0.29859219412492594</v>
      </c>
      <c r="O9" s="171">
        <v>317196.07</v>
      </c>
      <c r="P9" s="172">
        <f t="shared" si="6"/>
        <v>5.4821653454654444E-2</v>
      </c>
      <c r="Q9" s="171">
        <v>0</v>
      </c>
      <c r="R9" s="172">
        <f t="shared" si="7"/>
        <v>0</v>
      </c>
      <c r="S9" s="171">
        <f t="shared" si="8"/>
        <v>317196.07</v>
      </c>
      <c r="T9" s="172">
        <f t="shared" ref="T9" si="24">S9/$F9</f>
        <v>5.4821653454654444E-2</v>
      </c>
      <c r="U9" s="171">
        <v>65454.479999999996</v>
      </c>
      <c r="V9" s="172">
        <f t="shared" ref="V9" si="25">U9/$F9</f>
        <v>1.1312633285824159E-2</v>
      </c>
      <c r="W9" s="171">
        <v>297300.07</v>
      </c>
      <c r="X9" s="172">
        <f t="shared" si="11"/>
        <v>5.1382986584873225E-2</v>
      </c>
      <c r="Y9" s="171">
        <v>336180.01</v>
      </c>
      <c r="Z9" s="172">
        <f t="shared" si="12"/>
        <v>5.8102687106439448E-2</v>
      </c>
      <c r="AA9" s="171">
        <v>426289.69999999995</v>
      </c>
      <c r="AB9" s="172">
        <f t="shared" si="13"/>
        <v>7.3676531379120183E-2</v>
      </c>
      <c r="AC9" s="171">
        <f t="shared" si="14"/>
        <v>762469.71</v>
      </c>
      <c r="AD9" s="172">
        <f t="shared" si="15"/>
        <v>0.13177921848555962</v>
      </c>
      <c r="AE9" s="171">
        <v>1297947.98</v>
      </c>
      <c r="AF9" s="172">
        <f t="shared" si="16"/>
        <v>0.22432703646589552</v>
      </c>
      <c r="AG9" s="171">
        <v>0</v>
      </c>
      <c r="AH9" s="172">
        <f t="shared" si="17"/>
        <v>0</v>
      </c>
      <c r="AI9" s="171">
        <v>974797.78999999992</v>
      </c>
      <c r="AJ9" s="172">
        <f t="shared" si="18"/>
        <v>0.16847632012509806</v>
      </c>
      <c r="AK9" s="171">
        <v>343153.66000000003</v>
      </c>
      <c r="AL9" s="172">
        <f t="shared" si="19"/>
        <v>5.9307957473168936E-2</v>
      </c>
      <c r="AN9" s="72"/>
    </row>
    <row r="10" spans="1:40" s="73" customFormat="1" ht="14.25" customHeight="1">
      <c r="B10" s="569"/>
      <c r="C10" s="573"/>
      <c r="D10" s="170">
        <v>46234</v>
      </c>
      <c r="E10" s="170" t="s">
        <v>114</v>
      </c>
      <c r="F10" s="319">
        <f t="shared" si="0"/>
        <v>4936115.0199999996</v>
      </c>
      <c r="G10" s="571"/>
      <c r="H10" s="567"/>
      <c r="I10" s="171">
        <v>642135.92999999993</v>
      </c>
      <c r="J10" s="172">
        <f t="shared" si="2"/>
        <v>0.13008933693769559</v>
      </c>
      <c r="K10" s="171">
        <v>816869.93</v>
      </c>
      <c r="L10" s="172">
        <f t="shared" si="3"/>
        <v>0.16548843102120422</v>
      </c>
      <c r="M10" s="171">
        <f t="shared" si="4"/>
        <v>1459005.8599999999</v>
      </c>
      <c r="N10" s="172">
        <f t="shared" ref="N10" si="26">M10/F10</f>
        <v>0.29557776795889978</v>
      </c>
      <c r="O10" s="171">
        <v>253053.06</v>
      </c>
      <c r="P10" s="172">
        <f t="shared" si="6"/>
        <v>5.1265632785031823E-2</v>
      </c>
      <c r="Q10" s="171">
        <v>0</v>
      </c>
      <c r="R10" s="172">
        <f t="shared" si="7"/>
        <v>0</v>
      </c>
      <c r="S10" s="171">
        <f t="shared" si="8"/>
        <v>253053.06</v>
      </c>
      <c r="T10" s="172">
        <f t="shared" ref="T10" si="27">S10/F10</f>
        <v>5.1265632785031823E-2</v>
      </c>
      <c r="U10" s="171">
        <v>48281.67</v>
      </c>
      <c r="V10" s="172">
        <f t="shared" ref="V10" si="28">U10/F10</f>
        <v>9.7813097556223479E-3</v>
      </c>
      <c r="W10" s="171">
        <v>216372.37</v>
      </c>
      <c r="X10" s="172">
        <f t="shared" si="11"/>
        <v>4.3834547842444727E-2</v>
      </c>
      <c r="Y10" s="171">
        <v>296368.40000000002</v>
      </c>
      <c r="Z10" s="172">
        <f t="shared" si="12"/>
        <v>6.004082133402152E-2</v>
      </c>
      <c r="AA10" s="171">
        <v>405960.25999999995</v>
      </c>
      <c r="AB10" s="172">
        <f t="shared" si="13"/>
        <v>8.224286880575972E-2</v>
      </c>
      <c r="AC10" s="171">
        <f t="shared" si="14"/>
        <v>702328.65999999992</v>
      </c>
      <c r="AD10" s="172">
        <f t="shared" si="15"/>
        <v>0.14228369013978123</v>
      </c>
      <c r="AE10" s="171">
        <v>966163.91999999993</v>
      </c>
      <c r="AF10" s="172">
        <f t="shared" si="16"/>
        <v>0.19573367234866421</v>
      </c>
      <c r="AG10" s="171">
        <v>0</v>
      </c>
      <c r="AH10" s="172">
        <f t="shared" si="17"/>
        <v>0</v>
      </c>
      <c r="AI10" s="171">
        <v>1001971.85</v>
      </c>
      <c r="AJ10" s="172">
        <f t="shared" si="18"/>
        <v>0.20298794617634336</v>
      </c>
      <c r="AK10" s="171">
        <v>288937.63</v>
      </c>
      <c r="AL10" s="172">
        <f t="shared" si="19"/>
        <v>5.8535432993212552E-2</v>
      </c>
      <c r="AN10" s="72"/>
    </row>
    <row r="11" spans="1:40" s="73" customFormat="1" ht="14.25" customHeight="1">
      <c r="B11" s="569"/>
      <c r="C11" s="575" t="s">
        <v>561</v>
      </c>
      <c r="D11" s="170">
        <v>46235</v>
      </c>
      <c r="E11" s="170" t="s">
        <v>115</v>
      </c>
      <c r="F11" s="319">
        <f t="shared" si="0"/>
        <v>5278918.5600000005</v>
      </c>
      <c r="G11" s="571"/>
      <c r="H11" s="574">
        <f>SUM(F11:F41)</f>
        <v>175321621.16999999</v>
      </c>
      <c r="I11" s="171">
        <v>603913.17000000004</v>
      </c>
      <c r="J11" s="172">
        <f t="shared" si="2"/>
        <v>0.1144009257077836</v>
      </c>
      <c r="K11" s="171">
        <v>950774.94000000006</v>
      </c>
      <c r="L11" s="172">
        <f t="shared" si="3"/>
        <v>0.18010790073639626</v>
      </c>
      <c r="M11" s="171">
        <f t="shared" si="4"/>
        <v>1554688.11</v>
      </c>
      <c r="N11" s="172">
        <f t="shared" ref="N11" si="29">M11/$F11</f>
        <v>0.29450882644417986</v>
      </c>
      <c r="O11" s="171">
        <v>244351.8</v>
      </c>
      <c r="P11" s="172">
        <f t="shared" si="6"/>
        <v>4.6288230671245656E-2</v>
      </c>
      <c r="Q11" s="171">
        <v>0</v>
      </c>
      <c r="R11" s="172">
        <f t="shared" si="7"/>
        <v>0</v>
      </c>
      <c r="S11" s="171">
        <f t="shared" si="8"/>
        <v>244351.8</v>
      </c>
      <c r="T11" s="172">
        <f t="shared" ref="T11" si="30">S11/$F11</f>
        <v>4.6288230671245656E-2</v>
      </c>
      <c r="U11" s="171">
        <v>49630.32</v>
      </c>
      <c r="V11" s="172">
        <f t="shared" ref="V11" si="31">U11/$F11</f>
        <v>9.4016074383235036E-3</v>
      </c>
      <c r="W11" s="171">
        <v>239798.25</v>
      </c>
      <c r="X11" s="172">
        <f t="shared" si="11"/>
        <v>4.5425639224106536E-2</v>
      </c>
      <c r="Y11" s="171">
        <v>320707.3</v>
      </c>
      <c r="Z11" s="172">
        <f t="shared" si="12"/>
        <v>6.0752462148232107E-2</v>
      </c>
      <c r="AA11" s="171">
        <v>528342.76</v>
      </c>
      <c r="AB11" s="172">
        <f t="shared" si="13"/>
        <v>0.10008541597959411</v>
      </c>
      <c r="AC11" s="171">
        <f t="shared" si="14"/>
        <v>849050.06</v>
      </c>
      <c r="AD11" s="172">
        <f t="shared" si="15"/>
        <v>0.16083787812782624</v>
      </c>
      <c r="AE11" s="171">
        <v>1036536.8799999999</v>
      </c>
      <c r="AF11" s="172">
        <f t="shared" si="16"/>
        <v>0.19635401990365234</v>
      </c>
      <c r="AG11" s="171">
        <v>0</v>
      </c>
      <c r="AH11" s="172">
        <f t="shared" si="17"/>
        <v>0</v>
      </c>
      <c r="AI11" s="171">
        <v>1014723.1600000001</v>
      </c>
      <c r="AJ11" s="172">
        <f t="shared" si="18"/>
        <v>0.19222178718362345</v>
      </c>
      <c r="AK11" s="171">
        <v>290139.98</v>
      </c>
      <c r="AL11" s="172">
        <f t="shared" si="19"/>
        <v>5.4962011007042309E-2</v>
      </c>
      <c r="AN11" s="72"/>
    </row>
    <row r="12" spans="1:40" s="73" customFormat="1" ht="14.25" customHeight="1">
      <c r="B12" s="569"/>
      <c r="C12" s="572"/>
      <c r="D12" s="170">
        <v>46236</v>
      </c>
      <c r="E12" s="170" t="s">
        <v>116</v>
      </c>
      <c r="F12" s="319">
        <f t="shared" si="0"/>
        <v>6878371.4600000009</v>
      </c>
      <c r="G12" s="571"/>
      <c r="H12" s="566"/>
      <c r="I12" s="171">
        <v>877498.45000000007</v>
      </c>
      <c r="J12" s="172">
        <f t="shared" si="2"/>
        <v>0.12757357684198115</v>
      </c>
      <c r="K12" s="171">
        <v>1090163.8799999999</v>
      </c>
      <c r="L12" s="172">
        <f t="shared" si="3"/>
        <v>0.15849156829340527</v>
      </c>
      <c r="M12" s="171">
        <f t="shared" si="4"/>
        <v>1967662.33</v>
      </c>
      <c r="N12" s="172">
        <f t="shared" ref="N12" si="32">M12/F12</f>
        <v>0.28606514513538644</v>
      </c>
      <c r="O12" s="171">
        <v>327772.14</v>
      </c>
      <c r="P12" s="172">
        <f t="shared" si="6"/>
        <v>4.765257908882984E-2</v>
      </c>
      <c r="Q12" s="171">
        <v>0</v>
      </c>
      <c r="R12" s="172">
        <f t="shared" si="7"/>
        <v>0</v>
      </c>
      <c r="S12" s="171">
        <f t="shared" si="8"/>
        <v>327772.14</v>
      </c>
      <c r="T12" s="172">
        <f t="shared" ref="T12" si="33">S12/F12</f>
        <v>4.765257908882984E-2</v>
      </c>
      <c r="U12" s="171">
        <v>81368.55</v>
      </c>
      <c r="V12" s="172">
        <f t="shared" ref="V12" si="34">U12/F12</f>
        <v>1.1829624275627591E-2</v>
      </c>
      <c r="W12" s="171">
        <v>267861.06</v>
      </c>
      <c r="X12" s="172">
        <f t="shared" si="11"/>
        <v>3.8942511546185082E-2</v>
      </c>
      <c r="Y12" s="171">
        <v>391389.14</v>
      </c>
      <c r="Z12" s="172">
        <f t="shared" si="12"/>
        <v>5.6901425326628112E-2</v>
      </c>
      <c r="AA12" s="171">
        <v>621079.82999999996</v>
      </c>
      <c r="AB12" s="172">
        <f t="shared" si="13"/>
        <v>9.0294604414981661E-2</v>
      </c>
      <c r="AC12" s="171">
        <f t="shared" si="14"/>
        <v>1012468.97</v>
      </c>
      <c r="AD12" s="172">
        <f t="shared" si="15"/>
        <v>0.14719602974160978</v>
      </c>
      <c r="AE12" s="171">
        <v>1726381.57</v>
      </c>
      <c r="AF12" s="172">
        <f t="shared" si="16"/>
        <v>0.25098696399859738</v>
      </c>
      <c r="AG12" s="171">
        <v>0</v>
      </c>
      <c r="AH12" s="172">
        <f t="shared" si="17"/>
        <v>0</v>
      </c>
      <c r="AI12" s="171">
        <v>1134622.1099999999</v>
      </c>
      <c r="AJ12" s="172">
        <f t="shared" si="18"/>
        <v>0.16495505027581045</v>
      </c>
      <c r="AK12" s="171">
        <v>360234.73000000004</v>
      </c>
      <c r="AL12" s="172">
        <f t="shared" si="19"/>
        <v>5.2372095937953313E-2</v>
      </c>
      <c r="AN12" s="72"/>
    </row>
    <row r="13" spans="1:40" s="73" customFormat="1" ht="14.25" customHeight="1">
      <c r="B13" s="570"/>
      <c r="C13" s="572"/>
      <c r="D13" s="170">
        <v>46237</v>
      </c>
      <c r="E13" s="170" t="s">
        <v>117</v>
      </c>
      <c r="F13" s="319">
        <f t="shared" si="0"/>
        <v>6725813.8300000001</v>
      </c>
      <c r="G13" s="571"/>
      <c r="H13" s="566"/>
      <c r="I13" s="171">
        <v>864009.9600000002</v>
      </c>
      <c r="J13" s="172">
        <f t="shared" si="2"/>
        <v>0.12846177159203354</v>
      </c>
      <c r="K13" s="171">
        <v>1075351.23</v>
      </c>
      <c r="L13" s="172">
        <f t="shared" si="3"/>
        <v>0.15988418014240516</v>
      </c>
      <c r="M13" s="171">
        <f t="shared" si="4"/>
        <v>1939361.1900000002</v>
      </c>
      <c r="N13" s="172">
        <f t="shared" ref="N13:N14" si="35">M13/$F13</f>
        <v>0.28834595173443867</v>
      </c>
      <c r="O13" s="171">
        <v>315262.73</v>
      </c>
      <c r="P13" s="172">
        <f t="shared" si="6"/>
        <v>4.6873543926207663E-2</v>
      </c>
      <c r="Q13" s="171">
        <v>0</v>
      </c>
      <c r="R13" s="172">
        <f t="shared" si="7"/>
        <v>0</v>
      </c>
      <c r="S13" s="171">
        <f t="shared" si="8"/>
        <v>315262.73</v>
      </c>
      <c r="T13" s="172">
        <f t="shared" ref="T13:T14" si="36">S13/$F13</f>
        <v>4.6873543926207663E-2</v>
      </c>
      <c r="U13" s="171">
        <v>70998.929999999993</v>
      </c>
      <c r="V13" s="172">
        <f t="shared" ref="V13:V14" si="37">U13/$F13</f>
        <v>1.0556184246925549E-2</v>
      </c>
      <c r="W13" s="171">
        <v>303013.85000000003</v>
      </c>
      <c r="X13" s="172">
        <f t="shared" si="11"/>
        <v>4.505236952120633E-2</v>
      </c>
      <c r="Y13" s="171">
        <v>401346.24</v>
      </c>
      <c r="Z13" s="172">
        <f t="shared" si="12"/>
        <v>5.9672516983717935E-2</v>
      </c>
      <c r="AA13" s="171">
        <v>561753.03</v>
      </c>
      <c r="AB13" s="172">
        <f t="shared" si="13"/>
        <v>8.352194161163691E-2</v>
      </c>
      <c r="AC13" s="171">
        <f t="shared" si="14"/>
        <v>963099.27</v>
      </c>
      <c r="AD13" s="172">
        <f t="shared" si="15"/>
        <v>0.14319445859535485</v>
      </c>
      <c r="AE13" s="171">
        <v>1604276.7799999998</v>
      </c>
      <c r="AF13" s="172">
        <f t="shared" si="16"/>
        <v>0.23852530274392084</v>
      </c>
      <c r="AG13" s="171">
        <v>0</v>
      </c>
      <c r="AH13" s="172">
        <f t="shared" si="17"/>
        <v>0</v>
      </c>
      <c r="AI13" s="171">
        <v>1129650.8400000001</v>
      </c>
      <c r="AJ13" s="172">
        <f t="shared" si="18"/>
        <v>0.16795749459511877</v>
      </c>
      <c r="AK13" s="171">
        <v>400150.24</v>
      </c>
      <c r="AL13" s="172">
        <f t="shared" si="19"/>
        <v>5.9494694636827314E-2</v>
      </c>
      <c r="AN13" s="72"/>
    </row>
    <row r="14" spans="1:40" s="73" customFormat="1" ht="14.25" customHeight="1">
      <c r="B14" s="568">
        <f>B7+7</f>
        <v>46246</v>
      </c>
      <c r="C14" s="572"/>
      <c r="D14" s="170">
        <v>46238</v>
      </c>
      <c r="E14" s="170" t="s">
        <v>118</v>
      </c>
      <c r="F14" s="319">
        <f t="shared" si="0"/>
        <v>6631265.1100000003</v>
      </c>
      <c r="G14" s="571">
        <f t="shared" ref="G14" si="38">SUM(F14:F20)</f>
        <v>41863930.679999992</v>
      </c>
      <c r="H14" s="566"/>
      <c r="I14" s="171">
        <v>857079.16999999981</v>
      </c>
      <c r="J14" s="172">
        <f t="shared" si="2"/>
        <v>0.12924821369417391</v>
      </c>
      <c r="K14" s="171">
        <v>1068334.81</v>
      </c>
      <c r="L14" s="172">
        <f t="shared" si="3"/>
        <v>0.16110573054739474</v>
      </c>
      <c r="M14" s="171">
        <f t="shared" si="4"/>
        <v>1925413.98</v>
      </c>
      <c r="N14" s="172">
        <f t="shared" si="35"/>
        <v>0.29035394424156868</v>
      </c>
      <c r="O14" s="171">
        <v>313871.57</v>
      </c>
      <c r="P14" s="172">
        <f t="shared" si="6"/>
        <v>4.7332079896289951E-2</v>
      </c>
      <c r="Q14" s="171">
        <v>0</v>
      </c>
      <c r="R14" s="172">
        <f t="shared" si="7"/>
        <v>0</v>
      </c>
      <c r="S14" s="171">
        <f t="shared" si="8"/>
        <v>313871.57</v>
      </c>
      <c r="T14" s="172">
        <f t="shared" si="36"/>
        <v>4.7332079896289951E-2</v>
      </c>
      <c r="U14" s="171">
        <v>74355.569999999992</v>
      </c>
      <c r="V14" s="172">
        <f t="shared" si="37"/>
        <v>1.1212878503058368E-2</v>
      </c>
      <c r="W14" s="171">
        <v>257387.76</v>
      </c>
      <c r="X14" s="172">
        <f t="shared" si="11"/>
        <v>3.8814276873331034E-2</v>
      </c>
      <c r="Y14" s="171">
        <v>362160.97000000003</v>
      </c>
      <c r="Z14" s="172">
        <f t="shared" si="12"/>
        <v>5.461415943902747E-2</v>
      </c>
      <c r="AA14" s="171">
        <v>560720.56000000006</v>
      </c>
      <c r="AB14" s="172">
        <f t="shared" si="13"/>
        <v>8.455710195546684E-2</v>
      </c>
      <c r="AC14" s="171">
        <f t="shared" si="14"/>
        <v>922881.53</v>
      </c>
      <c r="AD14" s="172">
        <f t="shared" si="15"/>
        <v>0.13917126139449429</v>
      </c>
      <c r="AE14" s="171">
        <v>1541947.74</v>
      </c>
      <c r="AF14" s="172">
        <f t="shared" si="16"/>
        <v>0.23252693331091989</v>
      </c>
      <c r="AG14" s="171">
        <v>0</v>
      </c>
      <c r="AH14" s="172">
        <f t="shared" si="17"/>
        <v>0</v>
      </c>
      <c r="AI14" s="171">
        <v>1242921.71</v>
      </c>
      <c r="AJ14" s="172">
        <f t="shared" si="18"/>
        <v>0.18743357253590481</v>
      </c>
      <c r="AK14" s="171">
        <v>352485.25</v>
      </c>
      <c r="AL14" s="172">
        <f t="shared" si="19"/>
        <v>5.315505324443287E-2</v>
      </c>
      <c r="AN14" s="72"/>
    </row>
    <row r="15" spans="1:40" s="73" customFormat="1" ht="14.25" customHeight="1">
      <c r="B15" s="569"/>
      <c r="C15" s="572"/>
      <c r="D15" s="170">
        <v>46239</v>
      </c>
      <c r="E15" s="170" t="s">
        <v>112</v>
      </c>
      <c r="F15" s="319">
        <f t="shared" si="0"/>
        <v>6359055.9800000004</v>
      </c>
      <c r="G15" s="571"/>
      <c r="H15" s="566"/>
      <c r="I15" s="171">
        <v>842955.62</v>
      </c>
      <c r="J15" s="172">
        <f t="shared" si="2"/>
        <v>0.13255986779345821</v>
      </c>
      <c r="K15" s="171">
        <v>1022362.32</v>
      </c>
      <c r="L15" s="172">
        <f t="shared" si="3"/>
        <v>0.16077265606961993</v>
      </c>
      <c r="M15" s="171">
        <f t="shared" si="4"/>
        <v>1865317.94</v>
      </c>
      <c r="N15" s="172">
        <f t="shared" ref="N15" si="39">M15/F15</f>
        <v>0.29333252386307818</v>
      </c>
      <c r="O15" s="171">
        <v>312054.82</v>
      </c>
      <c r="P15" s="172">
        <f t="shared" si="6"/>
        <v>4.9072507142797629E-2</v>
      </c>
      <c r="Q15" s="171">
        <v>0</v>
      </c>
      <c r="R15" s="172">
        <f t="shared" si="7"/>
        <v>0</v>
      </c>
      <c r="S15" s="171">
        <f t="shared" si="8"/>
        <v>312054.82</v>
      </c>
      <c r="T15" s="172">
        <f t="shared" ref="T15" si="40">S15/F15</f>
        <v>4.9072507142797629E-2</v>
      </c>
      <c r="U15" s="171">
        <v>63146.79</v>
      </c>
      <c r="V15" s="172">
        <f t="shared" ref="V15" si="41">U15/F15</f>
        <v>9.9302145158973731E-3</v>
      </c>
      <c r="W15" s="171">
        <v>255786.58000000002</v>
      </c>
      <c r="X15" s="172">
        <f t="shared" si="11"/>
        <v>4.022398620243E-2</v>
      </c>
      <c r="Y15" s="171">
        <v>329826.56</v>
      </c>
      <c r="Z15" s="172">
        <f t="shared" si="12"/>
        <v>5.186722070655525E-2</v>
      </c>
      <c r="AA15" s="171">
        <v>546079.94000000006</v>
      </c>
      <c r="AB15" s="172">
        <f t="shared" si="13"/>
        <v>8.5874372189439357E-2</v>
      </c>
      <c r="AC15" s="171">
        <f t="shared" si="14"/>
        <v>875906.5</v>
      </c>
      <c r="AD15" s="172">
        <f t="shared" si="15"/>
        <v>0.13774159289599458</v>
      </c>
      <c r="AE15" s="171">
        <v>1436100.6800000002</v>
      </c>
      <c r="AF15" s="172">
        <f t="shared" si="16"/>
        <v>0.22583551466077834</v>
      </c>
      <c r="AG15" s="171">
        <v>0</v>
      </c>
      <c r="AH15" s="172">
        <f t="shared" si="17"/>
        <v>0</v>
      </c>
      <c r="AI15" s="171">
        <v>1204932.28</v>
      </c>
      <c r="AJ15" s="172">
        <f t="shared" si="18"/>
        <v>0.18948288610599712</v>
      </c>
      <c r="AK15" s="171">
        <v>345810.39</v>
      </c>
      <c r="AL15" s="172">
        <f t="shared" si="19"/>
        <v>5.4380774613026761E-2</v>
      </c>
      <c r="AN15" s="72"/>
    </row>
    <row r="16" spans="1:40" s="73" customFormat="1" ht="14.25" customHeight="1">
      <c r="B16" s="569"/>
      <c r="C16" s="572"/>
      <c r="D16" s="170">
        <v>46240</v>
      </c>
      <c r="E16" s="170" t="s">
        <v>113</v>
      </c>
      <c r="F16" s="319">
        <f t="shared" si="0"/>
        <v>5817645.9100000001</v>
      </c>
      <c r="G16" s="571"/>
      <c r="H16" s="566"/>
      <c r="I16" s="171">
        <v>805504.79000000015</v>
      </c>
      <c r="J16" s="172">
        <f t="shared" si="2"/>
        <v>0.13845888912135598</v>
      </c>
      <c r="K16" s="171">
        <v>921519.6</v>
      </c>
      <c r="L16" s="172">
        <f t="shared" si="3"/>
        <v>0.15840077142130501</v>
      </c>
      <c r="M16" s="171">
        <f t="shared" si="4"/>
        <v>1727024.3900000001</v>
      </c>
      <c r="N16" s="172">
        <f t="shared" ref="N16" si="42">M16/$F16</f>
        <v>0.296859660542661</v>
      </c>
      <c r="O16" s="171">
        <v>294598.61</v>
      </c>
      <c r="P16" s="172">
        <f t="shared" si="6"/>
        <v>5.0638800394092735E-2</v>
      </c>
      <c r="Q16" s="171">
        <v>0</v>
      </c>
      <c r="R16" s="172">
        <f t="shared" si="7"/>
        <v>0</v>
      </c>
      <c r="S16" s="171">
        <f t="shared" si="8"/>
        <v>294598.61</v>
      </c>
      <c r="T16" s="172">
        <f t="shared" ref="T16" si="43">S16/$F16</f>
        <v>5.0638800394092735E-2</v>
      </c>
      <c r="U16" s="171">
        <v>64974.96</v>
      </c>
      <c r="V16" s="172">
        <f t="shared" ref="V16" si="44">U16/$F16</f>
        <v>1.1168599981018783E-2</v>
      </c>
      <c r="W16" s="171">
        <v>249989.26</v>
      </c>
      <c r="X16" s="172">
        <f t="shared" si="11"/>
        <v>4.2970862075034748E-2</v>
      </c>
      <c r="Y16" s="171">
        <v>309485.95</v>
      </c>
      <c r="Z16" s="172">
        <f t="shared" si="12"/>
        <v>5.3197797663832036E-2</v>
      </c>
      <c r="AA16" s="171">
        <v>415950.19</v>
      </c>
      <c r="AB16" s="172">
        <f t="shared" si="13"/>
        <v>7.1498024533431945E-2</v>
      </c>
      <c r="AC16" s="171">
        <f t="shared" si="14"/>
        <v>725436.14</v>
      </c>
      <c r="AD16" s="172">
        <f t="shared" si="15"/>
        <v>0.12469582219726398</v>
      </c>
      <c r="AE16" s="171">
        <v>1249878.6999999997</v>
      </c>
      <c r="AF16" s="172">
        <f t="shared" si="16"/>
        <v>0.21484269055488112</v>
      </c>
      <c r="AG16" s="171">
        <v>0</v>
      </c>
      <c r="AH16" s="172">
        <f t="shared" si="17"/>
        <v>0</v>
      </c>
      <c r="AI16" s="171">
        <v>1166850.9500000002</v>
      </c>
      <c r="AJ16" s="172">
        <f t="shared" si="18"/>
        <v>0.20057098146765692</v>
      </c>
      <c r="AK16" s="171">
        <v>338892.9</v>
      </c>
      <c r="AL16" s="172">
        <f t="shared" si="19"/>
        <v>5.8252582787390719E-2</v>
      </c>
      <c r="AN16" s="72"/>
    </row>
    <row r="17" spans="2:40" s="73" customFormat="1" ht="14.25" customHeight="1">
      <c r="B17" s="569"/>
      <c r="C17" s="572"/>
      <c r="D17" s="170">
        <v>46241</v>
      </c>
      <c r="E17" s="170" t="s">
        <v>114</v>
      </c>
      <c r="F17" s="319">
        <f t="shared" si="0"/>
        <v>4858510.08</v>
      </c>
      <c r="G17" s="571"/>
      <c r="H17" s="566"/>
      <c r="I17" s="171">
        <v>608534.94999999995</v>
      </c>
      <c r="J17" s="172">
        <f t="shared" si="2"/>
        <v>0.12525135071861371</v>
      </c>
      <c r="K17" s="171">
        <v>819416.28</v>
      </c>
      <c r="L17" s="172">
        <f t="shared" si="3"/>
        <v>0.16865587731784637</v>
      </c>
      <c r="M17" s="171">
        <f t="shared" si="4"/>
        <v>1427951.23</v>
      </c>
      <c r="N17" s="172">
        <f t="shared" ref="N17" si="45">M17/F17</f>
        <v>0.29390722803646008</v>
      </c>
      <c r="O17" s="171">
        <v>225136.19</v>
      </c>
      <c r="P17" s="172">
        <f t="shared" si="6"/>
        <v>4.6338524834345925E-2</v>
      </c>
      <c r="Q17" s="171">
        <v>0</v>
      </c>
      <c r="R17" s="172">
        <f t="shared" si="7"/>
        <v>0</v>
      </c>
      <c r="S17" s="171">
        <f t="shared" si="8"/>
        <v>225136.19</v>
      </c>
      <c r="T17" s="172">
        <f t="shared" ref="T17" si="46">S17/F17</f>
        <v>4.6338524834345925E-2</v>
      </c>
      <c r="U17" s="171">
        <v>44205.75</v>
      </c>
      <c r="V17" s="172">
        <f t="shared" ref="V17" si="47">U17/F17</f>
        <v>9.0986226789921566E-3</v>
      </c>
      <c r="W17" s="171">
        <v>183306.33000000002</v>
      </c>
      <c r="X17" s="172">
        <f t="shared" si="11"/>
        <v>3.7728918327159265E-2</v>
      </c>
      <c r="Y17" s="171">
        <v>272663.26</v>
      </c>
      <c r="Z17" s="172">
        <f t="shared" si="12"/>
        <v>5.61207562627924E-2</v>
      </c>
      <c r="AA17" s="171">
        <v>413793.20000000007</v>
      </c>
      <c r="AB17" s="172">
        <f t="shared" si="13"/>
        <v>8.5168743747877557E-2</v>
      </c>
      <c r="AC17" s="171">
        <f t="shared" si="14"/>
        <v>686456.46000000008</v>
      </c>
      <c r="AD17" s="172">
        <f t="shared" si="15"/>
        <v>0.14128950001066995</v>
      </c>
      <c r="AE17" s="171">
        <v>937494.25</v>
      </c>
      <c r="AF17" s="172">
        <f t="shared" si="16"/>
        <v>0.19295920653930185</v>
      </c>
      <c r="AG17" s="171">
        <v>0</v>
      </c>
      <c r="AH17" s="172">
        <f t="shared" si="17"/>
        <v>0</v>
      </c>
      <c r="AI17" s="171">
        <v>1071266.26</v>
      </c>
      <c r="AJ17" s="172">
        <f t="shared" si="18"/>
        <v>0.22049275237893506</v>
      </c>
      <c r="AK17" s="171">
        <v>282693.61</v>
      </c>
      <c r="AL17" s="172">
        <f t="shared" si="19"/>
        <v>5.8185247194135696E-2</v>
      </c>
      <c r="AN17" s="72"/>
    </row>
    <row r="18" spans="2:40" s="73" customFormat="1" ht="14.25" customHeight="1">
      <c r="B18" s="569"/>
      <c r="C18" s="572"/>
      <c r="D18" s="170">
        <v>46242</v>
      </c>
      <c r="E18" s="170" t="s">
        <v>115</v>
      </c>
      <c r="F18" s="319">
        <f t="shared" si="0"/>
        <v>5207709.95</v>
      </c>
      <c r="G18" s="571"/>
      <c r="H18" s="566"/>
      <c r="I18" s="171">
        <v>574346.98999999987</v>
      </c>
      <c r="J18" s="172">
        <f t="shared" si="2"/>
        <v>0.11028782238534615</v>
      </c>
      <c r="K18" s="171">
        <v>958866.58</v>
      </c>
      <c r="L18" s="172">
        <f t="shared" si="3"/>
        <v>0.18412442113831626</v>
      </c>
      <c r="M18" s="171">
        <f t="shared" si="4"/>
        <v>1533213.5699999998</v>
      </c>
      <c r="N18" s="172">
        <f t="shared" ref="N18" si="48">M18/$F18</f>
        <v>0.29441224352366241</v>
      </c>
      <c r="O18" s="171">
        <v>213936.77000000002</v>
      </c>
      <c r="P18" s="172">
        <f t="shared" si="6"/>
        <v>4.1080776781740699E-2</v>
      </c>
      <c r="Q18" s="171">
        <v>0</v>
      </c>
      <c r="R18" s="172">
        <f t="shared" si="7"/>
        <v>0</v>
      </c>
      <c r="S18" s="171">
        <f t="shared" si="8"/>
        <v>213936.77000000002</v>
      </c>
      <c r="T18" s="172">
        <f t="shared" ref="T18" si="49">S18/$F18</f>
        <v>4.1080776781740699E-2</v>
      </c>
      <c r="U18" s="171">
        <v>47652.299999999996</v>
      </c>
      <c r="V18" s="172">
        <f t="shared" ref="V18" si="50">U18/$F18</f>
        <v>9.1503368001514748E-3</v>
      </c>
      <c r="W18" s="171">
        <v>193061.75999999998</v>
      </c>
      <c r="X18" s="172">
        <f t="shared" si="11"/>
        <v>3.7072295088170178E-2</v>
      </c>
      <c r="Y18" s="171">
        <v>290648.93</v>
      </c>
      <c r="Z18" s="172">
        <f t="shared" si="12"/>
        <v>5.5811274589131057E-2</v>
      </c>
      <c r="AA18" s="171">
        <v>526138.22</v>
      </c>
      <c r="AB18" s="172">
        <f t="shared" si="13"/>
        <v>0.10103063055575896</v>
      </c>
      <c r="AC18" s="171">
        <f t="shared" si="14"/>
        <v>816787.14999999991</v>
      </c>
      <c r="AD18" s="172">
        <f t="shared" si="15"/>
        <v>0.15684190514488999</v>
      </c>
      <c r="AE18" s="171">
        <v>1057265.08</v>
      </c>
      <c r="AF18" s="172">
        <f t="shared" si="16"/>
        <v>0.20301919464619952</v>
      </c>
      <c r="AG18" s="171">
        <v>0</v>
      </c>
      <c r="AH18" s="172">
        <f t="shared" si="17"/>
        <v>0</v>
      </c>
      <c r="AI18" s="171">
        <v>1064846.29</v>
      </c>
      <c r="AJ18" s="172">
        <f t="shared" si="18"/>
        <v>0.20447496120631681</v>
      </c>
      <c r="AK18" s="171">
        <v>280947.03000000003</v>
      </c>
      <c r="AL18" s="172">
        <f t="shared" si="19"/>
        <v>5.3948286808868845E-2</v>
      </c>
      <c r="AN18" s="72"/>
    </row>
    <row r="19" spans="2:40" s="73" customFormat="1" ht="14.25" customHeight="1">
      <c r="B19" s="569"/>
      <c r="C19" s="572"/>
      <c r="D19" s="170">
        <v>46243</v>
      </c>
      <c r="E19" s="170" t="s">
        <v>116</v>
      </c>
      <c r="F19" s="319">
        <f t="shared" si="0"/>
        <v>6655646.0600000005</v>
      </c>
      <c r="G19" s="571"/>
      <c r="H19" s="566"/>
      <c r="I19" s="171">
        <v>834309.99</v>
      </c>
      <c r="J19" s="172">
        <f t="shared" si="2"/>
        <v>0.12535371960569669</v>
      </c>
      <c r="K19" s="171">
        <v>1100928.43</v>
      </c>
      <c r="L19" s="172">
        <f t="shared" si="3"/>
        <v>0.16541270675682532</v>
      </c>
      <c r="M19" s="171">
        <f t="shared" si="4"/>
        <v>1935238.42</v>
      </c>
      <c r="N19" s="172">
        <f t="shared" ref="N19" si="51">M19/F19</f>
        <v>0.29076642636252203</v>
      </c>
      <c r="O19" s="171">
        <v>299433.43</v>
      </c>
      <c r="P19" s="172">
        <f t="shared" si="6"/>
        <v>4.4989386049173408E-2</v>
      </c>
      <c r="Q19" s="171">
        <v>0</v>
      </c>
      <c r="R19" s="172">
        <f t="shared" si="7"/>
        <v>0</v>
      </c>
      <c r="S19" s="171">
        <f t="shared" si="8"/>
        <v>299433.43</v>
      </c>
      <c r="T19" s="172">
        <f t="shared" ref="T19" si="52">S19/F19</f>
        <v>4.4989386049173408E-2</v>
      </c>
      <c r="U19" s="171">
        <v>81218.7</v>
      </c>
      <c r="V19" s="172">
        <f t="shared" ref="V19" si="53">U19/F19</f>
        <v>1.2202977632497482E-2</v>
      </c>
      <c r="W19" s="171">
        <v>253716.25000000003</v>
      </c>
      <c r="X19" s="172">
        <f t="shared" si="11"/>
        <v>3.8120454079554826E-2</v>
      </c>
      <c r="Y19" s="171">
        <v>364346.75</v>
      </c>
      <c r="Z19" s="172">
        <f t="shared" si="12"/>
        <v>5.4742506845383537E-2</v>
      </c>
      <c r="AA19" s="171">
        <v>614255.53999999992</v>
      </c>
      <c r="AB19" s="172">
        <f t="shared" si="13"/>
        <v>9.2290896249972748E-2</v>
      </c>
      <c r="AC19" s="171">
        <f t="shared" si="14"/>
        <v>978602.28999999992</v>
      </c>
      <c r="AD19" s="172">
        <f t="shared" si="15"/>
        <v>0.14703340309535629</v>
      </c>
      <c r="AE19" s="171">
        <v>1623092.2300000002</v>
      </c>
      <c r="AF19" s="172">
        <f t="shared" si="16"/>
        <v>0.2438669687913062</v>
      </c>
      <c r="AG19" s="171">
        <v>0</v>
      </c>
      <c r="AH19" s="172">
        <f t="shared" si="17"/>
        <v>0</v>
      </c>
      <c r="AI19" s="171">
        <v>1235753.1199999999</v>
      </c>
      <c r="AJ19" s="172">
        <f t="shared" si="18"/>
        <v>0.18566989723609187</v>
      </c>
      <c r="AK19" s="171">
        <v>248591.62</v>
      </c>
      <c r="AL19" s="172">
        <f t="shared" si="19"/>
        <v>3.7350486753497822E-2</v>
      </c>
      <c r="AN19" s="72"/>
    </row>
    <row r="20" spans="2:40" s="73" customFormat="1" ht="14.25" customHeight="1">
      <c r="B20" s="570"/>
      <c r="C20" s="572"/>
      <c r="D20" s="170">
        <v>46244</v>
      </c>
      <c r="E20" s="170" t="s">
        <v>117</v>
      </c>
      <c r="F20" s="319">
        <f t="shared" si="0"/>
        <v>6334097.5899999999</v>
      </c>
      <c r="G20" s="571"/>
      <c r="H20" s="566"/>
      <c r="I20" s="171">
        <v>801920.08999999985</v>
      </c>
      <c r="J20" s="172">
        <f t="shared" si="2"/>
        <v>0.12660368404585945</v>
      </c>
      <c r="K20" s="171">
        <v>1078602.6800000002</v>
      </c>
      <c r="L20" s="172">
        <f t="shared" si="3"/>
        <v>0.1702851376497343</v>
      </c>
      <c r="M20" s="171">
        <f t="shared" si="4"/>
        <v>1880522.77</v>
      </c>
      <c r="N20" s="172">
        <f t="shared" ref="N20:N21" si="54">M20/$F20</f>
        <v>0.29688882169559372</v>
      </c>
      <c r="O20" s="171">
        <v>312805.92000000004</v>
      </c>
      <c r="P20" s="172">
        <f t="shared" si="6"/>
        <v>4.9384449095613007E-2</v>
      </c>
      <c r="Q20" s="171">
        <v>0</v>
      </c>
      <c r="R20" s="172">
        <f t="shared" si="7"/>
        <v>0</v>
      </c>
      <c r="S20" s="171">
        <f t="shared" si="8"/>
        <v>312805.92000000004</v>
      </c>
      <c r="T20" s="172">
        <f t="shared" ref="T20:T21" si="55">S20/$F20</f>
        <v>4.9384449095613007E-2</v>
      </c>
      <c r="U20" s="171">
        <v>71418.509999999995</v>
      </c>
      <c r="V20" s="172">
        <f t="shared" ref="V20:V21" si="56">U20/$F20</f>
        <v>1.1275246234404797E-2</v>
      </c>
      <c r="W20" s="171">
        <v>281829.55000000005</v>
      </c>
      <c r="X20" s="172">
        <f t="shared" si="11"/>
        <v>4.4494033442891753E-2</v>
      </c>
      <c r="Y20" s="171">
        <v>375996.35</v>
      </c>
      <c r="Z20" s="172">
        <f t="shared" si="12"/>
        <v>5.9360681558428594E-2</v>
      </c>
      <c r="AA20" s="171">
        <v>573928.04</v>
      </c>
      <c r="AB20" s="172">
        <f t="shared" si="13"/>
        <v>9.0609282829189883E-2</v>
      </c>
      <c r="AC20" s="171">
        <f t="shared" si="14"/>
        <v>949924.39</v>
      </c>
      <c r="AD20" s="172">
        <f t="shared" si="15"/>
        <v>0.14996996438761848</v>
      </c>
      <c r="AE20" s="171">
        <v>1559266.41</v>
      </c>
      <c r="AF20" s="172">
        <f t="shared" si="16"/>
        <v>0.24617025359093023</v>
      </c>
      <c r="AG20" s="171">
        <v>0</v>
      </c>
      <c r="AH20" s="172">
        <f t="shared" si="17"/>
        <v>0</v>
      </c>
      <c r="AI20" s="171">
        <v>989183.96</v>
      </c>
      <c r="AJ20" s="172">
        <f t="shared" si="18"/>
        <v>0.156168095919722</v>
      </c>
      <c r="AK20" s="171">
        <v>289146.07999999996</v>
      </c>
      <c r="AL20" s="172">
        <f t="shared" si="19"/>
        <v>4.5649135633226007E-2</v>
      </c>
      <c r="AN20" s="72"/>
    </row>
    <row r="21" spans="2:40" s="73" customFormat="1" ht="14.25" customHeight="1">
      <c r="B21" s="568">
        <f>B14+7</f>
        <v>46253</v>
      </c>
      <c r="C21" s="572"/>
      <c r="D21" s="170">
        <v>46245</v>
      </c>
      <c r="E21" s="170" t="s">
        <v>118</v>
      </c>
      <c r="F21" s="319">
        <f t="shared" si="0"/>
        <v>5779689.7399999984</v>
      </c>
      <c r="G21" s="571">
        <f t="shared" ref="G21" si="57">SUM(F21:F27)</f>
        <v>38288004.869999997</v>
      </c>
      <c r="H21" s="566"/>
      <c r="I21" s="171">
        <v>769716.01</v>
      </c>
      <c r="J21" s="172">
        <f t="shared" si="2"/>
        <v>0.13317600851010392</v>
      </c>
      <c r="K21" s="171">
        <v>1030354.47</v>
      </c>
      <c r="L21" s="172">
        <f t="shared" si="3"/>
        <v>0.17827158832923795</v>
      </c>
      <c r="M21" s="171">
        <f t="shared" si="4"/>
        <v>1800070.48</v>
      </c>
      <c r="N21" s="172">
        <f t="shared" si="54"/>
        <v>0.31144759683934187</v>
      </c>
      <c r="O21" s="171">
        <v>278005.31</v>
      </c>
      <c r="P21" s="172">
        <f t="shared" si="6"/>
        <v>4.8100386440466623E-2</v>
      </c>
      <c r="Q21" s="171">
        <v>0</v>
      </c>
      <c r="R21" s="172">
        <f t="shared" si="7"/>
        <v>0</v>
      </c>
      <c r="S21" s="171">
        <f t="shared" si="8"/>
        <v>278005.31</v>
      </c>
      <c r="T21" s="172">
        <f t="shared" si="55"/>
        <v>4.8100386440466623E-2</v>
      </c>
      <c r="U21" s="171">
        <v>76273.649999999994</v>
      </c>
      <c r="V21" s="172">
        <f t="shared" si="56"/>
        <v>1.3196841600705026E-2</v>
      </c>
      <c r="W21" s="171">
        <v>238085.11000000002</v>
      </c>
      <c r="X21" s="172">
        <f t="shared" si="11"/>
        <v>4.1193406689681598E-2</v>
      </c>
      <c r="Y21" s="171">
        <v>343228.02</v>
      </c>
      <c r="Z21" s="172">
        <f t="shared" si="12"/>
        <v>5.9385198071203057E-2</v>
      </c>
      <c r="AA21" s="171">
        <v>564492.78</v>
      </c>
      <c r="AB21" s="172">
        <f t="shared" si="13"/>
        <v>9.7668353388118065E-2</v>
      </c>
      <c r="AC21" s="171">
        <f t="shared" si="14"/>
        <v>907720.8</v>
      </c>
      <c r="AD21" s="172">
        <f t="shared" si="15"/>
        <v>0.15705355145932112</v>
      </c>
      <c r="AE21" s="171">
        <v>1468121.85</v>
      </c>
      <c r="AF21" s="172">
        <f t="shared" si="16"/>
        <v>0.25401395508126368</v>
      </c>
      <c r="AG21" s="171">
        <v>0</v>
      </c>
      <c r="AH21" s="172">
        <f t="shared" si="17"/>
        <v>0</v>
      </c>
      <c r="AI21" s="171">
        <v>804901.5199999999</v>
      </c>
      <c r="AJ21" s="172">
        <f t="shared" si="18"/>
        <v>0.13926379376897144</v>
      </c>
      <c r="AK21" s="171">
        <v>206511.02</v>
      </c>
      <c r="AL21" s="172">
        <f t="shared" si="19"/>
        <v>3.5730468120248965E-2</v>
      </c>
      <c r="AN21" s="72"/>
    </row>
    <row r="22" spans="2:40" s="73" customFormat="1" ht="14.25" customHeight="1">
      <c r="B22" s="569"/>
      <c r="C22" s="572"/>
      <c r="D22" s="170">
        <v>46246</v>
      </c>
      <c r="E22" s="170" t="s">
        <v>112</v>
      </c>
      <c r="F22" s="319">
        <f t="shared" si="0"/>
        <v>5663016.0199999996</v>
      </c>
      <c r="G22" s="571"/>
      <c r="H22" s="566"/>
      <c r="I22" s="171">
        <v>758266.73</v>
      </c>
      <c r="J22" s="172">
        <f t="shared" si="2"/>
        <v>0.13389803725118193</v>
      </c>
      <c r="K22" s="171">
        <v>987157.76</v>
      </c>
      <c r="L22" s="172">
        <f t="shared" si="3"/>
        <v>0.17431661088608399</v>
      </c>
      <c r="M22" s="171">
        <f t="shared" si="4"/>
        <v>1745424.49</v>
      </c>
      <c r="N22" s="172">
        <f t="shared" ref="N22" si="58">M22/F22</f>
        <v>0.30821464813726596</v>
      </c>
      <c r="O22" s="171">
        <v>281150.71000000002</v>
      </c>
      <c r="P22" s="172">
        <f t="shared" si="6"/>
        <v>4.9646815231859445E-2</v>
      </c>
      <c r="Q22" s="171">
        <v>0</v>
      </c>
      <c r="R22" s="172">
        <f t="shared" si="7"/>
        <v>0</v>
      </c>
      <c r="S22" s="171">
        <f t="shared" si="8"/>
        <v>281150.71000000002</v>
      </c>
      <c r="T22" s="172">
        <f t="shared" ref="T22" si="59">S22/F22</f>
        <v>4.9646815231859445E-2</v>
      </c>
      <c r="U22" s="171">
        <v>65694.239999999991</v>
      </c>
      <c r="V22" s="172">
        <f t="shared" ref="V22" si="60">U22/F22</f>
        <v>1.1600574635139386E-2</v>
      </c>
      <c r="W22" s="171">
        <v>243905.42</v>
      </c>
      <c r="X22" s="172">
        <f t="shared" si="11"/>
        <v>4.3069879925926827E-2</v>
      </c>
      <c r="Y22" s="171">
        <v>314787.56</v>
      </c>
      <c r="Z22" s="172">
        <f t="shared" si="12"/>
        <v>5.5586556507745855E-2</v>
      </c>
      <c r="AA22" s="171">
        <v>555141.96</v>
      </c>
      <c r="AB22" s="172">
        <f t="shared" si="13"/>
        <v>9.8029381876973742E-2</v>
      </c>
      <c r="AC22" s="171">
        <f t="shared" si="14"/>
        <v>869929.52</v>
      </c>
      <c r="AD22" s="172">
        <f t="shared" si="15"/>
        <v>0.15361593838471962</v>
      </c>
      <c r="AE22" s="171">
        <v>1371919.8900000001</v>
      </c>
      <c r="AF22" s="172">
        <f t="shared" si="16"/>
        <v>0.24225958131758918</v>
      </c>
      <c r="AG22" s="171">
        <v>0</v>
      </c>
      <c r="AH22" s="172">
        <f t="shared" si="17"/>
        <v>0</v>
      </c>
      <c r="AI22" s="171">
        <v>888246.86</v>
      </c>
      <c r="AJ22" s="172">
        <f t="shared" si="18"/>
        <v>0.15685049395286721</v>
      </c>
      <c r="AK22" s="171">
        <v>196744.88999999998</v>
      </c>
      <c r="AL22" s="172">
        <f t="shared" si="19"/>
        <v>3.4742068414632524E-2</v>
      </c>
      <c r="AN22" s="72"/>
    </row>
    <row r="23" spans="2:40" s="73" customFormat="1" ht="14.25" customHeight="1">
      <c r="B23" s="569"/>
      <c r="C23" s="572"/>
      <c r="D23" s="170">
        <v>46247</v>
      </c>
      <c r="E23" s="170" t="s">
        <v>113</v>
      </c>
      <c r="F23" s="319">
        <f t="shared" si="0"/>
        <v>5284211.26</v>
      </c>
      <c r="G23" s="571"/>
      <c r="H23" s="566"/>
      <c r="I23" s="171">
        <v>730872.76999999979</v>
      </c>
      <c r="J23" s="172">
        <f t="shared" si="2"/>
        <v>0.13831255679206131</v>
      </c>
      <c r="K23" s="171">
        <v>888383.44000000006</v>
      </c>
      <c r="L23" s="172">
        <f t="shared" si="3"/>
        <v>0.1681203487689476</v>
      </c>
      <c r="M23" s="171">
        <f t="shared" si="4"/>
        <v>1619256.21</v>
      </c>
      <c r="N23" s="172">
        <f t="shared" ref="N23" si="61">M23/$F23</f>
        <v>0.30643290556100894</v>
      </c>
      <c r="O23" s="171">
        <v>271371.64</v>
      </c>
      <c r="P23" s="172">
        <f t="shared" si="6"/>
        <v>5.1355183706262346E-2</v>
      </c>
      <c r="Q23" s="171">
        <v>0</v>
      </c>
      <c r="R23" s="172">
        <f t="shared" si="7"/>
        <v>0</v>
      </c>
      <c r="S23" s="171">
        <f t="shared" si="8"/>
        <v>271371.64</v>
      </c>
      <c r="T23" s="172">
        <f t="shared" ref="T23" si="62">S23/$F23</f>
        <v>5.1355183706262346E-2</v>
      </c>
      <c r="U23" s="171">
        <v>67102.83</v>
      </c>
      <c r="V23" s="172">
        <f t="shared" ref="V23" si="63">U23/$F23</f>
        <v>1.2698740965931783E-2</v>
      </c>
      <c r="W23" s="171">
        <v>234136.44000000003</v>
      </c>
      <c r="X23" s="172">
        <f t="shared" si="11"/>
        <v>4.4308682692599244E-2</v>
      </c>
      <c r="Y23" s="171">
        <v>298896.26</v>
      </c>
      <c r="Z23" s="172">
        <f t="shared" si="12"/>
        <v>5.6564025413321575E-2</v>
      </c>
      <c r="AA23" s="171">
        <v>411941.73000000004</v>
      </c>
      <c r="AB23" s="172">
        <f t="shared" si="13"/>
        <v>7.795708947488221E-2</v>
      </c>
      <c r="AC23" s="171">
        <f t="shared" si="14"/>
        <v>710837.99</v>
      </c>
      <c r="AD23" s="172">
        <f t="shared" si="15"/>
        <v>0.13452111488820379</v>
      </c>
      <c r="AE23" s="171">
        <v>1285534.43</v>
      </c>
      <c r="AF23" s="172">
        <f t="shared" si="16"/>
        <v>0.24327839421015124</v>
      </c>
      <c r="AG23" s="171">
        <v>0</v>
      </c>
      <c r="AH23" s="172">
        <f t="shared" si="17"/>
        <v>0</v>
      </c>
      <c r="AI23" s="171">
        <v>897256.87999999977</v>
      </c>
      <c r="AJ23" s="172">
        <f t="shared" si="18"/>
        <v>0.16979958518918106</v>
      </c>
      <c r="AK23" s="171">
        <v>198714.83999999997</v>
      </c>
      <c r="AL23" s="172">
        <f t="shared" si="19"/>
        <v>3.7605392786661591E-2</v>
      </c>
      <c r="AN23" s="72"/>
    </row>
    <row r="24" spans="2:40" s="73" customFormat="1" ht="14.25" customHeight="1">
      <c r="B24" s="569"/>
      <c r="C24" s="572"/>
      <c r="D24" s="170">
        <v>46248</v>
      </c>
      <c r="E24" s="170" t="s">
        <v>114</v>
      </c>
      <c r="F24" s="319">
        <f t="shared" si="0"/>
        <v>4470999.01</v>
      </c>
      <c r="G24" s="571"/>
      <c r="H24" s="566"/>
      <c r="I24" s="171">
        <v>552586.48</v>
      </c>
      <c r="J24" s="172">
        <f t="shared" si="2"/>
        <v>0.12359351428261667</v>
      </c>
      <c r="K24" s="171">
        <v>812891.67999999993</v>
      </c>
      <c r="L24" s="172">
        <f t="shared" si="3"/>
        <v>0.18181432788999879</v>
      </c>
      <c r="M24" s="171">
        <f t="shared" si="4"/>
        <v>1365478.16</v>
      </c>
      <c r="N24" s="172">
        <f t="shared" ref="N24" si="64">M24/F24</f>
        <v>0.30540784217261546</v>
      </c>
      <c r="O24" s="171">
        <v>214671.62</v>
      </c>
      <c r="P24" s="172">
        <f t="shared" si="6"/>
        <v>4.8014240110511676E-2</v>
      </c>
      <c r="Q24" s="171">
        <v>0</v>
      </c>
      <c r="R24" s="172">
        <f t="shared" si="7"/>
        <v>0</v>
      </c>
      <c r="S24" s="171">
        <f t="shared" si="8"/>
        <v>214671.62</v>
      </c>
      <c r="T24" s="172">
        <f t="shared" ref="T24" si="65">S24/F24</f>
        <v>4.8014240110511676E-2</v>
      </c>
      <c r="U24" s="171">
        <v>49300.65</v>
      </c>
      <c r="V24" s="172">
        <f t="shared" ref="V24" si="66">U24/F24</f>
        <v>1.1026763792551143E-2</v>
      </c>
      <c r="W24" s="171">
        <v>183154.84</v>
      </c>
      <c r="X24" s="172">
        <f t="shared" si="11"/>
        <v>4.0965081761447315E-2</v>
      </c>
      <c r="Y24" s="171">
        <v>255370.1</v>
      </c>
      <c r="Z24" s="172">
        <f t="shared" si="12"/>
        <v>5.7117011081601651E-2</v>
      </c>
      <c r="AA24" s="171">
        <v>401533.3</v>
      </c>
      <c r="AB24" s="172">
        <f t="shared" si="13"/>
        <v>8.9808407271376248E-2</v>
      </c>
      <c r="AC24" s="171">
        <f t="shared" si="14"/>
        <v>656903.4</v>
      </c>
      <c r="AD24" s="172">
        <f t="shared" si="15"/>
        <v>0.1469254183529779</v>
      </c>
      <c r="AE24" s="171">
        <v>972783.65</v>
      </c>
      <c r="AF24" s="172">
        <f t="shared" si="16"/>
        <v>0.21757635101780085</v>
      </c>
      <c r="AG24" s="171">
        <v>0</v>
      </c>
      <c r="AH24" s="172">
        <f t="shared" si="17"/>
        <v>0</v>
      </c>
      <c r="AI24" s="171">
        <v>866402.55999999994</v>
      </c>
      <c r="AJ24" s="172">
        <f t="shared" si="18"/>
        <v>0.19378276713150067</v>
      </c>
      <c r="AK24" s="171">
        <v>162304.13</v>
      </c>
      <c r="AL24" s="172">
        <f t="shared" si="19"/>
        <v>3.6301535660595019E-2</v>
      </c>
      <c r="AN24" s="72"/>
    </row>
    <row r="25" spans="2:40" s="73" customFormat="1" ht="14.25" customHeight="1">
      <c r="B25" s="569"/>
      <c r="C25" s="572"/>
      <c r="D25" s="170">
        <v>46249</v>
      </c>
      <c r="E25" s="170" t="s">
        <v>115</v>
      </c>
      <c r="F25" s="319">
        <f t="shared" si="0"/>
        <v>4735598.2299999995</v>
      </c>
      <c r="G25" s="571"/>
      <c r="H25" s="566"/>
      <c r="I25" s="171">
        <v>523224.6399999999</v>
      </c>
      <c r="J25" s="172">
        <f t="shared" si="2"/>
        <v>0.11048754868716976</v>
      </c>
      <c r="K25" s="171">
        <v>952595.77</v>
      </c>
      <c r="L25" s="172">
        <f t="shared" si="3"/>
        <v>0.20115637428135455</v>
      </c>
      <c r="M25" s="171">
        <f t="shared" si="4"/>
        <v>1475820.41</v>
      </c>
      <c r="N25" s="172">
        <f t="shared" ref="N25" si="67">M25/$F25</f>
        <v>0.31164392296852433</v>
      </c>
      <c r="O25" s="171">
        <v>203943.4</v>
      </c>
      <c r="P25" s="172">
        <f t="shared" si="6"/>
        <v>4.306602673935031E-2</v>
      </c>
      <c r="Q25" s="171">
        <v>0</v>
      </c>
      <c r="R25" s="172">
        <f t="shared" si="7"/>
        <v>0</v>
      </c>
      <c r="S25" s="171">
        <f t="shared" si="8"/>
        <v>203943.4</v>
      </c>
      <c r="T25" s="172">
        <f t="shared" ref="T25" si="68">S25/$F25</f>
        <v>4.306602673935031E-2</v>
      </c>
      <c r="U25" s="171">
        <v>52087.86</v>
      </c>
      <c r="V25" s="172">
        <f t="shared" ref="V25" si="69">U25/$F25</f>
        <v>1.0999214348468917E-2</v>
      </c>
      <c r="W25" s="171">
        <v>161920.18000000002</v>
      </c>
      <c r="X25" s="172">
        <f t="shared" si="11"/>
        <v>3.4192127823309881E-2</v>
      </c>
      <c r="Y25" s="171">
        <v>275461.34999999998</v>
      </c>
      <c r="Z25" s="172">
        <f t="shared" si="12"/>
        <v>5.8168226403784259E-2</v>
      </c>
      <c r="AA25" s="171">
        <v>537538.14</v>
      </c>
      <c r="AB25" s="172">
        <f t="shared" si="13"/>
        <v>0.11351008128069177</v>
      </c>
      <c r="AC25" s="171">
        <f t="shared" si="14"/>
        <v>812999.49</v>
      </c>
      <c r="AD25" s="172">
        <f t="shared" si="15"/>
        <v>0.17167830768447603</v>
      </c>
      <c r="AE25" s="171">
        <v>1025283.05</v>
      </c>
      <c r="AF25" s="172">
        <f t="shared" si="16"/>
        <v>0.21650549734241289</v>
      </c>
      <c r="AG25" s="171">
        <v>0</v>
      </c>
      <c r="AH25" s="172">
        <f t="shared" si="17"/>
        <v>0</v>
      </c>
      <c r="AI25" s="171">
        <v>846485.73999999987</v>
      </c>
      <c r="AJ25" s="172">
        <f t="shared" si="18"/>
        <v>0.17874948399074808</v>
      </c>
      <c r="AK25" s="171">
        <v>157058.1</v>
      </c>
      <c r="AL25" s="172">
        <f t="shared" si="19"/>
        <v>3.3165419102709655E-2</v>
      </c>
      <c r="AN25" s="72"/>
    </row>
    <row r="26" spans="2:40" s="73" customFormat="1" ht="14.25" customHeight="1">
      <c r="B26" s="569"/>
      <c r="C26" s="572"/>
      <c r="D26" s="170">
        <v>46250</v>
      </c>
      <c r="E26" s="170" t="s">
        <v>116</v>
      </c>
      <c r="F26" s="319">
        <f t="shared" si="0"/>
        <v>6269913.0899999999</v>
      </c>
      <c r="G26" s="571"/>
      <c r="H26" s="566"/>
      <c r="I26" s="171">
        <v>793652.12999999989</v>
      </c>
      <c r="J26" s="172">
        <f t="shared" si="2"/>
        <v>0.12658104165204623</v>
      </c>
      <c r="K26" s="171">
        <v>1093741.4399999997</v>
      </c>
      <c r="L26" s="172">
        <f t="shared" si="3"/>
        <v>0.17444283904739097</v>
      </c>
      <c r="M26" s="171">
        <f t="shared" si="4"/>
        <v>1887393.5699999996</v>
      </c>
      <c r="N26" s="172">
        <f t="shared" ref="N26" si="70">M26/F26</f>
        <v>0.3010238806994372</v>
      </c>
      <c r="O26" s="171">
        <v>288498.48</v>
      </c>
      <c r="P26" s="172">
        <f t="shared" si="6"/>
        <v>4.6013154545974731E-2</v>
      </c>
      <c r="Q26" s="171">
        <v>0</v>
      </c>
      <c r="R26" s="172">
        <f t="shared" si="7"/>
        <v>0</v>
      </c>
      <c r="S26" s="171">
        <f t="shared" si="8"/>
        <v>288498.48</v>
      </c>
      <c r="T26" s="172">
        <f t="shared" ref="T26" si="71">S26/F26</f>
        <v>4.6013154545974731E-2</v>
      </c>
      <c r="U26" s="171">
        <v>84335.58</v>
      </c>
      <c r="V26" s="172">
        <f t="shared" ref="V26" si="72">U26/F26</f>
        <v>1.3450837163039528E-2</v>
      </c>
      <c r="W26" s="171">
        <v>220963.28</v>
      </c>
      <c r="X26" s="172">
        <f t="shared" si="11"/>
        <v>3.5241840967846653E-2</v>
      </c>
      <c r="Y26" s="171">
        <v>350031.54000000004</v>
      </c>
      <c r="Z26" s="172">
        <f t="shared" si="12"/>
        <v>5.5827175747981544E-2</v>
      </c>
      <c r="AA26" s="171">
        <v>627063.07000000007</v>
      </c>
      <c r="AB26" s="172">
        <f t="shared" si="13"/>
        <v>0.10001144529421221</v>
      </c>
      <c r="AC26" s="171">
        <f t="shared" si="14"/>
        <v>977094.6100000001</v>
      </c>
      <c r="AD26" s="172">
        <f t="shared" si="15"/>
        <v>0.15583862104219376</v>
      </c>
      <c r="AE26" s="171">
        <v>1640135.9000000001</v>
      </c>
      <c r="AF26" s="172">
        <f t="shared" si="16"/>
        <v>0.26158829898549679</v>
      </c>
      <c r="AG26" s="171">
        <v>0</v>
      </c>
      <c r="AH26" s="172">
        <f t="shared" si="17"/>
        <v>0</v>
      </c>
      <c r="AI26" s="171">
        <v>1026305.5099999999</v>
      </c>
      <c r="AJ26" s="172">
        <f t="shared" si="18"/>
        <v>0.16368735822460975</v>
      </c>
      <c r="AK26" s="171">
        <v>145186.15999999997</v>
      </c>
      <c r="AL26" s="172">
        <f t="shared" si="19"/>
        <v>2.3156008371401519E-2</v>
      </c>
      <c r="AN26" s="72"/>
    </row>
    <row r="27" spans="2:40" s="73" customFormat="1" ht="14.25" customHeight="1">
      <c r="B27" s="570"/>
      <c r="C27" s="572"/>
      <c r="D27" s="170">
        <v>46251</v>
      </c>
      <c r="E27" s="170" t="s">
        <v>117</v>
      </c>
      <c r="F27" s="319">
        <f t="shared" si="0"/>
        <v>6084577.5200000005</v>
      </c>
      <c r="G27" s="571"/>
      <c r="H27" s="566"/>
      <c r="I27" s="171">
        <v>784514.72000000009</v>
      </c>
      <c r="J27" s="172">
        <f t="shared" si="2"/>
        <v>0.12893495356436843</v>
      </c>
      <c r="K27" s="171">
        <v>1082040.97</v>
      </c>
      <c r="L27" s="172">
        <f t="shared" si="3"/>
        <v>0.17783337732871876</v>
      </c>
      <c r="M27" s="171">
        <f t="shared" si="4"/>
        <v>1866555.69</v>
      </c>
      <c r="N27" s="172">
        <f t="shared" ref="N27:N28" si="73">M27/$F27</f>
        <v>0.30676833089308719</v>
      </c>
      <c r="O27" s="171">
        <v>281762.01</v>
      </c>
      <c r="P27" s="172">
        <f t="shared" si="6"/>
        <v>4.6307571737536184E-2</v>
      </c>
      <c r="Q27" s="171">
        <v>0</v>
      </c>
      <c r="R27" s="172">
        <f t="shared" si="7"/>
        <v>0</v>
      </c>
      <c r="S27" s="171">
        <f t="shared" si="8"/>
        <v>281762.01</v>
      </c>
      <c r="T27" s="172">
        <f t="shared" ref="T27:T28" si="74">S27/$F27</f>
        <v>4.6307571737536184E-2</v>
      </c>
      <c r="U27" s="171">
        <v>73456.47</v>
      </c>
      <c r="V27" s="172">
        <f t="shared" ref="V27:V28" si="75">U27/$F27</f>
        <v>1.2072567036667484E-2</v>
      </c>
      <c r="W27" s="171">
        <v>250384.3</v>
      </c>
      <c r="X27" s="172">
        <f t="shared" si="11"/>
        <v>4.115064672559221E-2</v>
      </c>
      <c r="Y27" s="171">
        <v>371928.8</v>
      </c>
      <c r="Z27" s="172">
        <f t="shared" si="12"/>
        <v>6.1126478999974997E-2</v>
      </c>
      <c r="AA27" s="171">
        <v>576313.35</v>
      </c>
      <c r="AB27" s="172">
        <f t="shared" si="13"/>
        <v>9.4717069197599757E-2</v>
      </c>
      <c r="AC27" s="171">
        <f t="shared" si="14"/>
        <v>948242.14999999991</v>
      </c>
      <c r="AD27" s="172">
        <f t="shared" si="15"/>
        <v>0.15584354819757476</v>
      </c>
      <c r="AE27" s="171">
        <v>1551809.46</v>
      </c>
      <c r="AF27" s="172">
        <f t="shared" si="16"/>
        <v>0.25503980430838524</v>
      </c>
      <c r="AG27" s="171">
        <v>0</v>
      </c>
      <c r="AH27" s="172">
        <f t="shared" si="17"/>
        <v>0</v>
      </c>
      <c r="AI27" s="171">
        <v>951265.58</v>
      </c>
      <c r="AJ27" s="172">
        <f t="shared" si="18"/>
        <v>0.15634044876134637</v>
      </c>
      <c r="AK27" s="171">
        <v>161101.85999999999</v>
      </c>
      <c r="AL27" s="172">
        <f t="shared" si="19"/>
        <v>2.6477082339810502E-2</v>
      </c>
      <c r="AN27" s="72"/>
    </row>
    <row r="28" spans="2:40" s="73" customFormat="1" ht="14.25" customHeight="1">
      <c r="B28" s="568">
        <f>B21+7</f>
        <v>46260</v>
      </c>
      <c r="C28" s="572"/>
      <c r="D28" s="170">
        <v>46252</v>
      </c>
      <c r="E28" s="170" t="s">
        <v>118</v>
      </c>
      <c r="F28" s="319">
        <f t="shared" si="0"/>
        <v>6583839.5199999996</v>
      </c>
      <c r="G28" s="571">
        <f t="shared" ref="G28" si="76">SUM(F28:F34)</f>
        <v>39537269.799999997</v>
      </c>
      <c r="H28" s="566"/>
      <c r="I28" s="171">
        <v>782871.45</v>
      </c>
      <c r="J28" s="172">
        <f t="shared" si="2"/>
        <v>0.11890803954468197</v>
      </c>
      <c r="K28" s="171">
        <v>1078113.71</v>
      </c>
      <c r="L28" s="172">
        <f t="shared" si="3"/>
        <v>0.16375151713904473</v>
      </c>
      <c r="M28" s="171">
        <f t="shared" si="4"/>
        <v>1860985.16</v>
      </c>
      <c r="N28" s="172">
        <f t="shared" si="73"/>
        <v>0.28265955668372672</v>
      </c>
      <c r="O28" s="171">
        <v>280506.93</v>
      </c>
      <c r="P28" s="172">
        <f t="shared" si="6"/>
        <v>4.2605371705657855E-2</v>
      </c>
      <c r="Q28" s="171">
        <v>0</v>
      </c>
      <c r="R28" s="172">
        <f t="shared" si="7"/>
        <v>0</v>
      </c>
      <c r="S28" s="171">
        <f t="shared" si="8"/>
        <v>280506.93</v>
      </c>
      <c r="T28" s="172">
        <f t="shared" si="74"/>
        <v>4.2605371705657855E-2</v>
      </c>
      <c r="U28" s="171">
        <v>77112.81</v>
      </c>
      <c r="V28" s="172">
        <f t="shared" si="75"/>
        <v>1.1712437668893849E-2</v>
      </c>
      <c r="W28" s="171">
        <v>213416.36000000002</v>
      </c>
      <c r="X28" s="172">
        <f t="shared" si="11"/>
        <v>3.2415182562043982E-2</v>
      </c>
      <c r="Y28" s="171">
        <v>316364.53999999998</v>
      </c>
      <c r="Z28" s="172">
        <f t="shared" si="12"/>
        <v>4.805167851357349E-2</v>
      </c>
      <c r="AA28" s="171">
        <v>560524.93000000005</v>
      </c>
      <c r="AB28" s="172">
        <f t="shared" si="13"/>
        <v>8.5136481273164463E-2</v>
      </c>
      <c r="AC28" s="171">
        <f t="shared" si="14"/>
        <v>876889.47</v>
      </c>
      <c r="AD28" s="172">
        <f t="shared" si="15"/>
        <v>0.13318815978673795</v>
      </c>
      <c r="AE28" s="171">
        <v>2195493.54</v>
      </c>
      <c r="AF28" s="172">
        <f t="shared" si="16"/>
        <v>0.33346704963428392</v>
      </c>
      <c r="AG28" s="171">
        <v>0</v>
      </c>
      <c r="AH28" s="172">
        <f t="shared" si="17"/>
        <v>0</v>
      </c>
      <c r="AI28" s="171">
        <v>944361.97</v>
      </c>
      <c r="AJ28" s="172">
        <f t="shared" si="18"/>
        <v>0.14343635915354147</v>
      </c>
      <c r="AK28" s="171">
        <v>135073.28</v>
      </c>
      <c r="AL28" s="172">
        <f t="shared" si="19"/>
        <v>2.0515882805114304E-2</v>
      </c>
      <c r="AN28" s="72"/>
    </row>
    <row r="29" spans="2:40" s="73" customFormat="1" ht="14.25" customHeight="1">
      <c r="B29" s="569"/>
      <c r="C29" s="572"/>
      <c r="D29" s="170">
        <v>46253</v>
      </c>
      <c r="E29" s="170" t="s">
        <v>112</v>
      </c>
      <c r="F29" s="319">
        <f t="shared" si="0"/>
        <v>5965361.7000000002</v>
      </c>
      <c r="G29" s="571"/>
      <c r="H29" s="566"/>
      <c r="I29" s="171">
        <v>765410.53000000014</v>
      </c>
      <c r="J29" s="172">
        <f t="shared" si="2"/>
        <v>0.12830915684458835</v>
      </c>
      <c r="K29" s="171">
        <v>1019616.8999999999</v>
      </c>
      <c r="L29" s="172">
        <f t="shared" si="3"/>
        <v>0.17092289642721914</v>
      </c>
      <c r="M29" s="171">
        <f t="shared" si="4"/>
        <v>1785027.4300000002</v>
      </c>
      <c r="N29" s="172">
        <f t="shared" ref="N29" si="77">M29/F29</f>
        <v>0.29923205327180752</v>
      </c>
      <c r="O29" s="171">
        <v>279389.89</v>
      </c>
      <c r="P29" s="172">
        <f t="shared" si="6"/>
        <v>4.6835364568086457E-2</v>
      </c>
      <c r="Q29" s="171">
        <v>0</v>
      </c>
      <c r="R29" s="172">
        <f t="shared" si="7"/>
        <v>0</v>
      </c>
      <c r="S29" s="171">
        <f t="shared" si="8"/>
        <v>279389.89</v>
      </c>
      <c r="T29" s="172">
        <f t="shared" ref="T29" si="78">S29/F29</f>
        <v>4.6835364568086457E-2</v>
      </c>
      <c r="U29" s="171">
        <v>65604.33</v>
      </c>
      <c r="V29" s="172">
        <f t="shared" ref="V29" si="79">U29/F29</f>
        <v>1.0997544373545698E-2</v>
      </c>
      <c r="W29" s="171">
        <v>218864.16</v>
      </c>
      <c r="X29" s="172">
        <f t="shared" si="11"/>
        <v>3.668916840365271E-2</v>
      </c>
      <c r="Y29" s="171">
        <v>288132.69</v>
      </c>
      <c r="Z29" s="172">
        <f t="shared" si="12"/>
        <v>4.8300958850491828E-2</v>
      </c>
      <c r="AA29" s="171">
        <v>538565.61</v>
      </c>
      <c r="AB29" s="172">
        <f t="shared" si="13"/>
        <v>9.0282138298504178E-2</v>
      </c>
      <c r="AC29" s="171">
        <f t="shared" si="14"/>
        <v>826698.3</v>
      </c>
      <c r="AD29" s="172">
        <f t="shared" si="15"/>
        <v>0.13858309714899603</v>
      </c>
      <c r="AE29" s="171">
        <v>1741295.75</v>
      </c>
      <c r="AF29" s="172">
        <f t="shared" si="16"/>
        <v>0.29190111808308289</v>
      </c>
      <c r="AG29" s="171">
        <v>0</v>
      </c>
      <c r="AH29" s="172">
        <f t="shared" si="17"/>
        <v>0</v>
      </c>
      <c r="AI29" s="171">
        <v>913466.65999999992</v>
      </c>
      <c r="AJ29" s="172">
        <f t="shared" si="18"/>
        <v>0.15312846159856491</v>
      </c>
      <c r="AK29" s="171">
        <v>135015.18</v>
      </c>
      <c r="AL29" s="172">
        <f t="shared" si="19"/>
        <v>2.2633192552263846E-2</v>
      </c>
      <c r="AN29" s="72"/>
    </row>
    <row r="30" spans="2:40" s="73" customFormat="1" ht="14.25" customHeight="1">
      <c r="B30" s="569"/>
      <c r="C30" s="572"/>
      <c r="D30" s="170">
        <v>46254</v>
      </c>
      <c r="E30" s="170" t="s">
        <v>113</v>
      </c>
      <c r="F30" s="319">
        <f t="shared" si="0"/>
        <v>5515098.4399999995</v>
      </c>
      <c r="G30" s="571"/>
      <c r="H30" s="566"/>
      <c r="I30" s="171">
        <v>735594.52</v>
      </c>
      <c r="J30" s="172">
        <f t="shared" si="2"/>
        <v>0.13337831192003166</v>
      </c>
      <c r="K30" s="171">
        <v>902228.39999999991</v>
      </c>
      <c r="L30" s="172">
        <f t="shared" si="3"/>
        <v>0.16359243807078808</v>
      </c>
      <c r="M30" s="171">
        <f t="shared" si="4"/>
        <v>1637822.92</v>
      </c>
      <c r="N30" s="172">
        <f t="shared" ref="N30" si="80">M30/$F30</f>
        <v>0.29697074999081974</v>
      </c>
      <c r="O30" s="171">
        <v>267973.56</v>
      </c>
      <c r="P30" s="172">
        <f t="shared" si="6"/>
        <v>4.8589080125286038E-2</v>
      </c>
      <c r="Q30" s="171">
        <v>0</v>
      </c>
      <c r="R30" s="172">
        <f t="shared" si="7"/>
        <v>0</v>
      </c>
      <c r="S30" s="171">
        <f t="shared" si="8"/>
        <v>267973.56</v>
      </c>
      <c r="T30" s="172">
        <f t="shared" ref="T30" si="81">S30/$F30</f>
        <v>4.8589080125286038E-2</v>
      </c>
      <c r="U30" s="171">
        <v>67912.02</v>
      </c>
      <c r="V30" s="172">
        <f t="shared" ref="V30" si="82">U30/$F30</f>
        <v>1.2313836414495623E-2</v>
      </c>
      <c r="W30" s="171">
        <v>215496.56</v>
      </c>
      <c r="X30" s="172">
        <f t="shared" si="11"/>
        <v>3.9073928116503398E-2</v>
      </c>
      <c r="Y30" s="171">
        <v>280436.89</v>
      </c>
      <c r="Z30" s="172">
        <f t="shared" si="12"/>
        <v>5.0848936433490033E-2</v>
      </c>
      <c r="AA30" s="171">
        <v>418454.30000000005</v>
      </c>
      <c r="AB30" s="172">
        <f t="shared" si="13"/>
        <v>7.5874312045824538E-2</v>
      </c>
      <c r="AC30" s="171">
        <f t="shared" si="14"/>
        <v>698891.19000000006</v>
      </c>
      <c r="AD30" s="172">
        <f t="shared" si="15"/>
        <v>0.12672324847931457</v>
      </c>
      <c r="AE30" s="171">
        <v>1631479.75</v>
      </c>
      <c r="AF30" s="172">
        <f t="shared" si="16"/>
        <v>0.29582060370258778</v>
      </c>
      <c r="AG30" s="171">
        <v>0</v>
      </c>
      <c r="AH30" s="172">
        <f t="shared" si="17"/>
        <v>0</v>
      </c>
      <c r="AI30" s="171">
        <v>861399.18000000017</v>
      </c>
      <c r="AJ30" s="172">
        <f t="shared" si="18"/>
        <v>0.15618926649657414</v>
      </c>
      <c r="AK30" s="171">
        <v>134123.26</v>
      </c>
      <c r="AL30" s="172">
        <f t="shared" si="19"/>
        <v>2.4319286674418818E-2</v>
      </c>
      <c r="AN30" s="72"/>
    </row>
    <row r="31" spans="2:40" s="73" customFormat="1" ht="14.25" customHeight="1">
      <c r="B31" s="569"/>
      <c r="C31" s="572"/>
      <c r="D31" s="170">
        <v>46255</v>
      </c>
      <c r="E31" s="170" t="s">
        <v>114</v>
      </c>
      <c r="F31" s="319">
        <f t="shared" si="0"/>
        <v>4265125.8</v>
      </c>
      <c r="G31" s="571"/>
      <c r="H31" s="566"/>
      <c r="I31" s="171">
        <v>549940.70000000007</v>
      </c>
      <c r="J31" s="172">
        <f t="shared" si="2"/>
        <v>0.12893891664344345</v>
      </c>
      <c r="K31" s="171">
        <v>808605.96999999986</v>
      </c>
      <c r="L31" s="172">
        <f t="shared" si="3"/>
        <v>0.18958549124154789</v>
      </c>
      <c r="M31" s="171">
        <f t="shared" si="4"/>
        <v>1358546.67</v>
      </c>
      <c r="N31" s="172">
        <f t="shared" ref="N31" si="83">M31/F31</f>
        <v>0.31852440788499131</v>
      </c>
      <c r="O31" s="171">
        <v>207281.09</v>
      </c>
      <c r="P31" s="172">
        <f t="shared" si="6"/>
        <v>4.8599056562411362E-2</v>
      </c>
      <c r="Q31" s="171">
        <v>0</v>
      </c>
      <c r="R31" s="172">
        <f t="shared" si="7"/>
        <v>0</v>
      </c>
      <c r="S31" s="171">
        <f t="shared" si="8"/>
        <v>207281.09</v>
      </c>
      <c r="T31" s="172">
        <f t="shared" ref="T31" si="84">S31/F31</f>
        <v>4.8599056562411362E-2</v>
      </c>
      <c r="U31" s="171">
        <v>41388.57</v>
      </c>
      <c r="V31" s="172">
        <f t="shared" ref="V31" si="85">U31/F31</f>
        <v>9.7039505845290669E-3</v>
      </c>
      <c r="W31" s="171">
        <v>161157</v>
      </c>
      <c r="X31" s="172">
        <f t="shared" si="11"/>
        <v>3.7784817507610209E-2</v>
      </c>
      <c r="Y31" s="171">
        <v>223588.4</v>
      </c>
      <c r="Z31" s="172">
        <f t="shared" si="12"/>
        <v>5.2422463131099203E-2</v>
      </c>
      <c r="AA31" s="171">
        <v>409792.47000000003</v>
      </c>
      <c r="AB31" s="172">
        <f t="shared" si="13"/>
        <v>9.607980847833375E-2</v>
      </c>
      <c r="AC31" s="171">
        <f t="shared" si="14"/>
        <v>633380.87</v>
      </c>
      <c r="AD31" s="172">
        <f t="shared" si="15"/>
        <v>0.14850227160943297</v>
      </c>
      <c r="AE31" s="171">
        <v>1016350.82</v>
      </c>
      <c r="AF31" s="172">
        <f t="shared" si="16"/>
        <v>0.23829328082186932</v>
      </c>
      <c r="AG31" s="171">
        <v>0</v>
      </c>
      <c r="AH31" s="172">
        <f t="shared" si="17"/>
        <v>0</v>
      </c>
      <c r="AI31" s="171">
        <v>735764.15999999992</v>
      </c>
      <c r="AJ31" s="172">
        <f t="shared" si="18"/>
        <v>0.17250702429457063</v>
      </c>
      <c r="AK31" s="171">
        <v>111256.62</v>
      </c>
      <c r="AL31" s="172">
        <f t="shared" si="19"/>
        <v>2.6085190734585133E-2</v>
      </c>
      <c r="AN31" s="72"/>
    </row>
    <row r="32" spans="2:40" s="73" customFormat="1" ht="14.25" customHeight="1">
      <c r="B32" s="569"/>
      <c r="C32" s="572"/>
      <c r="D32" s="170">
        <v>46256</v>
      </c>
      <c r="E32" s="170" t="s">
        <v>115</v>
      </c>
      <c r="F32" s="319">
        <f t="shared" si="0"/>
        <v>4672768.7700000005</v>
      </c>
      <c r="G32" s="571"/>
      <c r="H32" s="566"/>
      <c r="I32" s="171">
        <v>519200.71999999991</v>
      </c>
      <c r="J32" s="172">
        <f t="shared" si="2"/>
        <v>0.11111200779575486</v>
      </c>
      <c r="K32" s="171">
        <v>922716.42000000027</v>
      </c>
      <c r="L32" s="172">
        <f t="shared" si="3"/>
        <v>0.19746674090188293</v>
      </c>
      <c r="M32" s="171">
        <f t="shared" si="4"/>
        <v>1441917.1400000001</v>
      </c>
      <c r="N32" s="172">
        <f t="shared" ref="N32" si="86">M32/$F32</f>
        <v>0.30857874869763779</v>
      </c>
      <c r="O32" s="171">
        <v>192243.65</v>
      </c>
      <c r="P32" s="172">
        <f t="shared" si="6"/>
        <v>4.1141271794623804E-2</v>
      </c>
      <c r="Q32" s="171">
        <v>0</v>
      </c>
      <c r="R32" s="172">
        <f t="shared" si="7"/>
        <v>0</v>
      </c>
      <c r="S32" s="171">
        <f t="shared" si="8"/>
        <v>192243.65</v>
      </c>
      <c r="T32" s="172">
        <f t="shared" ref="T32" si="87">S32/$F32</f>
        <v>4.1141271794623804E-2</v>
      </c>
      <c r="U32" s="171">
        <v>49450.5</v>
      </c>
      <c r="V32" s="172">
        <f t="shared" ref="V32" si="88">U32/$F32</f>
        <v>1.0582697846613111E-2</v>
      </c>
      <c r="W32" s="171">
        <v>159615.63999999998</v>
      </c>
      <c r="X32" s="172">
        <f t="shared" si="11"/>
        <v>3.4158685750675391E-2</v>
      </c>
      <c r="Y32" s="171">
        <v>252289.81999999998</v>
      </c>
      <c r="Z32" s="172">
        <f t="shared" si="12"/>
        <v>5.3991505340419389E-2</v>
      </c>
      <c r="AA32" s="171">
        <v>539320.57999999996</v>
      </c>
      <c r="AB32" s="172">
        <f t="shared" si="13"/>
        <v>0.11541777617213443</v>
      </c>
      <c r="AC32" s="171">
        <f t="shared" si="14"/>
        <v>791610.39999999991</v>
      </c>
      <c r="AD32" s="172">
        <f t="shared" si="15"/>
        <v>0.16940928151255383</v>
      </c>
      <c r="AE32" s="171">
        <v>1199863.1500000001</v>
      </c>
      <c r="AF32" s="172">
        <f t="shared" si="16"/>
        <v>0.25677777117997647</v>
      </c>
      <c r="AG32" s="171">
        <v>0</v>
      </c>
      <c r="AH32" s="172">
        <f t="shared" si="17"/>
        <v>0</v>
      </c>
      <c r="AI32" s="171">
        <v>726920.03</v>
      </c>
      <c r="AJ32" s="172">
        <f t="shared" si="18"/>
        <v>0.15556516185156749</v>
      </c>
      <c r="AK32" s="171">
        <v>111148.26</v>
      </c>
      <c r="AL32" s="172">
        <f t="shared" si="19"/>
        <v>2.3786381366352093E-2</v>
      </c>
      <c r="AN32" s="72"/>
    </row>
    <row r="33" spans="2:40" s="73" customFormat="1" ht="14.25" customHeight="1">
      <c r="B33" s="569"/>
      <c r="C33" s="572"/>
      <c r="D33" s="170">
        <v>46257</v>
      </c>
      <c r="E33" s="170" t="s">
        <v>116</v>
      </c>
      <c r="F33" s="319">
        <f t="shared" si="0"/>
        <v>6356809.7199999997</v>
      </c>
      <c r="G33" s="571"/>
      <c r="H33" s="566"/>
      <c r="I33" s="171">
        <v>776450.46</v>
      </c>
      <c r="J33" s="172">
        <f t="shared" si="2"/>
        <v>0.12214467542690581</v>
      </c>
      <c r="K33" s="171">
        <v>1036042.5600000002</v>
      </c>
      <c r="L33" s="172">
        <f t="shared" si="3"/>
        <v>0.16298152778434907</v>
      </c>
      <c r="M33" s="171">
        <f t="shared" si="4"/>
        <v>1812493.02</v>
      </c>
      <c r="N33" s="172">
        <f t="shared" ref="N33" si="89">M33/F33</f>
        <v>0.28512620321125487</v>
      </c>
      <c r="O33" s="171">
        <v>274550.11</v>
      </c>
      <c r="P33" s="172">
        <f t="shared" si="6"/>
        <v>4.3189921059962132E-2</v>
      </c>
      <c r="Q33" s="171">
        <v>0</v>
      </c>
      <c r="R33" s="172">
        <f t="shared" si="7"/>
        <v>0</v>
      </c>
      <c r="S33" s="171">
        <f t="shared" si="8"/>
        <v>274550.11</v>
      </c>
      <c r="T33" s="172">
        <f t="shared" ref="T33" si="90">S33/F33</f>
        <v>4.3189921059962132E-2</v>
      </c>
      <c r="U33" s="171">
        <v>67912.02</v>
      </c>
      <c r="V33" s="172">
        <f t="shared" ref="V33" si="91">U33/F33</f>
        <v>1.0683349508847657E-2</v>
      </c>
      <c r="W33" s="171">
        <v>213834.51</v>
      </c>
      <c r="X33" s="172">
        <f t="shared" si="11"/>
        <v>3.3638651999795897E-2</v>
      </c>
      <c r="Y33" s="171">
        <v>328398.43</v>
      </c>
      <c r="Z33" s="172">
        <f t="shared" si="12"/>
        <v>5.1660887216237142E-2</v>
      </c>
      <c r="AA33" s="171">
        <v>640538.58000000007</v>
      </c>
      <c r="AB33" s="172">
        <f t="shared" si="13"/>
        <v>0.10076415815699452</v>
      </c>
      <c r="AC33" s="171">
        <f t="shared" si="14"/>
        <v>968937.01</v>
      </c>
      <c r="AD33" s="172">
        <f t="shared" si="15"/>
        <v>0.15242504537323165</v>
      </c>
      <c r="AE33" s="171">
        <v>1957909.84</v>
      </c>
      <c r="AF33" s="172">
        <f t="shared" si="16"/>
        <v>0.30800195793810864</v>
      </c>
      <c r="AG33" s="171">
        <v>0</v>
      </c>
      <c r="AH33" s="172">
        <f t="shared" si="17"/>
        <v>0</v>
      </c>
      <c r="AI33" s="171">
        <v>924390.3899999999</v>
      </c>
      <c r="AJ33" s="172">
        <f t="shared" si="18"/>
        <v>0.14541734466137204</v>
      </c>
      <c r="AK33" s="171">
        <v>136782.82</v>
      </c>
      <c r="AL33" s="172">
        <f t="shared" si="19"/>
        <v>2.1517526247427147E-2</v>
      </c>
      <c r="AN33" s="72"/>
    </row>
    <row r="34" spans="2:40" s="73" customFormat="1" ht="14.25" customHeight="1">
      <c r="B34" s="570"/>
      <c r="C34" s="572"/>
      <c r="D34" s="170">
        <v>46258</v>
      </c>
      <c r="E34" s="170" t="s">
        <v>117</v>
      </c>
      <c r="F34" s="319">
        <f t="shared" si="0"/>
        <v>6178265.8499999996</v>
      </c>
      <c r="G34" s="571"/>
      <c r="H34" s="566"/>
      <c r="I34" s="171">
        <v>747335.19000000006</v>
      </c>
      <c r="J34" s="172">
        <f t="shared" si="2"/>
        <v>0.12096196702186263</v>
      </c>
      <c r="K34" s="171">
        <v>1137384.6100000003</v>
      </c>
      <c r="L34" s="172">
        <f t="shared" si="3"/>
        <v>0.18409447531300396</v>
      </c>
      <c r="M34" s="171">
        <f t="shared" si="4"/>
        <v>1884719.8000000003</v>
      </c>
      <c r="N34" s="172">
        <f t="shared" ref="N34:N35" si="92">M34/$F34</f>
        <v>0.30505644233486656</v>
      </c>
      <c r="O34" s="171">
        <v>268481.23</v>
      </c>
      <c r="P34" s="172">
        <f t="shared" si="6"/>
        <v>4.3455758706142433E-2</v>
      </c>
      <c r="Q34" s="171">
        <v>0</v>
      </c>
      <c r="R34" s="172">
        <f t="shared" si="7"/>
        <v>0</v>
      </c>
      <c r="S34" s="171">
        <f t="shared" si="8"/>
        <v>268481.23</v>
      </c>
      <c r="T34" s="172">
        <f t="shared" ref="T34:T35" si="93">S34/$F34</f>
        <v>4.3455758706142433E-2</v>
      </c>
      <c r="U34" s="171">
        <v>71628.3</v>
      </c>
      <c r="V34" s="172">
        <f t="shared" ref="V34:V35" si="94">U34/$F34</f>
        <v>1.1593593046825593E-2</v>
      </c>
      <c r="W34" s="171">
        <v>234310.81</v>
      </c>
      <c r="X34" s="172">
        <f t="shared" si="11"/>
        <v>3.7925012566430757E-2</v>
      </c>
      <c r="Y34" s="171">
        <v>359260.78</v>
      </c>
      <c r="Z34" s="172">
        <f t="shared" si="12"/>
        <v>5.814912933861531E-2</v>
      </c>
      <c r="AA34" s="171">
        <v>576099.65</v>
      </c>
      <c r="AB34" s="172">
        <f t="shared" si="13"/>
        <v>9.3246173600639096E-2</v>
      </c>
      <c r="AC34" s="171">
        <f t="shared" si="14"/>
        <v>935360.43</v>
      </c>
      <c r="AD34" s="172">
        <f t="shared" si="15"/>
        <v>0.15139530293925441</v>
      </c>
      <c r="AE34" s="171">
        <v>1642188.4100000001</v>
      </c>
      <c r="AF34" s="172">
        <f t="shared" si="16"/>
        <v>0.26580086546453813</v>
      </c>
      <c r="AG34" s="171">
        <v>0</v>
      </c>
      <c r="AH34" s="172">
        <f t="shared" si="17"/>
        <v>0</v>
      </c>
      <c r="AI34" s="171">
        <v>989379.60999999987</v>
      </c>
      <c r="AJ34" s="172">
        <f t="shared" si="18"/>
        <v>0.16013872404017707</v>
      </c>
      <c r="AK34" s="171">
        <v>152197.26</v>
      </c>
      <c r="AL34" s="172">
        <f t="shared" si="19"/>
        <v>2.4634300901765181E-2</v>
      </c>
      <c r="AN34" s="72"/>
    </row>
    <row r="35" spans="2:40" s="73" customFormat="1" ht="14.25" customHeight="1">
      <c r="B35" s="568">
        <f>B28+7</f>
        <v>46267</v>
      </c>
      <c r="C35" s="572"/>
      <c r="D35" s="170">
        <v>46259</v>
      </c>
      <c r="E35" s="170" t="s">
        <v>118</v>
      </c>
      <c r="F35" s="319">
        <f t="shared" si="0"/>
        <v>6384123.5300000003</v>
      </c>
      <c r="G35" s="571">
        <f t="shared" ref="G35" si="95">SUM(F35:F41)</f>
        <v>36749311.969999999</v>
      </c>
      <c r="H35" s="566"/>
      <c r="I35" s="171">
        <v>844808.66</v>
      </c>
      <c r="J35" s="172">
        <f t="shared" si="2"/>
        <v>0.13232962301404591</v>
      </c>
      <c r="K35" s="171">
        <v>1081544.08</v>
      </c>
      <c r="L35" s="172">
        <f t="shared" si="3"/>
        <v>0.1694115213964226</v>
      </c>
      <c r="M35" s="171">
        <f t="shared" si="4"/>
        <v>1926352.7400000002</v>
      </c>
      <c r="N35" s="172">
        <f t="shared" si="92"/>
        <v>0.30174114441046851</v>
      </c>
      <c r="O35" s="171">
        <v>265106.03000000003</v>
      </c>
      <c r="P35" s="172">
        <f t="shared" si="6"/>
        <v>4.1525830249716365E-2</v>
      </c>
      <c r="Q35" s="171">
        <v>0</v>
      </c>
      <c r="R35" s="172">
        <f t="shared" si="7"/>
        <v>0</v>
      </c>
      <c r="S35" s="171">
        <f t="shared" si="8"/>
        <v>265106.03000000003</v>
      </c>
      <c r="T35" s="172">
        <f t="shared" si="93"/>
        <v>4.1525830249716365E-2</v>
      </c>
      <c r="U35" s="171">
        <v>72107.819999999992</v>
      </c>
      <c r="V35" s="172">
        <f t="shared" si="94"/>
        <v>1.1294866031516153E-2</v>
      </c>
      <c r="W35" s="171">
        <v>681524.04</v>
      </c>
      <c r="X35" s="172">
        <f t="shared" si="11"/>
        <v>0.10675295313403813</v>
      </c>
      <c r="Y35" s="171">
        <v>314464.18</v>
      </c>
      <c r="Z35" s="172">
        <f t="shared" si="12"/>
        <v>4.9257220434768122E-2</v>
      </c>
      <c r="AA35" s="171">
        <v>577712.30000000005</v>
      </c>
      <c r="AB35" s="172">
        <f t="shared" si="13"/>
        <v>9.0492030313204172E-2</v>
      </c>
      <c r="AC35" s="171">
        <f t="shared" si="14"/>
        <v>892176.48</v>
      </c>
      <c r="AD35" s="172">
        <f t="shared" si="15"/>
        <v>0.13974925074797229</v>
      </c>
      <c r="AE35" s="171">
        <v>1528116.18</v>
      </c>
      <c r="AF35" s="172">
        <f t="shared" si="16"/>
        <v>0.23936193791037122</v>
      </c>
      <c r="AG35" s="171">
        <v>0</v>
      </c>
      <c r="AH35" s="172">
        <f t="shared" si="17"/>
        <v>0</v>
      </c>
      <c r="AI35" s="171">
        <v>877749.24</v>
      </c>
      <c r="AJ35" s="172">
        <f t="shared" si="18"/>
        <v>0.13748938846112835</v>
      </c>
      <c r="AK35" s="171">
        <v>140991</v>
      </c>
      <c r="AL35" s="172">
        <f t="shared" si="19"/>
        <v>2.208462905478898E-2</v>
      </c>
      <c r="AN35" s="72"/>
    </row>
    <row r="36" spans="2:40" s="73" customFormat="1" ht="14.25" customHeight="1">
      <c r="B36" s="569"/>
      <c r="C36" s="572"/>
      <c r="D36" s="170">
        <v>46260</v>
      </c>
      <c r="E36" s="170" t="s">
        <v>112</v>
      </c>
      <c r="F36" s="319">
        <f t="shared" si="0"/>
        <v>5681937.0600000005</v>
      </c>
      <c r="G36" s="571"/>
      <c r="H36" s="566"/>
      <c r="I36" s="171">
        <v>761561.61999999988</v>
      </c>
      <c r="J36" s="172">
        <f t="shared" si="2"/>
        <v>0.13403204082658385</v>
      </c>
      <c r="K36" s="171">
        <v>997664.85000000009</v>
      </c>
      <c r="L36" s="172">
        <f t="shared" si="3"/>
        <v>0.17558533990519071</v>
      </c>
      <c r="M36" s="171">
        <f t="shared" si="4"/>
        <v>1759226.47</v>
      </c>
      <c r="N36" s="172">
        <f t="shared" ref="N36" si="96">M36/F36</f>
        <v>0.30961738073177458</v>
      </c>
      <c r="O36" s="171">
        <v>256375</v>
      </c>
      <c r="P36" s="172">
        <f t="shared" si="6"/>
        <v>4.5121055951999577E-2</v>
      </c>
      <c r="Q36" s="171">
        <v>0</v>
      </c>
      <c r="R36" s="172">
        <f t="shared" si="7"/>
        <v>0</v>
      </c>
      <c r="S36" s="171">
        <f t="shared" si="8"/>
        <v>256375</v>
      </c>
      <c r="T36" s="172">
        <f t="shared" ref="T36" si="97">S36/F36</f>
        <v>4.5121055951999577E-2</v>
      </c>
      <c r="U36" s="171">
        <v>66023.91</v>
      </c>
      <c r="V36" s="172">
        <f t="shared" ref="V36" si="98">U36/F36</f>
        <v>1.161996504058424E-2</v>
      </c>
      <c r="W36" s="171">
        <v>466566.22000000003</v>
      </c>
      <c r="X36" s="172">
        <f t="shared" si="11"/>
        <v>8.2113936686232847E-2</v>
      </c>
      <c r="Y36" s="171">
        <v>294301.31</v>
      </c>
      <c r="Z36" s="172">
        <f t="shared" si="12"/>
        <v>5.1795946856194139E-2</v>
      </c>
      <c r="AA36" s="171">
        <v>559759.08000000007</v>
      </c>
      <c r="AB36" s="172">
        <f t="shared" si="13"/>
        <v>9.8515536882768637E-2</v>
      </c>
      <c r="AC36" s="171">
        <f t="shared" si="14"/>
        <v>854060.39000000013</v>
      </c>
      <c r="AD36" s="172">
        <f t="shared" si="15"/>
        <v>0.1503114837389628</v>
      </c>
      <c r="AE36" s="171">
        <v>1478396.4500000002</v>
      </c>
      <c r="AF36" s="172">
        <f t="shared" si="16"/>
        <v>0.26019233131033664</v>
      </c>
      <c r="AG36" s="171">
        <v>0</v>
      </c>
      <c r="AH36" s="172">
        <f t="shared" si="17"/>
        <v>0</v>
      </c>
      <c r="AI36" s="171">
        <v>660096.28</v>
      </c>
      <c r="AJ36" s="172">
        <f t="shared" si="18"/>
        <v>0.11617451461174756</v>
      </c>
      <c r="AK36" s="171">
        <v>141192.34</v>
      </c>
      <c r="AL36" s="172">
        <f t="shared" si="19"/>
        <v>2.4849331928361765E-2</v>
      </c>
      <c r="AN36" s="72"/>
    </row>
    <row r="37" spans="2:40" s="73" customFormat="1" ht="14.25" customHeight="1">
      <c r="B37" s="569"/>
      <c r="C37" s="572"/>
      <c r="D37" s="170">
        <v>46261</v>
      </c>
      <c r="E37" s="170" t="s">
        <v>113</v>
      </c>
      <c r="F37" s="319">
        <f t="shared" si="0"/>
        <v>4735272.9000000004</v>
      </c>
      <c r="G37" s="571"/>
      <c r="H37" s="566"/>
      <c r="I37" s="171">
        <v>513495.99000000005</v>
      </c>
      <c r="J37" s="172">
        <f t="shared" si="2"/>
        <v>0.10844063285138224</v>
      </c>
      <c r="K37" s="171">
        <v>626133.05000000005</v>
      </c>
      <c r="L37" s="172">
        <f t="shared" si="3"/>
        <v>0.13222744775702366</v>
      </c>
      <c r="M37" s="171">
        <f t="shared" si="4"/>
        <v>1139629.04</v>
      </c>
      <c r="N37" s="172">
        <f t="shared" ref="N37" si="99">M37/$F37</f>
        <v>0.24066808060840589</v>
      </c>
      <c r="O37" s="171">
        <v>179289</v>
      </c>
      <c r="P37" s="172">
        <f t="shared" si="6"/>
        <v>3.7862442943890309E-2</v>
      </c>
      <c r="Q37" s="171">
        <v>0</v>
      </c>
      <c r="R37" s="172">
        <f t="shared" si="7"/>
        <v>0</v>
      </c>
      <c r="S37" s="171">
        <f t="shared" si="8"/>
        <v>179289</v>
      </c>
      <c r="T37" s="172">
        <f t="shared" ref="T37" si="100">S37/$F37</f>
        <v>3.7862442943890309E-2</v>
      </c>
      <c r="U37" s="171">
        <v>65814.12</v>
      </c>
      <c r="V37" s="172">
        <f t="shared" ref="V37" si="101">U37/$F37</f>
        <v>1.3898696313785841E-2</v>
      </c>
      <c r="W37" s="171">
        <v>412713.43000000005</v>
      </c>
      <c r="X37" s="172">
        <f t="shared" si="11"/>
        <v>8.7157263945653485E-2</v>
      </c>
      <c r="Y37" s="171">
        <v>332660.69</v>
      </c>
      <c r="Z37" s="172">
        <f t="shared" si="12"/>
        <v>7.0251640618220756E-2</v>
      </c>
      <c r="AA37" s="171">
        <v>429954.3</v>
      </c>
      <c r="AB37" s="172">
        <f t="shared" si="13"/>
        <v>9.0798209328125518E-2</v>
      </c>
      <c r="AC37" s="171">
        <f t="shared" si="14"/>
        <v>762614.99</v>
      </c>
      <c r="AD37" s="172">
        <f t="shared" si="15"/>
        <v>0.16104984994634627</v>
      </c>
      <c r="AE37" s="171">
        <v>1329457.99</v>
      </c>
      <c r="AF37" s="172">
        <f t="shared" si="16"/>
        <v>0.28075636147601968</v>
      </c>
      <c r="AG37" s="171">
        <v>0</v>
      </c>
      <c r="AH37" s="172">
        <f t="shared" si="17"/>
        <v>0</v>
      </c>
      <c r="AI37" s="171">
        <v>705939.90999999992</v>
      </c>
      <c r="AJ37" s="172">
        <f t="shared" si="18"/>
        <v>0.14908114588284865</v>
      </c>
      <c r="AK37" s="171">
        <v>139814.41999999998</v>
      </c>
      <c r="AL37" s="172">
        <f t="shared" si="19"/>
        <v>2.9526158883049797E-2</v>
      </c>
      <c r="AN37" s="72"/>
    </row>
    <row r="38" spans="2:40" s="73" customFormat="1" ht="14.25" customHeight="1">
      <c r="B38" s="569"/>
      <c r="C38" s="572"/>
      <c r="D38" s="170">
        <v>46262</v>
      </c>
      <c r="E38" s="170" t="s">
        <v>114</v>
      </c>
      <c r="F38" s="319">
        <f t="shared" si="0"/>
        <v>3911723.8</v>
      </c>
      <c r="G38" s="571"/>
      <c r="H38" s="566"/>
      <c r="I38" s="171">
        <v>391060.31000000006</v>
      </c>
      <c r="J38" s="172">
        <f t="shared" si="2"/>
        <v>9.9971350226721031E-2</v>
      </c>
      <c r="K38" s="171">
        <v>567850.69999999995</v>
      </c>
      <c r="L38" s="172">
        <f t="shared" si="3"/>
        <v>0.14516635862685395</v>
      </c>
      <c r="M38" s="171">
        <f t="shared" si="4"/>
        <v>958911.01</v>
      </c>
      <c r="N38" s="172">
        <f t="shared" ref="N38" si="102">M38/F38</f>
        <v>0.245137708853575</v>
      </c>
      <c r="O38" s="171">
        <v>135920.25</v>
      </c>
      <c r="P38" s="172">
        <f t="shared" si="6"/>
        <v>3.4746893428416394E-2</v>
      </c>
      <c r="Q38" s="171">
        <v>0</v>
      </c>
      <c r="R38" s="172">
        <f t="shared" si="7"/>
        <v>0</v>
      </c>
      <c r="S38" s="171">
        <f t="shared" si="8"/>
        <v>135920.25</v>
      </c>
      <c r="T38" s="172">
        <f t="shared" ref="T38" si="103">S38/F38</f>
        <v>3.4746893428416394E-2</v>
      </c>
      <c r="U38" s="171">
        <v>45434.52</v>
      </c>
      <c r="V38" s="172">
        <f t="shared" ref="V38" si="104">U38/F38</f>
        <v>1.1614961158556236E-2</v>
      </c>
      <c r="W38" s="171">
        <v>278845.5</v>
      </c>
      <c r="X38" s="172">
        <f t="shared" si="11"/>
        <v>7.1284557462876083E-2</v>
      </c>
      <c r="Y38" s="171">
        <v>230273.7</v>
      </c>
      <c r="Z38" s="172">
        <f t="shared" si="12"/>
        <v>5.8867576488912644E-2</v>
      </c>
      <c r="AA38" s="171">
        <v>411891.81</v>
      </c>
      <c r="AB38" s="172">
        <f t="shared" si="13"/>
        <v>0.10529675177986748</v>
      </c>
      <c r="AC38" s="171">
        <f t="shared" si="14"/>
        <v>642165.51</v>
      </c>
      <c r="AD38" s="172">
        <f t="shared" si="15"/>
        <v>0.16416432826878014</v>
      </c>
      <c r="AE38" s="171">
        <v>1036322.51</v>
      </c>
      <c r="AF38" s="172">
        <f t="shared" si="16"/>
        <v>0.26492732181142237</v>
      </c>
      <c r="AG38" s="171">
        <v>0</v>
      </c>
      <c r="AH38" s="172">
        <f t="shared" si="17"/>
        <v>0</v>
      </c>
      <c r="AI38" s="171">
        <v>700833.25999999989</v>
      </c>
      <c r="AJ38" s="172">
        <f t="shared" si="18"/>
        <v>0.17916225578094239</v>
      </c>
      <c r="AK38" s="171">
        <v>113291.23999999999</v>
      </c>
      <c r="AL38" s="172">
        <f t="shared" si="19"/>
        <v>2.8961973235431395E-2</v>
      </c>
      <c r="AN38" s="72"/>
    </row>
    <row r="39" spans="2:40" s="73" customFormat="1" ht="14.25" customHeight="1">
      <c r="B39" s="569"/>
      <c r="C39" s="572"/>
      <c r="D39" s="170">
        <v>46263</v>
      </c>
      <c r="E39" s="170" t="s">
        <v>115</v>
      </c>
      <c r="F39" s="319">
        <f t="shared" si="0"/>
        <v>4263630.51</v>
      </c>
      <c r="G39" s="571"/>
      <c r="H39" s="566"/>
      <c r="I39" s="171">
        <v>383080.00000000006</v>
      </c>
      <c r="J39" s="172">
        <f t="shared" si="2"/>
        <v>8.9848310987905022E-2</v>
      </c>
      <c r="K39" s="171">
        <v>655542.65</v>
      </c>
      <c r="L39" s="172">
        <f t="shared" si="3"/>
        <v>0.15375221855235294</v>
      </c>
      <c r="M39" s="171">
        <f t="shared" si="4"/>
        <v>1038622.6500000001</v>
      </c>
      <c r="N39" s="172">
        <f t="shared" ref="N39" si="105">M39/$F39</f>
        <v>0.24360052954025799</v>
      </c>
      <c r="O39" s="171">
        <v>132370.34</v>
      </c>
      <c r="P39" s="172">
        <f t="shared" si="6"/>
        <v>3.1046391025098468E-2</v>
      </c>
      <c r="Q39" s="171">
        <v>0</v>
      </c>
      <c r="R39" s="172">
        <f t="shared" si="7"/>
        <v>0</v>
      </c>
      <c r="S39" s="171">
        <f t="shared" si="8"/>
        <v>132370.34</v>
      </c>
      <c r="T39" s="172">
        <f t="shared" ref="T39" si="106">S39/$F39</f>
        <v>3.1046391025098468E-2</v>
      </c>
      <c r="U39" s="171">
        <v>46992.959999999999</v>
      </c>
      <c r="V39" s="172">
        <f t="shared" ref="V39" si="107">U39/$F39</f>
        <v>1.1021818117161377E-2</v>
      </c>
      <c r="W39" s="171">
        <v>304440.24</v>
      </c>
      <c r="X39" s="172">
        <f t="shared" si="11"/>
        <v>7.1403992275118608E-2</v>
      </c>
      <c r="Y39" s="171">
        <v>254274.45</v>
      </c>
      <c r="Z39" s="172">
        <f t="shared" si="12"/>
        <v>5.96380125819111E-2</v>
      </c>
      <c r="AA39" s="171">
        <v>527752.7300000001</v>
      </c>
      <c r="AB39" s="172">
        <f t="shared" si="13"/>
        <v>0.12378012793608613</v>
      </c>
      <c r="AC39" s="171">
        <f t="shared" si="14"/>
        <v>782027.18000000017</v>
      </c>
      <c r="AD39" s="172">
        <f t="shared" si="15"/>
        <v>0.18341814051799724</v>
      </c>
      <c r="AE39" s="171">
        <v>1095434.4100000001</v>
      </c>
      <c r="AF39" s="172">
        <f t="shared" si="16"/>
        <v>0.25692526766349655</v>
      </c>
      <c r="AG39" s="171">
        <v>0</v>
      </c>
      <c r="AH39" s="172">
        <f t="shared" si="17"/>
        <v>0</v>
      </c>
      <c r="AI39" s="171">
        <v>755198.10999999987</v>
      </c>
      <c r="AJ39" s="172">
        <f t="shared" si="18"/>
        <v>0.17712559946945305</v>
      </c>
      <c r="AK39" s="171">
        <v>108544.62</v>
      </c>
      <c r="AL39" s="172">
        <f t="shared" si="19"/>
        <v>2.5458261391416867E-2</v>
      </c>
      <c r="AN39" s="72"/>
    </row>
    <row r="40" spans="2:40" s="73" customFormat="1" ht="14.25" customHeight="1">
      <c r="B40" s="569"/>
      <c r="C40" s="572"/>
      <c r="D40" s="170">
        <v>46264</v>
      </c>
      <c r="E40" s="170" t="s">
        <v>116</v>
      </c>
      <c r="F40" s="319">
        <f t="shared" si="0"/>
        <v>5874431.6899999995</v>
      </c>
      <c r="G40" s="571"/>
      <c r="H40" s="566"/>
      <c r="I40" s="171">
        <v>588885.4</v>
      </c>
      <c r="J40" s="172">
        <f t="shared" si="2"/>
        <v>0.10024550987671797</v>
      </c>
      <c r="K40" s="171">
        <v>736038.74999999988</v>
      </c>
      <c r="L40" s="172">
        <f t="shared" si="3"/>
        <v>0.12529531175806385</v>
      </c>
      <c r="M40" s="171">
        <f t="shared" si="4"/>
        <v>1324924.1499999999</v>
      </c>
      <c r="N40" s="172">
        <f t="shared" ref="N40" si="108">M40/F40</f>
        <v>0.22554082163478184</v>
      </c>
      <c r="O40" s="171">
        <v>192057.2</v>
      </c>
      <c r="P40" s="172">
        <f t="shared" si="6"/>
        <v>3.2693749818716512E-2</v>
      </c>
      <c r="Q40" s="171">
        <v>0</v>
      </c>
      <c r="R40" s="172">
        <f t="shared" si="7"/>
        <v>0</v>
      </c>
      <c r="S40" s="171">
        <f t="shared" si="8"/>
        <v>192057.2</v>
      </c>
      <c r="T40" s="172">
        <f t="shared" ref="T40" si="109">S40/F40</f>
        <v>3.2693749818716512E-2</v>
      </c>
      <c r="U40" s="171">
        <v>77652.27</v>
      </c>
      <c r="V40" s="172">
        <f t="shared" ref="V40" si="110">U40/F40</f>
        <v>1.3218686350917464E-2</v>
      </c>
      <c r="W40" s="171">
        <v>489386.11</v>
      </c>
      <c r="X40" s="172">
        <f t="shared" si="11"/>
        <v>8.3307822071210444E-2</v>
      </c>
      <c r="Y40" s="171">
        <v>369697.79</v>
      </c>
      <c r="Z40" s="172">
        <f t="shared" si="12"/>
        <v>6.2933371176880609E-2</v>
      </c>
      <c r="AA40" s="171">
        <v>618760.44999999995</v>
      </c>
      <c r="AB40" s="172">
        <f t="shared" si="13"/>
        <v>0.10533111671947963</v>
      </c>
      <c r="AC40" s="171">
        <f t="shared" si="14"/>
        <v>988458.24</v>
      </c>
      <c r="AD40" s="172">
        <f t="shared" si="15"/>
        <v>0.16826448789636025</v>
      </c>
      <c r="AE40" s="171">
        <v>1730148.0199999998</v>
      </c>
      <c r="AF40" s="172">
        <f t="shared" si="16"/>
        <v>0.29452177015611869</v>
      </c>
      <c r="AG40" s="171">
        <v>0</v>
      </c>
      <c r="AH40" s="172">
        <f t="shared" si="17"/>
        <v>0</v>
      </c>
      <c r="AI40" s="171">
        <v>941499.84</v>
      </c>
      <c r="AJ40" s="172">
        <f t="shared" si="18"/>
        <v>0.16027079548864412</v>
      </c>
      <c r="AK40" s="171">
        <v>130305.86</v>
      </c>
      <c r="AL40" s="172">
        <f t="shared" si="19"/>
        <v>2.2181866583250713E-2</v>
      </c>
      <c r="AN40" s="72"/>
    </row>
    <row r="41" spans="2:40" s="73" customFormat="1" ht="14.25" customHeight="1">
      <c r="B41" s="570"/>
      <c r="C41" s="573"/>
      <c r="D41" s="170">
        <v>46265</v>
      </c>
      <c r="E41" s="170" t="s">
        <v>117</v>
      </c>
      <c r="F41" s="319">
        <f t="shared" si="0"/>
        <v>5898192.4800000004</v>
      </c>
      <c r="G41" s="571"/>
      <c r="H41" s="567"/>
      <c r="I41" s="171">
        <v>575773.89</v>
      </c>
      <c r="J41" s="172">
        <f t="shared" si="2"/>
        <v>9.7618701314406739E-2</v>
      </c>
      <c r="K41" s="171">
        <v>954747.30999999982</v>
      </c>
      <c r="L41" s="172">
        <f t="shared" si="3"/>
        <v>0.16187116870760374</v>
      </c>
      <c r="M41" s="171">
        <f t="shared" si="4"/>
        <v>1530521.1999999997</v>
      </c>
      <c r="N41" s="172">
        <f t="shared" ref="N41" si="111">M41/$F41</f>
        <v>0.25948987002201046</v>
      </c>
      <c r="O41" s="171">
        <v>189652.69</v>
      </c>
      <c r="P41" s="172">
        <f t="shared" si="6"/>
        <v>3.2154374521192297E-2</v>
      </c>
      <c r="Q41" s="171">
        <v>0</v>
      </c>
      <c r="R41" s="172">
        <f t="shared" si="7"/>
        <v>0</v>
      </c>
      <c r="S41" s="171">
        <f t="shared" si="8"/>
        <v>189652.69</v>
      </c>
      <c r="T41" s="172">
        <f t="shared" ref="T41" si="112">S41/$F41</f>
        <v>3.2154374521192297E-2</v>
      </c>
      <c r="U41" s="171">
        <v>67792.14</v>
      </c>
      <c r="V41" s="172">
        <f t="shared" ref="V41" si="113">U41/$F41</f>
        <v>1.1493714426898458E-2</v>
      </c>
      <c r="W41" s="171">
        <v>425756.55000000005</v>
      </c>
      <c r="X41" s="172">
        <f t="shared" si="11"/>
        <v>7.2184241433911292E-2</v>
      </c>
      <c r="Y41" s="171">
        <v>362942.91000000003</v>
      </c>
      <c r="Z41" s="172">
        <f t="shared" si="12"/>
        <v>6.1534599155706089E-2</v>
      </c>
      <c r="AA41" s="171">
        <v>601315.09</v>
      </c>
      <c r="AB41" s="172">
        <f t="shared" si="13"/>
        <v>0.10194904490468577</v>
      </c>
      <c r="AC41" s="171">
        <f t="shared" si="14"/>
        <v>964258</v>
      </c>
      <c r="AD41" s="172">
        <f t="shared" si="15"/>
        <v>0.16348364406039187</v>
      </c>
      <c r="AE41" s="171">
        <v>1700079.8399999999</v>
      </c>
      <c r="AF41" s="172">
        <f t="shared" si="16"/>
        <v>0.28823742964726029</v>
      </c>
      <c r="AG41" s="171">
        <v>0</v>
      </c>
      <c r="AH41" s="172">
        <f t="shared" si="17"/>
        <v>0</v>
      </c>
      <c r="AI41" s="171">
        <v>878697.66</v>
      </c>
      <c r="AJ41" s="172">
        <f t="shared" si="18"/>
        <v>0.14897744740944771</v>
      </c>
      <c r="AK41" s="171">
        <v>141434.4</v>
      </c>
      <c r="AL41" s="172">
        <f t="shared" si="19"/>
        <v>2.3979278478887481E-2</v>
      </c>
      <c r="AN41" s="72"/>
    </row>
  </sheetData>
  <mergeCells count="47"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B35:B41"/>
    <mergeCell ref="G35:G41"/>
    <mergeCell ref="C11:C41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41"/>
  <sheetViews>
    <sheetView topLeftCell="A6" zoomScale="85" zoomScaleNormal="85" workbookViewId="0">
      <selection activeCell="H11" sqref="H11:H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31" t="s">
        <v>302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</row>
    <row r="3" spans="1:38" ht="25.35" customHeight="1">
      <c r="B3" s="557" t="s">
        <v>387</v>
      </c>
      <c r="C3" s="558" t="s">
        <v>388</v>
      </c>
      <c r="D3" s="559" t="s">
        <v>105</v>
      </c>
      <c r="E3" s="559"/>
      <c r="F3" s="580" t="s">
        <v>153</v>
      </c>
      <c r="G3" s="580"/>
      <c r="H3" s="580"/>
      <c r="I3" s="579" t="s">
        <v>300</v>
      </c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79"/>
      <c r="AG3" s="579"/>
      <c r="AH3" s="579"/>
      <c r="AI3" s="579"/>
      <c r="AJ3" s="579"/>
      <c r="AK3" s="579"/>
      <c r="AL3" s="579"/>
    </row>
    <row r="4" spans="1:38" ht="25.35" customHeight="1">
      <c r="B4" s="557"/>
      <c r="C4" s="558"/>
      <c r="D4" s="559"/>
      <c r="E4" s="559"/>
      <c r="F4" s="580"/>
      <c r="G4" s="580"/>
      <c r="H4" s="580"/>
      <c r="I4" s="576" t="s">
        <v>389</v>
      </c>
      <c r="J4" s="576"/>
      <c r="K4" s="576"/>
      <c r="L4" s="576"/>
      <c r="M4" s="576"/>
      <c r="N4" s="576"/>
      <c r="O4" s="576" t="s">
        <v>390</v>
      </c>
      <c r="P4" s="576"/>
      <c r="Q4" s="576"/>
      <c r="R4" s="576"/>
      <c r="S4" s="576"/>
      <c r="T4" s="576"/>
      <c r="U4" s="576" t="s">
        <v>391</v>
      </c>
      <c r="V4" s="576"/>
      <c r="W4" s="576" t="s">
        <v>392</v>
      </c>
      <c r="X4" s="576"/>
      <c r="Y4" s="576" t="s">
        <v>139</v>
      </c>
      <c r="Z4" s="576"/>
      <c r="AA4" s="576"/>
      <c r="AB4" s="576"/>
      <c r="AC4" s="576"/>
      <c r="AD4" s="576"/>
      <c r="AE4" s="576" t="s">
        <v>137</v>
      </c>
      <c r="AF4" s="576"/>
      <c r="AG4" s="576" t="s">
        <v>393</v>
      </c>
      <c r="AH4" s="576"/>
      <c r="AI4" s="576" t="s">
        <v>394</v>
      </c>
      <c r="AJ4" s="576"/>
      <c r="AK4" s="576" t="s">
        <v>143</v>
      </c>
      <c r="AL4" s="576"/>
    </row>
    <row r="5" spans="1:38" ht="25.35" customHeight="1">
      <c r="B5" s="557"/>
      <c r="C5" s="558"/>
      <c r="D5" s="559"/>
      <c r="E5" s="559"/>
      <c r="F5" s="577" t="s">
        <v>116</v>
      </c>
      <c r="G5" s="577" t="s">
        <v>120</v>
      </c>
      <c r="H5" s="577" t="s">
        <v>121</v>
      </c>
      <c r="I5" s="576" t="s">
        <v>133</v>
      </c>
      <c r="J5" s="576"/>
      <c r="K5" s="576" t="s">
        <v>134</v>
      </c>
      <c r="L5" s="576"/>
      <c r="M5" s="576" t="s">
        <v>152</v>
      </c>
      <c r="N5" s="576"/>
      <c r="O5" s="576" t="s">
        <v>133</v>
      </c>
      <c r="P5" s="576"/>
      <c r="Q5" s="576" t="s">
        <v>134</v>
      </c>
      <c r="R5" s="576"/>
      <c r="S5" s="576" t="s">
        <v>152</v>
      </c>
      <c r="T5" s="576"/>
      <c r="U5" s="576" t="s">
        <v>133</v>
      </c>
      <c r="V5" s="576"/>
      <c r="W5" s="576" t="s">
        <v>133</v>
      </c>
      <c r="X5" s="576"/>
      <c r="Y5" s="576" t="s">
        <v>133</v>
      </c>
      <c r="Z5" s="576"/>
      <c r="AA5" s="576" t="s">
        <v>134</v>
      </c>
      <c r="AB5" s="576"/>
      <c r="AC5" s="576" t="s">
        <v>152</v>
      </c>
      <c r="AD5" s="576"/>
      <c r="AE5" s="576" t="s">
        <v>133</v>
      </c>
      <c r="AF5" s="576"/>
      <c r="AG5" s="576" t="s">
        <v>133</v>
      </c>
      <c r="AH5" s="576"/>
      <c r="AI5" s="576" t="s">
        <v>133</v>
      </c>
      <c r="AJ5" s="576"/>
      <c r="AK5" s="576" t="s">
        <v>133</v>
      </c>
      <c r="AL5" s="576"/>
    </row>
    <row r="6" spans="1:38" s="77" customFormat="1" ht="23.45" customHeight="1">
      <c r="B6" s="557"/>
      <c r="C6" s="558"/>
      <c r="D6" s="560"/>
      <c r="E6" s="560"/>
      <c r="F6" s="578"/>
      <c r="G6" s="577"/>
      <c r="H6" s="577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68">
        <v>46239</v>
      </c>
      <c r="C7" s="572"/>
      <c r="D7" s="170">
        <v>46230</v>
      </c>
      <c r="E7" s="170" t="s">
        <v>118</v>
      </c>
      <c r="F7" s="320">
        <f t="shared" ref="F7:F41" si="0">SUM(M7,S7,U7,W7,AC7,AE7,AG7,AI7,AK7)</f>
        <v>213264</v>
      </c>
      <c r="G7" s="583">
        <f t="shared" ref="G7" si="1">SUM(F7:F13)</f>
        <v>1361947</v>
      </c>
      <c r="H7" s="581"/>
      <c r="I7" s="307">
        <v>45488</v>
      </c>
      <c r="J7" s="230">
        <f t="shared" ref="J7:J41" si="2">I7/$F7</f>
        <v>0.21329432065421261</v>
      </c>
      <c r="K7" s="307">
        <v>57537</v>
      </c>
      <c r="L7" s="230">
        <f t="shared" ref="L7:L41" si="3">K7/$F7</f>
        <v>0.26979237002025658</v>
      </c>
      <c r="M7" s="307">
        <f t="shared" ref="M7:M41" si="4">I7+K7</f>
        <v>103025</v>
      </c>
      <c r="N7" s="230">
        <f t="shared" ref="N7:N41" si="5">M7/$F7</f>
        <v>0.48308669067446919</v>
      </c>
      <c r="O7" s="307">
        <v>11432</v>
      </c>
      <c r="P7" s="230">
        <f t="shared" ref="P7:P41" si="6">O7/$F7</f>
        <v>5.3604921599519843E-2</v>
      </c>
      <c r="Q7" s="307">
        <v>0</v>
      </c>
      <c r="R7" s="230">
        <f t="shared" ref="R7:R41" si="7">Q7/$F7</f>
        <v>0</v>
      </c>
      <c r="S7" s="307">
        <f t="shared" ref="S7:S41" si="8">O7+Q7</f>
        <v>11432</v>
      </c>
      <c r="T7" s="230">
        <f t="shared" ref="T7:T41" si="9">S7/$F7</f>
        <v>5.3604921599519843E-2</v>
      </c>
      <c r="U7" s="307">
        <v>2424</v>
      </c>
      <c r="V7" s="230">
        <f t="shared" ref="V7:V41" si="10">U7/$F7</f>
        <v>1.1366194013054243E-2</v>
      </c>
      <c r="W7" s="307">
        <v>17095</v>
      </c>
      <c r="X7" s="230">
        <f t="shared" ref="X7:X41" si="11">W7/$F7</f>
        <v>8.0158864130842528E-2</v>
      </c>
      <c r="Y7" s="307">
        <v>7471</v>
      </c>
      <c r="Z7" s="230">
        <f t="shared" ref="Z7:Z41" si="12">Y7/$F7</f>
        <v>3.5031697801785583E-2</v>
      </c>
      <c r="AA7" s="307">
        <v>10322</v>
      </c>
      <c r="AB7" s="230">
        <f t="shared" ref="AB7:AB41" si="13">AA7/$F7</f>
        <v>4.8400105034136096E-2</v>
      </c>
      <c r="AC7" s="307">
        <f t="shared" ref="AC7:AC41" si="14">Y7+AA7</f>
        <v>17793</v>
      </c>
      <c r="AD7" s="230">
        <f t="shared" ref="AD7:AD41" si="15">AC7/$F7</f>
        <v>8.3431802835921678E-2</v>
      </c>
      <c r="AE7" s="307">
        <v>24810</v>
      </c>
      <c r="AF7" s="230">
        <f t="shared" ref="AF7:AF41" si="16">AE7/$F7</f>
        <v>0.11633468377222597</v>
      </c>
      <c r="AG7" s="307">
        <v>0</v>
      </c>
      <c r="AH7" s="230">
        <f t="shared" ref="AH7:AH41" si="17">AG7/$F7</f>
        <v>0</v>
      </c>
      <c r="AI7" s="307">
        <v>25278</v>
      </c>
      <c r="AJ7" s="230">
        <f t="shared" ref="AJ7:AJ41" si="18">AI7/$F7</f>
        <v>0.11852914697276615</v>
      </c>
      <c r="AK7" s="307">
        <v>11407</v>
      </c>
      <c r="AL7" s="230">
        <f t="shared" ref="AL7:AL41" si="19">AK7/$F7</f>
        <v>5.3487696001200388E-2</v>
      </c>
    </row>
    <row r="8" spans="1:38" s="73" customFormat="1" ht="14.25" customHeight="1">
      <c r="B8" s="569"/>
      <c r="C8" s="572"/>
      <c r="D8" s="170">
        <f t="shared" ref="D8:D41" si="20">D7+1</f>
        <v>46231</v>
      </c>
      <c r="E8" s="170" t="s">
        <v>112</v>
      </c>
      <c r="F8" s="320">
        <f t="shared" si="0"/>
        <v>201459</v>
      </c>
      <c r="G8" s="583"/>
      <c r="H8" s="581"/>
      <c r="I8" s="307">
        <v>44279</v>
      </c>
      <c r="J8" s="230">
        <f t="shared" si="2"/>
        <v>0.21979162013114331</v>
      </c>
      <c r="K8" s="307">
        <v>54467</v>
      </c>
      <c r="L8" s="230">
        <f t="shared" si="3"/>
        <v>0.27036270407378177</v>
      </c>
      <c r="M8" s="307">
        <f t="shared" si="4"/>
        <v>98746</v>
      </c>
      <c r="N8" s="230">
        <f t="shared" si="5"/>
        <v>0.49015432420492505</v>
      </c>
      <c r="O8" s="307">
        <v>11501</v>
      </c>
      <c r="P8" s="230">
        <f t="shared" si="6"/>
        <v>5.7088539107212885E-2</v>
      </c>
      <c r="Q8" s="307">
        <v>0</v>
      </c>
      <c r="R8" s="230">
        <f t="shared" si="7"/>
        <v>0</v>
      </c>
      <c r="S8" s="307">
        <f t="shared" si="8"/>
        <v>11501</v>
      </c>
      <c r="T8" s="230">
        <f t="shared" si="9"/>
        <v>5.7088539107212885E-2</v>
      </c>
      <c r="U8" s="307">
        <v>2170</v>
      </c>
      <c r="V8" s="230">
        <f t="shared" si="10"/>
        <v>1.0771422473059034E-2</v>
      </c>
      <c r="W8" s="307">
        <v>13175</v>
      </c>
      <c r="X8" s="230">
        <f t="shared" si="11"/>
        <v>6.5397922157858418E-2</v>
      </c>
      <c r="Y8" s="307">
        <v>6883</v>
      </c>
      <c r="Z8" s="230">
        <f t="shared" si="12"/>
        <v>3.4165760775145312E-2</v>
      </c>
      <c r="AA8" s="307">
        <v>10192</v>
      </c>
      <c r="AB8" s="230">
        <f t="shared" si="13"/>
        <v>5.0590939099270822E-2</v>
      </c>
      <c r="AC8" s="307">
        <f t="shared" si="14"/>
        <v>17075</v>
      </c>
      <c r="AD8" s="230">
        <f t="shared" si="15"/>
        <v>8.4756699874416128E-2</v>
      </c>
      <c r="AE8" s="307">
        <v>22675</v>
      </c>
      <c r="AF8" s="230">
        <f t="shared" si="16"/>
        <v>0.11255391915972977</v>
      </c>
      <c r="AG8" s="307">
        <v>0</v>
      </c>
      <c r="AH8" s="230">
        <f t="shared" si="17"/>
        <v>0</v>
      </c>
      <c r="AI8" s="307">
        <v>24753</v>
      </c>
      <c r="AJ8" s="230">
        <f t="shared" si="18"/>
        <v>0.12286867303024437</v>
      </c>
      <c r="AK8" s="307">
        <v>11364</v>
      </c>
      <c r="AL8" s="230">
        <f t="shared" si="19"/>
        <v>5.6408499992554317E-2</v>
      </c>
    </row>
    <row r="9" spans="1:38" s="73" customFormat="1" ht="14.25" customHeight="1">
      <c r="B9" s="569"/>
      <c r="C9" s="572"/>
      <c r="D9" s="170">
        <f t="shared" si="20"/>
        <v>46232</v>
      </c>
      <c r="E9" s="170" t="s">
        <v>113</v>
      </c>
      <c r="F9" s="320">
        <f t="shared" si="0"/>
        <v>187092</v>
      </c>
      <c r="G9" s="583"/>
      <c r="H9" s="581"/>
      <c r="I9" s="307">
        <v>41849</v>
      </c>
      <c r="J9" s="230">
        <f t="shared" si="2"/>
        <v>0.2236813973873816</v>
      </c>
      <c r="K9" s="307">
        <v>48419</v>
      </c>
      <c r="L9" s="230">
        <f t="shared" si="3"/>
        <v>0.25879781070275587</v>
      </c>
      <c r="M9" s="307">
        <f t="shared" si="4"/>
        <v>90268</v>
      </c>
      <c r="N9" s="230">
        <f t="shared" si="5"/>
        <v>0.48247920809013745</v>
      </c>
      <c r="O9" s="307">
        <v>10895</v>
      </c>
      <c r="P9" s="230">
        <f t="shared" si="6"/>
        <v>5.8233382507001906E-2</v>
      </c>
      <c r="Q9" s="307">
        <v>0</v>
      </c>
      <c r="R9" s="230">
        <f t="shared" si="7"/>
        <v>0</v>
      </c>
      <c r="S9" s="307">
        <f t="shared" si="8"/>
        <v>10895</v>
      </c>
      <c r="T9" s="230">
        <f t="shared" si="9"/>
        <v>5.8233382507001906E-2</v>
      </c>
      <c r="U9" s="307">
        <v>2184</v>
      </c>
      <c r="V9" s="230">
        <f t="shared" si="10"/>
        <v>1.1673401321275095E-2</v>
      </c>
      <c r="W9" s="307">
        <v>12625</v>
      </c>
      <c r="X9" s="230">
        <f t="shared" si="11"/>
        <v>6.748017018365296E-2</v>
      </c>
      <c r="Y9" s="307">
        <v>6417</v>
      </c>
      <c r="Z9" s="230">
        <f t="shared" si="12"/>
        <v>3.4298633827208005E-2</v>
      </c>
      <c r="AA9" s="307">
        <v>7813</v>
      </c>
      <c r="AB9" s="230">
        <f t="shared" si="13"/>
        <v>4.1760203536228169E-2</v>
      </c>
      <c r="AC9" s="307">
        <f t="shared" si="14"/>
        <v>14230</v>
      </c>
      <c r="AD9" s="230">
        <f t="shared" si="15"/>
        <v>7.6058837363436174E-2</v>
      </c>
      <c r="AE9" s="307">
        <v>20863</v>
      </c>
      <c r="AF9" s="230">
        <f t="shared" si="16"/>
        <v>0.11151198340923182</v>
      </c>
      <c r="AG9" s="307">
        <v>0</v>
      </c>
      <c r="AH9" s="230">
        <f t="shared" si="17"/>
        <v>0</v>
      </c>
      <c r="AI9" s="307">
        <v>25158</v>
      </c>
      <c r="AJ9" s="230">
        <f t="shared" si="18"/>
        <v>0.13446860368161118</v>
      </c>
      <c r="AK9" s="307">
        <v>10869</v>
      </c>
      <c r="AL9" s="230">
        <f t="shared" si="19"/>
        <v>5.8094413443653389E-2</v>
      </c>
    </row>
    <row r="10" spans="1:38" s="73" customFormat="1" ht="14.25" customHeight="1">
      <c r="B10" s="569"/>
      <c r="C10" s="573"/>
      <c r="D10" s="170">
        <f t="shared" si="20"/>
        <v>46233</v>
      </c>
      <c r="E10" s="170" t="s">
        <v>114</v>
      </c>
      <c r="F10" s="320">
        <f t="shared" si="0"/>
        <v>159659</v>
      </c>
      <c r="G10" s="583"/>
      <c r="H10" s="582"/>
      <c r="I10" s="307">
        <v>31930</v>
      </c>
      <c r="J10" s="230">
        <f t="shared" si="2"/>
        <v>0.1999887259722283</v>
      </c>
      <c r="K10" s="307">
        <v>44449</v>
      </c>
      <c r="L10" s="230">
        <f t="shared" si="3"/>
        <v>0.27839958912432122</v>
      </c>
      <c r="M10" s="307">
        <f t="shared" si="4"/>
        <v>76379</v>
      </c>
      <c r="N10" s="230">
        <f t="shared" si="5"/>
        <v>0.4783883150965495</v>
      </c>
      <c r="O10" s="307">
        <v>8693</v>
      </c>
      <c r="P10" s="230">
        <f t="shared" si="6"/>
        <v>5.4447290788492975E-2</v>
      </c>
      <c r="Q10" s="307">
        <v>0</v>
      </c>
      <c r="R10" s="230">
        <f t="shared" si="7"/>
        <v>0</v>
      </c>
      <c r="S10" s="307">
        <f t="shared" si="8"/>
        <v>8693</v>
      </c>
      <c r="T10" s="230">
        <f t="shared" si="9"/>
        <v>5.4447290788492975E-2</v>
      </c>
      <c r="U10" s="307">
        <v>1611</v>
      </c>
      <c r="V10" s="230">
        <f t="shared" si="10"/>
        <v>1.0090254855661127E-2</v>
      </c>
      <c r="W10" s="307">
        <v>9171</v>
      </c>
      <c r="X10" s="230">
        <f t="shared" si="11"/>
        <v>5.7441171496752451E-2</v>
      </c>
      <c r="Y10" s="307">
        <v>5633</v>
      </c>
      <c r="Z10" s="230">
        <f t="shared" si="12"/>
        <v>3.5281443576622676E-2</v>
      </c>
      <c r="AA10" s="307">
        <v>7457</v>
      </c>
      <c r="AB10" s="230">
        <f t="shared" si="13"/>
        <v>4.6705791718600266E-2</v>
      </c>
      <c r="AC10" s="307">
        <f t="shared" si="14"/>
        <v>13090</v>
      </c>
      <c r="AD10" s="230">
        <f t="shared" si="15"/>
        <v>8.1987235295222949E-2</v>
      </c>
      <c r="AE10" s="307">
        <v>15571</v>
      </c>
      <c r="AF10" s="230">
        <f t="shared" si="16"/>
        <v>9.7526603573866805E-2</v>
      </c>
      <c r="AG10" s="307">
        <v>0</v>
      </c>
      <c r="AH10" s="230">
        <f t="shared" si="17"/>
        <v>0</v>
      </c>
      <c r="AI10" s="307">
        <v>25690</v>
      </c>
      <c r="AJ10" s="230">
        <f t="shared" si="18"/>
        <v>0.16090542969704183</v>
      </c>
      <c r="AK10" s="307">
        <v>9454</v>
      </c>
      <c r="AL10" s="230">
        <f t="shared" si="19"/>
        <v>5.9213699196412353E-2</v>
      </c>
    </row>
    <row r="11" spans="1:38" s="73" customFormat="1" ht="14.25" customHeight="1">
      <c r="B11" s="569"/>
      <c r="C11" s="575" t="s">
        <v>561</v>
      </c>
      <c r="D11" s="170">
        <f t="shared" si="20"/>
        <v>46234</v>
      </c>
      <c r="E11" s="170" t="s">
        <v>115</v>
      </c>
      <c r="F11" s="320">
        <f t="shared" si="0"/>
        <v>170810</v>
      </c>
      <c r="G11" s="583"/>
      <c r="H11" s="584">
        <f>SUM(F11:F41)</f>
        <v>5581950</v>
      </c>
      <c r="I11" s="307">
        <v>30379</v>
      </c>
      <c r="J11" s="230">
        <f t="shared" si="2"/>
        <v>0.177852584743282</v>
      </c>
      <c r="K11" s="307">
        <v>51912</v>
      </c>
      <c r="L11" s="230">
        <f t="shared" si="3"/>
        <v>0.3039166325156607</v>
      </c>
      <c r="M11" s="307">
        <f t="shared" si="4"/>
        <v>82291</v>
      </c>
      <c r="N11" s="230">
        <f t="shared" si="5"/>
        <v>0.48176921725894267</v>
      </c>
      <c r="O11" s="307">
        <v>8393</v>
      </c>
      <c r="P11" s="230">
        <f t="shared" si="6"/>
        <v>4.9136467419940287E-2</v>
      </c>
      <c r="Q11" s="307">
        <v>0</v>
      </c>
      <c r="R11" s="230">
        <f t="shared" si="7"/>
        <v>0</v>
      </c>
      <c r="S11" s="307">
        <f t="shared" si="8"/>
        <v>8393</v>
      </c>
      <c r="T11" s="230">
        <f t="shared" si="9"/>
        <v>4.9136467419940287E-2</v>
      </c>
      <c r="U11" s="307">
        <v>1656</v>
      </c>
      <c r="V11" s="230">
        <f t="shared" si="10"/>
        <v>9.6949827293483989E-3</v>
      </c>
      <c r="W11" s="307">
        <v>10193</v>
      </c>
      <c r="X11" s="230">
        <f t="shared" si="11"/>
        <v>5.9674492125753764E-2</v>
      </c>
      <c r="Y11" s="307">
        <v>6072</v>
      </c>
      <c r="Z11" s="230">
        <f t="shared" si="12"/>
        <v>3.5548270007610794E-2</v>
      </c>
      <c r="AA11" s="307">
        <v>9679</v>
      </c>
      <c r="AB11" s="230">
        <f t="shared" si="13"/>
        <v>5.6665300626427023E-2</v>
      </c>
      <c r="AC11" s="307">
        <f t="shared" si="14"/>
        <v>15751</v>
      </c>
      <c r="AD11" s="230">
        <f t="shared" si="15"/>
        <v>9.2213570634037817E-2</v>
      </c>
      <c r="AE11" s="307">
        <v>16749</v>
      </c>
      <c r="AF11" s="230">
        <f t="shared" si="16"/>
        <v>9.8056319887594404E-2</v>
      </c>
      <c r="AG11" s="307">
        <v>0</v>
      </c>
      <c r="AH11" s="230">
        <f t="shared" si="17"/>
        <v>0</v>
      </c>
      <c r="AI11" s="307">
        <v>26285</v>
      </c>
      <c r="AJ11" s="230">
        <f t="shared" si="18"/>
        <v>0.15388443299572624</v>
      </c>
      <c r="AK11" s="307">
        <v>9492</v>
      </c>
      <c r="AL11" s="230">
        <f t="shared" si="19"/>
        <v>5.5570516948656404E-2</v>
      </c>
    </row>
    <row r="12" spans="1:38" s="73" customFormat="1" ht="14.25" customHeight="1">
      <c r="B12" s="569"/>
      <c r="C12" s="572"/>
      <c r="D12" s="170">
        <f t="shared" si="20"/>
        <v>46235</v>
      </c>
      <c r="E12" s="170" t="s">
        <v>116</v>
      </c>
      <c r="F12" s="320">
        <f t="shared" si="0"/>
        <v>216220</v>
      </c>
      <c r="G12" s="583"/>
      <c r="H12" s="581"/>
      <c r="I12" s="307">
        <v>44211</v>
      </c>
      <c r="J12" s="230">
        <f t="shared" si="2"/>
        <v>0.20447229673480713</v>
      </c>
      <c r="K12" s="307">
        <v>59625</v>
      </c>
      <c r="L12" s="230">
        <f t="shared" si="3"/>
        <v>0.27576079918601426</v>
      </c>
      <c r="M12" s="307">
        <f t="shared" si="4"/>
        <v>103836</v>
      </c>
      <c r="N12" s="230">
        <f t="shared" si="5"/>
        <v>0.48023309592082136</v>
      </c>
      <c r="O12" s="307">
        <v>11257</v>
      </c>
      <c r="P12" s="230">
        <f t="shared" si="6"/>
        <v>5.2062713902506705E-2</v>
      </c>
      <c r="Q12" s="307">
        <v>0</v>
      </c>
      <c r="R12" s="230">
        <f t="shared" si="7"/>
        <v>0</v>
      </c>
      <c r="S12" s="307">
        <f t="shared" si="8"/>
        <v>11257</v>
      </c>
      <c r="T12" s="230">
        <f t="shared" si="9"/>
        <v>5.2062713902506705E-2</v>
      </c>
      <c r="U12" s="307">
        <v>2715</v>
      </c>
      <c r="V12" s="230">
        <f t="shared" si="10"/>
        <v>1.2556655258532976E-2</v>
      </c>
      <c r="W12" s="307">
        <v>11384</v>
      </c>
      <c r="X12" s="230">
        <f t="shared" si="11"/>
        <v>5.2650078623624086E-2</v>
      </c>
      <c r="Y12" s="307">
        <v>7444</v>
      </c>
      <c r="Z12" s="230">
        <f t="shared" si="12"/>
        <v>3.4427897511793544E-2</v>
      </c>
      <c r="AA12" s="307">
        <v>11380</v>
      </c>
      <c r="AB12" s="230">
        <f t="shared" si="13"/>
        <v>5.2631578947368418E-2</v>
      </c>
      <c r="AC12" s="307">
        <f t="shared" si="14"/>
        <v>18824</v>
      </c>
      <c r="AD12" s="230">
        <f t="shared" si="15"/>
        <v>8.7059476459161969E-2</v>
      </c>
      <c r="AE12" s="307">
        <v>27748</v>
      </c>
      <c r="AF12" s="230">
        <f t="shared" si="16"/>
        <v>0.12833225418555175</v>
      </c>
      <c r="AG12" s="307">
        <v>0</v>
      </c>
      <c r="AH12" s="230">
        <f t="shared" si="17"/>
        <v>0</v>
      </c>
      <c r="AI12" s="307">
        <v>29293</v>
      </c>
      <c r="AJ12" s="230">
        <f t="shared" si="18"/>
        <v>0.13547775413930258</v>
      </c>
      <c r="AK12" s="307">
        <v>11163</v>
      </c>
      <c r="AL12" s="230">
        <f t="shared" si="19"/>
        <v>5.1627971510498569E-2</v>
      </c>
    </row>
    <row r="13" spans="1:38" s="73" customFormat="1" ht="14.25" customHeight="1">
      <c r="B13" s="570"/>
      <c r="C13" s="572"/>
      <c r="D13" s="170">
        <f t="shared" si="20"/>
        <v>46236</v>
      </c>
      <c r="E13" s="170" t="s">
        <v>117</v>
      </c>
      <c r="F13" s="320">
        <f t="shared" si="0"/>
        <v>213443</v>
      </c>
      <c r="G13" s="583"/>
      <c r="H13" s="581"/>
      <c r="I13" s="307">
        <v>43672</v>
      </c>
      <c r="J13" s="230">
        <f t="shared" si="2"/>
        <v>0.20460731905005083</v>
      </c>
      <c r="K13" s="307">
        <v>58843</v>
      </c>
      <c r="L13" s="230">
        <f t="shared" si="3"/>
        <v>0.27568484326026155</v>
      </c>
      <c r="M13" s="307">
        <f t="shared" si="4"/>
        <v>102515</v>
      </c>
      <c r="N13" s="230">
        <f t="shared" si="5"/>
        <v>0.48029216231031235</v>
      </c>
      <c r="O13" s="307">
        <v>10839</v>
      </c>
      <c r="P13" s="230">
        <f t="shared" si="6"/>
        <v>5.0781707528473642E-2</v>
      </c>
      <c r="Q13" s="307">
        <v>0</v>
      </c>
      <c r="R13" s="230">
        <f t="shared" si="7"/>
        <v>0</v>
      </c>
      <c r="S13" s="307">
        <f t="shared" si="8"/>
        <v>10839</v>
      </c>
      <c r="T13" s="230">
        <f t="shared" si="9"/>
        <v>5.0781707528473642E-2</v>
      </c>
      <c r="U13" s="307">
        <v>2369</v>
      </c>
      <c r="V13" s="230">
        <f t="shared" si="10"/>
        <v>1.1098981929601815E-2</v>
      </c>
      <c r="W13" s="307">
        <v>12791</v>
      </c>
      <c r="X13" s="230">
        <f t="shared" si="11"/>
        <v>5.9927006273337614E-2</v>
      </c>
      <c r="Y13" s="307">
        <v>7631</v>
      </c>
      <c r="Z13" s="230">
        <f t="shared" si="12"/>
        <v>3.5751933771545563E-2</v>
      </c>
      <c r="AA13" s="307">
        <v>10280</v>
      </c>
      <c r="AB13" s="230">
        <f t="shared" si="13"/>
        <v>4.8162741340779504E-2</v>
      </c>
      <c r="AC13" s="307">
        <f t="shared" si="14"/>
        <v>17911</v>
      </c>
      <c r="AD13" s="230">
        <f t="shared" si="15"/>
        <v>8.3914675112325074E-2</v>
      </c>
      <c r="AE13" s="307">
        <v>25707</v>
      </c>
      <c r="AF13" s="230">
        <f t="shared" si="16"/>
        <v>0.12043964899293956</v>
      </c>
      <c r="AG13" s="307">
        <v>0</v>
      </c>
      <c r="AH13" s="230">
        <f t="shared" si="17"/>
        <v>0</v>
      </c>
      <c r="AI13" s="307">
        <v>29105</v>
      </c>
      <c r="AJ13" s="230">
        <f t="shared" si="18"/>
        <v>0.13635959014818944</v>
      </c>
      <c r="AK13" s="307">
        <v>12206</v>
      </c>
      <c r="AL13" s="230">
        <f t="shared" si="19"/>
        <v>5.7186227704820493E-2</v>
      </c>
    </row>
    <row r="14" spans="1:38" s="73" customFormat="1" ht="14.25" customHeight="1">
      <c r="B14" s="585">
        <f>B7+7</f>
        <v>46246</v>
      </c>
      <c r="C14" s="572"/>
      <c r="D14" s="170">
        <f t="shared" si="20"/>
        <v>46237</v>
      </c>
      <c r="E14" s="170" t="s">
        <v>118</v>
      </c>
      <c r="F14" s="320">
        <f t="shared" si="0"/>
        <v>211425</v>
      </c>
      <c r="G14" s="583">
        <f t="shared" ref="G14" si="21">SUM(F14:F20)</f>
        <v>1345846</v>
      </c>
      <c r="H14" s="581"/>
      <c r="I14" s="307">
        <v>43309</v>
      </c>
      <c r="J14" s="230">
        <f t="shared" si="2"/>
        <v>0.20484332505616648</v>
      </c>
      <c r="K14" s="307">
        <v>58265</v>
      </c>
      <c r="L14" s="230">
        <f t="shared" si="3"/>
        <v>0.27558235781009816</v>
      </c>
      <c r="M14" s="307">
        <f t="shared" si="4"/>
        <v>101574</v>
      </c>
      <c r="N14" s="230">
        <f t="shared" si="5"/>
        <v>0.48042568286626464</v>
      </c>
      <c r="O14" s="307">
        <v>10803</v>
      </c>
      <c r="P14" s="230">
        <f t="shared" si="6"/>
        <v>5.1096133380631431E-2</v>
      </c>
      <c r="Q14" s="307">
        <v>0</v>
      </c>
      <c r="R14" s="230">
        <f t="shared" si="7"/>
        <v>0</v>
      </c>
      <c r="S14" s="307">
        <f t="shared" si="8"/>
        <v>10803</v>
      </c>
      <c r="T14" s="230">
        <f t="shared" si="9"/>
        <v>5.1096133380631431E-2</v>
      </c>
      <c r="U14" s="307">
        <v>2481</v>
      </c>
      <c r="V14" s="230">
        <f t="shared" si="10"/>
        <v>1.1734657680028378E-2</v>
      </c>
      <c r="W14" s="307">
        <v>10926</v>
      </c>
      <c r="X14" s="230">
        <f t="shared" si="11"/>
        <v>5.167789996452643E-2</v>
      </c>
      <c r="Y14" s="307">
        <v>6864</v>
      </c>
      <c r="Z14" s="230">
        <f t="shared" si="12"/>
        <v>3.2465413267116001E-2</v>
      </c>
      <c r="AA14" s="307">
        <v>10278</v>
      </c>
      <c r="AB14" s="230">
        <f t="shared" si="13"/>
        <v>4.8612983327421068E-2</v>
      </c>
      <c r="AC14" s="307">
        <f t="shared" si="14"/>
        <v>17142</v>
      </c>
      <c r="AD14" s="230">
        <f t="shared" si="15"/>
        <v>8.1078396594537069E-2</v>
      </c>
      <c r="AE14" s="307">
        <v>24827</v>
      </c>
      <c r="AF14" s="230">
        <f t="shared" si="16"/>
        <v>0.11742698356391156</v>
      </c>
      <c r="AG14" s="307">
        <v>0</v>
      </c>
      <c r="AH14" s="230">
        <f t="shared" si="17"/>
        <v>0</v>
      </c>
      <c r="AI14" s="307">
        <v>32596</v>
      </c>
      <c r="AJ14" s="230">
        <f t="shared" si="18"/>
        <v>0.1541728745417997</v>
      </c>
      <c r="AK14" s="307">
        <v>11076</v>
      </c>
      <c r="AL14" s="230">
        <f t="shared" si="19"/>
        <v>5.2387371408300819E-2</v>
      </c>
    </row>
    <row r="15" spans="1:38" s="73" customFormat="1" ht="14.25" customHeight="1">
      <c r="B15" s="586"/>
      <c r="C15" s="572"/>
      <c r="D15" s="170">
        <f t="shared" si="20"/>
        <v>46238</v>
      </c>
      <c r="E15" s="170" t="s">
        <v>112</v>
      </c>
      <c r="F15" s="320">
        <f t="shared" si="0"/>
        <v>203649</v>
      </c>
      <c r="G15" s="583"/>
      <c r="H15" s="581"/>
      <c r="I15" s="307">
        <v>42566</v>
      </c>
      <c r="J15" s="230">
        <f t="shared" si="2"/>
        <v>0.20901649406577003</v>
      </c>
      <c r="K15" s="307">
        <v>55591</v>
      </c>
      <c r="L15" s="230">
        <f t="shared" si="3"/>
        <v>0.27297457880961851</v>
      </c>
      <c r="M15" s="307">
        <f t="shared" si="4"/>
        <v>98157</v>
      </c>
      <c r="N15" s="230">
        <f t="shared" si="5"/>
        <v>0.48199107287538856</v>
      </c>
      <c r="O15" s="307">
        <v>10739</v>
      </c>
      <c r="P15" s="230">
        <f t="shared" si="6"/>
        <v>5.2732888450225633E-2</v>
      </c>
      <c r="Q15" s="307">
        <v>0</v>
      </c>
      <c r="R15" s="230">
        <f t="shared" si="7"/>
        <v>0</v>
      </c>
      <c r="S15" s="307">
        <f t="shared" si="8"/>
        <v>10739</v>
      </c>
      <c r="T15" s="230">
        <f t="shared" si="9"/>
        <v>5.2732888450225633E-2</v>
      </c>
      <c r="U15" s="307">
        <v>2107</v>
      </c>
      <c r="V15" s="230">
        <f t="shared" si="10"/>
        <v>1.0346232979292803E-2</v>
      </c>
      <c r="W15" s="307">
        <v>10904</v>
      </c>
      <c r="X15" s="230">
        <f t="shared" si="11"/>
        <v>5.3543106030474005E-2</v>
      </c>
      <c r="Y15" s="307">
        <v>6264</v>
      </c>
      <c r="Z15" s="230">
        <f t="shared" si="12"/>
        <v>3.0758805591974428E-2</v>
      </c>
      <c r="AA15" s="307">
        <v>10014</v>
      </c>
      <c r="AB15" s="230">
        <f t="shared" si="13"/>
        <v>4.9172841506710072E-2</v>
      </c>
      <c r="AC15" s="307">
        <f t="shared" si="14"/>
        <v>16278</v>
      </c>
      <c r="AD15" s="230">
        <f t="shared" si="15"/>
        <v>7.99316470986845E-2</v>
      </c>
      <c r="AE15" s="307">
        <v>23106</v>
      </c>
      <c r="AF15" s="230">
        <f t="shared" si="16"/>
        <v>0.11345992369223518</v>
      </c>
      <c r="AG15" s="307">
        <v>0</v>
      </c>
      <c r="AH15" s="230">
        <f t="shared" si="17"/>
        <v>0</v>
      </c>
      <c r="AI15" s="307">
        <v>31313</v>
      </c>
      <c r="AJ15" s="230">
        <f t="shared" si="18"/>
        <v>0.15375965509283129</v>
      </c>
      <c r="AK15" s="307">
        <v>11045</v>
      </c>
      <c r="AL15" s="230">
        <f t="shared" si="19"/>
        <v>5.4235473780868064E-2</v>
      </c>
    </row>
    <row r="16" spans="1:38" s="73" customFormat="1" ht="14.25" customHeight="1">
      <c r="B16" s="586"/>
      <c r="C16" s="572"/>
      <c r="D16" s="170">
        <f t="shared" si="20"/>
        <v>46239</v>
      </c>
      <c r="E16" s="170" t="s">
        <v>113</v>
      </c>
      <c r="F16" s="320">
        <f t="shared" si="0"/>
        <v>188918</v>
      </c>
      <c r="G16" s="583"/>
      <c r="H16" s="581"/>
      <c r="I16" s="307">
        <v>40837</v>
      </c>
      <c r="J16" s="230">
        <f t="shared" si="2"/>
        <v>0.2161625678865963</v>
      </c>
      <c r="K16" s="307">
        <v>50083</v>
      </c>
      <c r="L16" s="230">
        <f t="shared" si="3"/>
        <v>0.26510443684561558</v>
      </c>
      <c r="M16" s="307">
        <f t="shared" si="4"/>
        <v>90920</v>
      </c>
      <c r="N16" s="230">
        <f t="shared" si="5"/>
        <v>0.48126700473221184</v>
      </c>
      <c r="O16" s="307">
        <v>10151</v>
      </c>
      <c r="P16" s="230">
        <f t="shared" si="6"/>
        <v>5.3732307138546882E-2</v>
      </c>
      <c r="Q16" s="307">
        <v>0</v>
      </c>
      <c r="R16" s="230">
        <f t="shared" si="7"/>
        <v>0</v>
      </c>
      <c r="S16" s="307">
        <f t="shared" si="8"/>
        <v>10151</v>
      </c>
      <c r="T16" s="230">
        <f t="shared" si="9"/>
        <v>5.3732307138546882E-2</v>
      </c>
      <c r="U16" s="307">
        <v>2168</v>
      </c>
      <c r="V16" s="230">
        <f t="shared" si="10"/>
        <v>1.1475878423442975E-2</v>
      </c>
      <c r="W16" s="307">
        <v>10626</v>
      </c>
      <c r="X16" s="230">
        <f t="shared" si="11"/>
        <v>5.6246625520066908E-2</v>
      </c>
      <c r="Y16" s="307">
        <v>5871</v>
      </c>
      <c r="Z16" s="230">
        <f t="shared" si="12"/>
        <v>3.1076975195587504E-2</v>
      </c>
      <c r="AA16" s="307">
        <v>7631</v>
      </c>
      <c r="AB16" s="230">
        <f t="shared" si="13"/>
        <v>4.0393186461851173E-2</v>
      </c>
      <c r="AC16" s="307">
        <f t="shared" si="14"/>
        <v>13502</v>
      </c>
      <c r="AD16" s="230">
        <f t="shared" si="15"/>
        <v>7.1470161657438677E-2</v>
      </c>
      <c r="AE16" s="307">
        <v>20278</v>
      </c>
      <c r="AF16" s="230">
        <f t="shared" si="16"/>
        <v>0.10733757503255381</v>
      </c>
      <c r="AG16" s="307">
        <v>0</v>
      </c>
      <c r="AH16" s="230">
        <f t="shared" si="17"/>
        <v>0</v>
      </c>
      <c r="AI16" s="307">
        <v>30366</v>
      </c>
      <c r="AJ16" s="230">
        <f t="shared" si="18"/>
        <v>0.1607364041541833</v>
      </c>
      <c r="AK16" s="307">
        <v>10907</v>
      </c>
      <c r="AL16" s="230">
        <f t="shared" si="19"/>
        <v>5.7734043341555595E-2</v>
      </c>
    </row>
    <row r="17" spans="2:38" s="73" customFormat="1" ht="14.25" customHeight="1">
      <c r="B17" s="586"/>
      <c r="C17" s="572"/>
      <c r="D17" s="170">
        <f t="shared" si="20"/>
        <v>46240</v>
      </c>
      <c r="E17" s="170" t="s">
        <v>114</v>
      </c>
      <c r="F17" s="320">
        <f t="shared" si="0"/>
        <v>157640</v>
      </c>
      <c r="G17" s="583"/>
      <c r="H17" s="581"/>
      <c r="I17" s="307">
        <v>30769</v>
      </c>
      <c r="J17" s="230">
        <f t="shared" si="2"/>
        <v>0.19518523217457498</v>
      </c>
      <c r="K17" s="307">
        <v>44602</v>
      </c>
      <c r="L17" s="230">
        <f t="shared" si="3"/>
        <v>0.28293580309566102</v>
      </c>
      <c r="M17" s="307">
        <f t="shared" si="4"/>
        <v>75371</v>
      </c>
      <c r="N17" s="230">
        <f t="shared" si="5"/>
        <v>0.47812103527023597</v>
      </c>
      <c r="O17" s="307">
        <v>7769</v>
      </c>
      <c r="P17" s="230">
        <f t="shared" si="6"/>
        <v>4.928317685866531E-2</v>
      </c>
      <c r="Q17" s="307">
        <v>0</v>
      </c>
      <c r="R17" s="230">
        <f t="shared" si="7"/>
        <v>0</v>
      </c>
      <c r="S17" s="307">
        <f t="shared" si="8"/>
        <v>7769</v>
      </c>
      <c r="T17" s="230">
        <f t="shared" si="9"/>
        <v>4.928317685866531E-2</v>
      </c>
      <c r="U17" s="307">
        <v>1475</v>
      </c>
      <c r="V17" s="230">
        <f t="shared" si="10"/>
        <v>9.3567622430855112E-3</v>
      </c>
      <c r="W17" s="307">
        <v>7835</v>
      </c>
      <c r="X17" s="230">
        <f t="shared" si="11"/>
        <v>4.9701852321745753E-2</v>
      </c>
      <c r="Y17" s="307">
        <v>5138</v>
      </c>
      <c r="Z17" s="230">
        <f t="shared" si="12"/>
        <v>3.2593250444049732E-2</v>
      </c>
      <c r="AA17" s="307">
        <v>7598</v>
      </c>
      <c r="AB17" s="230">
        <f t="shared" si="13"/>
        <v>4.8198426795229635E-2</v>
      </c>
      <c r="AC17" s="307">
        <f t="shared" si="14"/>
        <v>12736</v>
      </c>
      <c r="AD17" s="230">
        <f t="shared" si="15"/>
        <v>8.0791677239279366E-2</v>
      </c>
      <c r="AE17" s="307">
        <v>15213</v>
      </c>
      <c r="AF17" s="230">
        <f t="shared" si="16"/>
        <v>9.65046942400406E-2</v>
      </c>
      <c r="AG17" s="307">
        <v>0</v>
      </c>
      <c r="AH17" s="230">
        <f t="shared" si="17"/>
        <v>0</v>
      </c>
      <c r="AI17" s="307">
        <v>27885</v>
      </c>
      <c r="AJ17" s="230">
        <f t="shared" si="18"/>
        <v>0.17689038315148439</v>
      </c>
      <c r="AK17" s="307">
        <v>9356</v>
      </c>
      <c r="AL17" s="230">
        <f t="shared" si="19"/>
        <v>5.9350418675463083E-2</v>
      </c>
    </row>
    <row r="18" spans="2:38" s="73" customFormat="1" ht="14.25" customHeight="1">
      <c r="B18" s="586"/>
      <c r="C18" s="572"/>
      <c r="D18" s="170">
        <f t="shared" si="20"/>
        <v>46241</v>
      </c>
      <c r="E18" s="170" t="s">
        <v>115</v>
      </c>
      <c r="F18" s="320">
        <f t="shared" si="0"/>
        <v>168530</v>
      </c>
      <c r="G18" s="583"/>
      <c r="H18" s="581"/>
      <c r="I18" s="307">
        <v>29367</v>
      </c>
      <c r="J18" s="230">
        <f t="shared" si="2"/>
        <v>0.17425384204592653</v>
      </c>
      <c r="K18" s="307">
        <v>52357</v>
      </c>
      <c r="L18" s="230">
        <f t="shared" si="3"/>
        <v>0.31066872366937637</v>
      </c>
      <c r="M18" s="307">
        <f t="shared" si="4"/>
        <v>81724</v>
      </c>
      <c r="N18" s="230">
        <f t="shared" si="5"/>
        <v>0.4849225657153029</v>
      </c>
      <c r="O18" s="307">
        <v>7386</v>
      </c>
      <c r="P18" s="230">
        <f t="shared" si="6"/>
        <v>4.3826025040052216E-2</v>
      </c>
      <c r="Q18" s="307">
        <v>0</v>
      </c>
      <c r="R18" s="230">
        <f t="shared" si="7"/>
        <v>0</v>
      </c>
      <c r="S18" s="307">
        <f t="shared" si="8"/>
        <v>7386</v>
      </c>
      <c r="T18" s="230">
        <f t="shared" si="9"/>
        <v>4.3826025040052216E-2</v>
      </c>
      <c r="U18" s="307">
        <v>1590</v>
      </c>
      <c r="V18" s="230">
        <f t="shared" si="10"/>
        <v>9.4345220435530768E-3</v>
      </c>
      <c r="W18" s="307">
        <v>8272</v>
      </c>
      <c r="X18" s="230">
        <f t="shared" si="11"/>
        <v>4.9083249273126447E-2</v>
      </c>
      <c r="Y18" s="307">
        <v>5571</v>
      </c>
      <c r="Z18" s="230">
        <f t="shared" si="12"/>
        <v>3.305642912241144E-2</v>
      </c>
      <c r="AA18" s="307">
        <v>9663</v>
      </c>
      <c r="AB18" s="230">
        <f t="shared" si="13"/>
        <v>5.7336972645819738E-2</v>
      </c>
      <c r="AC18" s="307">
        <f t="shared" si="14"/>
        <v>15234</v>
      </c>
      <c r="AD18" s="230">
        <f t="shared" si="15"/>
        <v>9.0393401768231171E-2</v>
      </c>
      <c r="AE18" s="307">
        <v>17261</v>
      </c>
      <c r="AF18" s="230">
        <f t="shared" si="16"/>
        <v>0.1024209339583457</v>
      </c>
      <c r="AG18" s="307">
        <v>0</v>
      </c>
      <c r="AH18" s="230">
        <f t="shared" si="17"/>
        <v>0</v>
      </c>
      <c r="AI18" s="307">
        <v>27784</v>
      </c>
      <c r="AJ18" s="230">
        <f t="shared" si="18"/>
        <v>0.16486085563401176</v>
      </c>
      <c r="AK18" s="307">
        <v>9279</v>
      </c>
      <c r="AL18" s="230">
        <f t="shared" si="19"/>
        <v>5.5058446567376726E-2</v>
      </c>
    </row>
    <row r="19" spans="2:38" s="73" customFormat="1" ht="14.25" customHeight="1">
      <c r="B19" s="586"/>
      <c r="C19" s="572"/>
      <c r="D19" s="170">
        <f t="shared" si="20"/>
        <v>46242</v>
      </c>
      <c r="E19" s="170" t="s">
        <v>116</v>
      </c>
      <c r="F19" s="320">
        <f t="shared" si="0"/>
        <v>211756</v>
      </c>
      <c r="G19" s="583"/>
      <c r="H19" s="581"/>
      <c r="I19" s="307">
        <v>42732</v>
      </c>
      <c r="J19" s="230">
        <f t="shared" si="2"/>
        <v>0.20179829615217515</v>
      </c>
      <c r="K19" s="307">
        <v>60127</v>
      </c>
      <c r="L19" s="230">
        <f t="shared" si="3"/>
        <v>0.28394472883885225</v>
      </c>
      <c r="M19" s="307">
        <f t="shared" si="4"/>
        <v>102859</v>
      </c>
      <c r="N19" s="230">
        <f t="shared" si="5"/>
        <v>0.48574302499102739</v>
      </c>
      <c r="O19" s="307">
        <v>10326</v>
      </c>
      <c r="P19" s="230">
        <f t="shared" si="6"/>
        <v>4.8763671395379585E-2</v>
      </c>
      <c r="Q19" s="307">
        <v>0</v>
      </c>
      <c r="R19" s="230">
        <f t="shared" si="7"/>
        <v>0</v>
      </c>
      <c r="S19" s="307">
        <f t="shared" si="8"/>
        <v>10326</v>
      </c>
      <c r="T19" s="230">
        <f t="shared" si="9"/>
        <v>4.8763671395379585E-2</v>
      </c>
      <c r="U19" s="307">
        <v>2710</v>
      </c>
      <c r="V19" s="230">
        <f t="shared" si="10"/>
        <v>1.2797748351876689E-2</v>
      </c>
      <c r="W19" s="307">
        <v>10879</v>
      </c>
      <c r="X19" s="230">
        <f t="shared" si="11"/>
        <v>5.1375167645780991E-2</v>
      </c>
      <c r="Y19" s="307">
        <v>7035</v>
      </c>
      <c r="Z19" s="230">
        <f t="shared" si="12"/>
        <v>3.3222199134853324E-2</v>
      </c>
      <c r="AA19" s="307">
        <v>11267</v>
      </c>
      <c r="AB19" s="230">
        <f t="shared" si="13"/>
        <v>5.3207465195791386E-2</v>
      </c>
      <c r="AC19" s="307">
        <f t="shared" si="14"/>
        <v>18302</v>
      </c>
      <c r="AD19" s="230">
        <f t="shared" si="15"/>
        <v>8.6429664330644709E-2</v>
      </c>
      <c r="AE19" s="307">
        <v>26403</v>
      </c>
      <c r="AF19" s="230">
        <f t="shared" si="16"/>
        <v>0.12468595931166059</v>
      </c>
      <c r="AG19" s="307">
        <v>0</v>
      </c>
      <c r="AH19" s="230">
        <f t="shared" si="17"/>
        <v>0</v>
      </c>
      <c r="AI19" s="307">
        <v>32210</v>
      </c>
      <c r="AJ19" s="230">
        <f t="shared" si="18"/>
        <v>0.15210903114905835</v>
      </c>
      <c r="AK19" s="307">
        <v>8067</v>
      </c>
      <c r="AL19" s="230">
        <f t="shared" si="19"/>
        <v>3.8095732824571675E-2</v>
      </c>
    </row>
    <row r="20" spans="2:38" s="73" customFormat="1" ht="14.25" customHeight="1">
      <c r="B20" s="586"/>
      <c r="C20" s="572"/>
      <c r="D20" s="170">
        <f t="shared" si="20"/>
        <v>46243</v>
      </c>
      <c r="E20" s="170" t="s">
        <v>117</v>
      </c>
      <c r="F20" s="320">
        <f t="shared" si="0"/>
        <v>203928</v>
      </c>
      <c r="G20" s="583"/>
      <c r="H20" s="581"/>
      <c r="I20" s="307">
        <v>41198</v>
      </c>
      <c r="J20" s="230">
        <f t="shared" si="2"/>
        <v>0.20202228237417127</v>
      </c>
      <c r="K20" s="307">
        <v>58990</v>
      </c>
      <c r="L20" s="230">
        <f t="shared" si="3"/>
        <v>0.28926876152367503</v>
      </c>
      <c r="M20" s="307">
        <f t="shared" si="4"/>
        <v>100188</v>
      </c>
      <c r="N20" s="230">
        <f t="shared" si="5"/>
        <v>0.49129104389784628</v>
      </c>
      <c r="O20" s="307">
        <v>10764</v>
      </c>
      <c r="P20" s="230">
        <f t="shared" si="6"/>
        <v>5.2783335294809934E-2</v>
      </c>
      <c r="Q20" s="307">
        <v>0</v>
      </c>
      <c r="R20" s="230">
        <f t="shared" si="7"/>
        <v>0</v>
      </c>
      <c r="S20" s="307">
        <f t="shared" si="8"/>
        <v>10764</v>
      </c>
      <c r="T20" s="230">
        <f t="shared" si="9"/>
        <v>5.2783335294809934E-2</v>
      </c>
      <c r="U20" s="307">
        <v>2383</v>
      </c>
      <c r="V20" s="230">
        <f t="shared" si="10"/>
        <v>1.1685496842022674E-2</v>
      </c>
      <c r="W20" s="307">
        <v>12017</v>
      </c>
      <c r="X20" s="230">
        <f t="shared" si="11"/>
        <v>5.8927660743007336E-2</v>
      </c>
      <c r="Y20" s="307">
        <v>7275</v>
      </c>
      <c r="Z20" s="230">
        <f t="shared" si="12"/>
        <v>3.567435565493704E-2</v>
      </c>
      <c r="AA20" s="307">
        <v>10527</v>
      </c>
      <c r="AB20" s="230">
        <f t="shared" si="13"/>
        <v>5.1621160409556312E-2</v>
      </c>
      <c r="AC20" s="307">
        <f t="shared" si="14"/>
        <v>17802</v>
      </c>
      <c r="AD20" s="230">
        <f t="shared" si="15"/>
        <v>8.7295516064493345E-2</v>
      </c>
      <c r="AE20" s="307">
        <v>25325</v>
      </c>
      <c r="AF20" s="230">
        <f t="shared" si="16"/>
        <v>0.12418598721117258</v>
      </c>
      <c r="AG20" s="307">
        <v>0</v>
      </c>
      <c r="AH20" s="230">
        <f t="shared" si="17"/>
        <v>0</v>
      </c>
      <c r="AI20" s="307">
        <v>26296</v>
      </c>
      <c r="AJ20" s="230">
        <f t="shared" si="18"/>
        <v>0.12894747165666315</v>
      </c>
      <c r="AK20" s="307">
        <v>9153</v>
      </c>
      <c r="AL20" s="230">
        <f t="shared" si="19"/>
        <v>4.4883488289984702E-2</v>
      </c>
    </row>
    <row r="21" spans="2:38" s="73" customFormat="1" ht="14.25" customHeight="1">
      <c r="B21" s="585">
        <f>B14+7</f>
        <v>46253</v>
      </c>
      <c r="C21" s="572"/>
      <c r="D21" s="170">
        <f t="shared" si="20"/>
        <v>46244</v>
      </c>
      <c r="E21" s="170" t="s">
        <v>118</v>
      </c>
      <c r="F21" s="320">
        <f t="shared" si="0"/>
        <v>187621</v>
      </c>
      <c r="G21" s="583">
        <f t="shared" ref="G21" si="22">SUM(F21:F27)</f>
        <v>1244793</v>
      </c>
      <c r="H21" s="581"/>
      <c r="I21" s="307">
        <v>39636</v>
      </c>
      <c r="J21" s="230">
        <f t="shared" si="2"/>
        <v>0.21125566967450338</v>
      </c>
      <c r="K21" s="307">
        <v>56401</v>
      </c>
      <c r="L21" s="230">
        <f t="shared" si="3"/>
        <v>0.30061133881601737</v>
      </c>
      <c r="M21" s="307">
        <f t="shared" si="4"/>
        <v>96037</v>
      </c>
      <c r="N21" s="230">
        <f t="shared" si="5"/>
        <v>0.5118670084905208</v>
      </c>
      <c r="O21" s="307">
        <v>9595</v>
      </c>
      <c r="P21" s="230">
        <f t="shared" si="6"/>
        <v>5.114033077320769E-2</v>
      </c>
      <c r="Q21" s="307">
        <v>0</v>
      </c>
      <c r="R21" s="230">
        <f t="shared" si="7"/>
        <v>0</v>
      </c>
      <c r="S21" s="307">
        <f t="shared" si="8"/>
        <v>9595</v>
      </c>
      <c r="T21" s="230">
        <f t="shared" si="9"/>
        <v>5.114033077320769E-2</v>
      </c>
      <c r="U21" s="307">
        <v>2545</v>
      </c>
      <c r="V21" s="230">
        <f t="shared" si="10"/>
        <v>1.3564579657927418E-2</v>
      </c>
      <c r="W21" s="307">
        <v>10221</v>
      </c>
      <c r="X21" s="230">
        <f t="shared" si="11"/>
        <v>5.4476844276493568E-2</v>
      </c>
      <c r="Y21" s="307">
        <v>6599</v>
      </c>
      <c r="Z21" s="230">
        <f t="shared" si="12"/>
        <v>3.517196902265738E-2</v>
      </c>
      <c r="AA21" s="307">
        <v>10346</v>
      </c>
      <c r="AB21" s="230">
        <f t="shared" si="13"/>
        <v>5.5143080998395703E-2</v>
      </c>
      <c r="AC21" s="307">
        <f t="shared" si="14"/>
        <v>16945</v>
      </c>
      <c r="AD21" s="230">
        <f t="shared" si="15"/>
        <v>9.0315050021053084E-2</v>
      </c>
      <c r="AE21" s="307">
        <v>23942</v>
      </c>
      <c r="AF21" s="230">
        <f t="shared" si="16"/>
        <v>0.12760831676624684</v>
      </c>
      <c r="AG21" s="307">
        <v>0</v>
      </c>
      <c r="AH21" s="230">
        <f t="shared" si="17"/>
        <v>0</v>
      </c>
      <c r="AI21" s="307">
        <v>21462</v>
      </c>
      <c r="AJ21" s="230">
        <f t="shared" si="18"/>
        <v>0.11439018020370854</v>
      </c>
      <c r="AK21" s="307">
        <v>6874</v>
      </c>
      <c r="AL21" s="230">
        <f t="shared" si="19"/>
        <v>3.6637689810842068E-2</v>
      </c>
    </row>
    <row r="22" spans="2:38" s="73" customFormat="1" ht="14.25" customHeight="1">
      <c r="B22" s="586"/>
      <c r="C22" s="572"/>
      <c r="D22" s="170">
        <f t="shared" si="20"/>
        <v>46245</v>
      </c>
      <c r="E22" s="170" t="s">
        <v>112</v>
      </c>
      <c r="F22" s="320">
        <f t="shared" si="0"/>
        <v>184147</v>
      </c>
      <c r="G22" s="583"/>
      <c r="H22" s="581"/>
      <c r="I22" s="307">
        <v>39019</v>
      </c>
      <c r="J22" s="230">
        <f t="shared" si="2"/>
        <v>0.21189050052403785</v>
      </c>
      <c r="K22" s="307">
        <v>53877</v>
      </c>
      <c r="L22" s="230">
        <f t="shared" si="3"/>
        <v>0.29257603979429475</v>
      </c>
      <c r="M22" s="307">
        <f t="shared" si="4"/>
        <v>92896</v>
      </c>
      <c r="N22" s="230">
        <f t="shared" si="5"/>
        <v>0.5044665403183326</v>
      </c>
      <c r="O22" s="307">
        <v>9704</v>
      </c>
      <c r="P22" s="230">
        <f t="shared" si="6"/>
        <v>5.2697030090091065E-2</v>
      </c>
      <c r="Q22" s="307">
        <v>0</v>
      </c>
      <c r="R22" s="230">
        <f t="shared" si="7"/>
        <v>0</v>
      </c>
      <c r="S22" s="307">
        <f t="shared" si="8"/>
        <v>9704</v>
      </c>
      <c r="T22" s="230">
        <f t="shared" si="9"/>
        <v>5.2697030090091065E-2</v>
      </c>
      <c r="U22" s="307">
        <v>2192</v>
      </c>
      <c r="V22" s="230">
        <f t="shared" si="10"/>
        <v>1.1903533590012326E-2</v>
      </c>
      <c r="W22" s="307">
        <v>10414</v>
      </c>
      <c r="X22" s="230">
        <f t="shared" si="11"/>
        <v>5.6552645440870609E-2</v>
      </c>
      <c r="Y22" s="307">
        <v>6047</v>
      </c>
      <c r="Z22" s="230">
        <f t="shared" si="12"/>
        <v>3.2837895811498423E-2</v>
      </c>
      <c r="AA22" s="307">
        <v>10179</v>
      </c>
      <c r="AB22" s="230">
        <f t="shared" si="13"/>
        <v>5.5276491064204139E-2</v>
      </c>
      <c r="AC22" s="307">
        <f t="shared" si="14"/>
        <v>16226</v>
      </c>
      <c r="AD22" s="230">
        <f t="shared" si="15"/>
        <v>8.8114386875702569E-2</v>
      </c>
      <c r="AE22" s="307">
        <v>22338</v>
      </c>
      <c r="AF22" s="230">
        <f t="shared" si="16"/>
        <v>0.12130526155734278</v>
      </c>
      <c r="AG22" s="307">
        <v>0</v>
      </c>
      <c r="AH22" s="230">
        <f t="shared" si="17"/>
        <v>0</v>
      </c>
      <c r="AI22" s="307">
        <v>23675</v>
      </c>
      <c r="AJ22" s="230">
        <f t="shared" si="18"/>
        <v>0.12856576539395156</v>
      </c>
      <c r="AK22" s="307">
        <v>6702</v>
      </c>
      <c r="AL22" s="230">
        <f t="shared" si="19"/>
        <v>3.6394836733696451E-2</v>
      </c>
    </row>
    <row r="23" spans="2:38" s="73" customFormat="1" ht="14.25" customHeight="1">
      <c r="B23" s="586"/>
      <c r="C23" s="572"/>
      <c r="D23" s="170">
        <f t="shared" si="20"/>
        <v>46246</v>
      </c>
      <c r="E23" s="170" t="s">
        <v>113</v>
      </c>
      <c r="F23" s="320">
        <f t="shared" si="0"/>
        <v>172846</v>
      </c>
      <c r="G23" s="583"/>
      <c r="H23" s="581"/>
      <c r="I23" s="307">
        <v>37661</v>
      </c>
      <c r="J23" s="230">
        <f t="shared" si="2"/>
        <v>0.21788759936590954</v>
      </c>
      <c r="K23" s="307">
        <v>48557</v>
      </c>
      <c r="L23" s="230">
        <f t="shared" si="3"/>
        <v>0.2809263737662428</v>
      </c>
      <c r="M23" s="307">
        <f t="shared" si="4"/>
        <v>86218</v>
      </c>
      <c r="N23" s="230">
        <f t="shared" si="5"/>
        <v>0.49881397313215231</v>
      </c>
      <c r="O23" s="307">
        <v>9368</v>
      </c>
      <c r="P23" s="230">
        <f t="shared" si="6"/>
        <v>5.4198535112180785E-2</v>
      </c>
      <c r="Q23" s="307">
        <v>0</v>
      </c>
      <c r="R23" s="230">
        <f t="shared" si="7"/>
        <v>0</v>
      </c>
      <c r="S23" s="307">
        <f t="shared" si="8"/>
        <v>9368</v>
      </c>
      <c r="T23" s="230">
        <f t="shared" si="9"/>
        <v>5.4198535112180785E-2</v>
      </c>
      <c r="U23" s="307">
        <v>2239</v>
      </c>
      <c r="V23" s="230">
        <f t="shared" si="10"/>
        <v>1.2953727595663192E-2</v>
      </c>
      <c r="W23" s="307">
        <v>10042</v>
      </c>
      <c r="X23" s="230">
        <f t="shared" si="11"/>
        <v>5.8097960033787303E-2</v>
      </c>
      <c r="Y23" s="307">
        <v>5757</v>
      </c>
      <c r="Z23" s="230">
        <f t="shared" si="12"/>
        <v>3.3307105747312639E-2</v>
      </c>
      <c r="AA23" s="307">
        <v>7575</v>
      </c>
      <c r="AB23" s="230">
        <f t="shared" si="13"/>
        <v>4.3825139141200835E-2</v>
      </c>
      <c r="AC23" s="307">
        <f t="shared" si="14"/>
        <v>13332</v>
      </c>
      <c r="AD23" s="230">
        <f t="shared" si="15"/>
        <v>7.7132244888513474E-2</v>
      </c>
      <c r="AE23" s="307">
        <v>20979</v>
      </c>
      <c r="AF23" s="230">
        <f t="shared" si="16"/>
        <v>0.12137393980769008</v>
      </c>
      <c r="AG23" s="307">
        <v>0</v>
      </c>
      <c r="AH23" s="230">
        <f t="shared" si="17"/>
        <v>0</v>
      </c>
      <c r="AI23" s="307">
        <v>23915</v>
      </c>
      <c r="AJ23" s="230">
        <f t="shared" si="18"/>
        <v>0.13836015875403537</v>
      </c>
      <c r="AK23" s="307">
        <v>6753</v>
      </c>
      <c r="AL23" s="230">
        <f t="shared" si="19"/>
        <v>3.9069460675977462E-2</v>
      </c>
    </row>
    <row r="24" spans="2:38" s="73" customFormat="1" ht="14.25" customHeight="1">
      <c r="B24" s="586"/>
      <c r="C24" s="572"/>
      <c r="D24" s="170">
        <f t="shared" si="20"/>
        <v>46247</v>
      </c>
      <c r="E24" s="170" t="s">
        <v>114</v>
      </c>
      <c r="F24" s="320">
        <f t="shared" si="0"/>
        <v>146977</v>
      </c>
      <c r="G24" s="583"/>
      <c r="H24" s="581"/>
      <c r="I24" s="307">
        <v>28515</v>
      </c>
      <c r="J24" s="230">
        <f t="shared" si="2"/>
        <v>0.19400994713458569</v>
      </c>
      <c r="K24" s="307">
        <v>44407</v>
      </c>
      <c r="L24" s="230">
        <f t="shared" si="3"/>
        <v>0.3021357083081026</v>
      </c>
      <c r="M24" s="307">
        <f t="shared" si="4"/>
        <v>72922</v>
      </c>
      <c r="N24" s="230">
        <f t="shared" si="5"/>
        <v>0.49614565544268829</v>
      </c>
      <c r="O24" s="307">
        <v>7420</v>
      </c>
      <c r="P24" s="230">
        <f t="shared" si="6"/>
        <v>5.0484089347312848E-2</v>
      </c>
      <c r="Q24" s="307">
        <v>0</v>
      </c>
      <c r="R24" s="230">
        <f t="shared" si="7"/>
        <v>0</v>
      </c>
      <c r="S24" s="307">
        <f t="shared" si="8"/>
        <v>7420</v>
      </c>
      <c r="T24" s="230">
        <f t="shared" si="9"/>
        <v>5.0484089347312848E-2</v>
      </c>
      <c r="U24" s="307">
        <v>1645</v>
      </c>
      <c r="V24" s="230">
        <f t="shared" si="10"/>
        <v>1.1192227355300489E-2</v>
      </c>
      <c r="W24" s="307">
        <v>7822</v>
      </c>
      <c r="X24" s="230">
        <f t="shared" si="11"/>
        <v>5.3219211169094484E-2</v>
      </c>
      <c r="Y24" s="307">
        <v>4885</v>
      </c>
      <c r="Z24" s="230">
        <f t="shared" si="12"/>
        <v>3.3236492784585341E-2</v>
      </c>
      <c r="AA24" s="307">
        <v>7387</v>
      </c>
      <c r="AB24" s="230">
        <f t="shared" si="13"/>
        <v>5.0259564421644205E-2</v>
      </c>
      <c r="AC24" s="307">
        <f t="shared" si="14"/>
        <v>12272</v>
      </c>
      <c r="AD24" s="230">
        <f t="shared" si="15"/>
        <v>8.3496057206229546E-2</v>
      </c>
      <c r="AE24" s="307">
        <v>15866</v>
      </c>
      <c r="AF24" s="230">
        <f t="shared" si="16"/>
        <v>0.10794886274723256</v>
      </c>
      <c r="AG24" s="307">
        <v>0</v>
      </c>
      <c r="AH24" s="230">
        <f t="shared" si="17"/>
        <v>0</v>
      </c>
      <c r="AI24" s="307">
        <v>23167</v>
      </c>
      <c r="AJ24" s="230">
        <f t="shared" si="18"/>
        <v>0.15762330160501303</v>
      </c>
      <c r="AK24" s="307">
        <v>5863</v>
      </c>
      <c r="AL24" s="230">
        <f t="shared" si="19"/>
        <v>3.9890595127128732E-2</v>
      </c>
    </row>
    <row r="25" spans="2:38" s="73" customFormat="1" ht="14.25" customHeight="1">
      <c r="B25" s="586"/>
      <c r="C25" s="572"/>
      <c r="D25" s="170">
        <f t="shared" si="20"/>
        <v>46248</v>
      </c>
      <c r="E25" s="170" t="s">
        <v>115</v>
      </c>
      <c r="F25" s="320">
        <f t="shared" si="0"/>
        <v>155408</v>
      </c>
      <c r="G25" s="583"/>
      <c r="H25" s="581"/>
      <c r="I25" s="307">
        <v>27250</v>
      </c>
      <c r="J25" s="230">
        <f t="shared" si="2"/>
        <v>0.17534489858951921</v>
      </c>
      <c r="K25" s="307">
        <v>52210</v>
      </c>
      <c r="L25" s="230">
        <f t="shared" si="3"/>
        <v>0.3359543910223412</v>
      </c>
      <c r="M25" s="307">
        <f t="shared" si="4"/>
        <v>79460</v>
      </c>
      <c r="N25" s="230">
        <f t="shared" si="5"/>
        <v>0.51129928961186044</v>
      </c>
      <c r="O25" s="307">
        <v>7054</v>
      </c>
      <c r="P25" s="230">
        <f t="shared" si="6"/>
        <v>4.5390198702769481E-2</v>
      </c>
      <c r="Q25" s="307">
        <v>0</v>
      </c>
      <c r="R25" s="230">
        <f t="shared" si="7"/>
        <v>0</v>
      </c>
      <c r="S25" s="307">
        <f t="shared" si="8"/>
        <v>7054</v>
      </c>
      <c r="T25" s="230">
        <f t="shared" si="9"/>
        <v>4.5390198702769481E-2</v>
      </c>
      <c r="U25" s="307">
        <v>1738</v>
      </c>
      <c r="V25" s="230">
        <f t="shared" si="10"/>
        <v>1.1183465458663647E-2</v>
      </c>
      <c r="W25" s="307">
        <v>7056</v>
      </c>
      <c r="X25" s="230">
        <f t="shared" si="11"/>
        <v>4.5403068053124676E-2</v>
      </c>
      <c r="Y25" s="307">
        <v>5245</v>
      </c>
      <c r="Z25" s="230">
        <f t="shared" si="12"/>
        <v>3.3749871306496447E-2</v>
      </c>
      <c r="AA25" s="307">
        <v>9880</v>
      </c>
      <c r="AB25" s="230">
        <f t="shared" si="13"/>
        <v>6.3574590754658711E-2</v>
      </c>
      <c r="AC25" s="307">
        <f t="shared" si="14"/>
        <v>15125</v>
      </c>
      <c r="AD25" s="230">
        <f t="shared" si="15"/>
        <v>9.7324462061155151E-2</v>
      </c>
      <c r="AE25" s="307">
        <v>16765</v>
      </c>
      <c r="AF25" s="230">
        <f t="shared" si="16"/>
        <v>0.10787732935241429</v>
      </c>
      <c r="AG25" s="307">
        <v>0</v>
      </c>
      <c r="AH25" s="230">
        <f t="shared" si="17"/>
        <v>0</v>
      </c>
      <c r="AI25" s="307">
        <v>22612</v>
      </c>
      <c r="AJ25" s="230">
        <f t="shared" si="18"/>
        <v>0.14550087511582416</v>
      </c>
      <c r="AK25" s="307">
        <v>5598</v>
      </c>
      <c r="AL25" s="230">
        <f t="shared" si="19"/>
        <v>3.6021311644188203E-2</v>
      </c>
    </row>
    <row r="26" spans="2:38" s="73" customFormat="1" ht="14.25" customHeight="1">
      <c r="B26" s="586"/>
      <c r="C26" s="572"/>
      <c r="D26" s="170">
        <f t="shared" si="20"/>
        <v>46249</v>
      </c>
      <c r="E26" s="170" t="s">
        <v>116</v>
      </c>
      <c r="F26" s="320">
        <f t="shared" si="0"/>
        <v>200927</v>
      </c>
      <c r="G26" s="583"/>
      <c r="H26" s="581"/>
      <c r="I26" s="307">
        <v>41131</v>
      </c>
      <c r="J26" s="230">
        <f t="shared" si="2"/>
        <v>0.20470618682407044</v>
      </c>
      <c r="K26" s="307">
        <v>59949</v>
      </c>
      <c r="L26" s="230">
        <f t="shared" si="3"/>
        <v>0.29836209170494754</v>
      </c>
      <c r="M26" s="307">
        <f t="shared" si="4"/>
        <v>101080</v>
      </c>
      <c r="N26" s="230">
        <f t="shared" si="5"/>
        <v>0.50306827852901803</v>
      </c>
      <c r="O26" s="307">
        <v>9965</v>
      </c>
      <c r="P26" s="230">
        <f t="shared" si="6"/>
        <v>4.95951265882634E-2</v>
      </c>
      <c r="Q26" s="307">
        <v>0</v>
      </c>
      <c r="R26" s="230">
        <f t="shared" si="7"/>
        <v>0</v>
      </c>
      <c r="S26" s="307">
        <f t="shared" si="8"/>
        <v>9965</v>
      </c>
      <c r="T26" s="230">
        <f t="shared" si="9"/>
        <v>4.95951265882634E-2</v>
      </c>
      <c r="U26" s="307">
        <v>2814</v>
      </c>
      <c r="V26" s="230">
        <f t="shared" si="10"/>
        <v>1.4005086424422801E-2</v>
      </c>
      <c r="W26" s="307">
        <v>9600</v>
      </c>
      <c r="X26" s="230">
        <f t="shared" si="11"/>
        <v>4.7778546437263286E-2</v>
      </c>
      <c r="Y26" s="307">
        <v>6693</v>
      </c>
      <c r="Z26" s="230">
        <f t="shared" si="12"/>
        <v>3.3310605344229499E-2</v>
      </c>
      <c r="AA26" s="307">
        <v>11505</v>
      </c>
      <c r="AB26" s="230">
        <f t="shared" si="13"/>
        <v>5.7259601745907718E-2</v>
      </c>
      <c r="AC26" s="307">
        <f t="shared" si="14"/>
        <v>18198</v>
      </c>
      <c r="AD26" s="230">
        <f t="shared" si="15"/>
        <v>9.0570207090137217E-2</v>
      </c>
      <c r="AE26" s="307">
        <v>26774</v>
      </c>
      <c r="AF26" s="230">
        <f t="shared" si="16"/>
        <v>0.13325237524075909</v>
      </c>
      <c r="AG26" s="307">
        <v>0</v>
      </c>
      <c r="AH26" s="230">
        <f t="shared" si="17"/>
        <v>0</v>
      </c>
      <c r="AI26" s="307">
        <v>27356</v>
      </c>
      <c r="AJ26" s="230">
        <f t="shared" si="18"/>
        <v>0.13614894961851817</v>
      </c>
      <c r="AK26" s="307">
        <v>5140</v>
      </c>
      <c r="AL26" s="230">
        <f t="shared" si="19"/>
        <v>2.5581430071618051E-2</v>
      </c>
    </row>
    <row r="27" spans="2:38" s="73" customFormat="1" ht="14.25" customHeight="1">
      <c r="B27" s="586"/>
      <c r="C27" s="572"/>
      <c r="D27" s="170">
        <f t="shared" si="20"/>
        <v>46250</v>
      </c>
      <c r="E27" s="170" t="s">
        <v>117</v>
      </c>
      <c r="F27" s="320">
        <f t="shared" si="0"/>
        <v>196867</v>
      </c>
      <c r="G27" s="583"/>
      <c r="H27" s="581"/>
      <c r="I27" s="307">
        <v>40733</v>
      </c>
      <c r="J27" s="230">
        <f t="shared" si="2"/>
        <v>0.20690618539420014</v>
      </c>
      <c r="K27" s="307">
        <v>59338</v>
      </c>
      <c r="L27" s="230">
        <f t="shared" si="3"/>
        <v>0.30141161291633439</v>
      </c>
      <c r="M27" s="307">
        <f t="shared" si="4"/>
        <v>100071</v>
      </c>
      <c r="N27" s="230">
        <f t="shared" si="5"/>
        <v>0.50831779831053447</v>
      </c>
      <c r="O27" s="307">
        <v>9735</v>
      </c>
      <c r="P27" s="230">
        <f t="shared" si="6"/>
        <v>4.94496284293457E-2</v>
      </c>
      <c r="Q27" s="307">
        <v>0</v>
      </c>
      <c r="R27" s="230">
        <f t="shared" si="7"/>
        <v>0</v>
      </c>
      <c r="S27" s="307">
        <f t="shared" si="8"/>
        <v>9735</v>
      </c>
      <c r="T27" s="230">
        <f t="shared" si="9"/>
        <v>4.94496284293457E-2</v>
      </c>
      <c r="U27" s="307">
        <v>2451</v>
      </c>
      <c r="V27" s="230">
        <f t="shared" si="10"/>
        <v>1.2450029715493201E-2</v>
      </c>
      <c r="W27" s="307">
        <v>10812</v>
      </c>
      <c r="X27" s="230">
        <f t="shared" si="11"/>
        <v>5.4920326921220924E-2</v>
      </c>
      <c r="Y27" s="307">
        <v>7140</v>
      </c>
      <c r="Z27" s="230">
        <f t="shared" si="12"/>
        <v>3.6268140419674195E-2</v>
      </c>
      <c r="AA27" s="307">
        <v>10569</v>
      </c>
      <c r="AB27" s="230">
        <f t="shared" si="13"/>
        <v>5.3685991049795038E-2</v>
      </c>
      <c r="AC27" s="307">
        <f t="shared" si="14"/>
        <v>17709</v>
      </c>
      <c r="AD27" s="230">
        <f t="shared" si="15"/>
        <v>8.9954131469469234E-2</v>
      </c>
      <c r="AE27" s="307">
        <v>25236</v>
      </c>
      <c r="AF27" s="230">
        <f t="shared" si="16"/>
        <v>0.12818806605474761</v>
      </c>
      <c r="AG27" s="307">
        <v>0</v>
      </c>
      <c r="AH27" s="230">
        <f t="shared" si="17"/>
        <v>0</v>
      </c>
      <c r="AI27" s="307">
        <v>25324</v>
      </c>
      <c r="AJ27" s="230">
        <f t="shared" si="18"/>
        <v>0.12863506834563437</v>
      </c>
      <c r="AK27" s="307">
        <v>5529</v>
      </c>
      <c r="AL27" s="230">
        <f t="shared" si="19"/>
        <v>2.8084950753554432E-2</v>
      </c>
    </row>
    <row r="28" spans="2:38" s="73" customFormat="1" ht="14.25" customHeight="1">
      <c r="B28" s="585">
        <f>B21+7</f>
        <v>46260</v>
      </c>
      <c r="C28" s="572"/>
      <c r="D28" s="170">
        <f t="shared" si="20"/>
        <v>46251</v>
      </c>
      <c r="E28" s="170" t="s">
        <v>118</v>
      </c>
      <c r="F28" s="320">
        <f t="shared" si="0"/>
        <v>201857</v>
      </c>
      <c r="G28" s="583">
        <f t="shared" ref="G28" si="23">SUM(F28:F34)</f>
        <v>1252535</v>
      </c>
      <c r="H28" s="581"/>
      <c r="I28" s="307">
        <v>40589</v>
      </c>
      <c r="J28" s="230">
        <f t="shared" si="2"/>
        <v>0.20107799085491215</v>
      </c>
      <c r="K28" s="307">
        <v>58859</v>
      </c>
      <c r="L28" s="230">
        <f t="shared" si="3"/>
        <v>0.291587609049971</v>
      </c>
      <c r="M28" s="307">
        <f t="shared" si="4"/>
        <v>99448</v>
      </c>
      <c r="N28" s="230">
        <f t="shared" si="5"/>
        <v>0.49266559990488318</v>
      </c>
      <c r="O28" s="307">
        <v>9695</v>
      </c>
      <c r="P28" s="230">
        <f t="shared" si="6"/>
        <v>4.802905026825921E-2</v>
      </c>
      <c r="Q28" s="307">
        <v>0</v>
      </c>
      <c r="R28" s="230">
        <f t="shared" si="7"/>
        <v>0</v>
      </c>
      <c r="S28" s="307">
        <f t="shared" si="8"/>
        <v>9695</v>
      </c>
      <c r="T28" s="230">
        <f t="shared" si="9"/>
        <v>4.802905026825921E-2</v>
      </c>
      <c r="U28" s="307">
        <v>2573</v>
      </c>
      <c r="V28" s="230">
        <f t="shared" si="10"/>
        <v>1.2746647379085194E-2</v>
      </c>
      <c r="W28" s="307">
        <v>9314</v>
      </c>
      <c r="X28" s="230">
        <f t="shared" si="11"/>
        <v>4.6141575471744849E-2</v>
      </c>
      <c r="Y28" s="307">
        <v>6033</v>
      </c>
      <c r="Z28" s="230">
        <f t="shared" si="12"/>
        <v>2.9887494612522728E-2</v>
      </c>
      <c r="AA28" s="307">
        <v>10280</v>
      </c>
      <c r="AB28" s="230">
        <f t="shared" si="13"/>
        <v>5.0927141491253707E-2</v>
      </c>
      <c r="AC28" s="307">
        <f t="shared" si="14"/>
        <v>16313</v>
      </c>
      <c r="AD28" s="230">
        <f t="shared" si="15"/>
        <v>8.0814636103776441E-2</v>
      </c>
      <c r="AE28" s="307">
        <v>34409</v>
      </c>
      <c r="AF28" s="230">
        <f t="shared" si="16"/>
        <v>0.17046225793507286</v>
      </c>
      <c r="AG28" s="307">
        <v>0</v>
      </c>
      <c r="AH28" s="230">
        <f t="shared" si="17"/>
        <v>0</v>
      </c>
      <c r="AI28" s="307">
        <v>25169</v>
      </c>
      <c r="AJ28" s="230">
        <f t="shared" si="18"/>
        <v>0.12468727861803158</v>
      </c>
      <c r="AK28" s="307">
        <v>4936</v>
      </c>
      <c r="AL28" s="230">
        <f t="shared" si="19"/>
        <v>2.4452954319146722E-2</v>
      </c>
    </row>
    <row r="29" spans="2:38" s="73" customFormat="1" ht="14.25" customHeight="1">
      <c r="B29" s="586"/>
      <c r="C29" s="572"/>
      <c r="D29" s="170">
        <f t="shared" si="20"/>
        <v>46252</v>
      </c>
      <c r="E29" s="170" t="s">
        <v>112</v>
      </c>
      <c r="F29" s="320">
        <f t="shared" si="0"/>
        <v>188974</v>
      </c>
      <c r="G29" s="583"/>
      <c r="H29" s="581"/>
      <c r="I29" s="307">
        <v>39602</v>
      </c>
      <c r="J29" s="230">
        <f t="shared" si="2"/>
        <v>0.20956322033718924</v>
      </c>
      <c r="K29" s="307">
        <v>55530</v>
      </c>
      <c r="L29" s="230">
        <f t="shared" si="3"/>
        <v>0.2938499476118408</v>
      </c>
      <c r="M29" s="307">
        <f t="shared" si="4"/>
        <v>95132</v>
      </c>
      <c r="N29" s="230">
        <f t="shared" si="5"/>
        <v>0.50341316794903002</v>
      </c>
      <c r="O29" s="307">
        <v>9651</v>
      </c>
      <c r="P29" s="230">
        <f t="shared" si="6"/>
        <v>5.1070517637346935E-2</v>
      </c>
      <c r="Q29" s="307">
        <v>0</v>
      </c>
      <c r="R29" s="230">
        <f t="shared" si="7"/>
        <v>0</v>
      </c>
      <c r="S29" s="307">
        <f t="shared" si="8"/>
        <v>9651</v>
      </c>
      <c r="T29" s="230">
        <f t="shared" si="9"/>
        <v>5.1070517637346935E-2</v>
      </c>
      <c r="U29" s="307">
        <v>2189</v>
      </c>
      <c r="V29" s="230">
        <f t="shared" si="10"/>
        <v>1.1583604093684845E-2</v>
      </c>
      <c r="W29" s="307">
        <v>9446</v>
      </c>
      <c r="X29" s="230">
        <f t="shared" si="11"/>
        <v>4.9985712320213364E-2</v>
      </c>
      <c r="Y29" s="307">
        <v>5508</v>
      </c>
      <c r="Z29" s="230">
        <f t="shared" si="12"/>
        <v>2.9146866764740122E-2</v>
      </c>
      <c r="AA29" s="307">
        <v>9874</v>
      </c>
      <c r="AB29" s="230">
        <f t="shared" si="13"/>
        <v>5.2250574153058095E-2</v>
      </c>
      <c r="AC29" s="307">
        <f t="shared" si="14"/>
        <v>15382</v>
      </c>
      <c r="AD29" s="230">
        <f t="shared" si="15"/>
        <v>8.1397440917798214E-2</v>
      </c>
      <c r="AE29" s="307">
        <v>27741</v>
      </c>
      <c r="AF29" s="230">
        <f t="shared" si="16"/>
        <v>0.14679797220781696</v>
      </c>
      <c r="AG29" s="307">
        <v>0</v>
      </c>
      <c r="AH29" s="230">
        <f t="shared" si="17"/>
        <v>0</v>
      </c>
      <c r="AI29" s="307">
        <v>24363</v>
      </c>
      <c r="AJ29" s="230">
        <f t="shared" si="18"/>
        <v>0.12892249727475738</v>
      </c>
      <c r="AK29" s="307">
        <v>5070</v>
      </c>
      <c r="AL29" s="230">
        <f t="shared" si="19"/>
        <v>2.6829087599352291E-2</v>
      </c>
    </row>
    <row r="30" spans="2:38" s="73" customFormat="1" ht="14.25" customHeight="1">
      <c r="B30" s="586"/>
      <c r="C30" s="572"/>
      <c r="D30" s="170">
        <f t="shared" si="20"/>
        <v>46253</v>
      </c>
      <c r="E30" s="170" t="s">
        <v>113</v>
      </c>
      <c r="F30" s="320">
        <f t="shared" si="0"/>
        <v>175085</v>
      </c>
      <c r="G30" s="583"/>
      <c r="H30" s="581"/>
      <c r="I30" s="307">
        <v>38087</v>
      </c>
      <c r="J30" s="230">
        <f t="shared" si="2"/>
        <v>0.21753434046320358</v>
      </c>
      <c r="K30" s="307">
        <v>49134</v>
      </c>
      <c r="L30" s="230">
        <f t="shared" si="3"/>
        <v>0.28062940857297886</v>
      </c>
      <c r="M30" s="307">
        <f t="shared" si="4"/>
        <v>87221</v>
      </c>
      <c r="N30" s="230">
        <f t="shared" si="5"/>
        <v>0.49816374903618243</v>
      </c>
      <c r="O30" s="307">
        <v>9255</v>
      </c>
      <c r="P30" s="230">
        <f t="shared" si="6"/>
        <v>5.2860039409429703E-2</v>
      </c>
      <c r="Q30" s="307">
        <v>0</v>
      </c>
      <c r="R30" s="230">
        <f t="shared" si="7"/>
        <v>0</v>
      </c>
      <c r="S30" s="307">
        <f t="shared" si="8"/>
        <v>9255</v>
      </c>
      <c r="T30" s="230">
        <f t="shared" si="9"/>
        <v>5.2860039409429703E-2</v>
      </c>
      <c r="U30" s="307">
        <v>2266</v>
      </c>
      <c r="V30" s="230">
        <f t="shared" si="10"/>
        <v>1.2942285175771768E-2</v>
      </c>
      <c r="W30" s="307">
        <v>9330</v>
      </c>
      <c r="X30" s="230">
        <f t="shared" si="11"/>
        <v>5.3288402775794615E-2</v>
      </c>
      <c r="Y30" s="307">
        <v>5363</v>
      </c>
      <c r="Z30" s="230">
        <f t="shared" si="12"/>
        <v>3.0630836450866721E-2</v>
      </c>
      <c r="AA30" s="307">
        <v>7696</v>
      </c>
      <c r="AB30" s="230">
        <f t="shared" si="13"/>
        <v>4.3955792900591144E-2</v>
      </c>
      <c r="AC30" s="307">
        <f t="shared" si="14"/>
        <v>13059</v>
      </c>
      <c r="AD30" s="230">
        <f t="shared" si="15"/>
        <v>7.4586629351457864E-2</v>
      </c>
      <c r="AE30" s="307">
        <v>26039</v>
      </c>
      <c r="AF30" s="230">
        <f t="shared" si="16"/>
        <v>0.14872204929034469</v>
      </c>
      <c r="AG30" s="307">
        <v>0</v>
      </c>
      <c r="AH30" s="230">
        <f t="shared" si="17"/>
        <v>0</v>
      </c>
      <c r="AI30" s="307">
        <v>22966</v>
      </c>
      <c r="AJ30" s="230">
        <f t="shared" si="18"/>
        <v>0.13117057429248652</v>
      </c>
      <c r="AK30" s="307">
        <v>4949</v>
      </c>
      <c r="AL30" s="230">
        <f t="shared" si="19"/>
        <v>2.8266270668532427E-2</v>
      </c>
    </row>
    <row r="31" spans="2:38" s="73" customFormat="1" ht="14.25" customHeight="1">
      <c r="B31" s="586"/>
      <c r="C31" s="572"/>
      <c r="D31" s="170">
        <f t="shared" si="20"/>
        <v>46254</v>
      </c>
      <c r="E31" s="170" t="s">
        <v>114</v>
      </c>
      <c r="F31" s="320">
        <f t="shared" si="0"/>
        <v>140181</v>
      </c>
      <c r="G31" s="583"/>
      <c r="H31" s="581"/>
      <c r="I31" s="307">
        <v>28545</v>
      </c>
      <c r="J31" s="230">
        <f t="shared" si="2"/>
        <v>0.20362959316883172</v>
      </c>
      <c r="K31" s="307">
        <v>44096</v>
      </c>
      <c r="L31" s="230">
        <f t="shared" si="3"/>
        <v>0.31456474129874945</v>
      </c>
      <c r="M31" s="307">
        <f t="shared" si="4"/>
        <v>72641</v>
      </c>
      <c r="N31" s="230">
        <f t="shared" si="5"/>
        <v>0.51819433446758123</v>
      </c>
      <c r="O31" s="307">
        <v>7178</v>
      </c>
      <c r="P31" s="230">
        <f t="shared" si="6"/>
        <v>5.1205227527268318E-2</v>
      </c>
      <c r="Q31" s="307">
        <v>0</v>
      </c>
      <c r="R31" s="230">
        <f t="shared" si="7"/>
        <v>0</v>
      </c>
      <c r="S31" s="307">
        <f t="shared" si="8"/>
        <v>7178</v>
      </c>
      <c r="T31" s="230">
        <f t="shared" si="9"/>
        <v>5.1205227527268318E-2</v>
      </c>
      <c r="U31" s="307">
        <v>1381</v>
      </c>
      <c r="V31" s="230">
        <f t="shared" si="10"/>
        <v>9.8515490687040332E-3</v>
      </c>
      <c r="W31" s="307">
        <v>6918</v>
      </c>
      <c r="X31" s="230">
        <f t="shared" si="11"/>
        <v>4.9350482590365313E-2</v>
      </c>
      <c r="Y31" s="307">
        <v>4240</v>
      </c>
      <c r="Z31" s="230">
        <f t="shared" si="12"/>
        <v>3.0246609740264371E-2</v>
      </c>
      <c r="AA31" s="307">
        <v>7536</v>
      </c>
      <c r="AB31" s="230">
        <f t="shared" si="13"/>
        <v>5.3759068632696298E-2</v>
      </c>
      <c r="AC31" s="307">
        <f t="shared" si="14"/>
        <v>11776</v>
      </c>
      <c r="AD31" s="230">
        <f t="shared" si="15"/>
        <v>8.4005678372960677E-2</v>
      </c>
      <c r="AE31" s="307">
        <v>16258</v>
      </c>
      <c r="AF31" s="230">
        <f t="shared" si="16"/>
        <v>0.11597862763141938</v>
      </c>
      <c r="AG31" s="307">
        <v>0</v>
      </c>
      <c r="AH31" s="230">
        <f t="shared" si="17"/>
        <v>0</v>
      </c>
      <c r="AI31" s="307">
        <v>19643</v>
      </c>
      <c r="AJ31" s="230">
        <f t="shared" si="18"/>
        <v>0.14012597998302195</v>
      </c>
      <c r="AK31" s="307">
        <v>4386</v>
      </c>
      <c r="AL31" s="230">
        <f t="shared" si="19"/>
        <v>3.1288120358679138E-2</v>
      </c>
    </row>
    <row r="32" spans="2:38" s="73" customFormat="1" ht="14.25" customHeight="1">
      <c r="B32" s="586"/>
      <c r="C32" s="572"/>
      <c r="D32" s="170">
        <f t="shared" si="20"/>
        <v>46255</v>
      </c>
      <c r="E32" s="170" t="s">
        <v>115</v>
      </c>
      <c r="F32" s="320">
        <f t="shared" si="0"/>
        <v>150801</v>
      </c>
      <c r="G32" s="583"/>
      <c r="H32" s="581"/>
      <c r="I32" s="307">
        <v>27187</v>
      </c>
      <c r="J32" s="230">
        <f t="shared" si="2"/>
        <v>0.18028395037168188</v>
      </c>
      <c r="K32" s="307">
        <v>50671</v>
      </c>
      <c r="L32" s="230">
        <f t="shared" si="3"/>
        <v>0.33601236066073831</v>
      </c>
      <c r="M32" s="307">
        <f t="shared" si="4"/>
        <v>77858</v>
      </c>
      <c r="N32" s="230">
        <f t="shared" si="5"/>
        <v>0.51629631103242024</v>
      </c>
      <c r="O32" s="307">
        <v>6654</v>
      </c>
      <c r="P32" s="230">
        <f t="shared" si="6"/>
        <v>4.4124375833051503E-2</v>
      </c>
      <c r="Q32" s="307">
        <v>0</v>
      </c>
      <c r="R32" s="230">
        <f t="shared" si="7"/>
        <v>0</v>
      </c>
      <c r="S32" s="307">
        <f t="shared" si="8"/>
        <v>6654</v>
      </c>
      <c r="T32" s="230">
        <f t="shared" si="9"/>
        <v>4.4124375833051503E-2</v>
      </c>
      <c r="U32" s="307">
        <v>1650</v>
      </c>
      <c r="V32" s="230">
        <f t="shared" si="10"/>
        <v>1.0941572005490679E-2</v>
      </c>
      <c r="W32" s="307">
        <v>6934</v>
      </c>
      <c r="X32" s="230">
        <f t="shared" si="11"/>
        <v>4.5981127446104469E-2</v>
      </c>
      <c r="Y32" s="307">
        <v>4764</v>
      </c>
      <c r="Z32" s="230">
        <f t="shared" si="12"/>
        <v>3.1591302444944E-2</v>
      </c>
      <c r="AA32" s="307">
        <v>9902</v>
      </c>
      <c r="AB32" s="230">
        <f t="shared" si="13"/>
        <v>6.5662694544465883E-2</v>
      </c>
      <c r="AC32" s="307">
        <f t="shared" si="14"/>
        <v>14666</v>
      </c>
      <c r="AD32" s="230">
        <f t="shared" si="15"/>
        <v>9.7253996989409883E-2</v>
      </c>
      <c r="AE32" s="307">
        <v>19219</v>
      </c>
      <c r="AF32" s="230">
        <f t="shared" si="16"/>
        <v>0.12744610446880325</v>
      </c>
      <c r="AG32" s="307">
        <v>0</v>
      </c>
      <c r="AH32" s="230">
        <f t="shared" si="17"/>
        <v>0</v>
      </c>
      <c r="AI32" s="307">
        <v>19425</v>
      </c>
      <c r="AJ32" s="230">
        <f t="shared" si="18"/>
        <v>0.12881214315554937</v>
      </c>
      <c r="AK32" s="307">
        <v>4395</v>
      </c>
      <c r="AL32" s="230">
        <f t="shared" si="19"/>
        <v>2.9144369069170627E-2</v>
      </c>
    </row>
    <row r="33" spans="2:38" s="73" customFormat="1" ht="14.25" customHeight="1">
      <c r="B33" s="586"/>
      <c r="C33" s="572"/>
      <c r="D33" s="170">
        <f t="shared" si="20"/>
        <v>46256</v>
      </c>
      <c r="E33" s="170" t="s">
        <v>116</v>
      </c>
      <c r="F33" s="320">
        <f t="shared" si="0"/>
        <v>197801</v>
      </c>
      <c r="G33" s="583"/>
      <c r="H33" s="581"/>
      <c r="I33" s="307">
        <v>40594</v>
      </c>
      <c r="J33" s="230">
        <f t="shared" si="2"/>
        <v>0.2052264649824824</v>
      </c>
      <c r="K33" s="307">
        <v>57151</v>
      </c>
      <c r="L33" s="230">
        <f t="shared" si="3"/>
        <v>0.2889318051981537</v>
      </c>
      <c r="M33" s="307">
        <f t="shared" si="4"/>
        <v>97745</v>
      </c>
      <c r="N33" s="230">
        <f t="shared" si="5"/>
        <v>0.49415827018063607</v>
      </c>
      <c r="O33" s="307">
        <v>9494</v>
      </c>
      <c r="P33" s="230">
        <f t="shared" si="6"/>
        <v>4.7997735097395869E-2</v>
      </c>
      <c r="Q33" s="307">
        <v>0</v>
      </c>
      <c r="R33" s="230">
        <f t="shared" si="7"/>
        <v>0</v>
      </c>
      <c r="S33" s="307">
        <f t="shared" si="8"/>
        <v>9494</v>
      </c>
      <c r="T33" s="230">
        <f t="shared" si="9"/>
        <v>4.7997735097395869E-2</v>
      </c>
      <c r="U33" s="307">
        <v>2266</v>
      </c>
      <c r="V33" s="230">
        <f t="shared" si="10"/>
        <v>1.1455958261080581E-2</v>
      </c>
      <c r="W33" s="307">
        <v>9327</v>
      </c>
      <c r="X33" s="230">
        <f t="shared" si="11"/>
        <v>4.7153452207016146E-2</v>
      </c>
      <c r="Y33" s="307">
        <v>6236</v>
      </c>
      <c r="Z33" s="230">
        <f t="shared" si="12"/>
        <v>3.152663535573632E-2</v>
      </c>
      <c r="AA33" s="307">
        <v>11757</v>
      </c>
      <c r="AB33" s="230">
        <f t="shared" si="13"/>
        <v>5.943852659996663E-2</v>
      </c>
      <c r="AC33" s="307">
        <f t="shared" si="14"/>
        <v>17993</v>
      </c>
      <c r="AD33" s="230">
        <f t="shared" si="15"/>
        <v>9.096516195570295E-2</v>
      </c>
      <c r="AE33" s="307">
        <v>31333</v>
      </c>
      <c r="AF33" s="230">
        <f t="shared" si="16"/>
        <v>0.15840668146268219</v>
      </c>
      <c r="AG33" s="307">
        <v>0</v>
      </c>
      <c r="AH33" s="230">
        <f t="shared" si="17"/>
        <v>0</v>
      </c>
      <c r="AI33" s="307">
        <v>24646</v>
      </c>
      <c r="AJ33" s="230">
        <f t="shared" si="18"/>
        <v>0.12459997674430362</v>
      </c>
      <c r="AK33" s="307">
        <v>4997</v>
      </c>
      <c r="AL33" s="230">
        <f t="shared" si="19"/>
        <v>2.5262764091182551E-2</v>
      </c>
    </row>
    <row r="34" spans="2:38" s="73" customFormat="1" ht="14.25" customHeight="1">
      <c r="B34" s="586"/>
      <c r="C34" s="572"/>
      <c r="D34" s="170">
        <f t="shared" si="20"/>
        <v>46257</v>
      </c>
      <c r="E34" s="170" t="s">
        <v>117</v>
      </c>
      <c r="F34" s="320">
        <f t="shared" si="0"/>
        <v>197836</v>
      </c>
      <c r="G34" s="583"/>
      <c r="H34" s="581"/>
      <c r="I34" s="307">
        <v>39125</v>
      </c>
      <c r="J34" s="230">
        <f t="shared" si="2"/>
        <v>0.19776481530156292</v>
      </c>
      <c r="K34" s="307">
        <v>61590</v>
      </c>
      <c r="L34" s="230">
        <f t="shared" si="3"/>
        <v>0.31131846579995553</v>
      </c>
      <c r="M34" s="307">
        <f t="shared" si="4"/>
        <v>100715</v>
      </c>
      <c r="N34" s="230">
        <f t="shared" si="5"/>
        <v>0.50908328110151846</v>
      </c>
      <c r="O34" s="307">
        <v>9288</v>
      </c>
      <c r="P34" s="230">
        <f t="shared" si="6"/>
        <v>4.6947977112355689E-2</v>
      </c>
      <c r="Q34" s="307">
        <v>0</v>
      </c>
      <c r="R34" s="230">
        <f t="shared" si="7"/>
        <v>0</v>
      </c>
      <c r="S34" s="307">
        <f t="shared" si="8"/>
        <v>9288</v>
      </c>
      <c r="T34" s="230">
        <f t="shared" si="9"/>
        <v>4.6947977112355689E-2</v>
      </c>
      <c r="U34" s="307">
        <v>2390</v>
      </c>
      <c r="V34" s="230">
        <f t="shared" si="10"/>
        <v>1.2080713318101862E-2</v>
      </c>
      <c r="W34" s="307">
        <v>10153</v>
      </c>
      <c r="X34" s="230">
        <f t="shared" si="11"/>
        <v>5.1320285488990883E-2</v>
      </c>
      <c r="Y34" s="307">
        <v>6871</v>
      </c>
      <c r="Z34" s="230">
        <f t="shared" si="12"/>
        <v>3.473078711660163E-2</v>
      </c>
      <c r="AA34" s="307">
        <v>10579</v>
      </c>
      <c r="AB34" s="230">
        <f t="shared" si="13"/>
        <v>5.3473584180836656E-2</v>
      </c>
      <c r="AC34" s="307">
        <f t="shared" si="14"/>
        <v>17450</v>
      </c>
      <c r="AD34" s="230">
        <f t="shared" si="15"/>
        <v>8.8204371297438286E-2</v>
      </c>
      <c r="AE34" s="307">
        <v>26558</v>
      </c>
      <c r="AF34" s="230">
        <f t="shared" si="16"/>
        <v>0.13424250389211265</v>
      </c>
      <c r="AG34" s="307">
        <v>0</v>
      </c>
      <c r="AH34" s="230">
        <f t="shared" si="17"/>
        <v>0</v>
      </c>
      <c r="AI34" s="307">
        <v>25915</v>
      </c>
      <c r="AJ34" s="230">
        <f t="shared" si="18"/>
        <v>0.13099233708728442</v>
      </c>
      <c r="AK34" s="307">
        <v>5367</v>
      </c>
      <c r="AL34" s="230">
        <f t="shared" si="19"/>
        <v>2.712853070219778E-2</v>
      </c>
    </row>
    <row r="35" spans="2:38" s="73" customFormat="1" ht="14.25" customHeight="1">
      <c r="B35" s="585">
        <f>B28+7</f>
        <v>46267</v>
      </c>
      <c r="C35" s="572"/>
      <c r="D35" s="170">
        <f t="shared" si="20"/>
        <v>46258</v>
      </c>
      <c r="E35" s="170" t="s">
        <v>118</v>
      </c>
      <c r="F35" s="320">
        <f t="shared" si="0"/>
        <v>208377</v>
      </c>
      <c r="G35" s="583">
        <f t="shared" ref="G35" si="24">SUM(F35:F41)</f>
        <v>1138303</v>
      </c>
      <c r="H35" s="581"/>
      <c r="I35" s="307">
        <v>43403</v>
      </c>
      <c r="J35" s="230">
        <f t="shared" si="2"/>
        <v>0.20829074226042221</v>
      </c>
      <c r="K35" s="307">
        <v>58790</v>
      </c>
      <c r="L35" s="230">
        <f t="shared" si="3"/>
        <v>0.28213286495150619</v>
      </c>
      <c r="M35" s="307">
        <f t="shared" si="4"/>
        <v>102193</v>
      </c>
      <c r="N35" s="230">
        <f t="shared" si="5"/>
        <v>0.4904236072119284</v>
      </c>
      <c r="O35" s="307">
        <v>9171</v>
      </c>
      <c r="P35" s="230">
        <f t="shared" si="6"/>
        <v>4.4011575173843562E-2</v>
      </c>
      <c r="Q35" s="307">
        <v>0</v>
      </c>
      <c r="R35" s="230">
        <f t="shared" si="7"/>
        <v>0</v>
      </c>
      <c r="S35" s="307">
        <f t="shared" si="8"/>
        <v>9171</v>
      </c>
      <c r="T35" s="230">
        <f t="shared" si="9"/>
        <v>4.4011575173843562E-2</v>
      </c>
      <c r="U35" s="307">
        <v>2406</v>
      </c>
      <c r="V35" s="230">
        <f t="shared" si="10"/>
        <v>1.1546379878777407E-2</v>
      </c>
      <c r="W35" s="307">
        <v>24984</v>
      </c>
      <c r="X35" s="230">
        <f t="shared" si="11"/>
        <v>0.11989806936466117</v>
      </c>
      <c r="Y35" s="307">
        <v>5966</v>
      </c>
      <c r="Z35" s="230">
        <f t="shared" si="12"/>
        <v>2.8630798984532843E-2</v>
      </c>
      <c r="AA35" s="307">
        <v>10608</v>
      </c>
      <c r="AB35" s="230">
        <f t="shared" si="13"/>
        <v>5.090772973984653E-2</v>
      </c>
      <c r="AC35" s="307">
        <f t="shared" si="14"/>
        <v>16574</v>
      </c>
      <c r="AD35" s="230">
        <f t="shared" si="15"/>
        <v>7.9538528724379373E-2</v>
      </c>
      <c r="AE35" s="307">
        <v>24802</v>
      </c>
      <c r="AF35" s="230">
        <f t="shared" si="16"/>
        <v>0.11902465243285007</v>
      </c>
      <c r="AG35" s="307">
        <v>0</v>
      </c>
      <c r="AH35" s="230">
        <f t="shared" si="17"/>
        <v>0</v>
      </c>
      <c r="AI35" s="307">
        <v>23096</v>
      </c>
      <c r="AJ35" s="230">
        <f t="shared" si="18"/>
        <v>0.11083756844565379</v>
      </c>
      <c r="AK35" s="307">
        <v>5151</v>
      </c>
      <c r="AL35" s="230">
        <f t="shared" si="19"/>
        <v>2.4719618767906248E-2</v>
      </c>
    </row>
    <row r="36" spans="2:38" s="73" customFormat="1" ht="14.25" customHeight="1">
      <c r="B36" s="586"/>
      <c r="C36" s="572"/>
      <c r="D36" s="170">
        <f t="shared" si="20"/>
        <v>46259</v>
      </c>
      <c r="E36" s="170" t="s">
        <v>112</v>
      </c>
      <c r="F36" s="320">
        <f t="shared" si="0"/>
        <v>184347</v>
      </c>
      <c r="G36" s="583"/>
      <c r="H36" s="581"/>
      <c r="I36" s="307">
        <v>39355</v>
      </c>
      <c r="J36" s="230">
        <f t="shared" si="2"/>
        <v>0.21348326796747438</v>
      </c>
      <c r="K36" s="307">
        <v>53973</v>
      </c>
      <c r="L36" s="230">
        <f t="shared" si="3"/>
        <v>0.29277937802079773</v>
      </c>
      <c r="M36" s="307">
        <f t="shared" si="4"/>
        <v>93328</v>
      </c>
      <c r="N36" s="230">
        <f t="shared" si="5"/>
        <v>0.50626264598827209</v>
      </c>
      <c r="O36" s="307">
        <v>8871</v>
      </c>
      <c r="P36" s="230">
        <f t="shared" si="6"/>
        <v>4.8121206203518362E-2</v>
      </c>
      <c r="Q36" s="307">
        <v>0</v>
      </c>
      <c r="R36" s="230">
        <f t="shared" si="7"/>
        <v>0</v>
      </c>
      <c r="S36" s="307">
        <f t="shared" si="8"/>
        <v>8871</v>
      </c>
      <c r="T36" s="230">
        <f t="shared" si="9"/>
        <v>4.8121206203518362E-2</v>
      </c>
      <c r="U36" s="307">
        <v>2203</v>
      </c>
      <c r="V36" s="230">
        <f t="shared" si="10"/>
        <v>1.1950289399881745E-2</v>
      </c>
      <c r="W36" s="307">
        <v>17556</v>
      </c>
      <c r="X36" s="230">
        <f t="shared" si="11"/>
        <v>9.5233445621572363E-2</v>
      </c>
      <c r="Y36" s="307">
        <v>5577</v>
      </c>
      <c r="Z36" s="230">
        <f t="shared" si="12"/>
        <v>3.0252729906100995E-2</v>
      </c>
      <c r="AA36" s="307">
        <v>10293</v>
      </c>
      <c r="AB36" s="230">
        <f t="shared" si="13"/>
        <v>5.5834920014971763E-2</v>
      </c>
      <c r="AC36" s="307">
        <f t="shared" si="14"/>
        <v>15870</v>
      </c>
      <c r="AD36" s="230">
        <f t="shared" si="15"/>
        <v>8.6087649921072762E-2</v>
      </c>
      <c r="AE36" s="307">
        <v>23941</v>
      </c>
      <c r="AF36" s="230">
        <f t="shared" si="16"/>
        <v>0.12986921403657234</v>
      </c>
      <c r="AG36" s="307">
        <v>0</v>
      </c>
      <c r="AH36" s="230">
        <f t="shared" si="17"/>
        <v>0</v>
      </c>
      <c r="AI36" s="307">
        <v>17362</v>
      </c>
      <c r="AJ36" s="230">
        <f t="shared" si="18"/>
        <v>9.418108241522781E-2</v>
      </c>
      <c r="AK36" s="307">
        <v>5216</v>
      </c>
      <c r="AL36" s="230">
        <f t="shared" si="19"/>
        <v>2.8294466413882516E-2</v>
      </c>
    </row>
    <row r="37" spans="2:38" s="73" customFormat="1" ht="14.25" customHeight="1">
      <c r="B37" s="586"/>
      <c r="C37" s="572"/>
      <c r="D37" s="170">
        <f t="shared" si="20"/>
        <v>46260</v>
      </c>
      <c r="E37" s="170" t="s">
        <v>113</v>
      </c>
      <c r="F37" s="320">
        <f t="shared" si="0"/>
        <v>144091</v>
      </c>
      <c r="G37" s="583"/>
      <c r="H37" s="581"/>
      <c r="I37" s="307">
        <v>26589</v>
      </c>
      <c r="J37" s="230">
        <f t="shared" si="2"/>
        <v>0.18452922111721065</v>
      </c>
      <c r="K37" s="307">
        <v>33980</v>
      </c>
      <c r="L37" s="230">
        <f t="shared" si="3"/>
        <v>0.23582319506423025</v>
      </c>
      <c r="M37" s="307">
        <f t="shared" si="4"/>
        <v>60569</v>
      </c>
      <c r="N37" s="230">
        <f t="shared" si="5"/>
        <v>0.42035241618144087</v>
      </c>
      <c r="O37" s="307">
        <v>6196</v>
      </c>
      <c r="P37" s="230">
        <f t="shared" si="6"/>
        <v>4.3000603785108019E-2</v>
      </c>
      <c r="Q37" s="307">
        <v>0</v>
      </c>
      <c r="R37" s="230">
        <f t="shared" si="7"/>
        <v>0</v>
      </c>
      <c r="S37" s="307">
        <f t="shared" si="8"/>
        <v>6196</v>
      </c>
      <c r="T37" s="230">
        <f t="shared" si="9"/>
        <v>4.3000603785108019E-2</v>
      </c>
      <c r="U37" s="307">
        <v>2196</v>
      </c>
      <c r="V37" s="230">
        <f t="shared" si="10"/>
        <v>1.5240368933521178E-2</v>
      </c>
      <c r="W37" s="307">
        <v>15793</v>
      </c>
      <c r="X37" s="230">
        <f t="shared" si="11"/>
        <v>0.10960434725277776</v>
      </c>
      <c r="Y37" s="307">
        <v>6233</v>
      </c>
      <c r="Z37" s="230">
        <f t="shared" si="12"/>
        <v>4.3257385957485198E-2</v>
      </c>
      <c r="AA37" s="307">
        <v>7910</v>
      </c>
      <c r="AB37" s="230">
        <f t="shared" si="13"/>
        <v>5.4895864419012987E-2</v>
      </c>
      <c r="AC37" s="307">
        <f t="shared" si="14"/>
        <v>14143</v>
      </c>
      <c r="AD37" s="230">
        <f t="shared" si="15"/>
        <v>9.8153250376498191E-2</v>
      </c>
      <c r="AE37" s="307">
        <v>21531</v>
      </c>
      <c r="AF37" s="230">
        <f t="shared" si="16"/>
        <v>0.14942640414737909</v>
      </c>
      <c r="AG37" s="307">
        <v>0</v>
      </c>
      <c r="AH37" s="230">
        <f t="shared" si="17"/>
        <v>0</v>
      </c>
      <c r="AI37" s="307">
        <v>18496</v>
      </c>
      <c r="AJ37" s="230">
        <f t="shared" si="18"/>
        <v>0.12836332595373756</v>
      </c>
      <c r="AK37" s="307">
        <v>5167</v>
      </c>
      <c r="AL37" s="230">
        <f t="shared" si="19"/>
        <v>3.5859283369537309E-2</v>
      </c>
    </row>
    <row r="38" spans="2:38" s="73" customFormat="1" ht="14.25" customHeight="1">
      <c r="B38" s="586"/>
      <c r="C38" s="572"/>
      <c r="D38" s="170">
        <f t="shared" si="20"/>
        <v>46261</v>
      </c>
      <c r="E38" s="170" t="s">
        <v>114</v>
      </c>
      <c r="F38" s="320">
        <f t="shared" si="0"/>
        <v>119527</v>
      </c>
      <c r="G38" s="583"/>
      <c r="H38" s="581"/>
      <c r="I38" s="307">
        <v>20170</v>
      </c>
      <c r="J38" s="230">
        <f t="shared" si="2"/>
        <v>0.1687484836062145</v>
      </c>
      <c r="K38" s="307">
        <v>30829</v>
      </c>
      <c r="L38" s="230">
        <f t="shared" si="3"/>
        <v>0.25792498765969196</v>
      </c>
      <c r="M38" s="307">
        <f t="shared" si="4"/>
        <v>50999</v>
      </c>
      <c r="N38" s="230">
        <f t="shared" si="5"/>
        <v>0.42667347126590643</v>
      </c>
      <c r="O38" s="307">
        <v>4705</v>
      </c>
      <c r="P38" s="230">
        <f t="shared" si="6"/>
        <v>3.9363491094062432E-2</v>
      </c>
      <c r="Q38" s="307">
        <v>0</v>
      </c>
      <c r="R38" s="230">
        <f t="shared" si="7"/>
        <v>0</v>
      </c>
      <c r="S38" s="307">
        <f t="shared" si="8"/>
        <v>4705</v>
      </c>
      <c r="T38" s="230">
        <f t="shared" si="9"/>
        <v>3.9363491094062432E-2</v>
      </c>
      <c r="U38" s="307">
        <v>1516</v>
      </c>
      <c r="V38" s="230">
        <f t="shared" si="10"/>
        <v>1.2683326779723409E-2</v>
      </c>
      <c r="W38" s="307">
        <v>10924</v>
      </c>
      <c r="X38" s="230">
        <f t="shared" si="11"/>
        <v>9.1393576346766842E-2</v>
      </c>
      <c r="Y38" s="307">
        <v>4310</v>
      </c>
      <c r="Z38" s="230">
        <f t="shared" si="12"/>
        <v>3.6058798430480141E-2</v>
      </c>
      <c r="AA38" s="307">
        <v>7581</v>
      </c>
      <c r="AB38" s="230">
        <f t="shared" si="13"/>
        <v>6.342500020915777E-2</v>
      </c>
      <c r="AC38" s="307">
        <f t="shared" si="14"/>
        <v>11891</v>
      </c>
      <c r="AD38" s="230">
        <f t="shared" si="15"/>
        <v>9.948379863963791E-2</v>
      </c>
      <c r="AE38" s="307">
        <v>16610</v>
      </c>
      <c r="AF38" s="230">
        <f t="shared" si="16"/>
        <v>0.13896441808127033</v>
      </c>
      <c r="AG38" s="307">
        <v>0</v>
      </c>
      <c r="AH38" s="230">
        <f t="shared" si="17"/>
        <v>0</v>
      </c>
      <c r="AI38" s="307">
        <v>18462</v>
      </c>
      <c r="AJ38" s="230">
        <f t="shared" si="18"/>
        <v>0.15445882520267387</v>
      </c>
      <c r="AK38" s="307">
        <v>4420</v>
      </c>
      <c r="AL38" s="230">
        <f t="shared" si="19"/>
        <v>3.6979092589958754E-2</v>
      </c>
    </row>
    <row r="39" spans="2:38" s="73" customFormat="1" ht="14.25" customHeight="1">
      <c r="B39" s="586"/>
      <c r="C39" s="572"/>
      <c r="D39" s="170">
        <f t="shared" si="20"/>
        <v>46262</v>
      </c>
      <c r="E39" s="170" t="s">
        <v>115</v>
      </c>
      <c r="F39" s="320">
        <f t="shared" si="0"/>
        <v>130180</v>
      </c>
      <c r="G39" s="583"/>
      <c r="H39" s="581"/>
      <c r="I39" s="307">
        <v>19908</v>
      </c>
      <c r="J39" s="230">
        <f t="shared" si="2"/>
        <v>0.15292671685358733</v>
      </c>
      <c r="K39" s="307">
        <v>35814</v>
      </c>
      <c r="L39" s="230">
        <f t="shared" si="3"/>
        <v>0.27511138423721004</v>
      </c>
      <c r="M39" s="307">
        <f t="shared" si="4"/>
        <v>55722</v>
      </c>
      <c r="N39" s="230">
        <f t="shared" si="5"/>
        <v>0.42803810109079737</v>
      </c>
      <c r="O39" s="307">
        <v>4580</v>
      </c>
      <c r="P39" s="230">
        <f t="shared" si="6"/>
        <v>3.518205561530189E-2</v>
      </c>
      <c r="Q39" s="307">
        <v>0</v>
      </c>
      <c r="R39" s="230">
        <f t="shared" si="7"/>
        <v>0</v>
      </c>
      <c r="S39" s="307">
        <f t="shared" si="8"/>
        <v>4580</v>
      </c>
      <c r="T39" s="230">
        <f t="shared" si="9"/>
        <v>3.518205561530189E-2</v>
      </c>
      <c r="U39" s="307">
        <v>1568</v>
      </c>
      <c r="V39" s="230">
        <f t="shared" si="10"/>
        <v>1.2044860961745276E-2</v>
      </c>
      <c r="W39" s="307">
        <v>11982</v>
      </c>
      <c r="X39" s="230">
        <f t="shared" si="11"/>
        <v>9.2041788293132587E-2</v>
      </c>
      <c r="Y39" s="307">
        <v>4750</v>
      </c>
      <c r="Z39" s="230">
        <f t="shared" si="12"/>
        <v>3.6487939775695193E-2</v>
      </c>
      <c r="AA39" s="307">
        <v>9721</v>
      </c>
      <c r="AB39" s="230">
        <f t="shared" si="13"/>
        <v>7.4673528959901675E-2</v>
      </c>
      <c r="AC39" s="307">
        <f t="shared" si="14"/>
        <v>14471</v>
      </c>
      <c r="AD39" s="230">
        <f t="shared" si="15"/>
        <v>0.11116146873559686</v>
      </c>
      <c r="AE39" s="307">
        <v>17709</v>
      </c>
      <c r="AF39" s="230">
        <f t="shared" si="16"/>
        <v>0.13603472115532339</v>
      </c>
      <c r="AG39" s="307">
        <v>0</v>
      </c>
      <c r="AH39" s="230">
        <f t="shared" si="17"/>
        <v>0</v>
      </c>
      <c r="AI39" s="307">
        <v>19948</v>
      </c>
      <c r="AJ39" s="230">
        <f t="shared" si="18"/>
        <v>0.15323398371485636</v>
      </c>
      <c r="AK39" s="307">
        <v>4200</v>
      </c>
      <c r="AL39" s="230">
        <f t="shared" si="19"/>
        <v>3.2263020433246276E-2</v>
      </c>
    </row>
    <row r="40" spans="2:38" s="73" customFormat="1" ht="14.25" customHeight="1">
      <c r="B40" s="586"/>
      <c r="C40" s="572"/>
      <c r="D40" s="170">
        <f t="shared" si="20"/>
        <v>46263</v>
      </c>
      <c r="E40" s="170" t="s">
        <v>116</v>
      </c>
      <c r="F40" s="320">
        <f t="shared" si="0"/>
        <v>174500</v>
      </c>
      <c r="G40" s="583"/>
      <c r="H40" s="581"/>
      <c r="I40" s="307">
        <v>30578</v>
      </c>
      <c r="J40" s="230">
        <f t="shared" si="2"/>
        <v>0.17523209169054441</v>
      </c>
      <c r="K40" s="307">
        <v>40407</v>
      </c>
      <c r="L40" s="230">
        <f t="shared" si="3"/>
        <v>0.23155873925501433</v>
      </c>
      <c r="M40" s="307">
        <f t="shared" si="4"/>
        <v>70985</v>
      </c>
      <c r="N40" s="230">
        <f t="shared" si="5"/>
        <v>0.40679083094555873</v>
      </c>
      <c r="O40" s="307">
        <v>6640</v>
      </c>
      <c r="P40" s="230">
        <f t="shared" si="6"/>
        <v>3.8051575931232089E-2</v>
      </c>
      <c r="Q40" s="307">
        <v>0</v>
      </c>
      <c r="R40" s="230">
        <f t="shared" si="7"/>
        <v>0</v>
      </c>
      <c r="S40" s="307">
        <f t="shared" si="8"/>
        <v>6640</v>
      </c>
      <c r="T40" s="230">
        <f t="shared" si="9"/>
        <v>3.8051575931232089E-2</v>
      </c>
      <c r="U40" s="307">
        <v>2591</v>
      </c>
      <c r="V40" s="230">
        <f t="shared" si="10"/>
        <v>1.4848137535816619E-2</v>
      </c>
      <c r="W40" s="307">
        <v>18437</v>
      </c>
      <c r="X40" s="230">
        <f t="shared" si="11"/>
        <v>0.10565616045845272</v>
      </c>
      <c r="Y40" s="307">
        <v>6918</v>
      </c>
      <c r="Z40" s="230">
        <f t="shared" si="12"/>
        <v>3.9644699140401148E-2</v>
      </c>
      <c r="AA40" s="307">
        <v>11370</v>
      </c>
      <c r="AB40" s="230">
        <f t="shared" si="13"/>
        <v>6.5157593123209165E-2</v>
      </c>
      <c r="AC40" s="307">
        <f t="shared" si="14"/>
        <v>18288</v>
      </c>
      <c r="AD40" s="230">
        <f t="shared" si="15"/>
        <v>0.10480229226361032</v>
      </c>
      <c r="AE40" s="307">
        <v>28012</v>
      </c>
      <c r="AF40" s="230">
        <f t="shared" si="16"/>
        <v>0.1605272206303725</v>
      </c>
      <c r="AG40" s="307">
        <v>0</v>
      </c>
      <c r="AH40" s="230">
        <f t="shared" si="17"/>
        <v>0</v>
      </c>
      <c r="AI40" s="307">
        <v>24824</v>
      </c>
      <c r="AJ40" s="230">
        <f t="shared" si="18"/>
        <v>0.14225787965616046</v>
      </c>
      <c r="AK40" s="307">
        <v>4723</v>
      </c>
      <c r="AL40" s="230">
        <f t="shared" si="19"/>
        <v>2.7065902578796562E-2</v>
      </c>
    </row>
    <row r="41" spans="2:38" s="73" customFormat="1" ht="14.25" customHeight="1">
      <c r="B41" s="586"/>
      <c r="C41" s="573"/>
      <c r="D41" s="170">
        <f t="shared" si="20"/>
        <v>46264</v>
      </c>
      <c r="E41" s="170" t="s">
        <v>117</v>
      </c>
      <c r="F41" s="320">
        <f t="shared" si="0"/>
        <v>177281</v>
      </c>
      <c r="G41" s="583"/>
      <c r="H41" s="582"/>
      <c r="I41" s="307">
        <v>29852</v>
      </c>
      <c r="J41" s="230">
        <f t="shared" si="2"/>
        <v>0.16838803932739549</v>
      </c>
      <c r="K41" s="307">
        <v>49129</v>
      </c>
      <c r="L41" s="230">
        <f t="shared" si="3"/>
        <v>0.27712501621719193</v>
      </c>
      <c r="M41" s="307">
        <f t="shared" si="4"/>
        <v>78981</v>
      </c>
      <c r="N41" s="230">
        <f t="shared" si="5"/>
        <v>0.44551305554458742</v>
      </c>
      <c r="O41" s="307">
        <v>6555</v>
      </c>
      <c r="P41" s="230">
        <f t="shared" si="6"/>
        <v>3.6975197567703254E-2</v>
      </c>
      <c r="Q41" s="307">
        <v>0</v>
      </c>
      <c r="R41" s="230">
        <f t="shared" si="7"/>
        <v>0</v>
      </c>
      <c r="S41" s="307">
        <f t="shared" si="8"/>
        <v>6555</v>
      </c>
      <c r="T41" s="230">
        <f t="shared" si="9"/>
        <v>3.6975197567703254E-2</v>
      </c>
      <c r="U41" s="307">
        <v>2262</v>
      </c>
      <c r="V41" s="230">
        <f t="shared" si="10"/>
        <v>1.2759404561120482E-2</v>
      </c>
      <c r="W41" s="307">
        <v>16087</v>
      </c>
      <c r="X41" s="230">
        <f t="shared" si="11"/>
        <v>9.0742944816421381E-2</v>
      </c>
      <c r="Y41" s="307">
        <v>6847</v>
      </c>
      <c r="Z41" s="230">
        <f t="shared" si="12"/>
        <v>3.8622300190093696E-2</v>
      </c>
      <c r="AA41" s="307">
        <v>11084</v>
      </c>
      <c r="AB41" s="230">
        <f t="shared" si="13"/>
        <v>6.2522210501971445E-2</v>
      </c>
      <c r="AC41" s="307">
        <f t="shared" si="14"/>
        <v>17931</v>
      </c>
      <c r="AD41" s="230">
        <f t="shared" si="15"/>
        <v>0.10114451069206513</v>
      </c>
      <c r="AE41" s="307">
        <v>27464</v>
      </c>
      <c r="AF41" s="230">
        <f t="shared" si="16"/>
        <v>0.15491789870318873</v>
      </c>
      <c r="AG41" s="307">
        <v>0</v>
      </c>
      <c r="AH41" s="230">
        <f t="shared" si="17"/>
        <v>0</v>
      </c>
      <c r="AI41" s="307">
        <v>23045</v>
      </c>
      <c r="AJ41" s="230">
        <f t="shared" si="18"/>
        <v>0.12999136963351968</v>
      </c>
      <c r="AK41" s="307">
        <v>4956</v>
      </c>
      <c r="AL41" s="230">
        <f t="shared" si="19"/>
        <v>2.7955618481393944E-2</v>
      </c>
    </row>
  </sheetData>
  <mergeCells count="47"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B35:B41"/>
    <mergeCell ref="G35:G41"/>
    <mergeCell ref="C11:C41"/>
    <mergeCell ref="G5:G6"/>
    <mergeCell ref="B3:B6"/>
    <mergeCell ref="C3:C6"/>
    <mergeCell ref="D3:E6"/>
    <mergeCell ref="O5:P5"/>
    <mergeCell ref="AI5:AJ5"/>
    <mergeCell ref="K5:L5"/>
    <mergeCell ref="S5:T5"/>
    <mergeCell ref="H5:H6"/>
    <mergeCell ref="AA5:AB5"/>
    <mergeCell ref="I5:J5"/>
    <mergeCell ref="M5:N5"/>
    <mergeCell ref="AK4:AL4"/>
    <mergeCell ref="O4:T4"/>
    <mergeCell ref="F3:H4"/>
    <mergeCell ref="I4:N4"/>
    <mergeCell ref="Y4:AD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211"/>
  <sheetViews>
    <sheetView zoomScale="85" zoomScaleNormal="85" workbookViewId="0">
      <pane xSplit="13" ySplit="1" topLeftCell="N176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L175" sqref="L175:L21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4">
      <c r="A1" s="74"/>
      <c r="B1" s="449" t="s">
        <v>641</v>
      </c>
      <c r="C1" s="174">
        <f>AVERAGE(L49,L91,L133,L175)</f>
        <v>782.5286838234781</v>
      </c>
    </row>
    <row r="2" spans="1:50" ht="14.25" customHeight="1">
      <c r="B2" s="601" t="s">
        <v>623</v>
      </c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606" t="s">
        <v>341</v>
      </c>
      <c r="O2" s="606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5"/>
      <c r="N3" s="607"/>
      <c r="O3" s="607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60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600"/>
      <c r="O5" s="590"/>
      <c r="P5" s="590" t="s">
        <v>344</v>
      </c>
      <c r="Q5" s="590"/>
      <c r="R5" s="590"/>
      <c r="S5" s="590"/>
      <c r="T5" s="590"/>
      <c r="U5" s="590" t="s">
        <v>344</v>
      </c>
      <c r="V5" s="590"/>
      <c r="W5" s="590"/>
      <c r="X5" s="590"/>
      <c r="Y5" s="590"/>
      <c r="Z5" s="590" t="s">
        <v>344</v>
      </c>
      <c r="AA5" s="590"/>
      <c r="AB5" s="590"/>
      <c r="AC5" s="590"/>
      <c r="AD5" s="590"/>
      <c r="AE5" s="590" t="s">
        <v>344</v>
      </c>
      <c r="AF5" s="590"/>
      <c r="AG5" s="590"/>
      <c r="AH5" s="590"/>
      <c r="AI5" s="590"/>
      <c r="AJ5" s="590" t="s">
        <v>344</v>
      </c>
      <c r="AK5" s="590"/>
      <c r="AL5" s="590"/>
      <c r="AM5" s="590"/>
      <c r="AN5" s="590"/>
      <c r="AO5" s="590" t="s">
        <v>344</v>
      </c>
      <c r="AP5" s="590"/>
      <c r="AQ5" s="590"/>
      <c r="AR5" s="590"/>
      <c r="AS5" s="590"/>
      <c r="AT5" s="590" t="s">
        <v>344</v>
      </c>
      <c r="AU5" s="590"/>
      <c r="AV5" s="590"/>
      <c r="AW5" s="590"/>
      <c r="AX5" s="590"/>
    </row>
    <row r="6" spans="1:50" ht="14.25" customHeight="1">
      <c r="A6" s="176"/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600"/>
      <c r="O6" s="590"/>
      <c r="P6" s="181" t="s">
        <v>159</v>
      </c>
      <c r="Q6" s="181" t="s">
        <v>345</v>
      </c>
      <c r="R6" s="181" t="s">
        <v>161</v>
      </c>
      <c r="S6" s="181" t="s">
        <v>165</v>
      </c>
      <c r="T6" s="590"/>
      <c r="U6" s="181" t="s">
        <v>159</v>
      </c>
      <c r="V6" s="181" t="s">
        <v>345</v>
      </c>
      <c r="W6" s="181" t="s">
        <v>161</v>
      </c>
      <c r="X6" s="181" t="s">
        <v>165</v>
      </c>
      <c r="Y6" s="590"/>
      <c r="Z6" s="181" t="s">
        <v>159</v>
      </c>
      <c r="AA6" s="181" t="s">
        <v>345</v>
      </c>
      <c r="AB6" s="181" t="s">
        <v>161</v>
      </c>
      <c r="AC6" s="181" t="s">
        <v>165</v>
      </c>
      <c r="AD6" s="590"/>
      <c r="AE6" s="181" t="s">
        <v>159</v>
      </c>
      <c r="AF6" s="181" t="s">
        <v>345</v>
      </c>
      <c r="AG6" s="181" t="s">
        <v>161</v>
      </c>
      <c r="AH6" s="181" t="s">
        <v>165</v>
      </c>
      <c r="AI6" s="590"/>
      <c r="AJ6" s="181" t="s">
        <v>159</v>
      </c>
      <c r="AK6" s="181" t="s">
        <v>345</v>
      </c>
      <c r="AL6" s="181" t="s">
        <v>161</v>
      </c>
      <c r="AM6" s="181" t="s">
        <v>165</v>
      </c>
      <c r="AN6" s="590"/>
      <c r="AO6" s="181" t="s">
        <v>159</v>
      </c>
      <c r="AP6" s="181" t="s">
        <v>345</v>
      </c>
      <c r="AQ6" s="181" t="s">
        <v>161</v>
      </c>
      <c r="AR6" s="181" t="s">
        <v>165</v>
      </c>
      <c r="AS6" s="590"/>
      <c r="AT6" s="181" t="s">
        <v>159</v>
      </c>
      <c r="AU6" s="181" t="s">
        <v>345</v>
      </c>
      <c r="AV6" s="181" t="s">
        <v>161</v>
      </c>
      <c r="AW6" s="181" t="s">
        <v>165</v>
      </c>
      <c r="AX6" s="590"/>
    </row>
    <row r="7" spans="1:50" ht="14.25" customHeight="1">
      <c r="B7" s="586" t="s">
        <v>346</v>
      </c>
      <c r="C7" s="179">
        <v>1</v>
      </c>
      <c r="D7" s="182" t="s">
        <v>371</v>
      </c>
      <c r="E7" s="183">
        <v>4</v>
      </c>
      <c r="F7" s="179">
        <v>3300</v>
      </c>
      <c r="G7" s="184">
        <f>IFERROR(F7/E7,"")</f>
        <v>825</v>
      </c>
      <c r="H7" s="588">
        <f>AVERAGE(G7:G43)</f>
        <v>865.57142857142856</v>
      </c>
      <c r="I7" s="185">
        <f>AVERAGE(P7,U7,Z7,AE7,AJ7,AO7,AT7)</f>
        <v>4</v>
      </c>
      <c r="J7" s="185">
        <f>AVERAGE(Q7,V7,AA7,AF7,AK7,AP7,AU7)</f>
        <v>3004.0978309442535</v>
      </c>
      <c r="K7" s="186">
        <f>AVERAGE(R7,W7,AB7,AG7,AL7,AQ7,AV7)</f>
        <v>751.02445773606337</v>
      </c>
      <c r="L7" s="589">
        <f>IFERROR(AVERAGE(K7:K43),"-")</f>
        <v>777.98601036720368</v>
      </c>
      <c r="M7" s="185">
        <f>RANK(K7, K$7:$K$43)</f>
        <v>17</v>
      </c>
      <c r="N7" s="600"/>
      <c r="O7" s="590"/>
      <c r="P7" s="187">
        <v>4</v>
      </c>
      <c r="Q7" s="187">
        <v>2996.4786933476325</v>
      </c>
      <c r="R7" s="184">
        <f>IFERROR(Q7/P7,"")</f>
        <v>749.11967333690814</v>
      </c>
      <c r="S7" s="181">
        <f>RANK(R7, R$7:R$43)</f>
        <v>17</v>
      </c>
      <c r="T7" s="587">
        <f>AVERAGE(R7:R43)</f>
        <v>776.99977110784801</v>
      </c>
      <c r="U7" s="187">
        <v>4</v>
      </c>
      <c r="V7" s="187">
        <v>3003.2226331240963</v>
      </c>
      <c r="W7" s="184">
        <f t="shared" ref="W7:W41" si="0">IFERROR(V7/U7,"")</f>
        <v>750.80565828102408</v>
      </c>
      <c r="X7" s="181">
        <f>RANK(W7, W$7:W$43)</f>
        <v>16</v>
      </c>
      <c r="Y7" s="587">
        <f>AVERAGE(W7:W43)</f>
        <v>777.55571519430828</v>
      </c>
      <c r="Z7" s="187">
        <v>4</v>
      </c>
      <c r="AA7" s="187">
        <v>3003.8826331240966</v>
      </c>
      <c r="AB7" s="184">
        <f>IFERROR(AA7/Z7,"")</f>
        <v>750.97065828102416</v>
      </c>
      <c r="AC7" s="181">
        <f>RANK(AB7, AB$7:AB$43)</f>
        <v>17</v>
      </c>
      <c r="AD7" s="587">
        <f>AVERAGE(AB7:AB43)</f>
        <v>777.82493189396871</v>
      </c>
      <c r="AE7" s="187">
        <v>4</v>
      </c>
      <c r="AF7" s="187">
        <v>3005.2026331240963</v>
      </c>
      <c r="AG7" s="184">
        <f>IFERROR(AF7/AE7,"")</f>
        <v>751.30065828102408</v>
      </c>
      <c r="AH7" s="181">
        <f>RANK(AG7, AG$7:AG$43)</f>
        <v>17</v>
      </c>
      <c r="AI7" s="587">
        <f>AVERAGE(AG7:AG43)</f>
        <v>778.00507769310116</v>
      </c>
      <c r="AJ7" s="187">
        <v>4</v>
      </c>
      <c r="AK7" s="187">
        <v>3005.2026331240959</v>
      </c>
      <c r="AL7" s="184">
        <f>IFERROR(AK7/AJ7,"")</f>
        <v>751.30065828102397</v>
      </c>
      <c r="AM7" s="181">
        <f>RANK(AL7, AL$7:AL$43)</f>
        <v>17</v>
      </c>
      <c r="AN7" s="587">
        <f>AVERAGE(AL7:AL43)</f>
        <v>778.19057166560435</v>
      </c>
      <c r="AO7" s="187">
        <v>4</v>
      </c>
      <c r="AP7" s="187">
        <v>3006.1926331240957</v>
      </c>
      <c r="AQ7" s="184">
        <f>IFERROR(AP7/AO7,"")</f>
        <v>751.54815828102392</v>
      </c>
      <c r="AR7" s="181">
        <f>RANK(AQ7, AQ$7:AQ$43)</f>
        <v>17</v>
      </c>
      <c r="AS7" s="587">
        <f>AVERAGE(AQ7:AQ43)</f>
        <v>778.42546490772497</v>
      </c>
      <c r="AT7" s="187">
        <v>4</v>
      </c>
      <c r="AU7" s="187">
        <v>3008.5029576416591</v>
      </c>
      <c r="AV7" s="184">
        <f>IFERROR(AU7/AT7,"")</f>
        <v>752.12573941041478</v>
      </c>
      <c r="AW7" s="181">
        <f>RANK(AV7, AV$7:AV$43)</f>
        <v>17</v>
      </c>
      <c r="AX7" s="587">
        <f>AVERAGE(AV7:AV43)</f>
        <v>778.90054010787128</v>
      </c>
    </row>
    <row r="8" spans="1:50" ht="14.25" customHeight="1">
      <c r="B8" s="586"/>
      <c r="C8" s="179">
        <v>2</v>
      </c>
      <c r="D8" s="182" t="s">
        <v>369</v>
      </c>
      <c r="E8" s="183">
        <v>3</v>
      </c>
      <c r="F8" s="179">
        <v>3600</v>
      </c>
      <c r="G8" s="184">
        <f t="shared" ref="G8:G41" si="1">IFERROR(F8/E8,"")</f>
        <v>1200</v>
      </c>
      <c r="H8" s="588"/>
      <c r="I8" s="185">
        <f t="shared" ref="I8:K37" si="2">AVERAGE(P8,U8,Z8,AE8,AJ8,AO8,AT8)</f>
        <v>3</v>
      </c>
      <c r="J8" s="185">
        <f t="shared" si="2"/>
        <v>3207.6595226048348</v>
      </c>
      <c r="K8" s="186">
        <f t="shared" si="2"/>
        <v>1069.2198408682784</v>
      </c>
      <c r="L8" s="589"/>
      <c r="M8" s="185">
        <f>RANK(K8, K$7:$K$43)</f>
        <v>6</v>
      </c>
      <c r="N8" s="600"/>
      <c r="O8" s="590"/>
      <c r="P8" s="187">
        <v>3</v>
      </c>
      <c r="Q8" s="187">
        <v>3204.6252368905498</v>
      </c>
      <c r="R8" s="184">
        <f t="shared" ref="R8:R41" si="3">IFERROR(Q8/P8,"")</f>
        <v>1068.2084122968499</v>
      </c>
      <c r="S8" s="181">
        <f t="shared" ref="S8:S41" si="4">RANK(R8, R$7:R$43)</f>
        <v>7</v>
      </c>
      <c r="T8" s="587"/>
      <c r="U8" s="187">
        <v>3</v>
      </c>
      <c r="V8" s="187">
        <v>3205.34523689055</v>
      </c>
      <c r="W8" s="184">
        <f t="shared" si="0"/>
        <v>1068.4484122968499</v>
      </c>
      <c r="X8" s="181">
        <f t="shared" ref="X8:X41" si="5">RANK(W8, W$7:W$43)</f>
        <v>7</v>
      </c>
      <c r="Y8" s="587"/>
      <c r="Z8" s="187">
        <v>3</v>
      </c>
      <c r="AA8" s="187">
        <v>3207.1452368905493</v>
      </c>
      <c r="AB8" s="184">
        <f t="shared" ref="AB8:AB41" si="6">IFERROR(AA8/Z8,"")</f>
        <v>1069.0484122968498</v>
      </c>
      <c r="AC8" s="181">
        <f t="shared" ref="AC8:AC41" si="7">RANK(AB8, AB$7:AB$43)</f>
        <v>6</v>
      </c>
      <c r="AD8" s="587"/>
      <c r="AE8" s="187">
        <v>3</v>
      </c>
      <c r="AF8" s="187">
        <v>3207.1452368905493</v>
      </c>
      <c r="AG8" s="184">
        <f t="shared" ref="AG8:AG41" si="8">IFERROR(AF8/AE8,"")</f>
        <v>1069.0484122968498</v>
      </c>
      <c r="AH8" s="181">
        <f t="shared" ref="AH8:AH41" si="9">RANK(AG8, AG$7:AG$43)</f>
        <v>6</v>
      </c>
      <c r="AI8" s="587"/>
      <c r="AJ8" s="187">
        <v>3</v>
      </c>
      <c r="AK8" s="187">
        <v>3208.5852368905489</v>
      </c>
      <c r="AL8" s="184">
        <f t="shared" ref="AL8:AL41" si="10">IFERROR(AK8/AJ8,"")</f>
        <v>1069.5284122968496</v>
      </c>
      <c r="AM8" s="181">
        <f t="shared" ref="AM8:AM41" si="11">RANK(AL8, AL$7:AL$43)</f>
        <v>5</v>
      </c>
      <c r="AN8" s="587"/>
      <c r="AO8" s="187">
        <v>3</v>
      </c>
      <c r="AP8" s="187">
        <v>3210.025236890549</v>
      </c>
      <c r="AQ8" s="184">
        <f t="shared" ref="AQ8:AQ41" si="12">IFERROR(AP8/AO8,"")</f>
        <v>1070.0084122968497</v>
      </c>
      <c r="AR8" s="181">
        <f t="shared" ref="AR8:AR41" si="13">RANK(AQ8, AQ$7:AQ$43)</f>
        <v>5</v>
      </c>
      <c r="AS8" s="587"/>
      <c r="AT8" s="187">
        <v>3</v>
      </c>
      <c r="AU8" s="187">
        <v>3210.7452368905497</v>
      </c>
      <c r="AV8" s="184">
        <f t="shared" ref="AV8:AV41" si="14">IFERROR(AU8/AT8,"")</f>
        <v>1070.2484122968499</v>
      </c>
      <c r="AW8" s="181">
        <f t="shared" ref="AW8:AW41" si="15">RANK(AV8, AV$7:AV$43)</f>
        <v>7</v>
      </c>
      <c r="AX8" s="587"/>
    </row>
    <row r="9" spans="1:50" ht="14.25" customHeight="1">
      <c r="B9" s="586"/>
      <c r="C9" s="179">
        <v>3</v>
      </c>
      <c r="D9" s="182" t="s">
        <v>370</v>
      </c>
      <c r="E9" s="183">
        <v>5</v>
      </c>
      <c r="F9" s="179">
        <v>3600</v>
      </c>
      <c r="G9" s="184">
        <f t="shared" si="1"/>
        <v>720</v>
      </c>
      <c r="H9" s="588"/>
      <c r="I9" s="185">
        <f t="shared" si="2"/>
        <v>5</v>
      </c>
      <c r="J9" s="185">
        <f t="shared" si="2"/>
        <v>3207.7299062226934</v>
      </c>
      <c r="K9" s="186">
        <f t="shared" si="2"/>
        <v>641.54598124453878</v>
      </c>
      <c r="L9" s="589"/>
      <c r="M9" s="185">
        <f>RANK(K9, K$7:$K$43)</f>
        <v>28</v>
      </c>
      <c r="N9" s="600"/>
      <c r="O9" s="590"/>
      <c r="P9" s="187">
        <v>5</v>
      </c>
      <c r="Q9" s="187">
        <v>3205.5758276693327</v>
      </c>
      <c r="R9" s="184">
        <f t="shared" si="3"/>
        <v>641.1151655338665</v>
      </c>
      <c r="S9" s="181">
        <f t="shared" si="4"/>
        <v>24</v>
      </c>
      <c r="T9" s="587"/>
      <c r="U9" s="187">
        <v>5</v>
      </c>
      <c r="V9" s="187">
        <v>3206.6558276693327</v>
      </c>
      <c r="W9" s="184">
        <f t="shared" si="0"/>
        <v>641.33116553386651</v>
      </c>
      <c r="X9" s="181">
        <f t="shared" si="5"/>
        <v>26</v>
      </c>
      <c r="Y9" s="587"/>
      <c r="Z9" s="187">
        <v>5</v>
      </c>
      <c r="AA9" s="187">
        <v>3206.6558276693327</v>
      </c>
      <c r="AB9" s="184">
        <f t="shared" si="6"/>
        <v>641.33116553386651</v>
      </c>
      <c r="AC9" s="181">
        <f t="shared" si="7"/>
        <v>28</v>
      </c>
      <c r="AD9" s="587"/>
      <c r="AE9" s="187">
        <v>5</v>
      </c>
      <c r="AF9" s="187">
        <v>3207.0158276693328</v>
      </c>
      <c r="AG9" s="184">
        <f t="shared" si="8"/>
        <v>641.40316553386651</v>
      </c>
      <c r="AH9" s="181">
        <f t="shared" si="9"/>
        <v>28</v>
      </c>
      <c r="AI9" s="587"/>
      <c r="AJ9" s="187">
        <v>5</v>
      </c>
      <c r="AK9" s="187">
        <v>3207.3758276693325</v>
      </c>
      <c r="AL9" s="184">
        <f t="shared" si="10"/>
        <v>641.47516553386652</v>
      </c>
      <c r="AM9" s="181">
        <f t="shared" si="11"/>
        <v>29</v>
      </c>
      <c r="AN9" s="587"/>
      <c r="AO9" s="187">
        <v>5</v>
      </c>
      <c r="AP9" s="187">
        <v>3208.4558276693324</v>
      </c>
      <c r="AQ9" s="184">
        <f t="shared" si="12"/>
        <v>641.69116553386652</v>
      </c>
      <c r="AR9" s="181">
        <f t="shared" si="13"/>
        <v>29</v>
      </c>
      <c r="AS9" s="587"/>
      <c r="AT9" s="187">
        <v>5</v>
      </c>
      <c r="AU9" s="187">
        <v>3212.3743775428579</v>
      </c>
      <c r="AV9" s="184">
        <f t="shared" si="14"/>
        <v>642.47487550857159</v>
      </c>
      <c r="AW9" s="181">
        <f t="shared" si="15"/>
        <v>27</v>
      </c>
      <c r="AX9" s="587"/>
    </row>
    <row r="10" spans="1:50" ht="14.25" customHeight="1">
      <c r="B10" s="586"/>
      <c r="C10" s="179">
        <v>4</v>
      </c>
      <c r="D10" s="182" t="s">
        <v>212</v>
      </c>
      <c r="E10" s="183">
        <v>5</v>
      </c>
      <c r="F10" s="179">
        <v>3300</v>
      </c>
      <c r="G10" s="184">
        <f t="shared" si="1"/>
        <v>660</v>
      </c>
      <c r="H10" s="588"/>
      <c r="I10" s="185">
        <f t="shared" si="2"/>
        <v>5</v>
      </c>
      <c r="J10" s="185">
        <f t="shared" si="2"/>
        <v>3007.0541810350014</v>
      </c>
      <c r="K10" s="186">
        <f t="shared" si="2"/>
        <v>601.41083620700022</v>
      </c>
      <c r="L10" s="589"/>
      <c r="M10" s="185">
        <f>RANK(K10, K$7:$K$43)</f>
        <v>31</v>
      </c>
      <c r="N10" s="600"/>
      <c r="O10" s="590"/>
      <c r="P10" s="187">
        <v>5</v>
      </c>
      <c r="Q10" s="187">
        <v>2999.4550675856426</v>
      </c>
      <c r="R10" s="184">
        <f t="shared" si="3"/>
        <v>599.8910135171285</v>
      </c>
      <c r="S10" s="181">
        <f t="shared" si="4"/>
        <v>31</v>
      </c>
      <c r="T10" s="587"/>
      <c r="U10" s="187">
        <v>5</v>
      </c>
      <c r="V10" s="187">
        <v>3006.8428785148703</v>
      </c>
      <c r="W10" s="184">
        <f t="shared" si="0"/>
        <v>601.36857570297411</v>
      </c>
      <c r="X10" s="181">
        <f t="shared" si="5"/>
        <v>31</v>
      </c>
      <c r="Y10" s="587"/>
      <c r="Z10" s="187">
        <v>5</v>
      </c>
      <c r="AA10" s="187">
        <v>3006.8428785148708</v>
      </c>
      <c r="AB10" s="184">
        <f t="shared" si="6"/>
        <v>601.36857570297411</v>
      </c>
      <c r="AC10" s="181">
        <f t="shared" si="7"/>
        <v>32</v>
      </c>
      <c r="AD10" s="587"/>
      <c r="AE10" s="187">
        <v>5</v>
      </c>
      <c r="AF10" s="187">
        <v>3007.1728785148703</v>
      </c>
      <c r="AG10" s="184">
        <f t="shared" si="8"/>
        <v>601.43457570297403</v>
      </c>
      <c r="AH10" s="181">
        <f t="shared" si="9"/>
        <v>31</v>
      </c>
      <c r="AI10" s="587"/>
      <c r="AJ10" s="187">
        <v>5</v>
      </c>
      <c r="AK10" s="187">
        <v>3007.8328785148701</v>
      </c>
      <c r="AL10" s="184">
        <f t="shared" si="10"/>
        <v>601.56657570297398</v>
      </c>
      <c r="AM10" s="181">
        <f t="shared" si="11"/>
        <v>31</v>
      </c>
      <c r="AN10" s="587"/>
      <c r="AO10" s="187">
        <v>5</v>
      </c>
      <c r="AP10" s="187">
        <v>3009.4828785148693</v>
      </c>
      <c r="AQ10" s="184">
        <f t="shared" si="12"/>
        <v>601.89657570297391</v>
      </c>
      <c r="AR10" s="181">
        <f t="shared" si="13"/>
        <v>31</v>
      </c>
      <c r="AS10" s="587"/>
      <c r="AT10" s="187">
        <v>5</v>
      </c>
      <c r="AU10" s="187">
        <v>3011.749807085017</v>
      </c>
      <c r="AV10" s="184">
        <f t="shared" si="14"/>
        <v>602.34996141700344</v>
      </c>
      <c r="AW10" s="181">
        <f t="shared" si="15"/>
        <v>31</v>
      </c>
      <c r="AX10" s="587"/>
    </row>
    <row r="11" spans="1:50" ht="14.25" customHeight="1">
      <c r="B11" s="586"/>
      <c r="C11" s="179">
        <v>5</v>
      </c>
      <c r="D11" s="182" t="s">
        <v>366</v>
      </c>
      <c r="E11" s="183">
        <v>3</v>
      </c>
      <c r="F11" s="179">
        <v>3600</v>
      </c>
      <c r="G11" s="184">
        <f t="shared" si="1"/>
        <v>1200</v>
      </c>
      <c r="H11" s="588"/>
      <c r="I11" s="185">
        <f t="shared" si="2"/>
        <v>3</v>
      </c>
      <c r="J11" s="185">
        <f t="shared" si="2"/>
        <v>3207.9623703926045</v>
      </c>
      <c r="K11" s="186">
        <f t="shared" si="2"/>
        <v>1069.3207901308681</v>
      </c>
      <c r="L11" s="589"/>
      <c r="M11" s="185">
        <f>RANK(K11, K$7:$K$43)</f>
        <v>5</v>
      </c>
      <c r="N11" s="600"/>
      <c r="O11" s="590"/>
      <c r="P11" s="187">
        <v>3</v>
      </c>
      <c r="Q11" s="187">
        <v>3205.6217186658937</v>
      </c>
      <c r="R11" s="184">
        <f t="shared" si="3"/>
        <v>1068.5405728886312</v>
      </c>
      <c r="S11" s="181">
        <f t="shared" si="4"/>
        <v>6</v>
      </c>
      <c r="T11" s="587"/>
      <c r="U11" s="187">
        <v>3</v>
      </c>
      <c r="V11" s="187">
        <v>3206.7017186658936</v>
      </c>
      <c r="W11" s="184">
        <f t="shared" si="0"/>
        <v>1068.9005728886311</v>
      </c>
      <c r="X11" s="181">
        <f t="shared" si="5"/>
        <v>5</v>
      </c>
      <c r="Y11" s="587"/>
      <c r="Z11" s="187">
        <v>3</v>
      </c>
      <c r="AA11" s="187">
        <v>3207.421718665893</v>
      </c>
      <c r="AB11" s="184">
        <f t="shared" si="6"/>
        <v>1069.1405728886309</v>
      </c>
      <c r="AC11" s="181">
        <f t="shared" si="7"/>
        <v>5</v>
      </c>
      <c r="AD11" s="587"/>
      <c r="AE11" s="187">
        <v>3</v>
      </c>
      <c r="AF11" s="187">
        <v>3208.1417186658928</v>
      </c>
      <c r="AG11" s="184">
        <f t="shared" si="8"/>
        <v>1069.3805728886309</v>
      </c>
      <c r="AH11" s="181">
        <f t="shared" si="9"/>
        <v>5</v>
      </c>
      <c r="AI11" s="587"/>
      <c r="AJ11" s="187">
        <v>3</v>
      </c>
      <c r="AK11" s="187">
        <v>3208.5017186658933</v>
      </c>
      <c r="AL11" s="184">
        <f t="shared" si="10"/>
        <v>1069.500572888631</v>
      </c>
      <c r="AM11" s="181">
        <f t="shared" si="11"/>
        <v>6</v>
      </c>
      <c r="AN11" s="587"/>
      <c r="AO11" s="187">
        <v>3</v>
      </c>
      <c r="AP11" s="187">
        <v>3208.5017186658933</v>
      </c>
      <c r="AQ11" s="184">
        <f t="shared" si="12"/>
        <v>1069.500572888631</v>
      </c>
      <c r="AR11" s="181">
        <f t="shared" si="13"/>
        <v>6</v>
      </c>
      <c r="AS11" s="587"/>
      <c r="AT11" s="187">
        <v>3</v>
      </c>
      <c r="AU11" s="187">
        <v>3210.8462807528699</v>
      </c>
      <c r="AV11" s="184">
        <f t="shared" si="14"/>
        <v>1070.2820935842899</v>
      </c>
      <c r="AW11" s="181">
        <f t="shared" si="15"/>
        <v>6</v>
      </c>
      <c r="AX11" s="587"/>
    </row>
    <row r="12" spans="1:50" ht="14.25" customHeight="1">
      <c r="B12" s="586"/>
      <c r="C12" s="179">
        <v>6</v>
      </c>
      <c r="D12" s="182" t="s">
        <v>318</v>
      </c>
      <c r="E12" s="183">
        <v>4</v>
      </c>
      <c r="F12" s="179">
        <v>3600</v>
      </c>
      <c r="G12" s="184">
        <f t="shared" si="1"/>
        <v>900</v>
      </c>
      <c r="H12" s="588"/>
      <c r="I12" s="185">
        <f t="shared" si="2"/>
        <v>4</v>
      </c>
      <c r="J12" s="185">
        <f t="shared" si="2"/>
        <v>3208.059613400289</v>
      </c>
      <c r="K12" s="186">
        <f t="shared" si="2"/>
        <v>802.01490335007225</v>
      </c>
      <c r="L12" s="589"/>
      <c r="M12" s="185">
        <f>RANK(K12, K$7:$K$43)</f>
        <v>14</v>
      </c>
      <c r="N12" s="600"/>
      <c r="O12" s="590"/>
      <c r="P12" s="187">
        <v>4</v>
      </c>
      <c r="Q12" s="187">
        <v>3205.5911032386434</v>
      </c>
      <c r="R12" s="184">
        <f t="shared" si="3"/>
        <v>801.39777580966086</v>
      </c>
      <c r="S12" s="181">
        <f t="shared" si="4"/>
        <v>14</v>
      </c>
      <c r="T12" s="587"/>
      <c r="U12" s="187">
        <v>4</v>
      </c>
      <c r="V12" s="187">
        <v>3207.0311032386426</v>
      </c>
      <c r="W12" s="184">
        <f t="shared" si="0"/>
        <v>801.75777580966064</v>
      </c>
      <c r="X12" s="181">
        <f t="shared" si="5"/>
        <v>14</v>
      </c>
      <c r="Y12" s="587"/>
      <c r="Z12" s="187">
        <v>4</v>
      </c>
      <c r="AA12" s="187">
        <v>3207.3911032386427</v>
      </c>
      <c r="AB12" s="184">
        <f t="shared" si="6"/>
        <v>801.84777580966067</v>
      </c>
      <c r="AC12" s="181">
        <f t="shared" si="7"/>
        <v>14</v>
      </c>
      <c r="AD12" s="587"/>
      <c r="AE12" s="187">
        <v>4</v>
      </c>
      <c r="AF12" s="187">
        <v>3207.3911032386432</v>
      </c>
      <c r="AG12" s="184">
        <f t="shared" si="8"/>
        <v>801.84777580966079</v>
      </c>
      <c r="AH12" s="181">
        <f t="shared" si="9"/>
        <v>14</v>
      </c>
      <c r="AI12" s="587"/>
      <c r="AJ12" s="187">
        <v>4</v>
      </c>
      <c r="AK12" s="187">
        <v>3207.7511032386433</v>
      </c>
      <c r="AL12" s="184">
        <f t="shared" si="10"/>
        <v>801.93777580966082</v>
      </c>
      <c r="AM12" s="181">
        <f t="shared" si="11"/>
        <v>15</v>
      </c>
      <c r="AN12" s="587"/>
      <c r="AO12" s="187">
        <v>4</v>
      </c>
      <c r="AP12" s="187">
        <v>3208.1111032386439</v>
      </c>
      <c r="AQ12" s="184">
        <f t="shared" si="12"/>
        <v>802.02777580966097</v>
      </c>
      <c r="AR12" s="181">
        <f t="shared" si="13"/>
        <v>15</v>
      </c>
      <c r="AS12" s="587"/>
      <c r="AT12" s="187">
        <v>4</v>
      </c>
      <c r="AU12" s="187">
        <v>3213.1506743701643</v>
      </c>
      <c r="AV12" s="184">
        <f t="shared" si="14"/>
        <v>803.28766859254108</v>
      </c>
      <c r="AW12" s="181">
        <f t="shared" si="15"/>
        <v>14</v>
      </c>
      <c r="AX12" s="587"/>
    </row>
    <row r="13" spans="1:50" ht="14.25" customHeight="1">
      <c r="B13" s="586"/>
      <c r="C13" s="179">
        <v>7</v>
      </c>
      <c r="D13" s="182" t="s">
        <v>368</v>
      </c>
      <c r="E13" s="183">
        <v>3</v>
      </c>
      <c r="F13" s="179">
        <v>3600</v>
      </c>
      <c r="G13" s="184">
        <f t="shared" si="1"/>
        <v>1200</v>
      </c>
      <c r="H13" s="588"/>
      <c r="I13" s="185">
        <f t="shared" si="2"/>
        <v>3</v>
      </c>
      <c r="J13" s="185">
        <f t="shared" si="2"/>
        <v>3211.0646645229745</v>
      </c>
      <c r="K13" s="186">
        <f t="shared" si="2"/>
        <v>1070.354888174325</v>
      </c>
      <c r="L13" s="589"/>
      <c r="M13" s="185">
        <f>RANK(K13, K$7:$K$43)</f>
        <v>2</v>
      </c>
      <c r="N13" s="600"/>
      <c r="O13" s="590"/>
      <c r="P13" s="187">
        <v>3</v>
      </c>
      <c r="Q13" s="187">
        <v>3208.081807380117</v>
      </c>
      <c r="R13" s="184">
        <f t="shared" si="3"/>
        <v>1069.360602460039</v>
      </c>
      <c r="S13" s="181">
        <f t="shared" si="4"/>
        <v>2</v>
      </c>
      <c r="T13" s="587"/>
      <c r="U13" s="187">
        <v>3</v>
      </c>
      <c r="V13" s="187">
        <v>3209.8818073801172</v>
      </c>
      <c r="W13" s="184">
        <f t="shared" si="0"/>
        <v>1069.9606024600391</v>
      </c>
      <c r="X13" s="181">
        <f t="shared" si="5"/>
        <v>2</v>
      </c>
      <c r="Y13" s="587"/>
      <c r="Z13" s="187">
        <v>3</v>
      </c>
      <c r="AA13" s="187">
        <v>3211.3218073801172</v>
      </c>
      <c r="AB13" s="184">
        <f t="shared" si="6"/>
        <v>1070.4406024600391</v>
      </c>
      <c r="AC13" s="181">
        <f t="shared" si="7"/>
        <v>2</v>
      </c>
      <c r="AD13" s="587"/>
      <c r="AE13" s="187">
        <v>3</v>
      </c>
      <c r="AF13" s="187">
        <v>3211.3218073801177</v>
      </c>
      <c r="AG13" s="184">
        <f t="shared" si="8"/>
        <v>1070.4406024600391</v>
      </c>
      <c r="AH13" s="181">
        <f t="shared" si="9"/>
        <v>2</v>
      </c>
      <c r="AI13" s="587"/>
      <c r="AJ13" s="187">
        <v>3</v>
      </c>
      <c r="AK13" s="187">
        <v>3211.6818073801178</v>
      </c>
      <c r="AL13" s="184">
        <f t="shared" si="10"/>
        <v>1070.5606024600393</v>
      </c>
      <c r="AM13" s="181">
        <f t="shared" si="11"/>
        <v>2</v>
      </c>
      <c r="AN13" s="587"/>
      <c r="AO13" s="187">
        <v>3</v>
      </c>
      <c r="AP13" s="187">
        <v>3212.401807380118</v>
      </c>
      <c r="AQ13" s="184">
        <f t="shared" si="12"/>
        <v>1070.8006024600393</v>
      </c>
      <c r="AR13" s="181">
        <f t="shared" si="13"/>
        <v>2</v>
      </c>
      <c r="AS13" s="587"/>
      <c r="AT13" s="187">
        <v>3</v>
      </c>
      <c r="AU13" s="187">
        <v>3212.7618073801177</v>
      </c>
      <c r="AV13" s="184">
        <f t="shared" si="14"/>
        <v>1070.9206024600392</v>
      </c>
      <c r="AW13" s="181">
        <f t="shared" si="15"/>
        <v>4</v>
      </c>
      <c r="AX13" s="587"/>
    </row>
    <row r="14" spans="1:50" ht="14.25" customHeight="1">
      <c r="B14" s="586"/>
      <c r="C14" s="179">
        <v>8</v>
      </c>
      <c r="D14" s="182" t="s">
        <v>367</v>
      </c>
      <c r="E14" s="183">
        <v>5</v>
      </c>
      <c r="F14" s="179">
        <v>3600</v>
      </c>
      <c r="G14" s="184">
        <f t="shared" si="1"/>
        <v>720</v>
      </c>
      <c r="H14" s="588"/>
      <c r="I14" s="185">
        <f t="shared" si="2"/>
        <v>5</v>
      </c>
      <c r="J14" s="185">
        <f t="shared" si="2"/>
        <v>3210.5895508629173</v>
      </c>
      <c r="K14" s="186">
        <f t="shared" si="2"/>
        <v>642.11791017258349</v>
      </c>
      <c r="L14" s="589"/>
      <c r="M14" s="185">
        <f>RANK(K14, K$7:$K$43)</f>
        <v>23</v>
      </c>
      <c r="N14" s="600"/>
      <c r="O14" s="590"/>
      <c r="P14" s="187">
        <v>5</v>
      </c>
      <c r="Q14" s="187">
        <v>3207.3495508629176</v>
      </c>
      <c r="R14" s="184">
        <f t="shared" si="3"/>
        <v>641.46991017258347</v>
      </c>
      <c r="S14" s="181">
        <f t="shared" si="4"/>
        <v>23</v>
      </c>
      <c r="T14" s="587"/>
      <c r="U14" s="187">
        <v>5</v>
      </c>
      <c r="V14" s="187">
        <v>3208.7895508629172</v>
      </c>
      <c r="W14" s="184">
        <f t="shared" si="0"/>
        <v>641.75791017258348</v>
      </c>
      <c r="X14" s="181">
        <f t="shared" si="5"/>
        <v>23</v>
      </c>
      <c r="Y14" s="587"/>
      <c r="Z14" s="187">
        <v>5</v>
      </c>
      <c r="AA14" s="187">
        <v>3210.2295508629172</v>
      </c>
      <c r="AB14" s="184">
        <f t="shared" si="6"/>
        <v>642.04591017258349</v>
      </c>
      <c r="AC14" s="181">
        <f t="shared" si="7"/>
        <v>23</v>
      </c>
      <c r="AD14" s="587"/>
      <c r="AE14" s="187">
        <v>5</v>
      </c>
      <c r="AF14" s="187">
        <v>3210.5895508629173</v>
      </c>
      <c r="AG14" s="184">
        <f t="shared" si="8"/>
        <v>642.11791017258349</v>
      </c>
      <c r="AH14" s="181">
        <f t="shared" si="9"/>
        <v>23</v>
      </c>
      <c r="AI14" s="587"/>
      <c r="AJ14" s="187">
        <v>5</v>
      </c>
      <c r="AK14" s="187">
        <v>3210.5895508629173</v>
      </c>
      <c r="AL14" s="184">
        <f t="shared" si="10"/>
        <v>642.11791017258349</v>
      </c>
      <c r="AM14" s="181">
        <f t="shared" si="11"/>
        <v>23</v>
      </c>
      <c r="AN14" s="587"/>
      <c r="AO14" s="187">
        <v>5</v>
      </c>
      <c r="AP14" s="187">
        <v>3212.3895508629166</v>
      </c>
      <c r="AQ14" s="184">
        <f t="shared" si="12"/>
        <v>642.47791017258328</v>
      </c>
      <c r="AR14" s="181">
        <f t="shared" si="13"/>
        <v>23</v>
      </c>
      <c r="AS14" s="587"/>
      <c r="AT14" s="187">
        <v>5</v>
      </c>
      <c r="AU14" s="187">
        <v>3214.1895508629163</v>
      </c>
      <c r="AV14" s="184">
        <f t="shared" si="14"/>
        <v>642.83791017258329</v>
      </c>
      <c r="AW14" s="181">
        <f t="shared" si="15"/>
        <v>23</v>
      </c>
      <c r="AX14" s="587"/>
    </row>
    <row r="15" spans="1:50" ht="14.25" customHeight="1">
      <c r="B15" s="586"/>
      <c r="C15" s="179">
        <v>9</v>
      </c>
      <c r="D15" s="182" t="s">
        <v>365</v>
      </c>
      <c r="E15" s="183">
        <v>5</v>
      </c>
      <c r="F15" s="179">
        <v>3600</v>
      </c>
      <c r="G15" s="184">
        <f t="shared" si="1"/>
        <v>720</v>
      </c>
      <c r="H15" s="588"/>
      <c r="I15" s="185">
        <f t="shared" si="2"/>
        <v>5</v>
      </c>
      <c r="J15" s="185">
        <f t="shared" si="2"/>
        <v>3207.6637302638414</v>
      </c>
      <c r="K15" s="186">
        <f t="shared" si="2"/>
        <v>641.53274605276818</v>
      </c>
      <c r="L15" s="589"/>
      <c r="M15" s="185">
        <f>RANK(K15, K$7:$K$43)</f>
        <v>29</v>
      </c>
      <c r="N15" s="600"/>
      <c r="O15" s="590"/>
      <c r="P15" s="187">
        <v>5</v>
      </c>
      <c r="Q15" s="187">
        <v>3205.487658717434</v>
      </c>
      <c r="R15" s="184">
        <f t="shared" si="3"/>
        <v>641.0975317434868</v>
      </c>
      <c r="S15" s="181">
        <f t="shared" si="4"/>
        <v>26</v>
      </c>
      <c r="T15" s="587"/>
      <c r="U15" s="187">
        <v>5</v>
      </c>
      <c r="V15" s="187">
        <v>3206.2076587174338</v>
      </c>
      <c r="W15" s="184">
        <f t="shared" si="0"/>
        <v>641.2415317434868</v>
      </c>
      <c r="X15" s="181">
        <f t="shared" si="5"/>
        <v>27</v>
      </c>
      <c r="Y15" s="587"/>
      <c r="Z15" s="187">
        <v>5</v>
      </c>
      <c r="AA15" s="187">
        <v>3206.5676587174344</v>
      </c>
      <c r="AB15" s="184">
        <f t="shared" si="6"/>
        <v>641.31353174348692</v>
      </c>
      <c r="AC15" s="181">
        <f t="shared" si="7"/>
        <v>29</v>
      </c>
      <c r="AD15" s="587"/>
      <c r="AE15" s="187">
        <v>5</v>
      </c>
      <c r="AF15" s="187">
        <v>3206.5676587174348</v>
      </c>
      <c r="AG15" s="184">
        <f t="shared" si="8"/>
        <v>641.31353174348692</v>
      </c>
      <c r="AH15" s="181">
        <f t="shared" si="9"/>
        <v>30</v>
      </c>
      <c r="AI15" s="587"/>
      <c r="AJ15" s="187">
        <v>5</v>
      </c>
      <c r="AK15" s="187">
        <v>3207.2876587174351</v>
      </c>
      <c r="AL15" s="184">
        <f t="shared" si="10"/>
        <v>641.45753174348704</v>
      </c>
      <c r="AM15" s="181">
        <f t="shared" si="11"/>
        <v>30</v>
      </c>
      <c r="AN15" s="587"/>
      <c r="AO15" s="187">
        <v>5</v>
      </c>
      <c r="AP15" s="187">
        <v>3208.0076587174353</v>
      </c>
      <c r="AQ15" s="184">
        <f t="shared" si="12"/>
        <v>641.60153174348704</v>
      </c>
      <c r="AR15" s="181">
        <f t="shared" si="13"/>
        <v>30</v>
      </c>
      <c r="AS15" s="587"/>
      <c r="AT15" s="187">
        <v>5</v>
      </c>
      <c r="AU15" s="187">
        <v>3213.5201595422814</v>
      </c>
      <c r="AV15" s="184">
        <f t="shared" si="14"/>
        <v>642.70403190845627</v>
      </c>
      <c r="AW15" s="181">
        <f t="shared" si="15"/>
        <v>25</v>
      </c>
      <c r="AX15" s="587"/>
    </row>
    <row r="16" spans="1:50" ht="14.25" customHeight="1">
      <c r="B16" s="586"/>
      <c r="C16" s="179">
        <v>10</v>
      </c>
      <c r="D16" s="182" t="s">
        <v>211</v>
      </c>
      <c r="E16" s="183">
        <v>3</v>
      </c>
      <c r="F16" s="179">
        <v>3000</v>
      </c>
      <c r="G16" s="184">
        <f t="shared" si="1"/>
        <v>1000</v>
      </c>
      <c r="H16" s="588"/>
      <c r="I16" s="185">
        <f t="shared" si="2"/>
        <v>3</v>
      </c>
      <c r="J16" s="185">
        <f t="shared" si="2"/>
        <v>2735.1875431881708</v>
      </c>
      <c r="K16" s="186">
        <f t="shared" si="2"/>
        <v>911.72918106272334</v>
      </c>
      <c r="L16" s="589"/>
      <c r="M16" s="185">
        <f>RANK(K16, K$7:$K$43)</f>
        <v>12</v>
      </c>
      <c r="N16" s="600"/>
      <c r="O16" s="590"/>
      <c r="P16" s="187">
        <v>3</v>
      </c>
      <c r="Q16" s="187">
        <v>2733.2161146167423</v>
      </c>
      <c r="R16" s="184">
        <f t="shared" si="3"/>
        <v>911.07203820558072</v>
      </c>
      <c r="S16" s="181">
        <f t="shared" si="4"/>
        <v>11</v>
      </c>
      <c r="T16" s="587"/>
      <c r="U16" s="187">
        <v>3</v>
      </c>
      <c r="V16" s="187">
        <v>2733.516114616742</v>
      </c>
      <c r="W16" s="184">
        <f t="shared" si="0"/>
        <v>911.17203820558063</v>
      </c>
      <c r="X16" s="181">
        <f t="shared" si="5"/>
        <v>11</v>
      </c>
      <c r="Y16" s="587"/>
      <c r="Z16" s="187">
        <v>3</v>
      </c>
      <c r="AA16" s="187">
        <v>2734.4161146167421</v>
      </c>
      <c r="AB16" s="184">
        <f t="shared" si="6"/>
        <v>911.4720382055807</v>
      </c>
      <c r="AC16" s="181">
        <f t="shared" si="7"/>
        <v>12</v>
      </c>
      <c r="AD16" s="587"/>
      <c r="AE16" s="187">
        <v>3</v>
      </c>
      <c r="AF16" s="187">
        <v>2735.016114616742</v>
      </c>
      <c r="AG16" s="184">
        <f t="shared" si="8"/>
        <v>911.67203820558063</v>
      </c>
      <c r="AH16" s="181">
        <f t="shared" si="9"/>
        <v>12</v>
      </c>
      <c r="AI16" s="587"/>
      <c r="AJ16" s="187">
        <v>3</v>
      </c>
      <c r="AK16" s="187">
        <v>2735.3161146167417</v>
      </c>
      <c r="AL16" s="184">
        <f t="shared" si="10"/>
        <v>911.77203820558054</v>
      </c>
      <c r="AM16" s="181">
        <f t="shared" si="11"/>
        <v>12</v>
      </c>
      <c r="AN16" s="587"/>
      <c r="AO16" s="187">
        <v>3</v>
      </c>
      <c r="AP16" s="187">
        <v>2736.8161146167413</v>
      </c>
      <c r="AQ16" s="184">
        <f t="shared" si="12"/>
        <v>912.27203820558043</v>
      </c>
      <c r="AR16" s="181">
        <f t="shared" si="13"/>
        <v>12</v>
      </c>
      <c r="AS16" s="587"/>
      <c r="AT16" s="187">
        <v>3</v>
      </c>
      <c r="AU16" s="187">
        <v>2738.0161146167411</v>
      </c>
      <c r="AV16" s="184">
        <f t="shared" si="14"/>
        <v>912.67203820558041</v>
      </c>
      <c r="AW16" s="181">
        <f t="shared" si="15"/>
        <v>12</v>
      </c>
      <c r="AX16" s="587"/>
    </row>
    <row r="17" spans="2:50" ht="14.25" customHeight="1">
      <c r="B17" s="586"/>
      <c r="C17" s="179">
        <v>11</v>
      </c>
      <c r="D17" s="182" t="s">
        <v>416</v>
      </c>
      <c r="E17" s="183">
        <v>12</v>
      </c>
      <c r="F17" s="179">
        <v>3600</v>
      </c>
      <c r="G17" s="184">
        <f t="shared" si="1"/>
        <v>300</v>
      </c>
      <c r="H17" s="588"/>
      <c r="I17" s="185">
        <f t="shared" si="2"/>
        <v>12</v>
      </c>
      <c r="J17" s="185">
        <f t="shared" si="2"/>
        <v>3122.112601323061</v>
      </c>
      <c r="K17" s="186">
        <f t="shared" si="2"/>
        <v>260.17605011025506</v>
      </c>
      <c r="L17" s="589"/>
      <c r="M17" s="185">
        <f>RANK(K17, K$7:$K$43)</f>
        <v>34</v>
      </c>
      <c r="N17" s="600"/>
      <c r="O17" s="590"/>
      <c r="P17" s="187">
        <v>12</v>
      </c>
      <c r="Q17" s="187">
        <v>3121.0617443150168</v>
      </c>
      <c r="R17" s="184">
        <f t="shared" si="3"/>
        <v>260.08847869291804</v>
      </c>
      <c r="S17" s="181">
        <f t="shared" si="4"/>
        <v>35</v>
      </c>
      <c r="T17" s="587"/>
      <c r="U17" s="187">
        <v>12</v>
      </c>
      <c r="V17" s="187">
        <v>3122.1417443150167</v>
      </c>
      <c r="W17" s="184">
        <f t="shared" si="0"/>
        <v>260.17847869291808</v>
      </c>
      <c r="X17" s="181">
        <f t="shared" si="5"/>
        <v>34</v>
      </c>
      <c r="Y17" s="587"/>
      <c r="Z17" s="187">
        <v>12</v>
      </c>
      <c r="AA17" s="187">
        <v>3123.9417443150169</v>
      </c>
      <c r="AB17" s="184">
        <f t="shared" si="6"/>
        <v>260.32847869291805</v>
      </c>
      <c r="AC17" s="181">
        <f t="shared" si="7"/>
        <v>34</v>
      </c>
      <c r="AD17" s="587"/>
      <c r="AE17" s="187">
        <v>12</v>
      </c>
      <c r="AF17" s="187">
        <v>3121.7708540453582</v>
      </c>
      <c r="AG17" s="184">
        <f t="shared" si="8"/>
        <v>260.1475711704465</v>
      </c>
      <c r="AH17" s="181">
        <f t="shared" si="9"/>
        <v>35</v>
      </c>
      <c r="AI17" s="587"/>
      <c r="AJ17" s="187">
        <v>12</v>
      </c>
      <c r="AK17" s="187">
        <v>3122.8508540453586</v>
      </c>
      <c r="AL17" s="184">
        <f t="shared" si="10"/>
        <v>260.23757117044653</v>
      </c>
      <c r="AM17" s="181">
        <f t="shared" si="11"/>
        <v>34</v>
      </c>
      <c r="AN17" s="587"/>
      <c r="AO17" s="187">
        <v>12</v>
      </c>
      <c r="AP17" s="187">
        <v>3120.4789558549865</v>
      </c>
      <c r="AQ17" s="184">
        <f t="shared" si="12"/>
        <v>260.03991298791556</v>
      </c>
      <c r="AR17" s="181">
        <f t="shared" si="13"/>
        <v>35</v>
      </c>
      <c r="AS17" s="587"/>
      <c r="AT17" s="187">
        <v>12</v>
      </c>
      <c r="AU17" s="187">
        <v>3122.5423123706705</v>
      </c>
      <c r="AV17" s="184">
        <f t="shared" si="14"/>
        <v>260.21185936422256</v>
      </c>
      <c r="AW17" s="181">
        <f t="shared" si="15"/>
        <v>35</v>
      </c>
      <c r="AX17" s="587"/>
    </row>
    <row r="18" spans="2:50" ht="14.25" customHeight="1">
      <c r="B18" s="586"/>
      <c r="C18" s="179">
        <v>12</v>
      </c>
      <c r="D18" s="182" t="s">
        <v>432</v>
      </c>
      <c r="E18" s="183">
        <v>3</v>
      </c>
      <c r="F18" s="179">
        <v>3300</v>
      </c>
      <c r="G18" s="184">
        <f t="shared" si="1"/>
        <v>1100</v>
      </c>
      <c r="H18" s="588"/>
      <c r="I18" s="185">
        <f t="shared" si="2"/>
        <v>3</v>
      </c>
      <c r="J18" s="185">
        <f t="shared" si="2"/>
        <v>3003.3903286473283</v>
      </c>
      <c r="K18" s="186">
        <f t="shared" si="2"/>
        <v>1001.1301095491093</v>
      </c>
      <c r="L18" s="589"/>
      <c r="M18" s="185">
        <f>RANK(K18, K$7:$K$43)</f>
        <v>10</v>
      </c>
      <c r="N18" s="600"/>
      <c r="O18" s="590"/>
      <c r="P18" s="187">
        <v>3</v>
      </c>
      <c r="Q18" s="187">
        <v>2996.220443760727</v>
      </c>
      <c r="R18" s="184">
        <f t="shared" si="3"/>
        <v>998.74014792024229</v>
      </c>
      <c r="S18" s="181">
        <f t="shared" si="4"/>
        <v>9</v>
      </c>
      <c r="T18" s="587"/>
      <c r="U18" s="187">
        <v>3</v>
      </c>
      <c r="V18" s="187">
        <v>3002.3556832401646</v>
      </c>
      <c r="W18" s="184">
        <f t="shared" si="0"/>
        <v>1000.7852277467215</v>
      </c>
      <c r="X18" s="181">
        <f t="shared" si="5"/>
        <v>9</v>
      </c>
      <c r="Y18" s="587"/>
      <c r="Z18" s="187">
        <v>3</v>
      </c>
      <c r="AA18" s="187">
        <v>3003.0156832401649</v>
      </c>
      <c r="AB18" s="184">
        <f t="shared" si="6"/>
        <v>1001.0052277467216</v>
      </c>
      <c r="AC18" s="181">
        <f t="shared" si="7"/>
        <v>10</v>
      </c>
      <c r="AD18" s="587"/>
      <c r="AE18" s="187">
        <v>3</v>
      </c>
      <c r="AF18" s="187">
        <v>3003.6756832401643</v>
      </c>
      <c r="AG18" s="184">
        <f t="shared" si="8"/>
        <v>1001.2252277467214</v>
      </c>
      <c r="AH18" s="181">
        <f t="shared" si="9"/>
        <v>10</v>
      </c>
      <c r="AI18" s="587"/>
      <c r="AJ18" s="187">
        <v>3</v>
      </c>
      <c r="AK18" s="187">
        <v>3004.0056832401647</v>
      </c>
      <c r="AL18" s="184">
        <f t="shared" si="10"/>
        <v>1001.3352277467216</v>
      </c>
      <c r="AM18" s="181">
        <f t="shared" si="11"/>
        <v>10</v>
      </c>
      <c r="AN18" s="587"/>
      <c r="AO18" s="187">
        <v>3</v>
      </c>
      <c r="AP18" s="187">
        <v>3005.6556832401643</v>
      </c>
      <c r="AQ18" s="184">
        <f t="shared" si="12"/>
        <v>1001.8852277467214</v>
      </c>
      <c r="AR18" s="181">
        <f t="shared" si="13"/>
        <v>10</v>
      </c>
      <c r="AS18" s="587"/>
      <c r="AT18" s="187">
        <v>3</v>
      </c>
      <c r="AU18" s="187">
        <v>3008.8034405697481</v>
      </c>
      <c r="AV18" s="184">
        <f t="shared" si="14"/>
        <v>1002.934480189916</v>
      </c>
      <c r="AW18" s="181">
        <f t="shared" si="15"/>
        <v>10</v>
      </c>
      <c r="AX18" s="587"/>
    </row>
    <row r="19" spans="2:50" ht="14.25" customHeight="1">
      <c r="B19" s="586"/>
      <c r="C19" s="179">
        <v>13</v>
      </c>
      <c r="D19" s="182" t="s">
        <v>491</v>
      </c>
      <c r="E19" s="183">
        <v>5</v>
      </c>
      <c r="F19" s="179">
        <v>3600</v>
      </c>
      <c r="G19" s="184">
        <f t="shared" si="1"/>
        <v>720</v>
      </c>
      <c r="H19" s="588"/>
      <c r="I19" s="185">
        <f t="shared" si="2"/>
        <v>5</v>
      </c>
      <c r="J19" s="185">
        <f t="shared" si="2"/>
        <v>3208.3054351992255</v>
      </c>
      <c r="K19" s="186">
        <f t="shared" si="2"/>
        <v>641.66108703984514</v>
      </c>
      <c r="L19" s="589"/>
      <c r="M19" s="185">
        <f>RANK(K19, K$7:$K$43)</f>
        <v>26</v>
      </c>
      <c r="N19" s="600"/>
      <c r="O19" s="590"/>
      <c r="P19" s="187">
        <v>5</v>
      </c>
      <c r="Q19" s="187">
        <v>3204.5511494849411</v>
      </c>
      <c r="R19" s="184">
        <f t="shared" si="3"/>
        <v>640.9102298969882</v>
      </c>
      <c r="S19" s="181">
        <f t="shared" si="4"/>
        <v>29</v>
      </c>
      <c r="T19" s="587"/>
      <c r="U19" s="187">
        <v>5</v>
      </c>
      <c r="V19" s="187">
        <v>3205.9911494849407</v>
      </c>
      <c r="W19" s="184">
        <f t="shared" si="0"/>
        <v>641.1982298969881</v>
      </c>
      <c r="X19" s="181">
        <f t="shared" si="5"/>
        <v>28</v>
      </c>
      <c r="Y19" s="587"/>
      <c r="Z19" s="187">
        <v>5</v>
      </c>
      <c r="AA19" s="187">
        <v>3207.0711494849402</v>
      </c>
      <c r="AB19" s="184">
        <f t="shared" si="6"/>
        <v>641.41422989698799</v>
      </c>
      <c r="AC19" s="181">
        <f t="shared" si="7"/>
        <v>26</v>
      </c>
      <c r="AD19" s="587"/>
      <c r="AE19" s="187">
        <v>5</v>
      </c>
      <c r="AF19" s="187">
        <v>3208.5111494849398</v>
      </c>
      <c r="AG19" s="184">
        <f t="shared" si="8"/>
        <v>641.702229896988</v>
      </c>
      <c r="AH19" s="181">
        <f t="shared" si="9"/>
        <v>26</v>
      </c>
      <c r="AI19" s="587"/>
      <c r="AJ19" s="187">
        <v>5</v>
      </c>
      <c r="AK19" s="187">
        <v>3209.5911494849397</v>
      </c>
      <c r="AL19" s="184">
        <f t="shared" si="10"/>
        <v>641.9182298969879</v>
      </c>
      <c r="AM19" s="181">
        <f t="shared" si="11"/>
        <v>25</v>
      </c>
      <c r="AN19" s="587"/>
      <c r="AO19" s="187">
        <v>5</v>
      </c>
      <c r="AP19" s="187">
        <v>3210.6711494849396</v>
      </c>
      <c r="AQ19" s="184">
        <f t="shared" si="12"/>
        <v>642.1342298969879</v>
      </c>
      <c r="AR19" s="181">
        <f t="shared" si="13"/>
        <v>26</v>
      </c>
      <c r="AS19" s="587"/>
      <c r="AT19" s="187">
        <v>5</v>
      </c>
      <c r="AU19" s="187">
        <v>3211.7511494849391</v>
      </c>
      <c r="AV19" s="184">
        <f t="shared" si="14"/>
        <v>642.3502298969878</v>
      </c>
      <c r="AW19" s="181">
        <f t="shared" si="15"/>
        <v>28</v>
      </c>
      <c r="AX19" s="587"/>
    </row>
    <row r="20" spans="2:50" ht="14.25" customHeight="1">
      <c r="B20" s="586"/>
      <c r="C20" s="179">
        <v>14</v>
      </c>
      <c r="D20" s="182" t="s">
        <v>528</v>
      </c>
      <c r="E20" s="183">
        <v>3</v>
      </c>
      <c r="F20" s="179">
        <v>3600</v>
      </c>
      <c r="G20" s="184">
        <f t="shared" si="1"/>
        <v>1200</v>
      </c>
      <c r="H20" s="588"/>
      <c r="I20" s="185">
        <f t="shared" si="2"/>
        <v>3</v>
      </c>
      <c r="J20" s="185">
        <f t="shared" si="2"/>
        <v>3210.1812150023106</v>
      </c>
      <c r="K20" s="186">
        <f t="shared" si="2"/>
        <v>1070.0604050007701</v>
      </c>
      <c r="L20" s="589"/>
      <c r="M20" s="185">
        <f>RANK(K20, K$7:$K$43)</f>
        <v>4</v>
      </c>
      <c r="N20" s="600"/>
      <c r="O20" s="590"/>
      <c r="P20" s="187">
        <v>3</v>
      </c>
      <c r="Q20" s="187">
        <v>3207.1983578594527</v>
      </c>
      <c r="R20" s="184">
        <f t="shared" si="3"/>
        <v>1069.0661192864843</v>
      </c>
      <c r="S20" s="181">
        <f t="shared" si="4"/>
        <v>3</v>
      </c>
      <c r="T20" s="587"/>
      <c r="U20" s="187">
        <v>3</v>
      </c>
      <c r="V20" s="187">
        <v>3207.918357859453</v>
      </c>
      <c r="W20" s="184">
        <f t="shared" si="0"/>
        <v>1069.3061192864843</v>
      </c>
      <c r="X20" s="181">
        <f t="shared" si="5"/>
        <v>4</v>
      </c>
      <c r="Y20" s="587"/>
      <c r="Z20" s="187">
        <v>3</v>
      </c>
      <c r="AA20" s="187">
        <v>3209.7183578594527</v>
      </c>
      <c r="AB20" s="184">
        <f t="shared" si="6"/>
        <v>1069.9061192864842</v>
      </c>
      <c r="AC20" s="181">
        <f t="shared" si="7"/>
        <v>4</v>
      </c>
      <c r="AD20" s="587"/>
      <c r="AE20" s="187">
        <v>3</v>
      </c>
      <c r="AF20" s="187">
        <v>3210.4383578594529</v>
      </c>
      <c r="AG20" s="184">
        <f t="shared" si="8"/>
        <v>1070.1461192864842</v>
      </c>
      <c r="AH20" s="181">
        <f t="shared" si="9"/>
        <v>3</v>
      </c>
      <c r="AI20" s="587"/>
      <c r="AJ20" s="187">
        <v>3</v>
      </c>
      <c r="AK20" s="187">
        <v>3211.1583578594532</v>
      </c>
      <c r="AL20" s="184">
        <f t="shared" si="10"/>
        <v>1070.3861192864845</v>
      </c>
      <c r="AM20" s="181">
        <f t="shared" si="11"/>
        <v>3</v>
      </c>
      <c r="AN20" s="587"/>
      <c r="AO20" s="187">
        <v>3</v>
      </c>
      <c r="AP20" s="187">
        <v>3211.8783578594539</v>
      </c>
      <c r="AQ20" s="184">
        <f t="shared" si="12"/>
        <v>1070.6261192864847</v>
      </c>
      <c r="AR20" s="181">
        <f t="shared" si="13"/>
        <v>3</v>
      </c>
      <c r="AS20" s="587"/>
      <c r="AT20" s="187">
        <v>3</v>
      </c>
      <c r="AU20" s="187">
        <v>3212.9583578594538</v>
      </c>
      <c r="AV20" s="184">
        <f t="shared" si="14"/>
        <v>1070.9861192864846</v>
      </c>
      <c r="AW20" s="181">
        <f t="shared" si="15"/>
        <v>3</v>
      </c>
      <c r="AX20" s="587"/>
    </row>
    <row r="21" spans="2:50" ht="14.25" customHeight="1">
      <c r="B21" s="586"/>
      <c r="C21" s="179">
        <v>15</v>
      </c>
      <c r="D21" s="182" t="s">
        <v>521</v>
      </c>
      <c r="E21" s="183">
        <v>3</v>
      </c>
      <c r="F21" s="179">
        <v>3300</v>
      </c>
      <c r="G21" s="184">
        <f t="shared" si="1"/>
        <v>1100</v>
      </c>
      <c r="H21" s="588"/>
      <c r="I21" s="185">
        <f t="shared" si="2"/>
        <v>3</v>
      </c>
      <c r="J21" s="185">
        <f t="shared" si="2"/>
        <v>3006.6657410941298</v>
      </c>
      <c r="K21" s="186">
        <f t="shared" si="2"/>
        <v>1002.2219136980433</v>
      </c>
      <c r="L21" s="589"/>
      <c r="M21" s="185">
        <f>RANK(K21, K$7:$K$43)</f>
        <v>9</v>
      </c>
      <c r="N21" s="600"/>
      <c r="O21" s="590"/>
      <c r="P21" s="187">
        <v>3</v>
      </c>
      <c r="Q21" s="187">
        <v>2995.9529888086831</v>
      </c>
      <c r="R21" s="184">
        <f t="shared" si="3"/>
        <v>998.65099626956101</v>
      </c>
      <c r="S21" s="181">
        <f t="shared" si="4"/>
        <v>10</v>
      </c>
      <c r="T21" s="587"/>
      <c r="U21" s="187">
        <v>3</v>
      </c>
      <c r="V21" s="187">
        <v>3001.5423199072752</v>
      </c>
      <c r="W21" s="184">
        <f t="shared" si="0"/>
        <v>1000.5141066357584</v>
      </c>
      <c r="X21" s="181">
        <f t="shared" si="5"/>
        <v>10</v>
      </c>
      <c r="Y21" s="587"/>
      <c r="Z21" s="187">
        <v>3</v>
      </c>
      <c r="AA21" s="187">
        <v>3003.9861461758132</v>
      </c>
      <c r="AB21" s="184">
        <f t="shared" si="6"/>
        <v>1001.3287153919377</v>
      </c>
      <c r="AC21" s="181">
        <f t="shared" si="7"/>
        <v>9</v>
      </c>
      <c r="AD21" s="587"/>
      <c r="AE21" s="187">
        <v>3</v>
      </c>
      <c r="AF21" s="187">
        <v>3009.3971831917834</v>
      </c>
      <c r="AG21" s="184">
        <f t="shared" si="8"/>
        <v>1003.1323943972611</v>
      </c>
      <c r="AH21" s="181">
        <f t="shared" si="9"/>
        <v>9</v>
      </c>
      <c r="AI21" s="587"/>
      <c r="AJ21" s="187">
        <v>3</v>
      </c>
      <c r="AK21" s="187">
        <v>3011.0471831917839</v>
      </c>
      <c r="AL21" s="184">
        <f t="shared" si="10"/>
        <v>1003.6823943972613</v>
      </c>
      <c r="AM21" s="181">
        <f t="shared" si="11"/>
        <v>9</v>
      </c>
      <c r="AN21" s="587"/>
      <c r="AO21" s="187">
        <v>3</v>
      </c>
      <c r="AP21" s="187">
        <v>3012.3671831917845</v>
      </c>
      <c r="AQ21" s="184">
        <f t="shared" si="12"/>
        <v>1004.1223943972615</v>
      </c>
      <c r="AR21" s="181">
        <f t="shared" si="13"/>
        <v>9</v>
      </c>
      <c r="AS21" s="587"/>
      <c r="AT21" s="187">
        <v>3</v>
      </c>
      <c r="AU21" s="187">
        <v>3012.3671831917841</v>
      </c>
      <c r="AV21" s="184">
        <f t="shared" si="14"/>
        <v>1004.1223943972614</v>
      </c>
      <c r="AW21" s="181">
        <f t="shared" si="15"/>
        <v>9</v>
      </c>
      <c r="AX21" s="587"/>
    </row>
    <row r="22" spans="2:50" ht="14.25" customHeight="1">
      <c r="B22" s="586"/>
      <c r="C22" s="179">
        <v>16</v>
      </c>
      <c r="D22" s="182" t="s">
        <v>593</v>
      </c>
      <c r="E22" s="183">
        <v>4</v>
      </c>
      <c r="F22" s="179">
        <v>3300</v>
      </c>
      <c r="G22" s="184">
        <f t="shared" si="1"/>
        <v>825</v>
      </c>
      <c r="H22" s="588"/>
      <c r="I22" s="185">
        <f t="shared" si="2"/>
        <v>4</v>
      </c>
      <c r="J22" s="185">
        <f t="shared" si="2"/>
        <v>3006.5654077430131</v>
      </c>
      <c r="K22" s="186">
        <f t="shared" si="2"/>
        <v>751.64135193575328</v>
      </c>
      <c r="L22" s="589"/>
      <c r="M22" s="185">
        <f>RANK(K22, K$7:$K$43)</f>
        <v>16</v>
      </c>
      <c r="N22" s="600"/>
      <c r="O22" s="590"/>
      <c r="P22" s="187">
        <v>4</v>
      </c>
      <c r="Q22" s="187">
        <v>2995.5873407796425</v>
      </c>
      <c r="R22" s="184">
        <f t="shared" si="3"/>
        <v>748.89683519491064</v>
      </c>
      <c r="S22" s="181">
        <f t="shared" si="4"/>
        <v>18</v>
      </c>
      <c r="T22" s="587"/>
      <c r="U22" s="187">
        <v>4</v>
      </c>
      <c r="V22" s="187">
        <v>3002.5849046594872</v>
      </c>
      <c r="W22" s="184">
        <f t="shared" si="0"/>
        <v>750.64622616487179</v>
      </c>
      <c r="X22" s="181">
        <f t="shared" si="5"/>
        <v>17</v>
      </c>
      <c r="Y22" s="587"/>
      <c r="Z22" s="187">
        <v>4</v>
      </c>
      <c r="AA22" s="187">
        <v>3007.4451217523929</v>
      </c>
      <c r="AB22" s="184">
        <f t="shared" si="6"/>
        <v>751.86128043809822</v>
      </c>
      <c r="AC22" s="181">
        <f t="shared" si="7"/>
        <v>16</v>
      </c>
      <c r="AD22" s="587"/>
      <c r="AE22" s="187">
        <v>4</v>
      </c>
      <c r="AF22" s="187">
        <v>3008.1051217523927</v>
      </c>
      <c r="AG22" s="184">
        <f t="shared" si="8"/>
        <v>752.02628043809818</v>
      </c>
      <c r="AH22" s="181">
        <f t="shared" si="9"/>
        <v>16</v>
      </c>
      <c r="AI22" s="587"/>
      <c r="AJ22" s="187">
        <v>4</v>
      </c>
      <c r="AK22" s="187">
        <v>3009.4251217523929</v>
      </c>
      <c r="AL22" s="184">
        <f t="shared" si="10"/>
        <v>752.35628043809822</v>
      </c>
      <c r="AM22" s="181">
        <f t="shared" si="11"/>
        <v>16</v>
      </c>
      <c r="AN22" s="587"/>
      <c r="AO22" s="187">
        <v>4</v>
      </c>
      <c r="AP22" s="187">
        <v>3011.0751217523925</v>
      </c>
      <c r="AQ22" s="184">
        <f t="shared" si="12"/>
        <v>752.76878043809813</v>
      </c>
      <c r="AR22" s="181">
        <f t="shared" si="13"/>
        <v>16</v>
      </c>
      <c r="AS22" s="587"/>
      <c r="AT22" s="187">
        <v>4</v>
      </c>
      <c r="AU22" s="187">
        <v>3011.7351217523924</v>
      </c>
      <c r="AV22" s="184">
        <f t="shared" si="14"/>
        <v>752.9337804380981</v>
      </c>
      <c r="AW22" s="181">
        <f t="shared" si="15"/>
        <v>16</v>
      </c>
      <c r="AX22" s="587"/>
    </row>
    <row r="23" spans="2:50" ht="14.25" customHeight="1">
      <c r="B23" s="586"/>
      <c r="C23" s="179">
        <v>17</v>
      </c>
      <c r="D23" s="182" t="s">
        <v>608</v>
      </c>
      <c r="E23" s="183">
        <v>5</v>
      </c>
      <c r="F23" s="179">
        <v>3600</v>
      </c>
      <c r="G23" s="184">
        <f t="shared" si="1"/>
        <v>720</v>
      </c>
      <c r="H23" s="588"/>
      <c r="I23" s="185">
        <f t="shared" si="2"/>
        <v>5</v>
      </c>
      <c r="J23" s="185">
        <f t="shared" si="2"/>
        <v>3208.6344480201619</v>
      </c>
      <c r="K23" s="186">
        <f t="shared" si="2"/>
        <v>641.72688960403241</v>
      </c>
      <c r="L23" s="589"/>
      <c r="M23" s="185">
        <f>RANK(K23, K$7:$K$43)</f>
        <v>25</v>
      </c>
      <c r="N23" s="600"/>
      <c r="O23" s="590"/>
      <c r="P23" s="187">
        <v>5</v>
      </c>
      <c r="Q23" s="187">
        <v>3205.4458765915911</v>
      </c>
      <c r="R23" s="184">
        <f t="shared" si="3"/>
        <v>641.08917531831821</v>
      </c>
      <c r="S23" s="181">
        <f t="shared" si="4"/>
        <v>27</v>
      </c>
      <c r="T23" s="587"/>
      <c r="U23" s="187">
        <v>5</v>
      </c>
      <c r="V23" s="187">
        <v>3207.2458765915912</v>
      </c>
      <c r="W23" s="184">
        <f t="shared" si="0"/>
        <v>641.44917531831823</v>
      </c>
      <c r="X23" s="181">
        <f t="shared" si="5"/>
        <v>25</v>
      </c>
      <c r="Y23" s="587"/>
      <c r="Z23" s="187">
        <v>5</v>
      </c>
      <c r="AA23" s="187">
        <v>3207.6058765915909</v>
      </c>
      <c r="AB23" s="184">
        <f t="shared" si="6"/>
        <v>641.52117531831823</v>
      </c>
      <c r="AC23" s="181">
        <f t="shared" si="7"/>
        <v>25</v>
      </c>
      <c r="AD23" s="587"/>
      <c r="AE23" s="187">
        <v>5</v>
      </c>
      <c r="AF23" s="187">
        <v>3207.6058765915905</v>
      </c>
      <c r="AG23" s="184">
        <f t="shared" si="8"/>
        <v>641.52117531831811</v>
      </c>
      <c r="AH23" s="181">
        <f t="shared" si="9"/>
        <v>27</v>
      </c>
      <c r="AI23" s="587"/>
      <c r="AJ23" s="187">
        <v>5</v>
      </c>
      <c r="AK23" s="187">
        <v>3208.6858765915904</v>
      </c>
      <c r="AL23" s="184">
        <f t="shared" si="10"/>
        <v>641.73717531831812</v>
      </c>
      <c r="AM23" s="181">
        <f t="shared" si="11"/>
        <v>27</v>
      </c>
      <c r="AN23" s="587"/>
      <c r="AO23" s="187">
        <v>5</v>
      </c>
      <c r="AP23" s="187">
        <v>3210.8458765915902</v>
      </c>
      <c r="AQ23" s="184">
        <f t="shared" si="12"/>
        <v>642.16917531831803</v>
      </c>
      <c r="AR23" s="181">
        <f t="shared" si="13"/>
        <v>25</v>
      </c>
      <c r="AS23" s="587"/>
      <c r="AT23" s="187">
        <v>5</v>
      </c>
      <c r="AU23" s="187">
        <v>3213.0058765915905</v>
      </c>
      <c r="AV23" s="184">
        <f t="shared" si="14"/>
        <v>642.60117531831816</v>
      </c>
      <c r="AW23" s="181">
        <f t="shared" si="15"/>
        <v>26</v>
      </c>
      <c r="AX23" s="587"/>
    </row>
    <row r="24" spans="2:50" ht="14.25" customHeight="1">
      <c r="B24" s="586"/>
      <c r="C24" s="179">
        <v>18</v>
      </c>
      <c r="D24" s="182" t="s">
        <v>378</v>
      </c>
      <c r="E24" s="183">
        <v>5</v>
      </c>
      <c r="F24" s="179">
        <v>3600</v>
      </c>
      <c r="G24" s="184">
        <f t="shared" si="1"/>
        <v>720</v>
      </c>
      <c r="H24" s="588"/>
      <c r="I24" s="185">
        <f t="shared" si="2"/>
        <v>5</v>
      </c>
      <c r="J24" s="185">
        <f t="shared" si="2"/>
        <v>3209.6403738098284</v>
      </c>
      <c r="K24" s="186">
        <f t="shared" si="2"/>
        <v>641.9280747619656</v>
      </c>
      <c r="L24" s="589"/>
      <c r="M24" s="185">
        <f>RANK(K24, K$7:$K$43)</f>
        <v>24</v>
      </c>
      <c r="N24" s="600"/>
      <c r="O24" s="590"/>
      <c r="P24" s="187">
        <v>5</v>
      </c>
      <c r="Q24" s="187">
        <v>3205.0353825568527</v>
      </c>
      <c r="R24" s="184">
        <f t="shared" si="3"/>
        <v>641.00707651137054</v>
      </c>
      <c r="S24" s="181">
        <f t="shared" si="4"/>
        <v>28</v>
      </c>
      <c r="T24" s="587"/>
      <c r="U24" s="187">
        <v>5</v>
      </c>
      <c r="V24" s="187">
        <v>3207.7078723519899</v>
      </c>
      <c r="W24" s="184">
        <f t="shared" si="0"/>
        <v>641.54157447039802</v>
      </c>
      <c r="X24" s="181">
        <f t="shared" si="5"/>
        <v>24</v>
      </c>
      <c r="Y24" s="587"/>
      <c r="Z24" s="187">
        <v>5</v>
      </c>
      <c r="AA24" s="187">
        <v>3208.7878723519907</v>
      </c>
      <c r="AB24" s="184">
        <f t="shared" si="6"/>
        <v>641.75757447039814</v>
      </c>
      <c r="AC24" s="181">
        <f t="shared" si="7"/>
        <v>24</v>
      </c>
      <c r="AD24" s="587"/>
      <c r="AE24" s="187">
        <v>5</v>
      </c>
      <c r="AF24" s="187">
        <v>3209.507872351991</v>
      </c>
      <c r="AG24" s="184">
        <f t="shared" si="8"/>
        <v>641.90157447039815</v>
      </c>
      <c r="AH24" s="181">
        <f t="shared" si="9"/>
        <v>24</v>
      </c>
      <c r="AI24" s="587"/>
      <c r="AJ24" s="187">
        <v>5</v>
      </c>
      <c r="AK24" s="187">
        <v>3210.2278723519912</v>
      </c>
      <c r="AL24" s="184">
        <f t="shared" si="10"/>
        <v>642.04557447039826</v>
      </c>
      <c r="AM24" s="181">
        <f t="shared" si="11"/>
        <v>24</v>
      </c>
      <c r="AN24" s="587"/>
      <c r="AO24" s="187">
        <v>5</v>
      </c>
      <c r="AP24" s="187">
        <v>3212.0278723519905</v>
      </c>
      <c r="AQ24" s="184">
        <f t="shared" si="12"/>
        <v>642.40557447039805</v>
      </c>
      <c r="AR24" s="181">
        <f t="shared" si="13"/>
        <v>24</v>
      </c>
      <c r="AS24" s="587"/>
      <c r="AT24" s="187">
        <v>5</v>
      </c>
      <c r="AU24" s="187">
        <v>3214.1878723519903</v>
      </c>
      <c r="AV24" s="184">
        <f t="shared" si="14"/>
        <v>642.83757447039807</v>
      </c>
      <c r="AW24" s="181">
        <f t="shared" si="15"/>
        <v>24</v>
      </c>
      <c r="AX24" s="587"/>
    </row>
    <row r="25" spans="2:50" ht="14.25" customHeight="1">
      <c r="B25" s="586"/>
      <c r="C25" s="179">
        <v>19</v>
      </c>
      <c r="D25" s="182" t="s">
        <v>377</v>
      </c>
      <c r="E25" s="183">
        <v>3</v>
      </c>
      <c r="F25" s="179">
        <v>3600</v>
      </c>
      <c r="G25" s="184">
        <f t="shared" si="1"/>
        <v>1200</v>
      </c>
      <c r="H25" s="588"/>
      <c r="I25" s="185">
        <f t="shared" si="2"/>
        <v>3</v>
      </c>
      <c r="J25" s="185">
        <f t="shared" si="2"/>
        <v>3210.2740297791215</v>
      </c>
      <c r="K25" s="186">
        <f t="shared" si="2"/>
        <v>1070.0913432597072</v>
      </c>
      <c r="L25" s="589"/>
      <c r="M25" s="185">
        <f>RANK(K25, K$7:$K$43)</f>
        <v>3</v>
      </c>
      <c r="N25" s="600"/>
      <c r="O25" s="590"/>
      <c r="P25" s="187">
        <v>3</v>
      </c>
      <c r="Q25" s="187">
        <v>3208.1247664220637</v>
      </c>
      <c r="R25" s="184">
        <f t="shared" si="3"/>
        <v>1069.3749221406879</v>
      </c>
      <c r="S25" s="181">
        <f t="shared" si="4"/>
        <v>1</v>
      </c>
      <c r="T25" s="587"/>
      <c r="U25" s="187">
        <v>3</v>
      </c>
      <c r="V25" s="187">
        <v>3208.844766422063</v>
      </c>
      <c r="W25" s="184">
        <f t="shared" si="0"/>
        <v>1069.6149221406877</v>
      </c>
      <c r="X25" s="181">
        <f t="shared" si="5"/>
        <v>3</v>
      </c>
      <c r="Y25" s="587"/>
      <c r="Z25" s="187">
        <v>3</v>
      </c>
      <c r="AA25" s="187">
        <v>3209.9247664220629</v>
      </c>
      <c r="AB25" s="184">
        <f t="shared" si="6"/>
        <v>1069.9749221406876</v>
      </c>
      <c r="AC25" s="181">
        <f t="shared" si="7"/>
        <v>3</v>
      </c>
      <c r="AD25" s="587"/>
      <c r="AE25" s="187">
        <v>3</v>
      </c>
      <c r="AF25" s="187">
        <v>3210.2847664220626</v>
      </c>
      <c r="AG25" s="184">
        <f t="shared" si="8"/>
        <v>1070.0949221406875</v>
      </c>
      <c r="AH25" s="181">
        <f t="shared" si="9"/>
        <v>4</v>
      </c>
      <c r="AI25" s="587"/>
      <c r="AJ25" s="187">
        <v>3</v>
      </c>
      <c r="AK25" s="187">
        <v>3210.6447664220623</v>
      </c>
      <c r="AL25" s="184">
        <f t="shared" si="10"/>
        <v>1070.2149221406873</v>
      </c>
      <c r="AM25" s="181">
        <f t="shared" si="11"/>
        <v>4</v>
      </c>
      <c r="AN25" s="587"/>
      <c r="AO25" s="187">
        <v>3</v>
      </c>
      <c r="AP25" s="187">
        <v>3211.0047664220629</v>
      </c>
      <c r="AQ25" s="184">
        <f t="shared" si="12"/>
        <v>1070.3349221406877</v>
      </c>
      <c r="AR25" s="181">
        <f t="shared" si="13"/>
        <v>4</v>
      </c>
      <c r="AS25" s="587"/>
      <c r="AT25" s="187">
        <v>3</v>
      </c>
      <c r="AU25" s="187">
        <v>3213.0896099214742</v>
      </c>
      <c r="AV25" s="184">
        <f t="shared" si="14"/>
        <v>1071.0298699738248</v>
      </c>
      <c r="AW25" s="181">
        <f t="shared" si="15"/>
        <v>2</v>
      </c>
      <c r="AX25" s="587"/>
    </row>
    <row r="26" spans="2:50" ht="14.25" customHeight="1">
      <c r="B26" s="586"/>
      <c r="C26" s="179">
        <v>20</v>
      </c>
      <c r="D26" s="182" t="s">
        <v>379</v>
      </c>
      <c r="E26" s="183">
        <v>4</v>
      </c>
      <c r="F26" s="179">
        <v>3300</v>
      </c>
      <c r="G26" s="184">
        <f t="shared" si="1"/>
        <v>825</v>
      </c>
      <c r="H26" s="588"/>
      <c r="I26" s="185">
        <f t="shared" si="2"/>
        <v>4</v>
      </c>
      <c r="J26" s="185">
        <f t="shared" si="2"/>
        <v>3003.0954159949133</v>
      </c>
      <c r="K26" s="186">
        <f t="shared" si="2"/>
        <v>750.77385399872833</v>
      </c>
      <c r="L26" s="589"/>
      <c r="M26" s="185">
        <f>RANK(K26, K$7:$K$43)</f>
        <v>18</v>
      </c>
      <c r="N26" s="600"/>
      <c r="O26" s="590"/>
      <c r="P26" s="187">
        <v>4</v>
      </c>
      <c r="Q26" s="187">
        <v>2996.9283901922017</v>
      </c>
      <c r="R26" s="184">
        <f t="shared" si="3"/>
        <v>749.23209754805043</v>
      </c>
      <c r="S26" s="181">
        <f t="shared" si="4"/>
        <v>16</v>
      </c>
      <c r="T26" s="587"/>
      <c r="U26" s="187">
        <v>4</v>
      </c>
      <c r="V26" s="187">
        <v>3002.0402889108927</v>
      </c>
      <c r="W26" s="184">
        <f t="shared" si="0"/>
        <v>750.51007222772319</v>
      </c>
      <c r="X26" s="181">
        <f t="shared" si="5"/>
        <v>18</v>
      </c>
      <c r="Y26" s="587"/>
      <c r="Z26" s="187">
        <v>4</v>
      </c>
      <c r="AA26" s="187">
        <v>3002.3702889108922</v>
      </c>
      <c r="AB26" s="184">
        <f t="shared" si="6"/>
        <v>750.59257222772305</v>
      </c>
      <c r="AC26" s="181">
        <f t="shared" si="7"/>
        <v>18</v>
      </c>
      <c r="AD26" s="587"/>
      <c r="AE26" s="187">
        <v>4</v>
      </c>
      <c r="AF26" s="187">
        <v>3003.0302889108916</v>
      </c>
      <c r="AG26" s="184">
        <f t="shared" si="8"/>
        <v>750.7575722277229</v>
      </c>
      <c r="AH26" s="181">
        <f t="shared" si="9"/>
        <v>18</v>
      </c>
      <c r="AI26" s="587"/>
      <c r="AJ26" s="187">
        <v>4</v>
      </c>
      <c r="AK26" s="187">
        <v>3004.3502889108909</v>
      </c>
      <c r="AL26" s="184">
        <f t="shared" si="10"/>
        <v>751.08757222772272</v>
      </c>
      <c r="AM26" s="181">
        <f t="shared" si="11"/>
        <v>18</v>
      </c>
      <c r="AN26" s="587"/>
      <c r="AO26" s="187">
        <v>4</v>
      </c>
      <c r="AP26" s="187">
        <v>3004.6802889108908</v>
      </c>
      <c r="AQ26" s="184">
        <f t="shared" si="12"/>
        <v>751.1700722277227</v>
      </c>
      <c r="AR26" s="181">
        <f t="shared" si="13"/>
        <v>18</v>
      </c>
      <c r="AS26" s="587"/>
      <c r="AT26" s="187">
        <v>4</v>
      </c>
      <c r="AU26" s="187">
        <v>3008.268077217735</v>
      </c>
      <c r="AV26" s="184">
        <f t="shared" si="14"/>
        <v>752.06701930443376</v>
      </c>
      <c r="AW26" s="181">
        <f t="shared" si="15"/>
        <v>18</v>
      </c>
      <c r="AX26" s="587"/>
    </row>
    <row r="27" spans="2:50" ht="14.25" customHeight="1">
      <c r="B27" s="586"/>
      <c r="C27" s="179">
        <v>21</v>
      </c>
      <c r="D27" s="182" t="s">
        <v>323</v>
      </c>
      <c r="E27" s="183">
        <v>5</v>
      </c>
      <c r="F27" s="179">
        <v>3300</v>
      </c>
      <c r="G27" s="184">
        <f t="shared" si="1"/>
        <v>660</v>
      </c>
      <c r="H27" s="588"/>
      <c r="I27" s="185">
        <f t="shared" si="2"/>
        <v>5</v>
      </c>
      <c r="J27" s="185">
        <f t="shared" si="2"/>
        <v>3005.9186417170326</v>
      </c>
      <c r="K27" s="186">
        <f t="shared" si="2"/>
        <v>601.18372834340641</v>
      </c>
      <c r="L27" s="589"/>
      <c r="M27" s="185">
        <f>RANK(K27, K$7:$K$43)</f>
        <v>32</v>
      </c>
      <c r="N27" s="600"/>
      <c r="O27" s="590"/>
      <c r="P27" s="187">
        <v>5</v>
      </c>
      <c r="Q27" s="187">
        <v>2998.049999999997</v>
      </c>
      <c r="R27" s="184">
        <f t="shared" si="3"/>
        <v>599.60999999999945</v>
      </c>
      <c r="S27" s="181">
        <f t="shared" si="4"/>
        <v>32</v>
      </c>
      <c r="T27" s="587"/>
      <c r="U27" s="187">
        <v>5</v>
      </c>
      <c r="V27" s="187">
        <v>3006.7515103561414</v>
      </c>
      <c r="W27" s="184">
        <f t="shared" si="0"/>
        <v>601.35030207122827</v>
      </c>
      <c r="X27" s="181">
        <f t="shared" si="5"/>
        <v>32</v>
      </c>
      <c r="Y27" s="587"/>
      <c r="Z27" s="187">
        <v>5</v>
      </c>
      <c r="AA27" s="187">
        <v>3007.7415103561411</v>
      </c>
      <c r="AB27" s="184">
        <f t="shared" si="6"/>
        <v>601.54830207122825</v>
      </c>
      <c r="AC27" s="181">
        <f t="shared" si="7"/>
        <v>31</v>
      </c>
      <c r="AD27" s="587"/>
      <c r="AE27" s="187">
        <v>5</v>
      </c>
      <c r="AF27" s="187">
        <v>3006.1962323054954</v>
      </c>
      <c r="AG27" s="184">
        <f t="shared" si="8"/>
        <v>601.23924646109913</v>
      </c>
      <c r="AH27" s="181">
        <f t="shared" si="9"/>
        <v>32</v>
      </c>
      <c r="AI27" s="587"/>
      <c r="AJ27" s="187">
        <v>5</v>
      </c>
      <c r="AK27" s="187">
        <v>3006.5262323054958</v>
      </c>
      <c r="AL27" s="184">
        <f t="shared" si="10"/>
        <v>601.30524646109916</v>
      </c>
      <c r="AM27" s="181">
        <f t="shared" si="11"/>
        <v>32</v>
      </c>
      <c r="AN27" s="587"/>
      <c r="AO27" s="187">
        <v>5</v>
      </c>
      <c r="AP27" s="187">
        <v>3006.8562323054957</v>
      </c>
      <c r="AQ27" s="184">
        <f t="shared" si="12"/>
        <v>601.37124646109919</v>
      </c>
      <c r="AR27" s="181">
        <f t="shared" si="13"/>
        <v>32</v>
      </c>
      <c r="AS27" s="587"/>
      <c r="AT27" s="187">
        <v>5</v>
      </c>
      <c r="AU27" s="187">
        <v>3009.308774390463</v>
      </c>
      <c r="AV27" s="184">
        <f t="shared" si="14"/>
        <v>601.8617548780926</v>
      </c>
      <c r="AW27" s="181">
        <f t="shared" si="15"/>
        <v>32</v>
      </c>
      <c r="AX27" s="587"/>
    </row>
    <row r="28" spans="2:50" ht="14.25" customHeight="1">
      <c r="B28" s="586"/>
      <c r="C28" s="179">
        <v>22</v>
      </c>
      <c r="D28" s="182" t="s">
        <v>373</v>
      </c>
      <c r="E28" s="183">
        <v>3</v>
      </c>
      <c r="F28" s="179">
        <v>3600</v>
      </c>
      <c r="G28" s="184">
        <f t="shared" si="1"/>
        <v>1200</v>
      </c>
      <c r="H28" s="588"/>
      <c r="I28" s="185">
        <f t="shared" si="2"/>
        <v>3</v>
      </c>
      <c r="J28" s="185">
        <f t="shared" si="2"/>
        <v>3206.3649327751341</v>
      </c>
      <c r="K28" s="186">
        <f t="shared" si="2"/>
        <v>1068.7883109250449</v>
      </c>
      <c r="L28" s="589"/>
      <c r="M28" s="185">
        <f>RANK(K28, K$7:$K$43)</f>
        <v>8</v>
      </c>
      <c r="N28" s="600"/>
      <c r="O28" s="590"/>
      <c r="P28" s="187">
        <v>3</v>
      </c>
      <c r="Q28" s="187">
        <v>3202.7096651856</v>
      </c>
      <c r="R28" s="184">
        <f t="shared" si="3"/>
        <v>1067.5698883952</v>
      </c>
      <c r="S28" s="181">
        <f t="shared" si="4"/>
        <v>8</v>
      </c>
      <c r="T28" s="587"/>
      <c r="U28" s="187">
        <v>3</v>
      </c>
      <c r="V28" s="187">
        <v>3204.1496651855996</v>
      </c>
      <c r="W28" s="184">
        <f t="shared" si="0"/>
        <v>1068.0498883951998</v>
      </c>
      <c r="X28" s="181">
        <f t="shared" si="5"/>
        <v>8</v>
      </c>
      <c r="Y28" s="587"/>
      <c r="Z28" s="187">
        <v>3</v>
      </c>
      <c r="AA28" s="187">
        <v>3204.8696651855998</v>
      </c>
      <c r="AB28" s="184">
        <f t="shared" si="6"/>
        <v>1068.2898883952</v>
      </c>
      <c r="AC28" s="181">
        <f t="shared" si="7"/>
        <v>8</v>
      </c>
      <c r="AD28" s="587"/>
      <c r="AE28" s="187">
        <v>3</v>
      </c>
      <c r="AF28" s="187">
        <v>3206.3096651855994</v>
      </c>
      <c r="AG28" s="184">
        <f t="shared" si="8"/>
        <v>1068.7698883951998</v>
      </c>
      <c r="AH28" s="181">
        <f t="shared" si="9"/>
        <v>8</v>
      </c>
      <c r="AI28" s="587"/>
      <c r="AJ28" s="187">
        <v>3</v>
      </c>
      <c r="AK28" s="187">
        <v>3207.3896651856003</v>
      </c>
      <c r="AL28" s="184">
        <f t="shared" si="10"/>
        <v>1069.1298883952002</v>
      </c>
      <c r="AM28" s="181">
        <f t="shared" si="11"/>
        <v>8</v>
      </c>
      <c r="AN28" s="587"/>
      <c r="AO28" s="187">
        <v>3</v>
      </c>
      <c r="AP28" s="187">
        <v>3208.1096651856005</v>
      </c>
      <c r="AQ28" s="184">
        <f t="shared" si="12"/>
        <v>1069.3698883952002</v>
      </c>
      <c r="AR28" s="181">
        <f t="shared" si="13"/>
        <v>7</v>
      </c>
      <c r="AS28" s="587"/>
      <c r="AT28" s="187">
        <v>3</v>
      </c>
      <c r="AU28" s="187">
        <v>3211.0165383123431</v>
      </c>
      <c r="AV28" s="184">
        <f t="shared" si="14"/>
        <v>1070.3388461041143</v>
      </c>
      <c r="AW28" s="181">
        <f t="shared" si="15"/>
        <v>5</v>
      </c>
      <c r="AX28" s="587"/>
    </row>
    <row r="29" spans="2:50" ht="14.25" customHeight="1">
      <c r="B29" s="586"/>
      <c r="C29" s="179">
        <v>23</v>
      </c>
      <c r="D29" s="182" t="s">
        <v>482</v>
      </c>
      <c r="E29" s="183">
        <v>4</v>
      </c>
      <c r="F29" s="179">
        <v>3600</v>
      </c>
      <c r="G29" s="184">
        <f t="shared" si="1"/>
        <v>900</v>
      </c>
      <c r="H29" s="588"/>
      <c r="I29" s="185">
        <f t="shared" si="2"/>
        <v>4</v>
      </c>
      <c r="J29" s="185">
        <f t="shared" si="2"/>
        <v>3207.5657452687478</v>
      </c>
      <c r="K29" s="186">
        <f t="shared" si="2"/>
        <v>801.89143631718696</v>
      </c>
      <c r="L29" s="589"/>
      <c r="M29" s="185">
        <f>RANK(K29, K$7:$K$43)</f>
        <v>15</v>
      </c>
      <c r="N29" s="600"/>
      <c r="O29" s="590"/>
      <c r="P29" s="187">
        <v>4</v>
      </c>
      <c r="Q29" s="187">
        <v>3205.2000309830337</v>
      </c>
      <c r="R29" s="184">
        <f t="shared" si="3"/>
        <v>801.30000774575842</v>
      </c>
      <c r="S29" s="181">
        <f t="shared" si="4"/>
        <v>15</v>
      </c>
      <c r="T29" s="587"/>
      <c r="U29" s="187">
        <v>4</v>
      </c>
      <c r="V29" s="187">
        <v>3205.920030983033</v>
      </c>
      <c r="W29" s="184">
        <f t="shared" si="0"/>
        <v>801.48000774575826</v>
      </c>
      <c r="X29" s="181">
        <f t="shared" si="5"/>
        <v>15</v>
      </c>
      <c r="Y29" s="587"/>
      <c r="Z29" s="187">
        <v>4</v>
      </c>
      <c r="AA29" s="187">
        <v>3206.6400309830333</v>
      </c>
      <c r="AB29" s="184">
        <f t="shared" si="6"/>
        <v>801.66000774575832</v>
      </c>
      <c r="AC29" s="181">
        <f t="shared" si="7"/>
        <v>15</v>
      </c>
      <c r="AD29" s="587"/>
      <c r="AE29" s="187">
        <v>4</v>
      </c>
      <c r="AF29" s="187">
        <v>3207.360030983034</v>
      </c>
      <c r="AG29" s="184">
        <f t="shared" si="8"/>
        <v>801.8400077457585</v>
      </c>
      <c r="AH29" s="181">
        <f t="shared" si="9"/>
        <v>15</v>
      </c>
      <c r="AI29" s="587"/>
      <c r="AJ29" s="187">
        <v>4</v>
      </c>
      <c r="AK29" s="187">
        <v>3208.0800309830338</v>
      </c>
      <c r="AL29" s="184">
        <f t="shared" si="10"/>
        <v>802.02000774575845</v>
      </c>
      <c r="AM29" s="181">
        <f t="shared" si="11"/>
        <v>14</v>
      </c>
      <c r="AN29" s="587"/>
      <c r="AO29" s="187">
        <v>4</v>
      </c>
      <c r="AP29" s="187">
        <v>3209.5200309830338</v>
      </c>
      <c r="AQ29" s="184">
        <f t="shared" si="12"/>
        <v>802.38000774575846</v>
      </c>
      <c r="AR29" s="181">
        <f t="shared" si="13"/>
        <v>14</v>
      </c>
      <c r="AS29" s="587"/>
      <c r="AT29" s="187">
        <v>4</v>
      </c>
      <c r="AU29" s="187">
        <v>3210.2400309830336</v>
      </c>
      <c r="AV29" s="184">
        <f t="shared" si="14"/>
        <v>802.56000774575841</v>
      </c>
      <c r="AW29" s="181">
        <f t="shared" si="15"/>
        <v>15</v>
      </c>
      <c r="AX29" s="587"/>
    </row>
    <row r="30" spans="2:50" ht="14.25" customHeight="1">
      <c r="B30" s="586"/>
      <c r="C30" s="179">
        <v>24</v>
      </c>
      <c r="D30" s="182" t="s">
        <v>376</v>
      </c>
      <c r="E30" s="183">
        <v>3</v>
      </c>
      <c r="F30" s="179">
        <v>3600</v>
      </c>
      <c r="G30" s="184">
        <f t="shared" si="1"/>
        <v>1200</v>
      </c>
      <c r="H30" s="588"/>
      <c r="I30" s="185">
        <f t="shared" si="2"/>
        <v>3</v>
      </c>
      <c r="J30" s="185">
        <f t="shared" si="2"/>
        <v>3207.1743711100994</v>
      </c>
      <c r="K30" s="186">
        <f t="shared" si="2"/>
        <v>1069.0581237033666</v>
      </c>
      <c r="L30" s="589"/>
      <c r="M30" s="185">
        <f>RANK(K30, K$7:$K$43)</f>
        <v>7</v>
      </c>
      <c r="N30" s="600"/>
      <c r="O30" s="590"/>
      <c r="P30" s="187">
        <v>3</v>
      </c>
      <c r="Q30" s="187">
        <v>3206.0429425386715</v>
      </c>
      <c r="R30" s="184">
        <f t="shared" si="3"/>
        <v>1068.6809808462237</v>
      </c>
      <c r="S30" s="181">
        <f t="shared" si="4"/>
        <v>5</v>
      </c>
      <c r="T30" s="587"/>
      <c r="U30" s="187">
        <v>3</v>
      </c>
      <c r="V30" s="187">
        <v>3206.4029425386716</v>
      </c>
      <c r="W30" s="184">
        <f t="shared" si="0"/>
        <v>1068.8009808462239</v>
      </c>
      <c r="X30" s="181">
        <f t="shared" si="5"/>
        <v>6</v>
      </c>
      <c r="Y30" s="587"/>
      <c r="Z30" s="187">
        <v>3</v>
      </c>
      <c r="AA30" s="187">
        <v>3206.4029425386716</v>
      </c>
      <c r="AB30" s="184">
        <f t="shared" si="6"/>
        <v>1068.8009808462239</v>
      </c>
      <c r="AC30" s="181">
        <f t="shared" si="7"/>
        <v>7</v>
      </c>
      <c r="AD30" s="587"/>
      <c r="AE30" s="187">
        <v>3</v>
      </c>
      <c r="AF30" s="187">
        <v>3206.4029425386711</v>
      </c>
      <c r="AG30" s="184">
        <f t="shared" si="8"/>
        <v>1068.8009808462236</v>
      </c>
      <c r="AH30" s="181">
        <f t="shared" si="9"/>
        <v>7</v>
      </c>
      <c r="AI30" s="587"/>
      <c r="AJ30" s="187">
        <v>3</v>
      </c>
      <c r="AK30" s="187">
        <v>3207.4829425386706</v>
      </c>
      <c r="AL30" s="184">
        <f t="shared" si="10"/>
        <v>1069.1609808462235</v>
      </c>
      <c r="AM30" s="181">
        <f t="shared" si="11"/>
        <v>7</v>
      </c>
      <c r="AN30" s="587"/>
      <c r="AO30" s="187">
        <v>3</v>
      </c>
      <c r="AP30" s="187">
        <v>3207.8429425386703</v>
      </c>
      <c r="AQ30" s="184">
        <f t="shared" si="12"/>
        <v>1069.2809808462234</v>
      </c>
      <c r="AR30" s="181">
        <f t="shared" si="13"/>
        <v>8</v>
      </c>
      <c r="AS30" s="587"/>
      <c r="AT30" s="187">
        <v>3</v>
      </c>
      <c r="AU30" s="187">
        <v>3209.6429425386705</v>
      </c>
      <c r="AV30" s="184">
        <f t="shared" si="14"/>
        <v>1069.8809808462236</v>
      </c>
      <c r="AW30" s="181">
        <f t="shared" si="15"/>
        <v>8</v>
      </c>
      <c r="AX30" s="587"/>
    </row>
    <row r="31" spans="2:50" ht="14.25" customHeight="1">
      <c r="B31" s="586"/>
      <c r="C31" s="179">
        <v>25</v>
      </c>
      <c r="D31" s="182" t="s">
        <v>375</v>
      </c>
      <c r="E31" s="183">
        <v>5</v>
      </c>
      <c r="F31" s="179">
        <v>3600</v>
      </c>
      <c r="G31" s="184">
        <f t="shared" si="1"/>
        <v>720</v>
      </c>
      <c r="H31" s="588"/>
      <c r="I31" s="185">
        <f t="shared" si="2"/>
        <v>5</v>
      </c>
      <c r="J31" s="185">
        <f t="shared" si="2"/>
        <v>3208.1201722713872</v>
      </c>
      <c r="K31" s="186">
        <f t="shared" si="2"/>
        <v>641.62403445427742</v>
      </c>
      <c r="L31" s="589"/>
      <c r="M31" s="185">
        <f>RANK(K31, K$7:$K$43)</f>
        <v>27</v>
      </c>
      <c r="N31" s="600"/>
      <c r="O31" s="590"/>
      <c r="P31" s="187">
        <v>5</v>
      </c>
      <c r="Q31" s="187">
        <v>3205.5487436999574</v>
      </c>
      <c r="R31" s="184">
        <f t="shared" si="3"/>
        <v>641.10974873999146</v>
      </c>
      <c r="S31" s="181">
        <f t="shared" si="4"/>
        <v>25</v>
      </c>
      <c r="T31" s="587"/>
      <c r="U31" s="187">
        <v>5</v>
      </c>
      <c r="V31" s="187">
        <v>3205.9087436999575</v>
      </c>
      <c r="W31" s="184">
        <f t="shared" si="0"/>
        <v>641.18174873999146</v>
      </c>
      <c r="X31" s="181">
        <f t="shared" si="5"/>
        <v>29</v>
      </c>
      <c r="Y31" s="587"/>
      <c r="Z31" s="187">
        <v>5</v>
      </c>
      <c r="AA31" s="187">
        <v>3206.9887436999575</v>
      </c>
      <c r="AB31" s="184">
        <f t="shared" si="6"/>
        <v>641.39774873999147</v>
      </c>
      <c r="AC31" s="181">
        <f t="shared" si="7"/>
        <v>27</v>
      </c>
      <c r="AD31" s="587"/>
      <c r="AE31" s="187">
        <v>5</v>
      </c>
      <c r="AF31" s="187">
        <v>3208.7887436999572</v>
      </c>
      <c r="AG31" s="184">
        <f t="shared" si="8"/>
        <v>641.75774873999148</v>
      </c>
      <c r="AH31" s="181">
        <f t="shared" si="9"/>
        <v>25</v>
      </c>
      <c r="AI31" s="587"/>
      <c r="AJ31" s="187">
        <v>5</v>
      </c>
      <c r="AK31" s="187">
        <v>3208.7887436999581</v>
      </c>
      <c r="AL31" s="184">
        <f t="shared" si="10"/>
        <v>641.7577487399916</v>
      </c>
      <c r="AM31" s="181">
        <f t="shared" si="11"/>
        <v>26</v>
      </c>
      <c r="AN31" s="587"/>
      <c r="AO31" s="187">
        <v>5</v>
      </c>
      <c r="AP31" s="187">
        <v>3209.5087436999584</v>
      </c>
      <c r="AQ31" s="184">
        <f t="shared" si="12"/>
        <v>641.90174873999172</v>
      </c>
      <c r="AR31" s="181">
        <f t="shared" si="13"/>
        <v>27</v>
      </c>
      <c r="AS31" s="587"/>
      <c r="AT31" s="187">
        <v>5</v>
      </c>
      <c r="AU31" s="187">
        <v>3211.3087436999585</v>
      </c>
      <c r="AV31" s="184">
        <f t="shared" si="14"/>
        <v>642.26174873999173</v>
      </c>
      <c r="AW31" s="181">
        <f t="shared" si="15"/>
        <v>29</v>
      </c>
      <c r="AX31" s="587"/>
    </row>
    <row r="32" spans="2:50" ht="14.25" customHeight="1">
      <c r="B32" s="586"/>
      <c r="C32" s="179">
        <v>26</v>
      </c>
      <c r="D32" s="182" t="s">
        <v>372</v>
      </c>
      <c r="E32" s="183">
        <v>5</v>
      </c>
      <c r="F32" s="179">
        <v>3600</v>
      </c>
      <c r="G32" s="184">
        <f t="shared" si="1"/>
        <v>720</v>
      </c>
      <c r="H32" s="588"/>
      <c r="I32" s="185">
        <f t="shared" si="2"/>
        <v>5</v>
      </c>
      <c r="J32" s="185">
        <f t="shared" si="2"/>
        <v>3207.1702935302014</v>
      </c>
      <c r="K32" s="186">
        <f t="shared" si="2"/>
        <v>641.43405870604033</v>
      </c>
      <c r="L32" s="589"/>
      <c r="M32" s="185">
        <f>RANK(K32, K$7:$K$43)</f>
        <v>30</v>
      </c>
      <c r="N32" s="600"/>
      <c r="O32" s="590"/>
      <c r="P32" s="187">
        <v>5</v>
      </c>
      <c r="Q32" s="187">
        <v>3204.3931506730587</v>
      </c>
      <c r="R32" s="184">
        <f t="shared" si="3"/>
        <v>640.87863013461174</v>
      </c>
      <c r="S32" s="181">
        <f t="shared" si="4"/>
        <v>30</v>
      </c>
      <c r="T32" s="587"/>
      <c r="U32" s="187">
        <v>5</v>
      </c>
      <c r="V32" s="187">
        <v>3205.4731506730586</v>
      </c>
      <c r="W32" s="184">
        <f t="shared" si="0"/>
        <v>641.09463013461175</v>
      </c>
      <c r="X32" s="181">
        <f t="shared" si="5"/>
        <v>30</v>
      </c>
      <c r="Y32" s="587"/>
      <c r="Z32" s="187">
        <v>5</v>
      </c>
      <c r="AA32" s="187">
        <v>3206.553150673059</v>
      </c>
      <c r="AB32" s="184">
        <f t="shared" si="6"/>
        <v>641.31063013461176</v>
      </c>
      <c r="AC32" s="181">
        <f t="shared" si="7"/>
        <v>30</v>
      </c>
      <c r="AD32" s="587"/>
      <c r="AE32" s="187">
        <v>5</v>
      </c>
      <c r="AF32" s="187">
        <v>3206.9131506730591</v>
      </c>
      <c r="AG32" s="184">
        <f t="shared" si="8"/>
        <v>641.38263013461187</v>
      </c>
      <c r="AH32" s="181">
        <f t="shared" si="9"/>
        <v>29</v>
      </c>
      <c r="AI32" s="587"/>
      <c r="AJ32" s="187">
        <v>5</v>
      </c>
      <c r="AK32" s="187">
        <v>3207.6331506730585</v>
      </c>
      <c r="AL32" s="184">
        <f t="shared" si="10"/>
        <v>641.52663013461165</v>
      </c>
      <c r="AM32" s="181">
        <f t="shared" si="11"/>
        <v>28</v>
      </c>
      <c r="AN32" s="587"/>
      <c r="AO32" s="187">
        <v>5</v>
      </c>
      <c r="AP32" s="187">
        <v>3208.7131506730575</v>
      </c>
      <c r="AQ32" s="184">
        <f t="shared" si="12"/>
        <v>641.74263013461155</v>
      </c>
      <c r="AR32" s="181">
        <f t="shared" si="13"/>
        <v>28</v>
      </c>
      <c r="AS32" s="587"/>
      <c r="AT32" s="187">
        <v>5</v>
      </c>
      <c r="AU32" s="187">
        <v>3210.5131506730577</v>
      </c>
      <c r="AV32" s="184">
        <f t="shared" si="14"/>
        <v>642.10263013461156</v>
      </c>
      <c r="AW32" s="181">
        <f t="shared" si="15"/>
        <v>30</v>
      </c>
      <c r="AX32" s="587"/>
    </row>
    <row r="33" spans="1:50" ht="14.25" customHeight="1">
      <c r="B33" s="586"/>
      <c r="C33" s="179">
        <v>27</v>
      </c>
      <c r="D33" s="182" t="s">
        <v>374</v>
      </c>
      <c r="E33" s="183">
        <v>3</v>
      </c>
      <c r="F33" s="179">
        <v>3000</v>
      </c>
      <c r="G33" s="184">
        <f t="shared" si="1"/>
        <v>1000</v>
      </c>
      <c r="H33" s="588"/>
      <c r="I33" s="185">
        <f t="shared" si="2"/>
        <v>3</v>
      </c>
      <c r="J33" s="185">
        <f t="shared" si="2"/>
        <v>2735.8819722090002</v>
      </c>
      <c r="K33" s="186">
        <f t="shared" si="2"/>
        <v>911.9606574029998</v>
      </c>
      <c r="L33" s="589"/>
      <c r="M33" s="185">
        <f>RANK(K33, K$7:$K$43)</f>
        <v>11</v>
      </c>
      <c r="N33" s="600"/>
      <c r="O33" s="590"/>
      <c r="P33" s="187">
        <v>3</v>
      </c>
      <c r="Q33" s="187">
        <v>2731.9156912027665</v>
      </c>
      <c r="R33" s="184">
        <f t="shared" si="3"/>
        <v>910.63856373425551</v>
      </c>
      <c r="S33" s="181">
        <f t="shared" si="4"/>
        <v>13</v>
      </c>
      <c r="T33" s="587"/>
      <c r="U33" s="187">
        <v>3</v>
      </c>
      <c r="V33" s="187">
        <v>2732.2156912027667</v>
      </c>
      <c r="W33" s="184">
        <f t="shared" si="0"/>
        <v>910.73856373425554</v>
      </c>
      <c r="X33" s="181">
        <f t="shared" si="5"/>
        <v>13</v>
      </c>
      <c r="Y33" s="587"/>
      <c r="Z33" s="187">
        <v>3</v>
      </c>
      <c r="AA33" s="187">
        <v>2735.8259555789173</v>
      </c>
      <c r="AB33" s="184">
        <f t="shared" si="6"/>
        <v>911.94198519297242</v>
      </c>
      <c r="AC33" s="181">
        <f t="shared" si="7"/>
        <v>11</v>
      </c>
      <c r="AD33" s="587"/>
      <c r="AE33" s="187">
        <v>3</v>
      </c>
      <c r="AF33" s="187">
        <v>2736.4541168696373</v>
      </c>
      <c r="AG33" s="184">
        <f t="shared" si="8"/>
        <v>912.15137228987908</v>
      </c>
      <c r="AH33" s="181">
        <f t="shared" si="9"/>
        <v>11</v>
      </c>
      <c r="AI33" s="587"/>
      <c r="AJ33" s="187">
        <v>3</v>
      </c>
      <c r="AK33" s="187">
        <v>2737.6541168696372</v>
      </c>
      <c r="AL33" s="184">
        <f t="shared" si="10"/>
        <v>912.55137228987905</v>
      </c>
      <c r="AM33" s="181">
        <f t="shared" si="11"/>
        <v>11</v>
      </c>
      <c r="AN33" s="587"/>
      <c r="AO33" s="187">
        <v>3</v>
      </c>
      <c r="AP33" s="187">
        <v>2737.9541168696369</v>
      </c>
      <c r="AQ33" s="184">
        <f t="shared" si="12"/>
        <v>912.65137228987896</v>
      </c>
      <c r="AR33" s="181">
        <f t="shared" si="13"/>
        <v>11</v>
      </c>
      <c r="AS33" s="587"/>
      <c r="AT33" s="187">
        <v>3</v>
      </c>
      <c r="AU33" s="187">
        <v>2739.1541168696372</v>
      </c>
      <c r="AV33" s="184">
        <f t="shared" si="14"/>
        <v>913.05137228987905</v>
      </c>
      <c r="AW33" s="181">
        <f t="shared" si="15"/>
        <v>11</v>
      </c>
      <c r="AX33" s="587"/>
    </row>
    <row r="34" spans="1:50" ht="14.25" customHeight="1">
      <c r="B34" s="586"/>
      <c r="C34" s="179">
        <v>28</v>
      </c>
      <c r="D34" s="182" t="s">
        <v>412</v>
      </c>
      <c r="E34" s="183">
        <v>3</v>
      </c>
      <c r="F34" s="179">
        <v>3600</v>
      </c>
      <c r="G34" s="184">
        <f t="shared" si="1"/>
        <v>1200</v>
      </c>
      <c r="H34" s="588"/>
      <c r="I34" s="185">
        <f t="shared" si="2"/>
        <v>3</v>
      </c>
      <c r="J34" s="185">
        <f t="shared" si="2"/>
        <v>3212.7668521761993</v>
      </c>
      <c r="K34" s="186">
        <f t="shared" si="2"/>
        <v>1070.9222840587331</v>
      </c>
      <c r="L34" s="589"/>
      <c r="M34" s="185">
        <f>RANK(K34, K$7:$K$43)</f>
        <v>1</v>
      </c>
      <c r="N34" s="600"/>
      <c r="O34" s="590"/>
      <c r="P34" s="187">
        <v>3</v>
      </c>
      <c r="Q34" s="187">
        <v>3206.5446526664191</v>
      </c>
      <c r="R34" s="184">
        <f t="shared" si="3"/>
        <v>1068.848217555473</v>
      </c>
      <c r="S34" s="181">
        <f t="shared" si="4"/>
        <v>4</v>
      </c>
      <c r="T34" s="587"/>
      <c r="U34" s="187">
        <v>3</v>
      </c>
      <c r="V34" s="187">
        <v>3210.8038854278293</v>
      </c>
      <c r="W34" s="184">
        <f t="shared" si="0"/>
        <v>1070.2679618092764</v>
      </c>
      <c r="X34" s="181">
        <f t="shared" si="5"/>
        <v>1</v>
      </c>
      <c r="Y34" s="587"/>
      <c r="Z34" s="187">
        <v>3</v>
      </c>
      <c r="AA34" s="187">
        <v>3211.8838854278292</v>
      </c>
      <c r="AB34" s="184">
        <f t="shared" si="6"/>
        <v>1070.6279618092765</v>
      </c>
      <c r="AC34" s="181">
        <f t="shared" si="7"/>
        <v>1</v>
      </c>
      <c r="AD34" s="587"/>
      <c r="AE34" s="187">
        <v>3</v>
      </c>
      <c r="AF34" s="187">
        <v>3212.9638854278292</v>
      </c>
      <c r="AG34" s="184">
        <f t="shared" si="8"/>
        <v>1070.9879618092764</v>
      </c>
      <c r="AH34" s="181">
        <f t="shared" si="9"/>
        <v>1</v>
      </c>
      <c r="AI34" s="587"/>
      <c r="AJ34" s="187">
        <v>3</v>
      </c>
      <c r="AK34" s="187">
        <v>3214.7638854278293</v>
      </c>
      <c r="AL34" s="184">
        <f t="shared" si="10"/>
        <v>1071.5879618092765</v>
      </c>
      <c r="AM34" s="181">
        <f t="shared" si="11"/>
        <v>1</v>
      </c>
      <c r="AN34" s="587"/>
      <c r="AO34" s="187">
        <v>3</v>
      </c>
      <c r="AP34" s="187">
        <v>3215.8438854278302</v>
      </c>
      <c r="AQ34" s="184">
        <f t="shared" si="12"/>
        <v>1071.9479618092766</v>
      </c>
      <c r="AR34" s="181">
        <f t="shared" si="13"/>
        <v>1</v>
      </c>
      <c r="AS34" s="587"/>
      <c r="AT34" s="187">
        <v>3</v>
      </c>
      <c r="AU34" s="187">
        <v>3216.5638854278304</v>
      </c>
      <c r="AV34" s="184">
        <f t="shared" si="14"/>
        <v>1072.1879618092769</v>
      </c>
      <c r="AW34" s="181">
        <f t="shared" si="15"/>
        <v>1</v>
      </c>
      <c r="AX34" s="587"/>
    </row>
    <row r="35" spans="1:50" ht="14.25" customHeight="1">
      <c r="B35" s="586"/>
      <c r="C35" s="179">
        <v>29</v>
      </c>
      <c r="D35" s="182" t="s">
        <v>417</v>
      </c>
      <c r="E35" s="183">
        <v>4</v>
      </c>
      <c r="F35" s="179">
        <v>3000</v>
      </c>
      <c r="G35" s="184">
        <f t="shared" si="1"/>
        <v>750</v>
      </c>
      <c r="H35" s="588"/>
      <c r="I35" s="185">
        <f t="shared" si="2"/>
        <v>4</v>
      </c>
      <c r="J35" s="185">
        <f t="shared" si="2"/>
        <v>2732.8885682167979</v>
      </c>
      <c r="K35" s="186">
        <f t="shared" si="2"/>
        <v>683.22214205419948</v>
      </c>
      <c r="L35" s="589"/>
      <c r="M35" s="185">
        <f>RANK(K35, K$7:$K$43)</f>
        <v>19</v>
      </c>
      <c r="N35" s="600"/>
      <c r="O35" s="590"/>
      <c r="P35" s="187">
        <v>4</v>
      </c>
      <c r="Q35" s="187">
        <v>2729.8786774566447</v>
      </c>
      <c r="R35" s="184">
        <f t="shared" si="3"/>
        <v>682.46966936416118</v>
      </c>
      <c r="S35" s="181">
        <f t="shared" si="4"/>
        <v>20</v>
      </c>
      <c r="T35" s="587"/>
      <c r="U35" s="187">
        <v>4</v>
      </c>
      <c r="V35" s="187">
        <v>2730.1786774566453</v>
      </c>
      <c r="W35" s="184">
        <f t="shared" si="0"/>
        <v>682.54466936416134</v>
      </c>
      <c r="X35" s="181">
        <f t="shared" si="5"/>
        <v>20</v>
      </c>
      <c r="Y35" s="587"/>
      <c r="Z35" s="187">
        <v>4</v>
      </c>
      <c r="AA35" s="187">
        <v>2731.3786774566452</v>
      </c>
      <c r="AB35" s="184">
        <f t="shared" si="6"/>
        <v>682.84466936416129</v>
      </c>
      <c r="AC35" s="181">
        <f t="shared" si="7"/>
        <v>20</v>
      </c>
      <c r="AD35" s="587"/>
      <c r="AE35" s="187">
        <v>4</v>
      </c>
      <c r="AF35" s="187">
        <v>2731.9786774566451</v>
      </c>
      <c r="AG35" s="184">
        <f t="shared" si="8"/>
        <v>682.99466936416127</v>
      </c>
      <c r="AH35" s="181">
        <f t="shared" si="9"/>
        <v>20</v>
      </c>
      <c r="AI35" s="587"/>
      <c r="AJ35" s="187">
        <v>4</v>
      </c>
      <c r="AK35" s="187">
        <v>2733.1786774566444</v>
      </c>
      <c r="AL35" s="184">
        <f t="shared" si="10"/>
        <v>683.29466936416111</v>
      </c>
      <c r="AM35" s="181">
        <f t="shared" si="11"/>
        <v>19</v>
      </c>
      <c r="AN35" s="587"/>
      <c r="AO35" s="187">
        <v>4</v>
      </c>
      <c r="AP35" s="187">
        <v>2733.7786774566443</v>
      </c>
      <c r="AQ35" s="184">
        <f t="shared" si="12"/>
        <v>683.44466936416109</v>
      </c>
      <c r="AR35" s="181">
        <f t="shared" si="13"/>
        <v>19</v>
      </c>
      <c r="AS35" s="587"/>
      <c r="AT35" s="187">
        <v>4</v>
      </c>
      <c r="AU35" s="187">
        <v>2739.8479127777177</v>
      </c>
      <c r="AV35" s="184">
        <f t="shared" si="14"/>
        <v>684.96197819442943</v>
      </c>
      <c r="AW35" s="181">
        <f t="shared" si="15"/>
        <v>19</v>
      </c>
      <c r="AX35" s="587"/>
    </row>
    <row r="36" spans="1:50" ht="14.25" customHeight="1">
      <c r="B36" s="586"/>
      <c r="C36" s="179">
        <v>30</v>
      </c>
      <c r="D36" s="182" t="s">
        <v>470</v>
      </c>
      <c r="E36" s="183">
        <v>5</v>
      </c>
      <c r="F36" s="179">
        <v>3000</v>
      </c>
      <c r="G36" s="184">
        <f t="shared" si="1"/>
        <v>600</v>
      </c>
      <c r="H36" s="588"/>
      <c r="I36" s="185">
        <f t="shared" si="2"/>
        <v>5</v>
      </c>
      <c r="J36" s="185">
        <f t="shared" si="2"/>
        <v>2733.913026083198</v>
      </c>
      <c r="K36" s="186">
        <f t="shared" si="2"/>
        <v>546.78260521663969</v>
      </c>
      <c r="L36" s="589"/>
      <c r="M36" s="185">
        <f>RANK(K36, K$7:$K$43)</f>
        <v>33</v>
      </c>
      <c r="N36" s="600"/>
      <c r="O36" s="590"/>
      <c r="P36" s="187">
        <v>5</v>
      </c>
      <c r="Q36" s="187">
        <v>2730.6048578727991</v>
      </c>
      <c r="R36" s="184">
        <f t="shared" si="3"/>
        <v>546.1209715745598</v>
      </c>
      <c r="S36" s="181">
        <f t="shared" si="4"/>
        <v>33</v>
      </c>
      <c r="T36" s="587"/>
      <c r="U36" s="187">
        <v>5</v>
      </c>
      <c r="V36" s="187">
        <v>2733.1218367216975</v>
      </c>
      <c r="W36" s="184">
        <f t="shared" si="0"/>
        <v>546.62436734433948</v>
      </c>
      <c r="X36" s="181">
        <f t="shared" si="5"/>
        <v>33</v>
      </c>
      <c r="Y36" s="587"/>
      <c r="Z36" s="187">
        <v>5</v>
      </c>
      <c r="AA36" s="187">
        <v>2733.7218367216974</v>
      </c>
      <c r="AB36" s="184">
        <f t="shared" si="6"/>
        <v>546.74436734433948</v>
      </c>
      <c r="AC36" s="181">
        <f t="shared" si="7"/>
        <v>33</v>
      </c>
      <c r="AD36" s="587"/>
      <c r="AE36" s="187">
        <v>5</v>
      </c>
      <c r="AF36" s="187">
        <v>2734.0218367216976</v>
      </c>
      <c r="AG36" s="184">
        <f t="shared" si="8"/>
        <v>546.80436734433954</v>
      </c>
      <c r="AH36" s="181">
        <f t="shared" si="9"/>
        <v>33</v>
      </c>
      <c r="AI36" s="587"/>
      <c r="AJ36" s="187">
        <v>5</v>
      </c>
      <c r="AK36" s="187">
        <v>2734.3218367216978</v>
      </c>
      <c r="AL36" s="184">
        <f t="shared" si="10"/>
        <v>546.8643673443396</v>
      </c>
      <c r="AM36" s="181">
        <f t="shared" si="11"/>
        <v>33</v>
      </c>
      <c r="AN36" s="587"/>
      <c r="AO36" s="187">
        <v>5</v>
      </c>
      <c r="AP36" s="187">
        <v>2734.6218367216979</v>
      </c>
      <c r="AQ36" s="184">
        <f t="shared" si="12"/>
        <v>546.92436734433954</v>
      </c>
      <c r="AR36" s="181">
        <f t="shared" si="13"/>
        <v>33</v>
      </c>
      <c r="AS36" s="587"/>
      <c r="AT36" s="187">
        <v>5</v>
      </c>
      <c r="AU36" s="187">
        <v>2736.9771411010993</v>
      </c>
      <c r="AV36" s="184">
        <f t="shared" si="14"/>
        <v>547.39542822021986</v>
      </c>
      <c r="AW36" s="181">
        <f t="shared" si="15"/>
        <v>33</v>
      </c>
      <c r="AX36" s="587"/>
    </row>
    <row r="37" spans="1:50" ht="14.25" customHeight="1">
      <c r="B37" s="586"/>
      <c r="C37" s="179">
        <v>31</v>
      </c>
      <c r="D37" s="182" t="s">
        <v>551</v>
      </c>
      <c r="E37" s="179">
        <v>5</v>
      </c>
      <c r="F37" s="179">
        <v>3600</v>
      </c>
      <c r="G37" s="184">
        <f t="shared" si="1"/>
        <v>720</v>
      </c>
      <c r="H37" s="588"/>
      <c r="I37" s="185">
        <f t="shared" si="2"/>
        <v>5</v>
      </c>
      <c r="J37" s="185">
        <f t="shared" si="2"/>
        <v>3264.5341984990905</v>
      </c>
      <c r="K37" s="186">
        <f t="shared" si="2"/>
        <v>652.90683969981797</v>
      </c>
      <c r="L37" s="589"/>
      <c r="M37" s="185">
        <f>RANK(K37, K$7:$K$43)</f>
        <v>22</v>
      </c>
      <c r="N37" s="600"/>
      <c r="O37" s="590"/>
      <c r="P37" s="187">
        <v>5</v>
      </c>
      <c r="Q37" s="187">
        <v>3263.4541984990906</v>
      </c>
      <c r="R37" s="184">
        <f t="shared" si="3"/>
        <v>652.69083969981807</v>
      </c>
      <c r="S37" s="181">
        <f t="shared" si="4"/>
        <v>22</v>
      </c>
      <c r="T37" s="587"/>
      <c r="U37" s="187">
        <v>5</v>
      </c>
      <c r="V37" s="187">
        <v>3263.8141984990898</v>
      </c>
      <c r="W37" s="184">
        <f t="shared" si="0"/>
        <v>652.76283969981796</v>
      </c>
      <c r="X37" s="181">
        <f t="shared" si="5"/>
        <v>22</v>
      </c>
      <c r="Y37" s="587"/>
      <c r="Z37" s="187">
        <v>5</v>
      </c>
      <c r="AA37" s="187">
        <v>3263.4541984990901</v>
      </c>
      <c r="AB37" s="184">
        <f t="shared" si="6"/>
        <v>652.69083969981807</v>
      </c>
      <c r="AC37" s="181">
        <f t="shared" si="7"/>
        <v>22</v>
      </c>
      <c r="AD37" s="587"/>
      <c r="AE37" s="187">
        <v>5</v>
      </c>
      <c r="AF37" s="187">
        <v>3263.8141984990903</v>
      </c>
      <c r="AG37" s="184">
        <f t="shared" si="8"/>
        <v>652.76283969981807</v>
      </c>
      <c r="AH37" s="181">
        <f t="shared" si="9"/>
        <v>22</v>
      </c>
      <c r="AI37" s="587"/>
      <c r="AJ37" s="187">
        <v>5</v>
      </c>
      <c r="AK37" s="187">
        <v>3264.5341984990901</v>
      </c>
      <c r="AL37" s="184">
        <f t="shared" si="10"/>
        <v>652.90683969981797</v>
      </c>
      <c r="AM37" s="181">
        <f t="shared" si="11"/>
        <v>22</v>
      </c>
      <c r="AN37" s="587"/>
      <c r="AO37" s="187">
        <v>5</v>
      </c>
      <c r="AP37" s="187">
        <v>3265.9741984990897</v>
      </c>
      <c r="AQ37" s="184">
        <f t="shared" si="12"/>
        <v>653.19483969981798</v>
      </c>
      <c r="AR37" s="181">
        <f t="shared" si="13"/>
        <v>22</v>
      </c>
      <c r="AS37" s="587"/>
      <c r="AT37" s="187">
        <v>5</v>
      </c>
      <c r="AU37" s="187">
        <v>3266.6941984990904</v>
      </c>
      <c r="AV37" s="184">
        <f t="shared" si="14"/>
        <v>653.3388396998181</v>
      </c>
      <c r="AW37" s="181">
        <f t="shared" si="15"/>
        <v>21</v>
      </c>
      <c r="AX37" s="587"/>
    </row>
    <row r="38" spans="1:50" ht="14.25" customHeight="1">
      <c r="B38" s="586"/>
      <c r="C38" s="179">
        <v>32</v>
      </c>
      <c r="D38" s="182" t="s">
        <v>557</v>
      </c>
      <c r="E38" s="179">
        <v>4</v>
      </c>
      <c r="F38" s="179">
        <v>3000</v>
      </c>
      <c r="G38" s="184">
        <f t="shared" si="1"/>
        <v>750</v>
      </c>
      <c r="H38" s="588"/>
      <c r="I38" s="185">
        <f t="shared" ref="I38:K41" si="16">AVERAGE(P38,U38,Z38,AE38,AJ38,AO38,AT38)</f>
        <v>4</v>
      </c>
      <c r="J38" s="185">
        <f t="shared" si="16"/>
        <v>2732.4778502218714</v>
      </c>
      <c r="K38" s="186">
        <f t="shared" si="16"/>
        <v>683.11946255546786</v>
      </c>
      <c r="L38" s="589"/>
      <c r="M38" s="185">
        <f>RANK(K38, K$7:$K$43)</f>
        <v>20</v>
      </c>
      <c r="N38" s="600"/>
      <c r="O38" s="590"/>
      <c r="P38" s="187">
        <v>4</v>
      </c>
      <c r="Q38" s="187">
        <v>2730.3766433749715</v>
      </c>
      <c r="R38" s="184">
        <f t="shared" si="3"/>
        <v>682.59416084374288</v>
      </c>
      <c r="S38" s="181">
        <f t="shared" si="4"/>
        <v>19</v>
      </c>
      <c r="T38" s="587"/>
      <c r="U38" s="187">
        <v>4</v>
      </c>
      <c r="V38" s="187">
        <v>2730.9766433749714</v>
      </c>
      <c r="W38" s="184">
        <f t="shared" si="0"/>
        <v>682.74416084374286</v>
      </c>
      <c r="X38" s="181">
        <f t="shared" si="5"/>
        <v>19</v>
      </c>
      <c r="Y38" s="587"/>
      <c r="Z38" s="187">
        <v>4</v>
      </c>
      <c r="AA38" s="187">
        <v>2731.5766433749714</v>
      </c>
      <c r="AB38" s="184">
        <f t="shared" si="6"/>
        <v>682.89416084374284</v>
      </c>
      <c r="AC38" s="181">
        <f t="shared" si="7"/>
        <v>19</v>
      </c>
      <c r="AD38" s="587"/>
      <c r="AE38" s="187">
        <v>4</v>
      </c>
      <c r="AF38" s="187">
        <v>2732.1766433749713</v>
      </c>
      <c r="AG38" s="184">
        <f t="shared" si="8"/>
        <v>683.04416084374282</v>
      </c>
      <c r="AH38" s="181">
        <f t="shared" si="9"/>
        <v>19</v>
      </c>
      <c r="AI38" s="587"/>
      <c r="AJ38" s="187">
        <v>4</v>
      </c>
      <c r="AK38" s="187">
        <v>2732.7766433749716</v>
      </c>
      <c r="AL38" s="184">
        <f t="shared" si="10"/>
        <v>683.19416084374291</v>
      </c>
      <c r="AM38" s="181">
        <f t="shared" si="11"/>
        <v>20</v>
      </c>
      <c r="AN38" s="587"/>
      <c r="AO38" s="187">
        <v>4</v>
      </c>
      <c r="AP38" s="187">
        <v>2733.6766433749713</v>
      </c>
      <c r="AQ38" s="184">
        <f t="shared" si="12"/>
        <v>683.41916084374282</v>
      </c>
      <c r="AR38" s="181">
        <f t="shared" si="13"/>
        <v>20</v>
      </c>
      <c r="AS38" s="587"/>
      <c r="AT38" s="187">
        <v>4</v>
      </c>
      <c r="AU38" s="187">
        <v>2735.7850913032712</v>
      </c>
      <c r="AV38" s="184">
        <f t="shared" si="14"/>
        <v>683.9462728258178</v>
      </c>
      <c r="AW38" s="181">
        <f t="shared" si="15"/>
        <v>20</v>
      </c>
      <c r="AX38" s="587"/>
    </row>
    <row r="39" spans="1:50" ht="14.25" customHeight="1">
      <c r="B39" s="586"/>
      <c r="C39" s="179">
        <v>33</v>
      </c>
      <c r="D39" s="182" t="s">
        <v>558</v>
      </c>
      <c r="E39" s="179">
        <v>5</v>
      </c>
      <c r="F39" s="179">
        <v>3600</v>
      </c>
      <c r="G39" s="184">
        <f t="shared" si="1"/>
        <v>720</v>
      </c>
      <c r="H39" s="588"/>
      <c r="I39" s="185">
        <f t="shared" si="16"/>
        <v>5</v>
      </c>
      <c r="J39" s="185">
        <f t="shared" si="16"/>
        <v>3266.1127295558485</v>
      </c>
      <c r="K39" s="186">
        <f t="shared" si="16"/>
        <v>653.22254591116973</v>
      </c>
      <c r="L39" s="589"/>
      <c r="M39" s="185">
        <f>RANK(K39, K$7:$K$43)</f>
        <v>21</v>
      </c>
      <c r="N39" s="600"/>
      <c r="O39" s="590"/>
      <c r="P39" s="187">
        <v>5</v>
      </c>
      <c r="Q39" s="187">
        <v>3265.7013009844195</v>
      </c>
      <c r="R39" s="184">
        <f t="shared" si="3"/>
        <v>653.1402601968839</v>
      </c>
      <c r="S39" s="181">
        <f t="shared" si="4"/>
        <v>21</v>
      </c>
      <c r="T39" s="587"/>
      <c r="U39" s="187">
        <v>5</v>
      </c>
      <c r="V39" s="187">
        <v>3265.7013009844195</v>
      </c>
      <c r="W39" s="184">
        <f t="shared" si="0"/>
        <v>653.1402601968839</v>
      </c>
      <c r="X39" s="181">
        <f t="shared" si="5"/>
        <v>21</v>
      </c>
      <c r="Y39" s="587"/>
      <c r="Z39" s="187">
        <v>5</v>
      </c>
      <c r="AA39" s="187">
        <v>3265.70130098442</v>
      </c>
      <c r="AB39" s="184">
        <f t="shared" si="6"/>
        <v>653.14026019688401</v>
      </c>
      <c r="AC39" s="181">
        <f t="shared" si="7"/>
        <v>21</v>
      </c>
      <c r="AD39" s="587"/>
      <c r="AE39" s="187">
        <v>5</v>
      </c>
      <c r="AF39" s="187">
        <v>3266.7813009844199</v>
      </c>
      <c r="AG39" s="184">
        <f t="shared" si="8"/>
        <v>653.35626019688402</v>
      </c>
      <c r="AH39" s="181">
        <f t="shared" si="9"/>
        <v>21</v>
      </c>
      <c r="AI39" s="587"/>
      <c r="AJ39" s="187">
        <v>5</v>
      </c>
      <c r="AK39" s="187">
        <v>3266.7813009844208</v>
      </c>
      <c r="AL39" s="184">
        <f t="shared" si="10"/>
        <v>653.35626019688414</v>
      </c>
      <c r="AM39" s="181">
        <f t="shared" si="11"/>
        <v>21</v>
      </c>
      <c r="AN39" s="587"/>
      <c r="AO39" s="187">
        <v>5</v>
      </c>
      <c r="AP39" s="187">
        <v>3266.7813009844208</v>
      </c>
      <c r="AQ39" s="184">
        <f t="shared" si="12"/>
        <v>653.35626019688414</v>
      </c>
      <c r="AR39" s="181">
        <f t="shared" si="13"/>
        <v>21</v>
      </c>
      <c r="AS39" s="587"/>
      <c r="AT39" s="187">
        <v>5</v>
      </c>
      <c r="AU39" s="187">
        <v>3265.3413009844212</v>
      </c>
      <c r="AV39" s="184">
        <f t="shared" si="14"/>
        <v>653.06826019688424</v>
      </c>
      <c r="AW39" s="181">
        <f t="shared" si="15"/>
        <v>22</v>
      </c>
      <c r="AX39" s="587"/>
    </row>
    <row r="40" spans="1:50" ht="14.25" customHeight="1">
      <c r="B40" s="586"/>
      <c r="C40" s="179">
        <v>34</v>
      </c>
      <c r="D40" s="182" t="s">
        <v>324</v>
      </c>
      <c r="E40" s="179">
        <v>3</v>
      </c>
      <c r="F40" s="179">
        <v>3000</v>
      </c>
      <c r="G40" s="184">
        <f t="shared" si="1"/>
        <v>1000</v>
      </c>
      <c r="H40" s="588"/>
      <c r="I40" s="185">
        <f t="shared" si="16"/>
        <v>3</v>
      </c>
      <c r="J40" s="185">
        <f t="shared" si="16"/>
        <v>2734.6401003867823</v>
      </c>
      <c r="K40" s="186">
        <f t="shared" si="16"/>
        <v>911.54670012892745</v>
      </c>
      <c r="L40" s="589"/>
      <c r="M40" s="185">
        <f>RANK(K40, K$7:$K$43)</f>
        <v>13</v>
      </c>
      <c r="N40" s="600"/>
      <c r="O40" s="590"/>
      <c r="P40" s="187">
        <v>3</v>
      </c>
      <c r="Q40" s="187">
        <v>2732.5401003867828</v>
      </c>
      <c r="R40" s="184">
        <f t="shared" si="3"/>
        <v>910.84670012892764</v>
      </c>
      <c r="S40" s="181">
        <f t="shared" si="4"/>
        <v>12</v>
      </c>
      <c r="T40" s="587"/>
      <c r="U40" s="187">
        <v>3</v>
      </c>
      <c r="V40" s="187">
        <v>2733.1401003867832</v>
      </c>
      <c r="W40" s="184">
        <f t="shared" si="0"/>
        <v>911.04670012892768</v>
      </c>
      <c r="X40" s="181">
        <f t="shared" si="5"/>
        <v>12</v>
      </c>
      <c r="Y40" s="587"/>
      <c r="Z40" s="187">
        <v>3</v>
      </c>
      <c r="AA40" s="187">
        <v>2733.4401003867824</v>
      </c>
      <c r="AB40" s="184">
        <f t="shared" si="6"/>
        <v>911.14670012892748</v>
      </c>
      <c r="AC40" s="181">
        <f t="shared" si="7"/>
        <v>13</v>
      </c>
      <c r="AD40" s="587"/>
      <c r="AE40" s="187">
        <v>3</v>
      </c>
      <c r="AF40" s="187">
        <v>2734.3401003867825</v>
      </c>
      <c r="AG40" s="184">
        <f t="shared" si="8"/>
        <v>911.44670012892755</v>
      </c>
      <c r="AH40" s="181">
        <f t="shared" si="9"/>
        <v>13</v>
      </c>
      <c r="AI40" s="587"/>
      <c r="AJ40" s="187">
        <v>3</v>
      </c>
      <c r="AK40" s="187">
        <v>2735.2401003867826</v>
      </c>
      <c r="AL40" s="184">
        <f t="shared" si="10"/>
        <v>911.7467001289275</v>
      </c>
      <c r="AM40" s="181">
        <f t="shared" si="11"/>
        <v>13</v>
      </c>
      <c r="AN40" s="587"/>
      <c r="AO40" s="187">
        <v>3</v>
      </c>
      <c r="AP40" s="187">
        <v>2736.7401003867817</v>
      </c>
      <c r="AQ40" s="184">
        <f t="shared" si="12"/>
        <v>912.24670012892727</v>
      </c>
      <c r="AR40" s="181">
        <f t="shared" si="13"/>
        <v>13</v>
      </c>
      <c r="AS40" s="587"/>
      <c r="AT40" s="187">
        <v>3</v>
      </c>
      <c r="AU40" s="187">
        <v>2737.0401003867819</v>
      </c>
      <c r="AV40" s="184">
        <f t="shared" si="14"/>
        <v>912.3467001289273</v>
      </c>
      <c r="AW40" s="181">
        <f t="shared" si="15"/>
        <v>13</v>
      </c>
      <c r="AX40" s="587"/>
    </row>
    <row r="41" spans="1:50" ht="14.25" customHeight="1">
      <c r="B41" s="586"/>
      <c r="C41" s="179">
        <v>35</v>
      </c>
      <c r="D41" s="182" t="s">
        <v>414</v>
      </c>
      <c r="E41" s="179">
        <v>12</v>
      </c>
      <c r="F41" s="179">
        <v>3600</v>
      </c>
      <c r="G41" s="184">
        <f t="shared" si="1"/>
        <v>300</v>
      </c>
      <c r="H41" s="588"/>
      <c r="I41" s="185">
        <f t="shared" si="16"/>
        <v>12</v>
      </c>
      <c r="J41" s="185">
        <f t="shared" si="16"/>
        <v>3121.9778330090908</v>
      </c>
      <c r="K41" s="186">
        <f t="shared" si="16"/>
        <v>260.16481941742421</v>
      </c>
      <c r="L41" s="589"/>
      <c r="M41" s="185">
        <f>RANK(K41, K$7:$K$43)</f>
        <v>35</v>
      </c>
      <c r="N41" s="600"/>
      <c r="O41" s="590"/>
      <c r="P41" s="187">
        <v>12</v>
      </c>
      <c r="Q41" s="187">
        <v>3121.9749008496306</v>
      </c>
      <c r="R41" s="184">
        <f t="shared" si="3"/>
        <v>260.16457507080253</v>
      </c>
      <c r="S41" s="181">
        <f t="shared" si="4"/>
        <v>34</v>
      </c>
      <c r="T41" s="587"/>
      <c r="U41" s="187">
        <v>12</v>
      </c>
      <c r="V41" s="187">
        <v>3121.6149008496304</v>
      </c>
      <c r="W41" s="184">
        <f t="shared" si="0"/>
        <v>260.13457507080255</v>
      </c>
      <c r="X41" s="181">
        <f t="shared" si="5"/>
        <v>35</v>
      </c>
      <c r="Y41" s="587"/>
      <c r="Z41" s="187">
        <v>12</v>
      </c>
      <c r="AA41" s="187">
        <v>3121.9749008496301</v>
      </c>
      <c r="AB41" s="184">
        <f t="shared" si="6"/>
        <v>260.16457507080253</v>
      </c>
      <c r="AC41" s="181">
        <f t="shared" si="7"/>
        <v>35</v>
      </c>
      <c r="AD41" s="587"/>
      <c r="AE41" s="187">
        <v>12</v>
      </c>
      <c r="AF41" s="187">
        <v>3122.6949008496299</v>
      </c>
      <c r="AG41" s="184">
        <f t="shared" si="8"/>
        <v>260.22457507080247</v>
      </c>
      <c r="AH41" s="181">
        <f t="shared" si="9"/>
        <v>34</v>
      </c>
      <c r="AI41" s="587"/>
      <c r="AJ41" s="187">
        <v>12</v>
      </c>
      <c r="AK41" s="187">
        <v>3120.5863693009533</v>
      </c>
      <c r="AL41" s="184">
        <f t="shared" si="10"/>
        <v>260.04886410841277</v>
      </c>
      <c r="AM41" s="181">
        <f t="shared" si="11"/>
        <v>35</v>
      </c>
      <c r="AN41" s="587"/>
      <c r="AO41" s="187">
        <v>12</v>
      </c>
      <c r="AP41" s="187">
        <v>3122.1394291820802</v>
      </c>
      <c r="AQ41" s="184">
        <f t="shared" si="12"/>
        <v>260.17828576517337</v>
      </c>
      <c r="AR41" s="181">
        <f t="shared" si="13"/>
        <v>34</v>
      </c>
      <c r="AS41" s="587"/>
      <c r="AT41" s="187">
        <v>12</v>
      </c>
      <c r="AU41" s="187">
        <v>3122.8594291820805</v>
      </c>
      <c r="AV41" s="184">
        <f t="shared" si="14"/>
        <v>260.23828576517337</v>
      </c>
      <c r="AW41" s="181">
        <f t="shared" si="15"/>
        <v>34</v>
      </c>
      <c r="AX41" s="587"/>
    </row>
    <row r="42" spans="1:50" ht="14.25" customHeight="1">
      <c r="B42" s="586"/>
      <c r="C42" s="179">
        <v>36</v>
      </c>
      <c r="D42" s="182"/>
      <c r="E42" s="179"/>
      <c r="F42" s="179"/>
      <c r="G42" s="184"/>
      <c r="H42" s="588"/>
      <c r="I42" s="185"/>
      <c r="J42" s="185"/>
      <c r="K42" s="186"/>
      <c r="L42" s="589"/>
      <c r="M42" s="185"/>
      <c r="N42" s="600"/>
      <c r="O42" s="590"/>
      <c r="P42" s="187"/>
      <c r="Q42" s="187"/>
      <c r="R42" s="184"/>
      <c r="S42" s="181"/>
      <c r="T42" s="587"/>
      <c r="U42" s="187"/>
      <c r="V42" s="187"/>
      <c r="W42" s="184"/>
      <c r="X42" s="181"/>
      <c r="Y42" s="587"/>
      <c r="Z42" s="187"/>
      <c r="AA42" s="187"/>
      <c r="AB42" s="184"/>
      <c r="AC42" s="181"/>
      <c r="AD42" s="587"/>
      <c r="AE42" s="187"/>
      <c r="AF42" s="187"/>
      <c r="AG42" s="184"/>
      <c r="AH42" s="181"/>
      <c r="AI42" s="587"/>
      <c r="AJ42" s="187"/>
      <c r="AK42" s="187"/>
      <c r="AL42" s="184"/>
      <c r="AM42" s="181"/>
      <c r="AN42" s="587"/>
      <c r="AO42" s="187"/>
      <c r="AP42" s="187"/>
      <c r="AQ42" s="184"/>
      <c r="AR42" s="181"/>
      <c r="AS42" s="587"/>
      <c r="AT42" s="187"/>
      <c r="AU42" s="187"/>
      <c r="AV42" s="184"/>
      <c r="AW42" s="181"/>
      <c r="AX42" s="587"/>
    </row>
    <row r="43" spans="1:50" ht="14.25" customHeight="1">
      <c r="B43" s="586"/>
      <c r="C43" s="179">
        <v>37</v>
      </c>
      <c r="D43" s="182"/>
      <c r="E43" s="179"/>
      <c r="F43" s="179"/>
      <c r="G43" s="184"/>
      <c r="H43" s="588"/>
      <c r="I43" s="185"/>
      <c r="J43" s="185"/>
      <c r="K43" s="186"/>
      <c r="L43" s="589"/>
      <c r="M43" s="185"/>
      <c r="N43" s="600"/>
      <c r="O43" s="590"/>
      <c r="P43" s="187"/>
      <c r="Q43" s="187"/>
      <c r="R43" s="184"/>
      <c r="S43" s="181"/>
      <c r="T43" s="587"/>
      <c r="U43" s="187"/>
      <c r="V43" s="187"/>
      <c r="W43" s="184"/>
      <c r="X43" s="181"/>
      <c r="Y43" s="587"/>
      <c r="Z43" s="187"/>
      <c r="AA43" s="187"/>
      <c r="AB43" s="184"/>
      <c r="AC43" s="181"/>
      <c r="AD43" s="587"/>
      <c r="AE43" s="187"/>
      <c r="AF43" s="187"/>
      <c r="AG43" s="184"/>
      <c r="AH43" s="181"/>
      <c r="AI43" s="587"/>
      <c r="AJ43" s="187"/>
      <c r="AK43" s="187"/>
      <c r="AL43" s="184"/>
      <c r="AM43" s="181"/>
      <c r="AN43" s="587"/>
      <c r="AO43" s="187"/>
      <c r="AP43" s="187"/>
      <c r="AQ43" s="184"/>
      <c r="AR43" s="181"/>
      <c r="AS43" s="587"/>
      <c r="AT43" s="187"/>
      <c r="AU43" s="187"/>
      <c r="AV43" s="184"/>
      <c r="AW43" s="181"/>
      <c r="AX43" s="587"/>
    </row>
    <row r="44" spans="1:50" ht="14.25" customHeight="1">
      <c r="B44" s="601" t="s">
        <v>657</v>
      </c>
      <c r="C44" s="602"/>
      <c r="D44" s="602"/>
      <c r="E44" s="602"/>
      <c r="F44" s="602"/>
      <c r="G44" s="602"/>
      <c r="H44" s="602"/>
      <c r="I44" s="602"/>
      <c r="J44" s="602"/>
      <c r="K44" s="602"/>
      <c r="L44" s="602"/>
      <c r="M44" s="603"/>
      <c r="N44" s="606" t="s">
        <v>341</v>
      </c>
      <c r="O44" s="606" t="s">
        <v>105</v>
      </c>
      <c r="P44" s="608">
        <v>46238</v>
      </c>
      <c r="Q44" s="609"/>
      <c r="R44" s="609"/>
      <c r="S44" s="609"/>
      <c r="T44" s="609"/>
      <c r="U44" s="610">
        <v>46239</v>
      </c>
      <c r="V44" s="611"/>
      <c r="W44" s="611"/>
      <c r="X44" s="611"/>
      <c r="Y44" s="611"/>
      <c r="Z44" s="608">
        <v>46240</v>
      </c>
      <c r="AA44" s="609"/>
      <c r="AB44" s="609"/>
      <c r="AC44" s="609"/>
      <c r="AD44" s="609"/>
      <c r="AE44" s="610">
        <v>46241</v>
      </c>
      <c r="AF44" s="611"/>
      <c r="AG44" s="611"/>
      <c r="AH44" s="611"/>
      <c r="AI44" s="611"/>
      <c r="AJ44" s="592">
        <v>46242</v>
      </c>
      <c r="AK44" s="593"/>
      <c r="AL44" s="593"/>
      <c r="AM44" s="593"/>
      <c r="AN44" s="594"/>
      <c r="AO44" s="610">
        <v>46243</v>
      </c>
      <c r="AP44" s="611"/>
      <c r="AQ44" s="611"/>
      <c r="AR44" s="611"/>
      <c r="AS44" s="611"/>
      <c r="AT44" s="592">
        <v>46244</v>
      </c>
      <c r="AU44" s="593"/>
      <c r="AV44" s="593"/>
      <c r="AW44" s="593"/>
      <c r="AX44" s="594"/>
    </row>
    <row r="45" spans="1:50" ht="14.25" customHeight="1">
      <c r="B45" s="604"/>
      <c r="C45" s="604"/>
      <c r="D45" s="604"/>
      <c r="E45" s="604"/>
      <c r="F45" s="604"/>
      <c r="G45" s="604"/>
      <c r="H45" s="604"/>
      <c r="I45" s="604"/>
      <c r="J45" s="604"/>
      <c r="K45" s="604"/>
      <c r="L45" s="604"/>
      <c r="M45" s="605"/>
      <c r="N45" s="607"/>
      <c r="O45" s="607"/>
      <c r="P45" s="595">
        <v>46196</v>
      </c>
      <c r="Q45" s="595"/>
      <c r="R45" s="595"/>
      <c r="S45" s="595"/>
      <c r="T45" s="595"/>
      <c r="U45" s="596">
        <v>46197</v>
      </c>
      <c r="V45" s="596"/>
      <c r="W45" s="596"/>
      <c r="X45" s="596"/>
      <c r="Y45" s="596"/>
      <c r="Z45" s="595">
        <v>46198</v>
      </c>
      <c r="AA45" s="595"/>
      <c r="AB45" s="595"/>
      <c r="AC45" s="595"/>
      <c r="AD45" s="595"/>
      <c r="AE45" s="596">
        <v>46199</v>
      </c>
      <c r="AF45" s="596"/>
      <c r="AG45" s="596"/>
      <c r="AH45" s="596"/>
      <c r="AI45" s="596"/>
      <c r="AJ45" s="597">
        <v>46200</v>
      </c>
      <c r="AK45" s="598"/>
      <c r="AL45" s="598"/>
      <c r="AM45" s="598"/>
      <c r="AN45" s="599"/>
      <c r="AO45" s="596">
        <v>46201</v>
      </c>
      <c r="AP45" s="596"/>
      <c r="AQ45" s="596"/>
      <c r="AR45" s="596"/>
      <c r="AS45" s="596"/>
      <c r="AT45" s="597">
        <v>46202</v>
      </c>
      <c r="AU45" s="598"/>
      <c r="AV45" s="598"/>
      <c r="AW45" s="598"/>
      <c r="AX45" s="599"/>
    </row>
    <row r="46" spans="1:50" ht="14.25" customHeight="1">
      <c r="B46" s="586" t="s">
        <v>162</v>
      </c>
      <c r="C46" s="586" t="s">
        <v>157</v>
      </c>
      <c r="D46" s="586"/>
      <c r="E46" s="586" t="s">
        <v>158</v>
      </c>
      <c r="F46" s="586"/>
      <c r="G46" s="586"/>
      <c r="H46" s="586" t="s">
        <v>163</v>
      </c>
      <c r="I46" s="591" t="s">
        <v>342</v>
      </c>
      <c r="J46" s="591"/>
      <c r="K46" s="591"/>
      <c r="L46" s="591" t="s">
        <v>163</v>
      </c>
      <c r="M46" s="591" t="s">
        <v>165</v>
      </c>
      <c r="N46" s="600"/>
      <c r="O46" s="590" t="s">
        <v>164</v>
      </c>
      <c r="P46" s="590" t="s">
        <v>160</v>
      </c>
      <c r="Q46" s="590"/>
      <c r="R46" s="590"/>
      <c r="S46" s="590"/>
      <c r="T46" s="590" t="s">
        <v>163</v>
      </c>
      <c r="U46" s="590" t="s">
        <v>160</v>
      </c>
      <c r="V46" s="590"/>
      <c r="W46" s="590"/>
      <c r="X46" s="590"/>
      <c r="Y46" s="590" t="s">
        <v>163</v>
      </c>
      <c r="Z46" s="590" t="s">
        <v>160</v>
      </c>
      <c r="AA46" s="590"/>
      <c r="AB46" s="590"/>
      <c r="AC46" s="590"/>
      <c r="AD46" s="590" t="s">
        <v>163</v>
      </c>
      <c r="AE46" s="590" t="s">
        <v>160</v>
      </c>
      <c r="AF46" s="590"/>
      <c r="AG46" s="590"/>
      <c r="AH46" s="590"/>
      <c r="AI46" s="590" t="s">
        <v>163</v>
      </c>
      <c r="AJ46" s="590" t="s">
        <v>160</v>
      </c>
      <c r="AK46" s="590"/>
      <c r="AL46" s="590"/>
      <c r="AM46" s="590"/>
      <c r="AN46" s="590" t="s">
        <v>163</v>
      </c>
      <c r="AO46" s="590" t="s">
        <v>160</v>
      </c>
      <c r="AP46" s="590"/>
      <c r="AQ46" s="590"/>
      <c r="AR46" s="590"/>
      <c r="AS46" s="590" t="s">
        <v>163</v>
      </c>
      <c r="AT46" s="590" t="s">
        <v>160</v>
      </c>
      <c r="AU46" s="590"/>
      <c r="AV46" s="590"/>
      <c r="AW46" s="590"/>
      <c r="AX46" s="590" t="s">
        <v>163</v>
      </c>
    </row>
    <row r="47" spans="1:50" ht="14.25" customHeight="1">
      <c r="B47" s="586"/>
      <c r="C47" s="586"/>
      <c r="D47" s="586"/>
      <c r="E47" s="586" t="s">
        <v>343</v>
      </c>
      <c r="F47" s="586"/>
      <c r="G47" s="586"/>
      <c r="H47" s="586"/>
      <c r="I47" s="591" t="s">
        <v>343</v>
      </c>
      <c r="J47" s="591"/>
      <c r="K47" s="591"/>
      <c r="L47" s="591"/>
      <c r="M47" s="591"/>
      <c r="N47" s="600"/>
      <c r="O47" s="590"/>
      <c r="P47" s="590" t="s">
        <v>344</v>
      </c>
      <c r="Q47" s="590"/>
      <c r="R47" s="590"/>
      <c r="S47" s="590"/>
      <c r="T47" s="590"/>
      <c r="U47" s="590" t="s">
        <v>344</v>
      </c>
      <c r="V47" s="590"/>
      <c r="W47" s="590"/>
      <c r="X47" s="590"/>
      <c r="Y47" s="590"/>
      <c r="Z47" s="590" t="s">
        <v>344</v>
      </c>
      <c r="AA47" s="590"/>
      <c r="AB47" s="590"/>
      <c r="AC47" s="590"/>
      <c r="AD47" s="590"/>
      <c r="AE47" s="590" t="s">
        <v>344</v>
      </c>
      <c r="AF47" s="590"/>
      <c r="AG47" s="590"/>
      <c r="AH47" s="590"/>
      <c r="AI47" s="590"/>
      <c r="AJ47" s="590" t="s">
        <v>344</v>
      </c>
      <c r="AK47" s="590"/>
      <c r="AL47" s="590"/>
      <c r="AM47" s="590"/>
      <c r="AN47" s="590"/>
      <c r="AO47" s="590" t="s">
        <v>344</v>
      </c>
      <c r="AP47" s="590"/>
      <c r="AQ47" s="590"/>
      <c r="AR47" s="590"/>
      <c r="AS47" s="590"/>
      <c r="AT47" s="590" t="s">
        <v>344</v>
      </c>
      <c r="AU47" s="590"/>
      <c r="AV47" s="590"/>
      <c r="AW47" s="590"/>
      <c r="AX47" s="590"/>
    </row>
    <row r="48" spans="1:50" ht="14.25" customHeight="1">
      <c r="A48" s="176"/>
      <c r="B48" s="586"/>
      <c r="C48" s="586"/>
      <c r="D48" s="586"/>
      <c r="E48" s="179" t="s">
        <v>159</v>
      </c>
      <c r="F48" s="179" t="s">
        <v>345</v>
      </c>
      <c r="G48" s="179" t="s">
        <v>161</v>
      </c>
      <c r="H48" s="586"/>
      <c r="I48" s="180" t="s">
        <v>159</v>
      </c>
      <c r="J48" s="180" t="s">
        <v>345</v>
      </c>
      <c r="K48" s="180" t="s">
        <v>161</v>
      </c>
      <c r="L48" s="591"/>
      <c r="M48" s="591"/>
      <c r="N48" s="600"/>
      <c r="O48" s="590"/>
      <c r="P48" s="181" t="s">
        <v>159</v>
      </c>
      <c r="Q48" s="181" t="s">
        <v>345</v>
      </c>
      <c r="R48" s="181" t="s">
        <v>161</v>
      </c>
      <c r="S48" s="181" t="s">
        <v>165</v>
      </c>
      <c r="T48" s="590"/>
      <c r="U48" s="181" t="s">
        <v>159</v>
      </c>
      <c r="V48" s="181" t="s">
        <v>345</v>
      </c>
      <c r="W48" s="181" t="s">
        <v>161</v>
      </c>
      <c r="X48" s="181" t="s">
        <v>165</v>
      </c>
      <c r="Y48" s="590"/>
      <c r="Z48" s="181" t="s">
        <v>159</v>
      </c>
      <c r="AA48" s="181" t="s">
        <v>345</v>
      </c>
      <c r="AB48" s="181" t="s">
        <v>161</v>
      </c>
      <c r="AC48" s="181" t="s">
        <v>165</v>
      </c>
      <c r="AD48" s="590"/>
      <c r="AE48" s="181" t="s">
        <v>159</v>
      </c>
      <c r="AF48" s="181" t="s">
        <v>345</v>
      </c>
      <c r="AG48" s="181" t="s">
        <v>161</v>
      </c>
      <c r="AH48" s="181" t="s">
        <v>165</v>
      </c>
      <c r="AI48" s="590"/>
      <c r="AJ48" s="181" t="s">
        <v>159</v>
      </c>
      <c r="AK48" s="181" t="s">
        <v>345</v>
      </c>
      <c r="AL48" s="181" t="s">
        <v>161</v>
      </c>
      <c r="AM48" s="181" t="s">
        <v>165</v>
      </c>
      <c r="AN48" s="590"/>
      <c r="AO48" s="181" t="s">
        <v>159</v>
      </c>
      <c r="AP48" s="181" t="s">
        <v>345</v>
      </c>
      <c r="AQ48" s="181" t="s">
        <v>161</v>
      </c>
      <c r="AR48" s="181" t="s">
        <v>165</v>
      </c>
      <c r="AS48" s="590"/>
      <c r="AT48" s="181" t="s">
        <v>159</v>
      </c>
      <c r="AU48" s="181" t="s">
        <v>345</v>
      </c>
      <c r="AV48" s="181" t="s">
        <v>161</v>
      </c>
      <c r="AW48" s="181" t="s">
        <v>165</v>
      </c>
      <c r="AX48" s="590"/>
    </row>
    <row r="49" spans="2:50" ht="14.25" customHeight="1">
      <c r="B49" s="586" t="s">
        <v>346</v>
      </c>
      <c r="C49" s="179">
        <v>1</v>
      </c>
      <c r="D49" s="182" t="s">
        <v>371</v>
      </c>
      <c r="E49" s="183">
        <v>4</v>
      </c>
      <c r="F49" s="179">
        <v>3300</v>
      </c>
      <c r="G49" s="184">
        <f>IFERROR(F49/E49,"")</f>
        <v>825</v>
      </c>
      <c r="H49" s="588">
        <f>AVERAGE(G49:G85)</f>
        <v>865.57142857142856</v>
      </c>
      <c r="I49" s="185">
        <f>AVERAGE(P49,U49,Z49,AE49,AJ49,AO49,AT49)</f>
        <v>4</v>
      </c>
      <c r="J49" s="185">
        <f>AVERAGE(Q49,V49,AA49,AF49,AK49,AP49,AU49)</f>
        <v>3013.1701004988026</v>
      </c>
      <c r="K49" s="186">
        <f>AVERAGE(R49,W49,AB49,AG49,AL49,AQ49,AV49)</f>
        <v>753.29252512470066</v>
      </c>
      <c r="L49" s="589">
        <f>IFERROR(AVERAGE(K49:K85),"-")</f>
        <v>779.9455818995915</v>
      </c>
      <c r="M49" s="185">
        <f>RANK(K49, K$49:$K$85)</f>
        <v>17</v>
      </c>
      <c r="N49" s="600"/>
      <c r="O49" s="590"/>
      <c r="P49" s="187">
        <v>4</v>
      </c>
      <c r="Q49" s="187">
        <v>3009.8229576416597</v>
      </c>
      <c r="R49" s="184">
        <f>IFERROR(Q49/P49,"")</f>
        <v>752.45573941041494</v>
      </c>
      <c r="S49" s="181">
        <f>RANK(R49, R$49:R$85)</f>
        <v>17</v>
      </c>
      <c r="T49" s="587">
        <f>AVERAGE(R49:R85)</f>
        <v>779.1635579144945</v>
      </c>
      <c r="U49" s="187">
        <v>4</v>
      </c>
      <c r="V49" s="187">
        <v>3011.4729576416598</v>
      </c>
      <c r="W49" s="184">
        <f t="shared" ref="W49:W83" si="17">IFERROR(V49/U49,"")</f>
        <v>752.86823941041496</v>
      </c>
      <c r="X49" s="181">
        <f>RANK(W49, W$49:W$85)</f>
        <v>17</v>
      </c>
      <c r="Y49" s="587">
        <f>AVERAGE(W49:W85)</f>
        <v>779.36560074168847</v>
      </c>
      <c r="Z49" s="187">
        <v>4</v>
      </c>
      <c r="AA49" s="187">
        <v>3012.4629576416596</v>
      </c>
      <c r="AB49" s="184">
        <f>IFERROR(AA49/Z49,"")</f>
        <v>753.1157394104149</v>
      </c>
      <c r="AC49" s="181">
        <f>RANK(AB49, AB$49:AB$85)</f>
        <v>17</v>
      </c>
      <c r="AD49" s="587">
        <f>AVERAGE(AB49:AB85)</f>
        <v>779.65823694487017</v>
      </c>
      <c r="AE49" s="187">
        <v>4</v>
      </c>
      <c r="AF49" s="187">
        <v>3012.79295764166</v>
      </c>
      <c r="AG49" s="184">
        <f>IFERROR(AF49/AE49,"")</f>
        <v>753.198239410415</v>
      </c>
      <c r="AH49" s="181">
        <f>RANK(AG49, AG$49:AG$85)</f>
        <v>18</v>
      </c>
      <c r="AI49" s="587">
        <f>AVERAGE(AG49:AG85)</f>
        <v>779.91406198481832</v>
      </c>
      <c r="AJ49" s="187">
        <v>4</v>
      </c>
      <c r="AK49" s="187">
        <v>3014.1129576416602</v>
      </c>
      <c r="AL49" s="184">
        <f>IFERROR(AK49/AJ49,"")</f>
        <v>753.52823941041504</v>
      </c>
      <c r="AM49" s="181">
        <f>RANK(AL49, AL$49:AL$85)</f>
        <v>18</v>
      </c>
      <c r="AN49" s="587">
        <f>AVERAGE(AL49:AL85)</f>
        <v>780.23606786772439</v>
      </c>
      <c r="AO49" s="187">
        <v>4</v>
      </c>
      <c r="AP49" s="187">
        <v>3014.77295764166</v>
      </c>
      <c r="AQ49" s="184">
        <f>IFERROR(AP49/AO49,"")</f>
        <v>753.693239410415</v>
      </c>
      <c r="AR49" s="181">
        <f>RANK(AQ49, AQ$49:AQ$85)</f>
        <v>18</v>
      </c>
      <c r="AS49" s="587">
        <f>AVERAGE(AQ49:AQ85)</f>
        <v>780.51782440305283</v>
      </c>
      <c r="AT49" s="187">
        <v>4</v>
      </c>
      <c r="AU49" s="187">
        <v>3016.75295764166</v>
      </c>
      <c r="AV49" s="184">
        <f>IFERROR(AU49/AT49,"")</f>
        <v>754.18823941041501</v>
      </c>
      <c r="AW49" s="181">
        <f>RANK(AV49, AV$49:AV$85)</f>
        <v>17</v>
      </c>
      <c r="AX49" s="587">
        <f>AVERAGE(AV49:AV85)</f>
        <v>784.80470854471127</v>
      </c>
    </row>
    <row r="50" spans="2:50" ht="14.25" customHeight="1">
      <c r="B50" s="586"/>
      <c r="C50" s="179">
        <v>2</v>
      </c>
      <c r="D50" s="182" t="s">
        <v>369</v>
      </c>
      <c r="E50" s="183">
        <v>3</v>
      </c>
      <c r="F50" s="179">
        <v>3600</v>
      </c>
      <c r="G50" s="184">
        <f t="shared" ref="G50:G83" si="18">IFERROR(F50/E50,"")</f>
        <v>1200</v>
      </c>
      <c r="H50" s="588"/>
      <c r="I50" s="185">
        <f t="shared" ref="I50:K79" si="19">AVERAGE(P50,U50,Z50,AE50,AJ50,AO50,AT50)</f>
        <v>3</v>
      </c>
      <c r="J50" s="185">
        <f t="shared" si="19"/>
        <v>3216.0423797476928</v>
      </c>
      <c r="K50" s="186">
        <f t="shared" si="19"/>
        <v>1072.0141265825644</v>
      </c>
      <c r="L50" s="589"/>
      <c r="M50" s="185">
        <f>RANK(K50, K$49:$K$85)</f>
        <v>7</v>
      </c>
      <c r="N50" s="600"/>
      <c r="O50" s="590"/>
      <c r="P50" s="187">
        <v>3</v>
      </c>
      <c r="Q50" s="187">
        <v>3211.4652368905504</v>
      </c>
      <c r="R50" s="184">
        <f t="shared" ref="R50:R83" si="20">IFERROR(Q50/P50,"")</f>
        <v>1070.4884122968501</v>
      </c>
      <c r="S50" s="181">
        <f t="shared" ref="S50:S83" si="21">RANK(R50, R$49:R$85)</f>
        <v>7</v>
      </c>
      <c r="T50" s="587"/>
      <c r="U50" s="187">
        <v>3</v>
      </c>
      <c r="V50" s="187">
        <v>3213.2652368905506</v>
      </c>
      <c r="W50" s="184">
        <f t="shared" si="17"/>
        <v>1071.0884122968503</v>
      </c>
      <c r="X50" s="181">
        <f t="shared" ref="X50:X83" si="22">RANK(W50, W$49:W$85)</f>
        <v>6</v>
      </c>
      <c r="Y50" s="587"/>
      <c r="Z50" s="187">
        <v>3</v>
      </c>
      <c r="AA50" s="187">
        <v>3213.9852368905504</v>
      </c>
      <c r="AB50" s="184">
        <f t="shared" ref="AB50:AB83" si="23">IFERROR(AA50/Z50,"")</f>
        <v>1071.32841229685</v>
      </c>
      <c r="AC50" s="181">
        <f t="shared" ref="AC50:AC83" si="24">RANK(AB50, AB$49:AB$85)</f>
        <v>7</v>
      </c>
      <c r="AD50" s="587"/>
      <c r="AE50" s="187">
        <v>3</v>
      </c>
      <c r="AF50" s="187">
        <v>3215.7852368905501</v>
      </c>
      <c r="AG50" s="184">
        <f t="shared" ref="AG50:AG83" si="25">IFERROR(AF50/AE50,"")</f>
        <v>1071.92841229685</v>
      </c>
      <c r="AH50" s="181">
        <f t="shared" ref="AH50:AH83" si="26">RANK(AG50, AG$49:AG$85)</f>
        <v>7</v>
      </c>
      <c r="AI50" s="587"/>
      <c r="AJ50" s="187">
        <v>3</v>
      </c>
      <c r="AK50" s="187">
        <v>3217.5852368905494</v>
      </c>
      <c r="AL50" s="184">
        <f t="shared" ref="AL50:AL83" si="27">IFERROR(AK50/AJ50,"")</f>
        <v>1072.5284122968499</v>
      </c>
      <c r="AM50" s="181">
        <f t="shared" ref="AM50:AM83" si="28">RANK(AL50, AL$49:AL$85)</f>
        <v>6</v>
      </c>
      <c r="AN50" s="587"/>
      <c r="AO50" s="187">
        <v>3</v>
      </c>
      <c r="AP50" s="187">
        <v>3219.3852368905491</v>
      </c>
      <c r="AQ50" s="184">
        <f t="shared" ref="AQ50:AQ83" si="29">IFERROR(AP50/AO50,"")</f>
        <v>1073.1284122968498</v>
      </c>
      <c r="AR50" s="181">
        <f t="shared" ref="AR50:AR83" si="30">RANK(AQ50, AQ$49:AQ$85)</f>
        <v>5</v>
      </c>
      <c r="AS50" s="587"/>
      <c r="AT50" s="187">
        <v>3</v>
      </c>
      <c r="AU50" s="187">
        <v>3220.8252368905496</v>
      </c>
      <c r="AV50" s="184">
        <f t="shared" ref="AV50:AV83" si="31">IFERROR(AU50/AT50,"")</f>
        <v>1073.6084122968498</v>
      </c>
      <c r="AW50" s="181">
        <f t="shared" ref="AW50:AW83" si="32">RANK(AV50, AV$49:AV$85)</f>
        <v>5</v>
      </c>
      <c r="AX50" s="587"/>
    </row>
    <row r="51" spans="2:50" ht="14.25" customHeight="1">
      <c r="B51" s="586"/>
      <c r="C51" s="179">
        <v>3</v>
      </c>
      <c r="D51" s="182" t="s">
        <v>370</v>
      </c>
      <c r="E51" s="183">
        <v>5</v>
      </c>
      <c r="F51" s="179">
        <v>3600</v>
      </c>
      <c r="G51" s="184">
        <f t="shared" si="18"/>
        <v>720</v>
      </c>
      <c r="H51" s="588"/>
      <c r="I51" s="185">
        <f t="shared" si="19"/>
        <v>5</v>
      </c>
      <c r="J51" s="185">
        <f t="shared" si="19"/>
        <v>3214.589369865153</v>
      </c>
      <c r="K51" s="186">
        <f t="shared" si="19"/>
        <v>642.91787397303074</v>
      </c>
      <c r="L51" s="589"/>
      <c r="M51" s="185">
        <f>RANK(K51, K$49:$K$85)</f>
        <v>30</v>
      </c>
      <c r="N51" s="600"/>
      <c r="O51" s="590"/>
      <c r="P51" s="187">
        <v>5</v>
      </c>
      <c r="Q51" s="187">
        <v>3212.3743775428579</v>
      </c>
      <c r="R51" s="184">
        <f t="shared" si="20"/>
        <v>642.47487550857159</v>
      </c>
      <c r="S51" s="181">
        <f t="shared" si="21"/>
        <v>30</v>
      </c>
      <c r="T51" s="587"/>
      <c r="U51" s="187">
        <v>5</v>
      </c>
      <c r="V51" s="187">
        <v>3212.7343775428581</v>
      </c>
      <c r="W51" s="184">
        <f t="shared" si="17"/>
        <v>642.54687550857159</v>
      </c>
      <c r="X51" s="181">
        <f t="shared" si="22"/>
        <v>30</v>
      </c>
      <c r="Y51" s="587"/>
      <c r="Z51" s="187">
        <v>5</v>
      </c>
      <c r="AA51" s="187">
        <v>3213.3873667940716</v>
      </c>
      <c r="AB51" s="184">
        <f t="shared" si="23"/>
        <v>642.67747335881427</v>
      </c>
      <c r="AC51" s="181">
        <f t="shared" si="24"/>
        <v>30</v>
      </c>
      <c r="AD51" s="587"/>
      <c r="AE51" s="187">
        <v>5</v>
      </c>
      <c r="AF51" s="187">
        <v>3214.4673667940715</v>
      </c>
      <c r="AG51" s="184">
        <f t="shared" si="25"/>
        <v>642.89347335881428</v>
      </c>
      <c r="AH51" s="181">
        <f t="shared" si="26"/>
        <v>30</v>
      </c>
      <c r="AI51" s="587"/>
      <c r="AJ51" s="187">
        <v>5</v>
      </c>
      <c r="AK51" s="187">
        <v>3215.1873667940713</v>
      </c>
      <c r="AL51" s="184">
        <f t="shared" si="27"/>
        <v>643.03747335881428</v>
      </c>
      <c r="AM51" s="181">
        <f t="shared" si="28"/>
        <v>30</v>
      </c>
      <c r="AN51" s="587"/>
      <c r="AO51" s="187">
        <v>5</v>
      </c>
      <c r="AP51" s="187">
        <v>3216.6273667940718</v>
      </c>
      <c r="AQ51" s="184">
        <f t="shared" si="29"/>
        <v>643.32547335881441</v>
      </c>
      <c r="AR51" s="181">
        <f t="shared" si="30"/>
        <v>30</v>
      </c>
      <c r="AS51" s="587"/>
      <c r="AT51" s="187">
        <v>5</v>
      </c>
      <c r="AU51" s="187">
        <v>3217.3473667940725</v>
      </c>
      <c r="AV51" s="184">
        <f t="shared" si="31"/>
        <v>643.46947335881453</v>
      </c>
      <c r="AW51" s="181">
        <f t="shared" si="32"/>
        <v>29</v>
      </c>
      <c r="AX51" s="587"/>
    </row>
    <row r="52" spans="2:50" ht="14.25" customHeight="1">
      <c r="B52" s="586"/>
      <c r="C52" s="179">
        <v>4</v>
      </c>
      <c r="D52" s="182" t="s">
        <v>212</v>
      </c>
      <c r="E52" s="183">
        <v>5</v>
      </c>
      <c r="F52" s="179">
        <v>3300</v>
      </c>
      <c r="G52" s="184">
        <f t="shared" si="18"/>
        <v>660</v>
      </c>
      <c r="H52" s="588"/>
      <c r="I52" s="185">
        <f t="shared" si="19"/>
        <v>5</v>
      </c>
      <c r="J52" s="185">
        <f t="shared" si="19"/>
        <v>3015.7569499421597</v>
      </c>
      <c r="K52" s="186">
        <f t="shared" si="19"/>
        <v>603.15138998843202</v>
      </c>
      <c r="L52" s="589"/>
      <c r="M52" s="185">
        <f>RANK(K52, K$49:$K$85)</f>
        <v>31</v>
      </c>
      <c r="N52" s="600"/>
      <c r="O52" s="590"/>
      <c r="P52" s="187">
        <v>5</v>
      </c>
      <c r="Q52" s="187">
        <v>3013.3998070850175</v>
      </c>
      <c r="R52" s="184">
        <f t="shared" si="20"/>
        <v>602.67996141700348</v>
      </c>
      <c r="S52" s="181">
        <f t="shared" si="21"/>
        <v>31</v>
      </c>
      <c r="T52" s="587"/>
      <c r="U52" s="187">
        <v>5</v>
      </c>
      <c r="V52" s="187">
        <v>3013.7298070850179</v>
      </c>
      <c r="W52" s="184">
        <f t="shared" si="17"/>
        <v>602.74596141700363</v>
      </c>
      <c r="X52" s="181">
        <f t="shared" si="22"/>
        <v>31</v>
      </c>
      <c r="Y52" s="587"/>
      <c r="Z52" s="187">
        <v>5</v>
      </c>
      <c r="AA52" s="187">
        <v>3014.7198070850177</v>
      </c>
      <c r="AB52" s="184">
        <f t="shared" si="23"/>
        <v>602.94396141700349</v>
      </c>
      <c r="AC52" s="181">
        <f t="shared" si="24"/>
        <v>31</v>
      </c>
      <c r="AD52" s="587"/>
      <c r="AE52" s="187">
        <v>5</v>
      </c>
      <c r="AF52" s="187">
        <v>3016.0398070850174</v>
      </c>
      <c r="AG52" s="184">
        <f t="shared" si="25"/>
        <v>603.2079614170035</v>
      </c>
      <c r="AH52" s="181">
        <f t="shared" si="26"/>
        <v>31</v>
      </c>
      <c r="AI52" s="587"/>
      <c r="AJ52" s="187">
        <v>5</v>
      </c>
      <c r="AK52" s="187">
        <v>3016.3698070850169</v>
      </c>
      <c r="AL52" s="184">
        <f t="shared" si="27"/>
        <v>603.27396141700342</v>
      </c>
      <c r="AM52" s="181">
        <f t="shared" si="28"/>
        <v>31</v>
      </c>
      <c r="AN52" s="587"/>
      <c r="AO52" s="187">
        <v>5</v>
      </c>
      <c r="AP52" s="187">
        <v>3017.0298070850163</v>
      </c>
      <c r="AQ52" s="184">
        <f t="shared" si="29"/>
        <v>603.40596141700325</v>
      </c>
      <c r="AR52" s="181">
        <f t="shared" si="30"/>
        <v>31</v>
      </c>
      <c r="AS52" s="587"/>
      <c r="AT52" s="187">
        <v>5</v>
      </c>
      <c r="AU52" s="187">
        <v>3019.0098070850163</v>
      </c>
      <c r="AV52" s="184">
        <f t="shared" si="31"/>
        <v>603.80196141700321</v>
      </c>
      <c r="AW52" s="181">
        <f t="shared" si="32"/>
        <v>30</v>
      </c>
      <c r="AX52" s="587"/>
    </row>
    <row r="53" spans="2:50" ht="14.25" customHeight="1">
      <c r="B53" s="586"/>
      <c r="C53" s="179">
        <v>5</v>
      </c>
      <c r="D53" s="182" t="s">
        <v>366</v>
      </c>
      <c r="E53" s="183">
        <v>3</v>
      </c>
      <c r="F53" s="179">
        <v>3600</v>
      </c>
      <c r="G53" s="184">
        <f t="shared" si="18"/>
        <v>1200</v>
      </c>
      <c r="H53" s="588"/>
      <c r="I53" s="185">
        <f t="shared" si="19"/>
        <v>3</v>
      </c>
      <c r="J53" s="185">
        <f t="shared" si="19"/>
        <v>3214.2919950385849</v>
      </c>
      <c r="K53" s="186">
        <f t="shared" si="19"/>
        <v>1071.4306650128615</v>
      </c>
      <c r="L53" s="589"/>
      <c r="M53" s="185">
        <f>RANK(K53, K$49:$K$85)</f>
        <v>8</v>
      </c>
      <c r="N53" s="600"/>
      <c r="O53" s="590"/>
      <c r="P53" s="187">
        <v>3</v>
      </c>
      <c r="Q53" s="187">
        <v>3211.5662807528697</v>
      </c>
      <c r="R53" s="184">
        <f t="shared" si="20"/>
        <v>1070.5220935842899</v>
      </c>
      <c r="S53" s="181">
        <f t="shared" si="21"/>
        <v>6</v>
      </c>
      <c r="T53" s="587"/>
      <c r="U53" s="187">
        <v>3</v>
      </c>
      <c r="V53" s="187">
        <v>3211.9262807528698</v>
      </c>
      <c r="W53" s="184">
        <f t="shared" si="17"/>
        <v>1070.64209358429</v>
      </c>
      <c r="X53" s="181">
        <f t="shared" si="22"/>
        <v>8</v>
      </c>
      <c r="Y53" s="587"/>
      <c r="Z53" s="187">
        <v>3</v>
      </c>
      <c r="AA53" s="187">
        <v>3213.3662807528704</v>
      </c>
      <c r="AB53" s="184">
        <f t="shared" si="23"/>
        <v>1071.12209358429</v>
      </c>
      <c r="AC53" s="181">
        <f t="shared" si="24"/>
        <v>8</v>
      </c>
      <c r="AD53" s="587"/>
      <c r="AE53" s="187">
        <v>3</v>
      </c>
      <c r="AF53" s="187">
        <v>3214.80628075287</v>
      </c>
      <c r="AG53" s="184">
        <f t="shared" si="25"/>
        <v>1071.6020935842901</v>
      </c>
      <c r="AH53" s="181">
        <f t="shared" si="26"/>
        <v>8</v>
      </c>
      <c r="AI53" s="587"/>
      <c r="AJ53" s="187">
        <v>3</v>
      </c>
      <c r="AK53" s="187">
        <v>3215.8862807528703</v>
      </c>
      <c r="AL53" s="184">
        <f t="shared" si="27"/>
        <v>1071.9620935842902</v>
      </c>
      <c r="AM53" s="181">
        <f t="shared" si="28"/>
        <v>8</v>
      </c>
      <c r="AN53" s="587"/>
      <c r="AO53" s="187">
        <v>3</v>
      </c>
      <c r="AP53" s="187">
        <v>3215.8862807528703</v>
      </c>
      <c r="AQ53" s="184">
        <f t="shared" si="29"/>
        <v>1071.9620935842902</v>
      </c>
      <c r="AR53" s="181">
        <f t="shared" si="30"/>
        <v>8</v>
      </c>
      <c r="AS53" s="587"/>
      <c r="AT53" s="187">
        <v>3</v>
      </c>
      <c r="AU53" s="187">
        <v>3216.606280752871</v>
      </c>
      <c r="AV53" s="184">
        <f t="shared" si="31"/>
        <v>1072.2020935842904</v>
      </c>
      <c r="AW53" s="181">
        <f t="shared" si="32"/>
        <v>8</v>
      </c>
      <c r="AX53" s="587"/>
    </row>
    <row r="54" spans="2:50" ht="14.25" customHeight="1">
      <c r="B54" s="586"/>
      <c r="C54" s="179">
        <v>6</v>
      </c>
      <c r="D54" s="182" t="s">
        <v>318</v>
      </c>
      <c r="E54" s="183">
        <v>4</v>
      </c>
      <c r="F54" s="179">
        <v>3600</v>
      </c>
      <c r="G54" s="184">
        <f t="shared" si="18"/>
        <v>900</v>
      </c>
      <c r="H54" s="588"/>
      <c r="I54" s="185">
        <f t="shared" si="19"/>
        <v>4</v>
      </c>
      <c r="J54" s="185">
        <f t="shared" si="19"/>
        <v>3218.7563886558783</v>
      </c>
      <c r="K54" s="186">
        <f t="shared" si="19"/>
        <v>804.68909716396956</v>
      </c>
      <c r="L54" s="589"/>
      <c r="M54" s="185">
        <f>RANK(K54, K$49:$K$85)</f>
        <v>14</v>
      </c>
      <c r="N54" s="600"/>
      <c r="O54" s="590"/>
      <c r="P54" s="187">
        <v>4</v>
      </c>
      <c r="Q54" s="187">
        <v>3214.5906743701644</v>
      </c>
      <c r="R54" s="184">
        <f t="shared" si="20"/>
        <v>803.64766859254109</v>
      </c>
      <c r="S54" s="181">
        <f t="shared" si="21"/>
        <v>14</v>
      </c>
      <c r="T54" s="587"/>
      <c r="U54" s="187">
        <v>4</v>
      </c>
      <c r="V54" s="187">
        <v>3214.9506743701645</v>
      </c>
      <c r="W54" s="184">
        <f t="shared" si="17"/>
        <v>803.73766859254113</v>
      </c>
      <c r="X54" s="181">
        <f t="shared" si="22"/>
        <v>14</v>
      </c>
      <c r="Y54" s="587"/>
      <c r="Z54" s="187">
        <v>4</v>
      </c>
      <c r="AA54" s="187">
        <v>3216.7506743701642</v>
      </c>
      <c r="AB54" s="184">
        <f t="shared" si="23"/>
        <v>804.18766859254106</v>
      </c>
      <c r="AC54" s="181">
        <f t="shared" si="24"/>
        <v>14</v>
      </c>
      <c r="AD54" s="587"/>
      <c r="AE54" s="187">
        <v>4</v>
      </c>
      <c r="AF54" s="187">
        <v>3218.9106743701641</v>
      </c>
      <c r="AG54" s="184">
        <f t="shared" si="25"/>
        <v>804.72766859254102</v>
      </c>
      <c r="AH54" s="181">
        <f t="shared" si="26"/>
        <v>14</v>
      </c>
      <c r="AI54" s="587"/>
      <c r="AJ54" s="187">
        <v>4</v>
      </c>
      <c r="AK54" s="187">
        <v>3221.0706743701639</v>
      </c>
      <c r="AL54" s="184">
        <f t="shared" si="27"/>
        <v>805.26766859254099</v>
      </c>
      <c r="AM54" s="181">
        <f t="shared" si="28"/>
        <v>14</v>
      </c>
      <c r="AN54" s="587"/>
      <c r="AO54" s="187">
        <v>4</v>
      </c>
      <c r="AP54" s="187">
        <v>3221.7906743701642</v>
      </c>
      <c r="AQ54" s="184">
        <f t="shared" si="29"/>
        <v>805.44766859254105</v>
      </c>
      <c r="AR54" s="181">
        <f t="shared" si="30"/>
        <v>14</v>
      </c>
      <c r="AS54" s="587"/>
      <c r="AT54" s="187">
        <v>4</v>
      </c>
      <c r="AU54" s="187">
        <v>3223.2306743701638</v>
      </c>
      <c r="AV54" s="184">
        <f t="shared" si="31"/>
        <v>805.80766859254095</v>
      </c>
      <c r="AW54" s="181">
        <f t="shared" si="32"/>
        <v>14</v>
      </c>
      <c r="AX54" s="587"/>
    </row>
    <row r="55" spans="2:50" ht="14.25" customHeight="1">
      <c r="B55" s="586"/>
      <c r="C55" s="179">
        <v>7</v>
      </c>
      <c r="D55" s="182" t="s">
        <v>368</v>
      </c>
      <c r="E55" s="183">
        <v>3</v>
      </c>
      <c r="F55" s="179">
        <v>3600</v>
      </c>
      <c r="G55" s="184">
        <f t="shared" si="18"/>
        <v>1200</v>
      </c>
      <c r="H55" s="588"/>
      <c r="I55" s="185">
        <f t="shared" si="19"/>
        <v>3</v>
      </c>
      <c r="J55" s="185">
        <f t="shared" si="19"/>
        <v>3217.081807380117</v>
      </c>
      <c r="K55" s="186">
        <f t="shared" si="19"/>
        <v>1072.360602460039</v>
      </c>
      <c r="L55" s="589"/>
      <c r="M55" s="185">
        <f>RANK(K55, K$49:$K$85)</f>
        <v>5</v>
      </c>
      <c r="N55" s="600"/>
      <c r="O55" s="590"/>
      <c r="P55" s="187">
        <v>3</v>
      </c>
      <c r="Q55" s="187">
        <v>3214.2018073801178</v>
      </c>
      <c r="R55" s="184">
        <f t="shared" si="20"/>
        <v>1071.4006024600392</v>
      </c>
      <c r="S55" s="181">
        <f t="shared" si="21"/>
        <v>3</v>
      </c>
      <c r="T55" s="587"/>
      <c r="U55" s="187">
        <v>3</v>
      </c>
      <c r="V55" s="187">
        <v>3215.6418073801174</v>
      </c>
      <c r="W55" s="184">
        <f t="shared" si="17"/>
        <v>1071.8806024600392</v>
      </c>
      <c r="X55" s="181">
        <f t="shared" si="22"/>
        <v>3</v>
      </c>
      <c r="Y55" s="587"/>
      <c r="Z55" s="187">
        <v>3</v>
      </c>
      <c r="AA55" s="187">
        <v>3216.3618073801176</v>
      </c>
      <c r="AB55" s="184">
        <f t="shared" si="23"/>
        <v>1072.1206024600392</v>
      </c>
      <c r="AC55" s="181">
        <f t="shared" si="24"/>
        <v>5</v>
      </c>
      <c r="AD55" s="587"/>
      <c r="AE55" s="187">
        <v>3</v>
      </c>
      <c r="AF55" s="187">
        <v>3217.8018073801172</v>
      </c>
      <c r="AG55" s="184">
        <f t="shared" si="25"/>
        <v>1072.600602460039</v>
      </c>
      <c r="AH55" s="181">
        <f t="shared" si="26"/>
        <v>4</v>
      </c>
      <c r="AI55" s="587"/>
      <c r="AJ55" s="187">
        <v>3</v>
      </c>
      <c r="AK55" s="187">
        <v>3218.1618073801164</v>
      </c>
      <c r="AL55" s="184">
        <f t="shared" si="27"/>
        <v>1072.7206024600389</v>
      </c>
      <c r="AM55" s="181">
        <f t="shared" si="28"/>
        <v>5</v>
      </c>
      <c r="AN55" s="587"/>
      <c r="AO55" s="187">
        <v>3</v>
      </c>
      <c r="AP55" s="187">
        <v>3218.5218073801166</v>
      </c>
      <c r="AQ55" s="184">
        <f t="shared" si="29"/>
        <v>1072.8406024600388</v>
      </c>
      <c r="AR55" s="181">
        <f t="shared" si="30"/>
        <v>7</v>
      </c>
      <c r="AS55" s="587"/>
      <c r="AT55" s="187">
        <v>3</v>
      </c>
      <c r="AU55" s="187">
        <v>3218.8818073801158</v>
      </c>
      <c r="AV55" s="184">
        <f t="shared" si="31"/>
        <v>1072.9606024600387</v>
      </c>
      <c r="AW55" s="181">
        <f t="shared" si="32"/>
        <v>7</v>
      </c>
      <c r="AX55" s="587"/>
    </row>
    <row r="56" spans="2:50" ht="14.25" customHeight="1">
      <c r="B56" s="586"/>
      <c r="C56" s="179">
        <v>8</v>
      </c>
      <c r="D56" s="182" t="s">
        <v>367</v>
      </c>
      <c r="E56" s="183">
        <v>5</v>
      </c>
      <c r="F56" s="179">
        <v>3600</v>
      </c>
      <c r="G56" s="184">
        <f t="shared" si="18"/>
        <v>720</v>
      </c>
      <c r="H56" s="588"/>
      <c r="I56" s="185">
        <f t="shared" si="19"/>
        <v>5</v>
      </c>
      <c r="J56" s="185">
        <f t="shared" si="19"/>
        <v>3218.5609794343436</v>
      </c>
      <c r="K56" s="186">
        <f t="shared" si="19"/>
        <v>643.71219588686893</v>
      </c>
      <c r="L56" s="589"/>
      <c r="M56" s="185">
        <f>RANK(K56, K$49:$K$85)</f>
        <v>25</v>
      </c>
      <c r="N56" s="600"/>
      <c r="O56" s="590"/>
      <c r="P56" s="187">
        <v>5</v>
      </c>
      <c r="Q56" s="187">
        <v>3215.9895508629165</v>
      </c>
      <c r="R56" s="184">
        <f t="shared" si="20"/>
        <v>643.19791017258331</v>
      </c>
      <c r="S56" s="181">
        <f t="shared" si="21"/>
        <v>23</v>
      </c>
      <c r="T56" s="587"/>
      <c r="U56" s="187">
        <v>5</v>
      </c>
      <c r="V56" s="187">
        <v>3216.3495508629162</v>
      </c>
      <c r="W56" s="184">
        <f t="shared" si="17"/>
        <v>643.2699101725832</v>
      </c>
      <c r="X56" s="181">
        <f t="shared" si="22"/>
        <v>24</v>
      </c>
      <c r="Y56" s="587"/>
      <c r="Z56" s="187">
        <v>5</v>
      </c>
      <c r="AA56" s="187">
        <v>3217.4295508629157</v>
      </c>
      <c r="AB56" s="184">
        <f t="shared" si="23"/>
        <v>643.48591017258309</v>
      </c>
      <c r="AC56" s="181">
        <f t="shared" si="24"/>
        <v>23</v>
      </c>
      <c r="AD56" s="587"/>
      <c r="AE56" s="187">
        <v>5</v>
      </c>
      <c r="AF56" s="187">
        <v>3218.5095508629151</v>
      </c>
      <c r="AG56" s="184">
        <f t="shared" si="25"/>
        <v>643.70191017258298</v>
      </c>
      <c r="AH56" s="181">
        <f t="shared" si="26"/>
        <v>25</v>
      </c>
      <c r="AI56" s="587"/>
      <c r="AJ56" s="187">
        <v>5</v>
      </c>
      <c r="AK56" s="187">
        <v>3219.9495508629147</v>
      </c>
      <c r="AL56" s="184">
        <f t="shared" si="27"/>
        <v>643.989910172583</v>
      </c>
      <c r="AM56" s="181">
        <f t="shared" si="28"/>
        <v>25</v>
      </c>
      <c r="AN56" s="587"/>
      <c r="AO56" s="187">
        <v>5</v>
      </c>
      <c r="AP56" s="187">
        <v>3220.3095508629149</v>
      </c>
      <c r="AQ56" s="184">
        <f t="shared" si="29"/>
        <v>644.061910172583</v>
      </c>
      <c r="AR56" s="181">
        <f t="shared" si="30"/>
        <v>27</v>
      </c>
      <c r="AS56" s="587"/>
      <c r="AT56" s="187">
        <v>5</v>
      </c>
      <c r="AU56" s="187">
        <v>3221.3895508629148</v>
      </c>
      <c r="AV56" s="184">
        <f t="shared" si="31"/>
        <v>644.27791017258301</v>
      </c>
      <c r="AW56" s="181">
        <f t="shared" si="32"/>
        <v>26</v>
      </c>
      <c r="AX56" s="587"/>
    </row>
    <row r="57" spans="2:50" ht="14.25" customHeight="1">
      <c r="B57" s="586"/>
      <c r="C57" s="179">
        <v>9</v>
      </c>
      <c r="D57" s="182" t="s">
        <v>365</v>
      </c>
      <c r="E57" s="183">
        <v>5</v>
      </c>
      <c r="F57" s="179">
        <v>3600</v>
      </c>
      <c r="G57" s="184">
        <f t="shared" si="18"/>
        <v>720</v>
      </c>
      <c r="H57" s="588"/>
      <c r="I57" s="185">
        <f t="shared" si="19"/>
        <v>5</v>
      </c>
      <c r="J57" s="185">
        <f t="shared" si="19"/>
        <v>3218.8173023994241</v>
      </c>
      <c r="K57" s="186">
        <f t="shared" si="19"/>
        <v>643.76346047988488</v>
      </c>
      <c r="L57" s="589"/>
      <c r="M57" s="185">
        <f>RANK(K57, K$49:$K$85)</f>
        <v>23</v>
      </c>
      <c r="N57" s="600"/>
      <c r="O57" s="590"/>
      <c r="P57" s="187">
        <v>5</v>
      </c>
      <c r="Q57" s="187">
        <v>3214.960159542281</v>
      </c>
      <c r="R57" s="184">
        <f t="shared" si="20"/>
        <v>642.99203190845617</v>
      </c>
      <c r="S57" s="181">
        <f t="shared" si="21"/>
        <v>24</v>
      </c>
      <c r="T57" s="587"/>
      <c r="U57" s="187">
        <v>5</v>
      </c>
      <c r="V57" s="187">
        <v>3216.7601595422807</v>
      </c>
      <c r="W57" s="184">
        <f t="shared" si="17"/>
        <v>643.35203190845618</v>
      </c>
      <c r="X57" s="181">
        <f t="shared" si="22"/>
        <v>23</v>
      </c>
      <c r="Y57" s="587"/>
      <c r="Z57" s="187">
        <v>5</v>
      </c>
      <c r="AA57" s="187">
        <v>3217.1201595422817</v>
      </c>
      <c r="AB57" s="184">
        <f t="shared" si="23"/>
        <v>643.4240319084563</v>
      </c>
      <c r="AC57" s="181">
        <f t="shared" si="24"/>
        <v>24</v>
      </c>
      <c r="AD57" s="587"/>
      <c r="AE57" s="187">
        <v>5</v>
      </c>
      <c r="AF57" s="187">
        <v>3218.9201595422815</v>
      </c>
      <c r="AG57" s="184">
        <f t="shared" si="25"/>
        <v>643.78403190845631</v>
      </c>
      <c r="AH57" s="181">
        <f t="shared" si="26"/>
        <v>23</v>
      </c>
      <c r="AI57" s="587"/>
      <c r="AJ57" s="187">
        <v>5</v>
      </c>
      <c r="AK57" s="187">
        <v>3220.7201595422816</v>
      </c>
      <c r="AL57" s="184">
        <f t="shared" si="27"/>
        <v>644.14403190845633</v>
      </c>
      <c r="AM57" s="181">
        <f t="shared" si="28"/>
        <v>23</v>
      </c>
      <c r="AN57" s="587"/>
      <c r="AO57" s="187">
        <v>5</v>
      </c>
      <c r="AP57" s="187">
        <v>3221.0801595422813</v>
      </c>
      <c r="AQ57" s="184">
        <f t="shared" si="29"/>
        <v>644.21603190845622</v>
      </c>
      <c r="AR57" s="181">
        <f t="shared" si="30"/>
        <v>24</v>
      </c>
      <c r="AS57" s="587"/>
      <c r="AT57" s="187">
        <v>5</v>
      </c>
      <c r="AU57" s="187">
        <v>3222.1601595422808</v>
      </c>
      <c r="AV57" s="184">
        <f t="shared" si="31"/>
        <v>644.43203190845611</v>
      </c>
      <c r="AW57" s="181">
        <f t="shared" si="32"/>
        <v>23</v>
      </c>
      <c r="AX57" s="587"/>
    </row>
    <row r="58" spans="2:50" ht="14.25" customHeight="1">
      <c r="B58" s="586"/>
      <c r="C58" s="179">
        <v>10</v>
      </c>
      <c r="D58" s="182" t="s">
        <v>211</v>
      </c>
      <c r="E58" s="183">
        <v>3</v>
      </c>
      <c r="F58" s="179">
        <v>3000</v>
      </c>
      <c r="G58" s="184">
        <f t="shared" si="18"/>
        <v>1000</v>
      </c>
      <c r="H58" s="588"/>
      <c r="I58" s="185">
        <f t="shared" si="19"/>
        <v>3</v>
      </c>
      <c r="J58" s="185">
        <f t="shared" si="19"/>
        <v>2742.5589717595985</v>
      </c>
      <c r="K58" s="186">
        <f t="shared" si="19"/>
        <v>914.18632391986625</v>
      </c>
      <c r="L58" s="589"/>
      <c r="M58" s="185">
        <f>RANK(K58, K$49:$K$85)</f>
        <v>11</v>
      </c>
      <c r="N58" s="600"/>
      <c r="O58" s="590"/>
      <c r="P58" s="187">
        <v>3</v>
      </c>
      <c r="Q58" s="187">
        <v>2738.3161146167413</v>
      </c>
      <c r="R58" s="184">
        <f t="shared" si="20"/>
        <v>912.77203820558043</v>
      </c>
      <c r="S58" s="181">
        <f t="shared" si="21"/>
        <v>12</v>
      </c>
      <c r="T58" s="587"/>
      <c r="U58" s="187">
        <v>3</v>
      </c>
      <c r="V58" s="187">
        <v>2740.1161146167415</v>
      </c>
      <c r="W58" s="184">
        <f t="shared" si="17"/>
        <v>913.37203820558045</v>
      </c>
      <c r="X58" s="181">
        <f t="shared" si="22"/>
        <v>11</v>
      </c>
      <c r="Y58" s="587"/>
      <c r="Z58" s="187">
        <v>3</v>
      </c>
      <c r="AA58" s="187">
        <v>2741.9161146167417</v>
      </c>
      <c r="AB58" s="184">
        <f t="shared" si="23"/>
        <v>913.97203820558059</v>
      </c>
      <c r="AC58" s="181">
        <f t="shared" si="24"/>
        <v>11</v>
      </c>
      <c r="AD58" s="587"/>
      <c r="AE58" s="187">
        <v>3</v>
      </c>
      <c r="AF58" s="187">
        <v>2741.9161146167417</v>
      </c>
      <c r="AG58" s="184">
        <f t="shared" si="25"/>
        <v>913.97203820558059</v>
      </c>
      <c r="AH58" s="181">
        <f t="shared" si="26"/>
        <v>11</v>
      </c>
      <c r="AI58" s="587"/>
      <c r="AJ58" s="187">
        <v>3</v>
      </c>
      <c r="AK58" s="187">
        <v>2743.7161146167418</v>
      </c>
      <c r="AL58" s="184">
        <f t="shared" si="27"/>
        <v>914.57203820558061</v>
      </c>
      <c r="AM58" s="181">
        <f t="shared" si="28"/>
        <v>11</v>
      </c>
      <c r="AN58" s="587"/>
      <c r="AO58" s="187">
        <v>3</v>
      </c>
      <c r="AP58" s="187">
        <v>2745.516114616742</v>
      </c>
      <c r="AQ58" s="184">
        <f t="shared" si="29"/>
        <v>915.17203820558063</v>
      </c>
      <c r="AR58" s="181">
        <f t="shared" si="30"/>
        <v>11</v>
      </c>
      <c r="AS58" s="587"/>
      <c r="AT58" s="187">
        <v>3</v>
      </c>
      <c r="AU58" s="187">
        <v>2746.4161146167421</v>
      </c>
      <c r="AV58" s="184">
        <f t="shared" si="31"/>
        <v>915.4720382055807</v>
      </c>
      <c r="AW58" s="181">
        <f t="shared" si="32"/>
        <v>12</v>
      </c>
      <c r="AX58" s="587"/>
    </row>
    <row r="59" spans="2:50" ht="14.25" customHeight="1">
      <c r="B59" s="586"/>
      <c r="C59" s="179">
        <v>11</v>
      </c>
      <c r="D59" s="182" t="s">
        <v>416</v>
      </c>
      <c r="E59" s="183">
        <v>12</v>
      </c>
      <c r="F59" s="179">
        <v>3600</v>
      </c>
      <c r="G59" s="184">
        <f t="shared" si="18"/>
        <v>300</v>
      </c>
      <c r="H59" s="588"/>
      <c r="I59" s="185">
        <f t="shared" si="19"/>
        <v>12</v>
      </c>
      <c r="J59" s="185">
        <f t="shared" si="19"/>
        <v>3121.2659796529219</v>
      </c>
      <c r="K59" s="186">
        <f t="shared" si="19"/>
        <v>260.1054983044101</v>
      </c>
      <c r="L59" s="589"/>
      <c r="M59" s="185">
        <f>RANK(K59, K$49:$K$85)</f>
        <v>34</v>
      </c>
      <c r="N59" s="600"/>
      <c r="O59" s="590"/>
      <c r="P59" s="187">
        <v>12</v>
      </c>
      <c r="Q59" s="187">
        <v>3122.9023123706702</v>
      </c>
      <c r="R59" s="184">
        <f t="shared" si="20"/>
        <v>260.24185936422253</v>
      </c>
      <c r="S59" s="181">
        <f t="shared" si="21"/>
        <v>35</v>
      </c>
      <c r="T59" s="587"/>
      <c r="U59" s="187">
        <v>12</v>
      </c>
      <c r="V59" s="187">
        <v>3121.8223123706707</v>
      </c>
      <c r="W59" s="184">
        <f t="shared" si="17"/>
        <v>260.15185936422256</v>
      </c>
      <c r="X59" s="181">
        <f t="shared" si="22"/>
        <v>34</v>
      </c>
      <c r="Y59" s="587"/>
      <c r="Z59" s="187">
        <v>12</v>
      </c>
      <c r="AA59" s="187">
        <v>3120.022312370671</v>
      </c>
      <c r="AB59" s="184">
        <f t="shared" si="23"/>
        <v>260.00185936422258</v>
      </c>
      <c r="AC59" s="181">
        <f t="shared" si="24"/>
        <v>35</v>
      </c>
      <c r="AD59" s="587"/>
      <c r="AE59" s="187">
        <v>12</v>
      </c>
      <c r="AF59" s="187">
        <v>3121.1023123706709</v>
      </c>
      <c r="AG59" s="184">
        <f t="shared" si="25"/>
        <v>260.09185936422256</v>
      </c>
      <c r="AH59" s="181">
        <f t="shared" si="26"/>
        <v>34</v>
      </c>
      <c r="AI59" s="587"/>
      <c r="AJ59" s="187">
        <v>12</v>
      </c>
      <c r="AK59" s="187">
        <v>3121.8223123706707</v>
      </c>
      <c r="AL59" s="184">
        <f t="shared" si="27"/>
        <v>260.15185936422256</v>
      </c>
      <c r="AM59" s="181">
        <f t="shared" si="28"/>
        <v>34</v>
      </c>
      <c r="AN59" s="587"/>
      <c r="AO59" s="187">
        <v>12</v>
      </c>
      <c r="AP59" s="187">
        <v>3120.7423123706708</v>
      </c>
      <c r="AQ59" s="184">
        <f t="shared" si="29"/>
        <v>260.06185936422258</v>
      </c>
      <c r="AR59" s="181">
        <f t="shared" si="30"/>
        <v>34</v>
      </c>
      <c r="AS59" s="587"/>
      <c r="AT59" s="187">
        <v>12</v>
      </c>
      <c r="AU59" s="187">
        <v>3120.4479833464293</v>
      </c>
      <c r="AV59" s="184">
        <f t="shared" si="31"/>
        <v>260.03733194553575</v>
      </c>
      <c r="AW59" s="181">
        <f t="shared" si="32"/>
        <v>33</v>
      </c>
      <c r="AX59" s="587"/>
    </row>
    <row r="60" spans="2:50" ht="14.25" customHeight="1">
      <c r="B60" s="586"/>
      <c r="C60" s="179">
        <v>12</v>
      </c>
      <c r="D60" s="182" t="s">
        <v>432</v>
      </c>
      <c r="E60" s="183">
        <v>3</v>
      </c>
      <c r="F60" s="179">
        <v>3300</v>
      </c>
      <c r="G60" s="184">
        <f t="shared" si="18"/>
        <v>1100</v>
      </c>
      <c r="H60" s="588"/>
      <c r="I60" s="185">
        <f t="shared" si="19"/>
        <v>3</v>
      </c>
      <c r="J60" s="185">
        <f t="shared" si="19"/>
        <v>3012.5277262840341</v>
      </c>
      <c r="K60" s="186">
        <f t="shared" si="19"/>
        <v>1004.1759087613445</v>
      </c>
      <c r="L60" s="589"/>
      <c r="M60" s="185">
        <f>RANK(K60, K$49:$K$85)</f>
        <v>10</v>
      </c>
      <c r="N60" s="600"/>
      <c r="O60" s="590"/>
      <c r="P60" s="187">
        <v>3</v>
      </c>
      <c r="Q60" s="187">
        <v>3010.1234405697478</v>
      </c>
      <c r="R60" s="184">
        <f t="shared" si="20"/>
        <v>1003.374480189916</v>
      </c>
      <c r="S60" s="181">
        <f t="shared" si="21"/>
        <v>10</v>
      </c>
      <c r="T60" s="587"/>
      <c r="U60" s="187">
        <v>3</v>
      </c>
      <c r="V60" s="187">
        <v>3010.1234405697478</v>
      </c>
      <c r="W60" s="184">
        <f t="shared" si="17"/>
        <v>1003.374480189916</v>
      </c>
      <c r="X60" s="181">
        <f t="shared" si="22"/>
        <v>10</v>
      </c>
      <c r="Y60" s="587"/>
      <c r="Z60" s="187">
        <v>3</v>
      </c>
      <c r="AA60" s="187">
        <v>3011.113440569748</v>
      </c>
      <c r="AB60" s="184">
        <f t="shared" si="23"/>
        <v>1003.704480189916</v>
      </c>
      <c r="AC60" s="181">
        <f t="shared" si="24"/>
        <v>10</v>
      </c>
      <c r="AD60" s="587"/>
      <c r="AE60" s="187">
        <v>3</v>
      </c>
      <c r="AF60" s="187">
        <v>3012.4334405697477</v>
      </c>
      <c r="AG60" s="184">
        <f t="shared" si="25"/>
        <v>1004.144480189916</v>
      </c>
      <c r="AH60" s="181">
        <f t="shared" si="26"/>
        <v>10</v>
      </c>
      <c r="AI60" s="587"/>
      <c r="AJ60" s="187">
        <v>3</v>
      </c>
      <c r="AK60" s="187">
        <v>3013.0934405697476</v>
      </c>
      <c r="AL60" s="184">
        <f t="shared" si="27"/>
        <v>1004.3644801899159</v>
      </c>
      <c r="AM60" s="181">
        <f t="shared" si="28"/>
        <v>10</v>
      </c>
      <c r="AN60" s="587"/>
      <c r="AO60" s="187">
        <v>3</v>
      </c>
      <c r="AP60" s="187">
        <v>3015.0734405697481</v>
      </c>
      <c r="AQ60" s="184">
        <f t="shared" si="29"/>
        <v>1005.0244801899161</v>
      </c>
      <c r="AR60" s="181">
        <f t="shared" si="30"/>
        <v>10</v>
      </c>
      <c r="AS60" s="587"/>
      <c r="AT60" s="187">
        <v>3</v>
      </c>
      <c r="AU60" s="187">
        <v>3015.7334405697479</v>
      </c>
      <c r="AV60" s="184">
        <f t="shared" si="31"/>
        <v>1005.244480189916</v>
      </c>
      <c r="AW60" s="181">
        <f t="shared" si="32"/>
        <v>10</v>
      </c>
      <c r="AX60" s="587"/>
    </row>
    <row r="61" spans="2:50" ht="14.25" customHeight="1">
      <c r="B61" s="586"/>
      <c r="C61" s="179">
        <v>13</v>
      </c>
      <c r="D61" s="182" t="s">
        <v>491</v>
      </c>
      <c r="E61" s="183">
        <v>5</v>
      </c>
      <c r="F61" s="179">
        <v>3600</v>
      </c>
      <c r="G61" s="184">
        <f t="shared" si="18"/>
        <v>720</v>
      </c>
      <c r="H61" s="588"/>
      <c r="I61" s="185">
        <f t="shared" si="19"/>
        <v>5</v>
      </c>
      <c r="J61" s="185">
        <f t="shared" si="19"/>
        <v>3216.851149484939</v>
      </c>
      <c r="K61" s="186">
        <f t="shared" si="19"/>
        <v>643.37022989698789</v>
      </c>
      <c r="L61" s="589"/>
      <c r="M61" s="185">
        <f>RANK(K61, K$49:$K$85)</f>
        <v>28</v>
      </c>
      <c r="N61" s="600"/>
      <c r="O61" s="590"/>
      <c r="P61" s="187">
        <v>5</v>
      </c>
      <c r="Q61" s="187">
        <v>3213.9111494849394</v>
      </c>
      <c r="R61" s="184">
        <f t="shared" si="20"/>
        <v>642.78222989698793</v>
      </c>
      <c r="S61" s="181">
        <f t="shared" si="21"/>
        <v>27</v>
      </c>
      <c r="T61" s="587"/>
      <c r="U61" s="187">
        <v>5</v>
      </c>
      <c r="V61" s="187">
        <v>3216.0711494849397</v>
      </c>
      <c r="W61" s="184">
        <f t="shared" si="17"/>
        <v>643.21422989698794</v>
      </c>
      <c r="X61" s="181">
        <f t="shared" si="22"/>
        <v>25</v>
      </c>
      <c r="Y61" s="587"/>
      <c r="Z61" s="187">
        <v>5</v>
      </c>
      <c r="AA61" s="187">
        <v>3216.4311494849394</v>
      </c>
      <c r="AB61" s="184">
        <f t="shared" si="23"/>
        <v>643.28622989698783</v>
      </c>
      <c r="AC61" s="181">
        <f t="shared" si="24"/>
        <v>26</v>
      </c>
      <c r="AD61" s="587"/>
      <c r="AE61" s="187">
        <v>5</v>
      </c>
      <c r="AF61" s="187">
        <v>3217.5111494849384</v>
      </c>
      <c r="AG61" s="184">
        <f t="shared" si="25"/>
        <v>643.50222989698773</v>
      </c>
      <c r="AH61" s="181">
        <f t="shared" si="26"/>
        <v>26</v>
      </c>
      <c r="AI61" s="587"/>
      <c r="AJ61" s="187">
        <v>5</v>
      </c>
      <c r="AK61" s="187">
        <v>3217.5111494849389</v>
      </c>
      <c r="AL61" s="184">
        <f t="shared" si="27"/>
        <v>643.50222989698773</v>
      </c>
      <c r="AM61" s="181">
        <f t="shared" si="28"/>
        <v>29</v>
      </c>
      <c r="AN61" s="587"/>
      <c r="AO61" s="187">
        <v>5</v>
      </c>
      <c r="AP61" s="187">
        <v>3219.6711494849387</v>
      </c>
      <c r="AQ61" s="184">
        <f t="shared" si="29"/>
        <v>643.93422989698774</v>
      </c>
      <c r="AR61" s="181">
        <f t="shared" si="30"/>
        <v>28</v>
      </c>
      <c r="AS61" s="587"/>
      <c r="AT61" s="187"/>
      <c r="AU61" s="187"/>
      <c r="AV61" s="184"/>
      <c r="AW61" s="181"/>
      <c r="AX61" s="587"/>
    </row>
    <row r="62" spans="2:50" ht="14.25" customHeight="1">
      <c r="B62" s="586"/>
      <c r="C62" s="179">
        <v>14</v>
      </c>
      <c r="D62" s="182" t="s">
        <v>528</v>
      </c>
      <c r="E62" s="183">
        <v>3</v>
      </c>
      <c r="F62" s="179">
        <v>3600</v>
      </c>
      <c r="G62" s="184">
        <f t="shared" si="18"/>
        <v>1200</v>
      </c>
      <c r="H62" s="588"/>
      <c r="I62" s="185">
        <f t="shared" si="19"/>
        <v>3</v>
      </c>
      <c r="J62" s="185">
        <f t="shared" si="19"/>
        <v>3217.9469292880249</v>
      </c>
      <c r="K62" s="186">
        <f t="shared" si="19"/>
        <v>1072.6489764293417</v>
      </c>
      <c r="L62" s="589"/>
      <c r="M62" s="185">
        <f>RANK(K62, K$49:$K$85)</f>
        <v>3</v>
      </c>
      <c r="N62" s="600"/>
      <c r="O62" s="590"/>
      <c r="P62" s="187">
        <v>3</v>
      </c>
      <c r="Q62" s="187">
        <v>3214.7583578594536</v>
      </c>
      <c r="R62" s="184">
        <f t="shared" si="20"/>
        <v>1071.5861192864845</v>
      </c>
      <c r="S62" s="181">
        <f t="shared" si="21"/>
        <v>2</v>
      </c>
      <c r="T62" s="587"/>
      <c r="U62" s="187">
        <v>3</v>
      </c>
      <c r="V62" s="187">
        <v>3216.5583578594533</v>
      </c>
      <c r="W62" s="184">
        <f t="shared" si="17"/>
        <v>1072.1861192864844</v>
      </c>
      <c r="X62" s="181">
        <f t="shared" si="22"/>
        <v>2</v>
      </c>
      <c r="Y62" s="587"/>
      <c r="Z62" s="187">
        <v>3</v>
      </c>
      <c r="AA62" s="187">
        <v>3217.2783578594535</v>
      </c>
      <c r="AB62" s="184">
        <f t="shared" si="23"/>
        <v>1072.4261192864844</v>
      </c>
      <c r="AC62" s="181">
        <f t="shared" si="24"/>
        <v>3</v>
      </c>
      <c r="AD62" s="587"/>
      <c r="AE62" s="187">
        <v>3</v>
      </c>
      <c r="AF62" s="187">
        <v>3217.6383578594537</v>
      </c>
      <c r="AG62" s="184">
        <f t="shared" si="25"/>
        <v>1072.5461192864846</v>
      </c>
      <c r="AH62" s="181">
        <f t="shared" si="26"/>
        <v>5</v>
      </c>
      <c r="AI62" s="587"/>
      <c r="AJ62" s="187">
        <v>3</v>
      </c>
      <c r="AK62" s="187">
        <v>3218.7183578594536</v>
      </c>
      <c r="AL62" s="184">
        <f t="shared" si="27"/>
        <v>1072.9061192864845</v>
      </c>
      <c r="AM62" s="181">
        <f t="shared" si="28"/>
        <v>4</v>
      </c>
      <c r="AN62" s="587"/>
      <c r="AO62" s="187">
        <v>3</v>
      </c>
      <c r="AP62" s="187">
        <v>3219.4383578594534</v>
      </c>
      <c r="AQ62" s="184">
        <f t="shared" si="29"/>
        <v>1073.1461192864845</v>
      </c>
      <c r="AR62" s="181">
        <f t="shared" si="30"/>
        <v>4</v>
      </c>
      <c r="AS62" s="587"/>
      <c r="AT62" s="187">
        <v>3</v>
      </c>
      <c r="AU62" s="187">
        <v>3221.2383578594531</v>
      </c>
      <c r="AV62" s="184">
        <f t="shared" si="31"/>
        <v>1073.7461192864844</v>
      </c>
      <c r="AW62" s="181">
        <f t="shared" si="32"/>
        <v>3</v>
      </c>
      <c r="AX62" s="587"/>
    </row>
    <row r="63" spans="2:50" ht="14.25" customHeight="1">
      <c r="B63" s="586"/>
      <c r="C63" s="179">
        <v>15</v>
      </c>
      <c r="D63" s="182" t="s">
        <v>521</v>
      </c>
      <c r="E63" s="183">
        <v>3</v>
      </c>
      <c r="F63" s="179">
        <v>3300</v>
      </c>
      <c r="G63" s="184">
        <f t="shared" si="18"/>
        <v>1100</v>
      </c>
      <c r="H63" s="588"/>
      <c r="I63" s="185">
        <f t="shared" si="19"/>
        <v>3</v>
      </c>
      <c r="J63" s="185">
        <f t="shared" si="19"/>
        <v>3017.7076895265245</v>
      </c>
      <c r="K63" s="186">
        <f t="shared" si="19"/>
        <v>1005.9025631755082</v>
      </c>
      <c r="L63" s="589"/>
      <c r="M63" s="185">
        <f>RANK(K63, K$49:$K$85)</f>
        <v>9</v>
      </c>
      <c r="N63" s="600"/>
      <c r="O63" s="590"/>
      <c r="P63" s="187">
        <v>3</v>
      </c>
      <c r="Q63" s="187">
        <v>3013.6871831917838</v>
      </c>
      <c r="R63" s="184">
        <f t="shared" si="20"/>
        <v>1004.5623943972613</v>
      </c>
      <c r="S63" s="181">
        <f t="shared" si="21"/>
        <v>9</v>
      </c>
      <c r="T63" s="587"/>
      <c r="U63" s="187">
        <v>3</v>
      </c>
      <c r="V63" s="187">
        <v>3015.0071831917835</v>
      </c>
      <c r="W63" s="184">
        <f t="shared" si="17"/>
        <v>1005.0023943972611</v>
      </c>
      <c r="X63" s="181">
        <f t="shared" si="22"/>
        <v>9</v>
      </c>
      <c r="Y63" s="587"/>
      <c r="Z63" s="187">
        <v>3</v>
      </c>
      <c r="AA63" s="187">
        <v>3015.6671831917834</v>
      </c>
      <c r="AB63" s="184">
        <f t="shared" si="23"/>
        <v>1005.2223943972612</v>
      </c>
      <c r="AC63" s="181">
        <f t="shared" si="24"/>
        <v>9</v>
      </c>
      <c r="AD63" s="587"/>
      <c r="AE63" s="187">
        <v>3</v>
      </c>
      <c r="AF63" s="187">
        <v>3015.6671831917834</v>
      </c>
      <c r="AG63" s="184">
        <f t="shared" si="25"/>
        <v>1005.2223943972612</v>
      </c>
      <c r="AH63" s="181">
        <f t="shared" si="26"/>
        <v>9</v>
      </c>
      <c r="AI63" s="587"/>
      <c r="AJ63" s="187">
        <v>3</v>
      </c>
      <c r="AK63" s="187">
        <v>3019.7683646395126</v>
      </c>
      <c r="AL63" s="184">
        <f t="shared" si="27"/>
        <v>1006.5894548798375</v>
      </c>
      <c r="AM63" s="181">
        <f t="shared" si="28"/>
        <v>9</v>
      </c>
      <c r="AN63" s="587"/>
      <c r="AO63" s="187">
        <v>3</v>
      </c>
      <c r="AP63" s="187">
        <v>3021.4183646395122</v>
      </c>
      <c r="AQ63" s="184">
        <f t="shared" si="29"/>
        <v>1007.1394548798374</v>
      </c>
      <c r="AR63" s="181">
        <f t="shared" si="30"/>
        <v>9</v>
      </c>
      <c r="AS63" s="587"/>
      <c r="AT63" s="187">
        <v>3</v>
      </c>
      <c r="AU63" s="187">
        <v>3022.7383646395124</v>
      </c>
      <c r="AV63" s="184">
        <f t="shared" si="31"/>
        <v>1007.5794548798375</v>
      </c>
      <c r="AW63" s="181">
        <f t="shared" si="32"/>
        <v>9</v>
      </c>
      <c r="AX63" s="587"/>
    </row>
    <row r="64" spans="2:50" ht="14.25" customHeight="1">
      <c r="B64" s="586"/>
      <c r="C64" s="179">
        <v>16</v>
      </c>
      <c r="D64" s="182" t="s">
        <v>593</v>
      </c>
      <c r="E64" s="183">
        <v>4</v>
      </c>
      <c r="F64" s="179">
        <v>3300</v>
      </c>
      <c r="G64" s="184">
        <f t="shared" si="18"/>
        <v>825</v>
      </c>
      <c r="H64" s="588"/>
      <c r="I64" s="185">
        <f t="shared" si="19"/>
        <v>4</v>
      </c>
      <c r="J64" s="185">
        <f t="shared" si="19"/>
        <v>3018.220075648173</v>
      </c>
      <c r="K64" s="186">
        <f t="shared" si="19"/>
        <v>754.55501891204324</v>
      </c>
      <c r="L64" s="589"/>
      <c r="M64" s="185">
        <f>RANK(K64, K$49:$K$85)</f>
        <v>16</v>
      </c>
      <c r="N64" s="600"/>
      <c r="O64" s="590"/>
      <c r="P64" s="187">
        <v>4</v>
      </c>
      <c r="Q64" s="187">
        <v>3012.0651217523928</v>
      </c>
      <c r="R64" s="184">
        <f t="shared" si="20"/>
        <v>753.01628043809819</v>
      </c>
      <c r="S64" s="181">
        <f t="shared" si="21"/>
        <v>16</v>
      </c>
      <c r="T64" s="587"/>
      <c r="U64" s="187">
        <v>4</v>
      </c>
      <c r="V64" s="187">
        <v>3015.7809012974694</v>
      </c>
      <c r="W64" s="184">
        <f t="shared" si="17"/>
        <v>753.94522532436736</v>
      </c>
      <c r="X64" s="181">
        <f t="shared" si="22"/>
        <v>16</v>
      </c>
      <c r="Y64" s="587"/>
      <c r="Z64" s="187">
        <v>4</v>
      </c>
      <c r="AA64" s="187">
        <v>3016.4409012974693</v>
      </c>
      <c r="AB64" s="184">
        <f t="shared" si="23"/>
        <v>754.11022532436732</v>
      </c>
      <c r="AC64" s="181">
        <f t="shared" si="24"/>
        <v>16</v>
      </c>
      <c r="AD64" s="587"/>
      <c r="AE64" s="187">
        <v>4</v>
      </c>
      <c r="AF64" s="187">
        <v>3018.0909012974694</v>
      </c>
      <c r="AG64" s="184">
        <f t="shared" si="25"/>
        <v>754.52272532436734</v>
      </c>
      <c r="AH64" s="181">
        <f t="shared" si="26"/>
        <v>16</v>
      </c>
      <c r="AI64" s="587"/>
      <c r="AJ64" s="187">
        <v>4</v>
      </c>
      <c r="AK64" s="187">
        <v>3020.0709012974698</v>
      </c>
      <c r="AL64" s="184">
        <f t="shared" si="27"/>
        <v>755.01772532436746</v>
      </c>
      <c r="AM64" s="181">
        <f t="shared" si="28"/>
        <v>16</v>
      </c>
      <c r="AN64" s="587"/>
      <c r="AO64" s="187">
        <v>4</v>
      </c>
      <c r="AP64" s="187">
        <v>3022.0509012974708</v>
      </c>
      <c r="AQ64" s="184">
        <f t="shared" si="29"/>
        <v>755.51272532436769</v>
      </c>
      <c r="AR64" s="181">
        <f t="shared" si="30"/>
        <v>16</v>
      </c>
      <c r="AS64" s="587"/>
      <c r="AT64" s="187">
        <v>4</v>
      </c>
      <c r="AU64" s="187">
        <v>3023.040901297471</v>
      </c>
      <c r="AV64" s="184">
        <f t="shared" si="31"/>
        <v>755.76022532436775</v>
      </c>
      <c r="AW64" s="181">
        <f t="shared" si="32"/>
        <v>16</v>
      </c>
      <c r="AX64" s="587"/>
    </row>
    <row r="65" spans="2:50" ht="14.25" customHeight="1">
      <c r="B65" s="586"/>
      <c r="C65" s="179">
        <v>17</v>
      </c>
      <c r="D65" s="182" t="s">
        <v>608</v>
      </c>
      <c r="E65" s="183">
        <v>5</v>
      </c>
      <c r="F65" s="179">
        <v>3600</v>
      </c>
      <c r="G65" s="184">
        <f t="shared" si="18"/>
        <v>720</v>
      </c>
      <c r="H65" s="588"/>
      <c r="I65" s="185">
        <f t="shared" si="19"/>
        <v>5</v>
      </c>
      <c r="J65" s="185">
        <f t="shared" si="19"/>
        <v>3218.6115908773054</v>
      </c>
      <c r="K65" s="186">
        <f t="shared" si="19"/>
        <v>643.72231817546106</v>
      </c>
      <c r="L65" s="589"/>
      <c r="M65" s="185">
        <f>RANK(K65, K$49:$K$85)</f>
        <v>24</v>
      </c>
      <c r="N65" s="600"/>
      <c r="O65" s="590"/>
      <c r="P65" s="187">
        <v>5</v>
      </c>
      <c r="Q65" s="187">
        <v>3214.8058765915907</v>
      </c>
      <c r="R65" s="184">
        <f t="shared" si="20"/>
        <v>642.96117531831817</v>
      </c>
      <c r="S65" s="181">
        <f t="shared" si="21"/>
        <v>25</v>
      </c>
      <c r="T65" s="587"/>
      <c r="U65" s="187">
        <v>5</v>
      </c>
      <c r="V65" s="187">
        <v>3215.8858765915911</v>
      </c>
      <c r="W65" s="184">
        <f t="shared" si="17"/>
        <v>643.17717531831818</v>
      </c>
      <c r="X65" s="181">
        <f t="shared" si="22"/>
        <v>26</v>
      </c>
      <c r="Y65" s="587"/>
      <c r="Z65" s="187">
        <v>5</v>
      </c>
      <c r="AA65" s="187">
        <v>3216.9658765915901</v>
      </c>
      <c r="AB65" s="184">
        <f t="shared" si="23"/>
        <v>643.39317531831807</v>
      </c>
      <c r="AC65" s="181">
        <f t="shared" si="24"/>
        <v>25</v>
      </c>
      <c r="AD65" s="587"/>
      <c r="AE65" s="187">
        <v>5</v>
      </c>
      <c r="AF65" s="187">
        <v>3218.7658765915908</v>
      </c>
      <c r="AG65" s="184">
        <f t="shared" si="25"/>
        <v>643.7531753183182</v>
      </c>
      <c r="AH65" s="181">
        <f t="shared" si="26"/>
        <v>24</v>
      </c>
      <c r="AI65" s="587"/>
      <c r="AJ65" s="187">
        <v>5</v>
      </c>
      <c r="AK65" s="187">
        <v>3220.2058765915908</v>
      </c>
      <c r="AL65" s="184">
        <f t="shared" si="27"/>
        <v>644.04117531831821</v>
      </c>
      <c r="AM65" s="181">
        <f t="shared" si="28"/>
        <v>24</v>
      </c>
      <c r="AN65" s="587"/>
      <c r="AO65" s="187">
        <v>5</v>
      </c>
      <c r="AP65" s="187">
        <v>3221.6458765915909</v>
      </c>
      <c r="AQ65" s="184">
        <f t="shared" si="29"/>
        <v>644.32917531831822</v>
      </c>
      <c r="AR65" s="181">
        <f t="shared" si="30"/>
        <v>23</v>
      </c>
      <c r="AS65" s="587"/>
      <c r="AT65" s="187">
        <v>5</v>
      </c>
      <c r="AU65" s="187">
        <v>3222.005876591591</v>
      </c>
      <c r="AV65" s="184">
        <f t="shared" si="31"/>
        <v>644.40117531831822</v>
      </c>
      <c r="AW65" s="181">
        <f t="shared" si="32"/>
        <v>25</v>
      </c>
      <c r="AX65" s="587"/>
    </row>
    <row r="66" spans="2:50" ht="14.25" customHeight="1">
      <c r="B66" s="586"/>
      <c r="C66" s="179">
        <v>18</v>
      </c>
      <c r="D66" s="182" t="s">
        <v>378</v>
      </c>
      <c r="E66" s="183">
        <v>5</v>
      </c>
      <c r="F66" s="179">
        <v>3600</v>
      </c>
      <c r="G66" s="184">
        <f t="shared" si="18"/>
        <v>720</v>
      </c>
      <c r="H66" s="588"/>
      <c r="I66" s="185">
        <f t="shared" si="19"/>
        <v>5</v>
      </c>
      <c r="J66" s="185">
        <f t="shared" si="19"/>
        <v>3217.9820511909625</v>
      </c>
      <c r="K66" s="186">
        <f t="shared" si="19"/>
        <v>643.59641023819245</v>
      </c>
      <c r="L66" s="589"/>
      <c r="M66" s="185">
        <f>RANK(K66, K$49:$K$85)</f>
        <v>26</v>
      </c>
      <c r="N66" s="600"/>
      <c r="O66" s="590"/>
      <c r="P66" s="187">
        <v>5</v>
      </c>
      <c r="Q66" s="187">
        <v>3214.5478723519909</v>
      </c>
      <c r="R66" s="184">
        <f t="shared" si="20"/>
        <v>642.90957447039818</v>
      </c>
      <c r="S66" s="181">
        <f t="shared" si="21"/>
        <v>26</v>
      </c>
      <c r="T66" s="587"/>
      <c r="U66" s="187">
        <v>5</v>
      </c>
      <c r="V66" s="187">
        <v>3215.6278723519899</v>
      </c>
      <c r="W66" s="184">
        <f t="shared" si="17"/>
        <v>643.12557447039796</v>
      </c>
      <c r="X66" s="181">
        <f t="shared" si="22"/>
        <v>27</v>
      </c>
      <c r="Y66" s="587"/>
      <c r="Z66" s="187">
        <v>5</v>
      </c>
      <c r="AA66" s="187">
        <v>3216.2671242247948</v>
      </c>
      <c r="AB66" s="184">
        <f t="shared" si="23"/>
        <v>643.253424844959</v>
      </c>
      <c r="AC66" s="181">
        <f t="shared" si="24"/>
        <v>27</v>
      </c>
      <c r="AD66" s="587"/>
      <c r="AE66" s="187">
        <v>5</v>
      </c>
      <c r="AF66" s="187">
        <v>3217.4278723519901</v>
      </c>
      <c r="AG66" s="184">
        <f t="shared" si="25"/>
        <v>643.48557447039798</v>
      </c>
      <c r="AH66" s="181">
        <f t="shared" si="26"/>
        <v>27</v>
      </c>
      <c r="AI66" s="587"/>
      <c r="AJ66" s="187">
        <v>5</v>
      </c>
      <c r="AK66" s="187">
        <v>3219.2278723519903</v>
      </c>
      <c r="AL66" s="184">
        <f t="shared" si="27"/>
        <v>643.84557447039811</v>
      </c>
      <c r="AM66" s="181">
        <f t="shared" si="28"/>
        <v>26</v>
      </c>
      <c r="AN66" s="587"/>
      <c r="AO66" s="187">
        <v>5</v>
      </c>
      <c r="AP66" s="187">
        <v>3220.6678723519899</v>
      </c>
      <c r="AQ66" s="184">
        <f t="shared" si="29"/>
        <v>644.133574470398</v>
      </c>
      <c r="AR66" s="181">
        <f t="shared" si="30"/>
        <v>25</v>
      </c>
      <c r="AS66" s="587"/>
      <c r="AT66" s="187">
        <v>5</v>
      </c>
      <c r="AU66" s="187">
        <v>3222.1078723519904</v>
      </c>
      <c r="AV66" s="184">
        <f t="shared" si="31"/>
        <v>644.42157447039813</v>
      </c>
      <c r="AW66" s="181">
        <f t="shared" si="32"/>
        <v>24</v>
      </c>
      <c r="AX66" s="587"/>
    </row>
    <row r="67" spans="2:50" ht="14.25" customHeight="1">
      <c r="B67" s="586"/>
      <c r="C67" s="179">
        <v>19</v>
      </c>
      <c r="D67" s="182" t="s">
        <v>377</v>
      </c>
      <c r="E67" s="183">
        <v>3</v>
      </c>
      <c r="F67" s="179">
        <v>3600</v>
      </c>
      <c r="G67" s="184">
        <f t="shared" si="18"/>
        <v>1200</v>
      </c>
      <c r="H67" s="588"/>
      <c r="I67" s="185">
        <f t="shared" si="19"/>
        <v>3</v>
      </c>
      <c r="J67" s="185">
        <f t="shared" si="19"/>
        <v>3218.3562006841071</v>
      </c>
      <c r="K67" s="186">
        <f t="shared" si="19"/>
        <v>1072.7854002280358</v>
      </c>
      <c r="L67" s="589"/>
      <c r="M67" s="185">
        <f>RANK(K67, K$49:$K$85)</f>
        <v>2</v>
      </c>
      <c r="N67" s="600"/>
      <c r="O67" s="590"/>
      <c r="P67" s="187">
        <v>3</v>
      </c>
      <c r="Q67" s="187">
        <v>3213.8847664220634</v>
      </c>
      <c r="R67" s="184">
        <f t="shared" si="20"/>
        <v>1071.2949221406877</v>
      </c>
      <c r="S67" s="181">
        <f t="shared" si="21"/>
        <v>5</v>
      </c>
      <c r="T67" s="587"/>
      <c r="U67" s="187">
        <v>3</v>
      </c>
      <c r="V67" s="187">
        <v>3213.884766422063</v>
      </c>
      <c r="W67" s="184">
        <f t="shared" si="17"/>
        <v>1071.2949221406877</v>
      </c>
      <c r="X67" s="181">
        <f t="shared" si="22"/>
        <v>5</v>
      </c>
      <c r="Y67" s="587"/>
      <c r="Z67" s="187">
        <v>3</v>
      </c>
      <c r="AA67" s="187">
        <v>3216.3625486258752</v>
      </c>
      <c r="AB67" s="184">
        <f t="shared" si="23"/>
        <v>1072.1208495419585</v>
      </c>
      <c r="AC67" s="181">
        <f t="shared" si="24"/>
        <v>4</v>
      </c>
      <c r="AD67" s="587"/>
      <c r="AE67" s="187">
        <v>3</v>
      </c>
      <c r="AF67" s="187">
        <v>3218.1203308296872</v>
      </c>
      <c r="AG67" s="184">
        <f t="shared" si="25"/>
        <v>1072.706776943229</v>
      </c>
      <c r="AH67" s="181">
        <f t="shared" si="26"/>
        <v>3</v>
      </c>
      <c r="AI67" s="587"/>
      <c r="AJ67" s="187">
        <v>3</v>
      </c>
      <c r="AK67" s="187">
        <v>3219.9203308296869</v>
      </c>
      <c r="AL67" s="184">
        <f t="shared" si="27"/>
        <v>1073.3067769432289</v>
      </c>
      <c r="AM67" s="181">
        <f t="shared" si="28"/>
        <v>3</v>
      </c>
      <c r="AN67" s="587"/>
      <c r="AO67" s="187">
        <v>3</v>
      </c>
      <c r="AP67" s="187">
        <v>3222.0803308296872</v>
      </c>
      <c r="AQ67" s="184">
        <f t="shared" si="29"/>
        <v>1074.0267769432292</v>
      </c>
      <c r="AR67" s="181">
        <f t="shared" si="30"/>
        <v>1</v>
      </c>
      <c r="AS67" s="587"/>
      <c r="AT67" s="187">
        <v>3</v>
      </c>
      <c r="AU67" s="187">
        <v>3224.2403308296875</v>
      </c>
      <c r="AV67" s="184">
        <f t="shared" si="31"/>
        <v>1074.7467769432292</v>
      </c>
      <c r="AW67" s="181">
        <f t="shared" si="32"/>
        <v>1</v>
      </c>
      <c r="AX67" s="587"/>
    </row>
    <row r="68" spans="2:50" ht="14.25" customHeight="1">
      <c r="B68" s="586"/>
      <c r="C68" s="179">
        <v>20</v>
      </c>
      <c r="D68" s="182" t="s">
        <v>379</v>
      </c>
      <c r="E68" s="183">
        <v>4</v>
      </c>
      <c r="F68" s="179">
        <v>3300</v>
      </c>
      <c r="G68" s="184">
        <f t="shared" si="18"/>
        <v>825</v>
      </c>
      <c r="H68" s="588"/>
      <c r="I68" s="185">
        <f t="shared" si="19"/>
        <v>4</v>
      </c>
      <c r="J68" s="185">
        <f t="shared" si="19"/>
        <v>3013.0295057891631</v>
      </c>
      <c r="K68" s="186">
        <f t="shared" si="19"/>
        <v>753.25737644729077</v>
      </c>
      <c r="L68" s="589"/>
      <c r="M68" s="185">
        <f>RANK(K68, K$49:$K$85)</f>
        <v>18</v>
      </c>
      <c r="N68" s="600"/>
      <c r="O68" s="590"/>
      <c r="P68" s="187">
        <v>4</v>
      </c>
      <c r="Q68" s="187">
        <v>3009.5880772177352</v>
      </c>
      <c r="R68" s="184">
        <f t="shared" si="20"/>
        <v>752.3970193044338</v>
      </c>
      <c r="S68" s="181">
        <f t="shared" si="21"/>
        <v>18</v>
      </c>
      <c r="T68" s="587"/>
      <c r="U68" s="187">
        <v>4</v>
      </c>
      <c r="V68" s="187">
        <v>3010.248077217735</v>
      </c>
      <c r="W68" s="184">
        <f t="shared" si="17"/>
        <v>752.56201930443376</v>
      </c>
      <c r="X68" s="181">
        <f t="shared" si="22"/>
        <v>18</v>
      </c>
      <c r="Y68" s="587"/>
      <c r="Z68" s="187">
        <v>4</v>
      </c>
      <c r="AA68" s="187">
        <v>3011.2380772177348</v>
      </c>
      <c r="AB68" s="184">
        <f t="shared" si="23"/>
        <v>752.80951930443371</v>
      </c>
      <c r="AC68" s="181">
        <f t="shared" si="24"/>
        <v>18</v>
      </c>
      <c r="AD68" s="587"/>
      <c r="AE68" s="187">
        <v>4</v>
      </c>
      <c r="AF68" s="187">
        <v>3012.8880772177349</v>
      </c>
      <c r="AG68" s="184">
        <f t="shared" si="25"/>
        <v>753.22201930443373</v>
      </c>
      <c r="AH68" s="181">
        <f t="shared" si="26"/>
        <v>17</v>
      </c>
      <c r="AI68" s="587"/>
      <c r="AJ68" s="187">
        <v>4</v>
      </c>
      <c r="AK68" s="187">
        <v>3014.5380772177346</v>
      </c>
      <c r="AL68" s="184">
        <f t="shared" si="27"/>
        <v>753.63451930443364</v>
      </c>
      <c r="AM68" s="181">
        <f t="shared" si="28"/>
        <v>17</v>
      </c>
      <c r="AN68" s="587"/>
      <c r="AO68" s="187">
        <v>4</v>
      </c>
      <c r="AP68" s="187">
        <v>3016.1880772177346</v>
      </c>
      <c r="AQ68" s="184">
        <f t="shared" si="29"/>
        <v>754.04701930443366</v>
      </c>
      <c r="AR68" s="181">
        <f t="shared" si="30"/>
        <v>17</v>
      </c>
      <c r="AS68" s="587"/>
      <c r="AT68" s="187">
        <v>4</v>
      </c>
      <c r="AU68" s="187">
        <v>3016.5180772177346</v>
      </c>
      <c r="AV68" s="184">
        <f t="shared" si="31"/>
        <v>754.12951930443364</v>
      </c>
      <c r="AW68" s="181">
        <f t="shared" si="32"/>
        <v>18</v>
      </c>
      <c r="AX68" s="587"/>
    </row>
    <row r="69" spans="2:50" ht="14.25" customHeight="1">
      <c r="B69" s="586"/>
      <c r="C69" s="179">
        <v>21</v>
      </c>
      <c r="D69" s="182" t="s">
        <v>323</v>
      </c>
      <c r="E69" s="183">
        <v>5</v>
      </c>
      <c r="F69" s="179">
        <v>3300</v>
      </c>
      <c r="G69" s="184">
        <f t="shared" si="18"/>
        <v>660</v>
      </c>
      <c r="H69" s="588"/>
      <c r="I69" s="185">
        <f t="shared" si="19"/>
        <v>5</v>
      </c>
      <c r="J69" s="185">
        <f t="shared" si="19"/>
        <v>3011.5716315333198</v>
      </c>
      <c r="K69" s="186">
        <f t="shared" si="19"/>
        <v>602.31432630666393</v>
      </c>
      <c r="L69" s="589"/>
      <c r="M69" s="185">
        <f>RANK(K69, K$49:$K$85)</f>
        <v>32</v>
      </c>
      <c r="N69" s="600"/>
      <c r="O69" s="590"/>
      <c r="P69" s="187">
        <v>5</v>
      </c>
      <c r="Q69" s="187">
        <v>3009.6387743904629</v>
      </c>
      <c r="R69" s="184">
        <f t="shared" si="20"/>
        <v>601.92775487809263</v>
      </c>
      <c r="S69" s="181">
        <f t="shared" si="21"/>
        <v>32</v>
      </c>
      <c r="T69" s="587"/>
      <c r="U69" s="187">
        <v>5</v>
      </c>
      <c r="V69" s="187">
        <v>3009.9687743904633</v>
      </c>
      <c r="W69" s="184">
        <f t="shared" si="17"/>
        <v>601.99375487809266</v>
      </c>
      <c r="X69" s="181">
        <f t="shared" si="22"/>
        <v>32</v>
      </c>
      <c r="Y69" s="587"/>
      <c r="Z69" s="187">
        <v>5</v>
      </c>
      <c r="AA69" s="187">
        <v>3011.288774390463</v>
      </c>
      <c r="AB69" s="184">
        <f t="shared" si="23"/>
        <v>602.25775487809256</v>
      </c>
      <c r="AC69" s="181">
        <f t="shared" si="24"/>
        <v>32</v>
      </c>
      <c r="AD69" s="587"/>
      <c r="AE69" s="187">
        <v>5</v>
      </c>
      <c r="AF69" s="187">
        <v>3011.2887743904625</v>
      </c>
      <c r="AG69" s="184">
        <f t="shared" si="25"/>
        <v>602.25775487809256</v>
      </c>
      <c r="AH69" s="181">
        <f t="shared" si="26"/>
        <v>32</v>
      </c>
      <c r="AI69" s="587"/>
      <c r="AJ69" s="187">
        <v>5</v>
      </c>
      <c r="AK69" s="187">
        <v>3011.618774390462</v>
      </c>
      <c r="AL69" s="184">
        <f t="shared" si="27"/>
        <v>602.32375487809236</v>
      </c>
      <c r="AM69" s="181">
        <f t="shared" si="28"/>
        <v>32</v>
      </c>
      <c r="AN69" s="587"/>
      <c r="AO69" s="187">
        <v>5</v>
      </c>
      <c r="AP69" s="187">
        <v>3012.9387743904617</v>
      </c>
      <c r="AQ69" s="184">
        <f t="shared" si="29"/>
        <v>602.58775487809237</v>
      </c>
      <c r="AR69" s="181">
        <f t="shared" si="30"/>
        <v>32</v>
      </c>
      <c r="AS69" s="587"/>
      <c r="AT69" s="187">
        <v>5</v>
      </c>
      <c r="AU69" s="187">
        <v>3014.258774390461</v>
      </c>
      <c r="AV69" s="184">
        <f t="shared" si="31"/>
        <v>602.85175487809215</v>
      </c>
      <c r="AW69" s="181">
        <f t="shared" si="32"/>
        <v>31</v>
      </c>
      <c r="AX69" s="587"/>
    </row>
    <row r="70" spans="2:50" ht="14.25" customHeight="1">
      <c r="B70" s="586"/>
      <c r="C70" s="179">
        <v>22</v>
      </c>
      <c r="D70" s="182" t="s">
        <v>373</v>
      </c>
      <c r="E70" s="183">
        <v>3</v>
      </c>
      <c r="F70" s="179">
        <v>3600</v>
      </c>
      <c r="G70" s="184">
        <f t="shared" si="18"/>
        <v>1200</v>
      </c>
      <c r="H70" s="588"/>
      <c r="I70" s="185">
        <f t="shared" si="19"/>
        <v>3</v>
      </c>
      <c r="J70" s="185">
        <f t="shared" si="19"/>
        <v>3216.4434114390851</v>
      </c>
      <c r="K70" s="186">
        <f t="shared" si="19"/>
        <v>1072.1478038130283</v>
      </c>
      <c r="L70" s="589"/>
      <c r="M70" s="185">
        <f>RANK(K70, K$49:$K$85)</f>
        <v>6</v>
      </c>
      <c r="N70" s="600"/>
      <c r="O70" s="590"/>
      <c r="P70" s="187">
        <v>3</v>
      </c>
      <c r="Q70" s="187">
        <v>3213.9234114390852</v>
      </c>
      <c r="R70" s="184">
        <f t="shared" si="20"/>
        <v>1071.3078038130284</v>
      </c>
      <c r="S70" s="181">
        <f t="shared" si="21"/>
        <v>4</v>
      </c>
      <c r="T70" s="587"/>
      <c r="U70" s="187">
        <v>3</v>
      </c>
      <c r="V70" s="187">
        <v>3214.2834114390853</v>
      </c>
      <c r="W70" s="184">
        <f t="shared" si="17"/>
        <v>1071.4278038130285</v>
      </c>
      <c r="X70" s="181">
        <f t="shared" si="22"/>
        <v>4</v>
      </c>
      <c r="Y70" s="587"/>
      <c r="Z70" s="187">
        <v>3</v>
      </c>
      <c r="AA70" s="187">
        <v>3215.0034114390855</v>
      </c>
      <c r="AB70" s="184">
        <f t="shared" si="23"/>
        <v>1071.6678038130285</v>
      </c>
      <c r="AC70" s="181">
        <f t="shared" si="24"/>
        <v>6</v>
      </c>
      <c r="AD70" s="587"/>
      <c r="AE70" s="187">
        <v>3</v>
      </c>
      <c r="AF70" s="187">
        <v>3216.0834114390855</v>
      </c>
      <c r="AG70" s="184">
        <f t="shared" si="25"/>
        <v>1072.0278038130284</v>
      </c>
      <c r="AH70" s="181">
        <f t="shared" si="26"/>
        <v>6</v>
      </c>
      <c r="AI70" s="587"/>
      <c r="AJ70" s="187">
        <v>3</v>
      </c>
      <c r="AK70" s="187">
        <v>3216.8034114390848</v>
      </c>
      <c r="AL70" s="184">
        <f t="shared" si="27"/>
        <v>1072.2678038130282</v>
      </c>
      <c r="AM70" s="181">
        <f t="shared" si="28"/>
        <v>7</v>
      </c>
      <c r="AN70" s="587"/>
      <c r="AO70" s="187">
        <v>3</v>
      </c>
      <c r="AP70" s="187">
        <v>3218.603411439085</v>
      </c>
      <c r="AQ70" s="184">
        <f t="shared" si="29"/>
        <v>1072.8678038130283</v>
      </c>
      <c r="AR70" s="181">
        <f t="shared" si="30"/>
        <v>6</v>
      </c>
      <c r="AS70" s="587"/>
      <c r="AT70" s="187">
        <v>3</v>
      </c>
      <c r="AU70" s="187">
        <v>3220.4034114390847</v>
      </c>
      <c r="AV70" s="184">
        <f t="shared" si="31"/>
        <v>1073.4678038130282</v>
      </c>
      <c r="AW70" s="181">
        <f t="shared" si="32"/>
        <v>6</v>
      </c>
      <c r="AX70" s="587"/>
    </row>
    <row r="71" spans="2:50" ht="14.25" customHeight="1">
      <c r="B71" s="586"/>
      <c r="C71" s="179">
        <v>23</v>
      </c>
      <c r="D71" s="182" t="s">
        <v>482</v>
      </c>
      <c r="E71" s="183">
        <v>4</v>
      </c>
      <c r="F71" s="179">
        <v>3600</v>
      </c>
      <c r="G71" s="184">
        <f t="shared" si="18"/>
        <v>900</v>
      </c>
      <c r="H71" s="588"/>
      <c r="I71" s="185">
        <f t="shared" si="19"/>
        <v>4</v>
      </c>
      <c r="J71" s="185">
        <f t="shared" si="19"/>
        <v>3214.2514595544621</v>
      </c>
      <c r="K71" s="186">
        <f t="shared" si="19"/>
        <v>803.56286488861554</v>
      </c>
      <c r="L71" s="589"/>
      <c r="M71" s="185">
        <f>RANK(K71, K$49:$K$85)</f>
        <v>15</v>
      </c>
      <c r="N71" s="600"/>
      <c r="O71" s="590"/>
      <c r="P71" s="187">
        <v>4</v>
      </c>
      <c r="Q71" s="187">
        <v>3210.9600309830334</v>
      </c>
      <c r="R71" s="184">
        <f t="shared" si="20"/>
        <v>802.74000774575836</v>
      </c>
      <c r="S71" s="181">
        <f t="shared" si="21"/>
        <v>15</v>
      </c>
      <c r="T71" s="587"/>
      <c r="U71" s="187">
        <v>4</v>
      </c>
      <c r="V71" s="187">
        <v>3212.0400309830334</v>
      </c>
      <c r="W71" s="184">
        <f t="shared" si="17"/>
        <v>803.01000774575834</v>
      </c>
      <c r="X71" s="181">
        <f t="shared" si="22"/>
        <v>15</v>
      </c>
      <c r="Y71" s="587"/>
      <c r="Z71" s="187">
        <v>4</v>
      </c>
      <c r="AA71" s="187">
        <v>3213.4800309830325</v>
      </c>
      <c r="AB71" s="184">
        <f t="shared" si="23"/>
        <v>803.37000774575813</v>
      </c>
      <c r="AC71" s="181">
        <f t="shared" si="24"/>
        <v>15</v>
      </c>
      <c r="AD71" s="587"/>
      <c r="AE71" s="187">
        <v>4</v>
      </c>
      <c r="AF71" s="187">
        <v>3214.5600309830334</v>
      </c>
      <c r="AG71" s="184">
        <f t="shared" si="25"/>
        <v>803.64000774575834</v>
      </c>
      <c r="AH71" s="181">
        <f t="shared" si="26"/>
        <v>15</v>
      </c>
      <c r="AI71" s="587"/>
      <c r="AJ71" s="187">
        <v>4</v>
      </c>
      <c r="AK71" s="187">
        <v>3215.2800309830336</v>
      </c>
      <c r="AL71" s="184">
        <f t="shared" si="27"/>
        <v>803.8200077457584</v>
      </c>
      <c r="AM71" s="181">
        <f t="shared" si="28"/>
        <v>15</v>
      </c>
      <c r="AN71" s="587"/>
      <c r="AO71" s="187">
        <v>4</v>
      </c>
      <c r="AP71" s="187">
        <v>3216.3600309830331</v>
      </c>
      <c r="AQ71" s="184">
        <f t="shared" si="29"/>
        <v>804.09000774575827</v>
      </c>
      <c r="AR71" s="181">
        <f t="shared" si="30"/>
        <v>15</v>
      </c>
      <c r="AS71" s="587"/>
      <c r="AT71" s="187">
        <v>4</v>
      </c>
      <c r="AU71" s="187">
        <v>3217.0800309830338</v>
      </c>
      <c r="AV71" s="184">
        <f t="shared" si="31"/>
        <v>804.27000774575845</v>
      </c>
      <c r="AW71" s="181">
        <f t="shared" si="32"/>
        <v>15</v>
      </c>
      <c r="AX71" s="587"/>
    </row>
    <row r="72" spans="2:50" ht="14.25" customHeight="1">
      <c r="B72" s="586"/>
      <c r="C72" s="179">
        <v>24</v>
      </c>
      <c r="D72" s="182" t="s">
        <v>376</v>
      </c>
      <c r="E72" s="183">
        <v>3</v>
      </c>
      <c r="F72" s="179">
        <v>3600</v>
      </c>
      <c r="G72" s="184">
        <f t="shared" si="18"/>
        <v>1200</v>
      </c>
      <c r="H72" s="588"/>
      <c r="I72" s="185">
        <f t="shared" si="19"/>
        <v>3</v>
      </c>
      <c r="J72" s="185">
        <f t="shared" si="19"/>
        <v>3217.6441385785415</v>
      </c>
      <c r="K72" s="186">
        <f t="shared" si="19"/>
        <v>1072.5480461928471</v>
      </c>
      <c r="L72" s="589"/>
      <c r="M72" s="185">
        <f>RANK(K72, K$49:$K$85)</f>
        <v>4</v>
      </c>
      <c r="N72" s="600"/>
      <c r="O72" s="590"/>
      <c r="P72" s="187">
        <v>3</v>
      </c>
      <c r="Q72" s="187">
        <v>3211.0829425386705</v>
      </c>
      <c r="R72" s="184">
        <f t="shared" si="20"/>
        <v>1070.3609808462236</v>
      </c>
      <c r="S72" s="181">
        <f t="shared" si="21"/>
        <v>8</v>
      </c>
      <c r="T72" s="587"/>
      <c r="U72" s="187">
        <v>3</v>
      </c>
      <c r="V72" s="187">
        <v>3212.8829425386702</v>
      </c>
      <c r="W72" s="184">
        <f t="shared" si="17"/>
        <v>1070.9609808462235</v>
      </c>
      <c r="X72" s="181">
        <f t="shared" si="22"/>
        <v>7</v>
      </c>
      <c r="Y72" s="587"/>
      <c r="Z72" s="187">
        <v>3</v>
      </c>
      <c r="AA72" s="187">
        <v>3218.6846169944897</v>
      </c>
      <c r="AB72" s="184">
        <f t="shared" si="23"/>
        <v>1072.8948723314966</v>
      </c>
      <c r="AC72" s="181">
        <f t="shared" si="24"/>
        <v>1</v>
      </c>
      <c r="AD72" s="587"/>
      <c r="AE72" s="187">
        <v>3</v>
      </c>
      <c r="AF72" s="187">
        <v>3219.0446169944898</v>
      </c>
      <c r="AG72" s="184">
        <f t="shared" si="25"/>
        <v>1073.0148723314967</v>
      </c>
      <c r="AH72" s="181">
        <f t="shared" si="26"/>
        <v>2</v>
      </c>
      <c r="AI72" s="587"/>
      <c r="AJ72" s="187">
        <v>3</v>
      </c>
      <c r="AK72" s="187">
        <v>3220.1246169944902</v>
      </c>
      <c r="AL72" s="184">
        <f t="shared" si="27"/>
        <v>1073.3748723314968</v>
      </c>
      <c r="AM72" s="181">
        <f t="shared" si="28"/>
        <v>2</v>
      </c>
      <c r="AN72" s="587"/>
      <c r="AO72" s="187">
        <v>3</v>
      </c>
      <c r="AP72" s="187">
        <v>3220.4846169944904</v>
      </c>
      <c r="AQ72" s="184">
        <f t="shared" si="29"/>
        <v>1073.4948723314967</v>
      </c>
      <c r="AR72" s="181">
        <f t="shared" si="30"/>
        <v>3</v>
      </c>
      <c r="AS72" s="587"/>
      <c r="AT72" s="187">
        <v>3</v>
      </c>
      <c r="AU72" s="187">
        <v>3221.2046169944906</v>
      </c>
      <c r="AV72" s="184">
        <f t="shared" si="31"/>
        <v>1073.7348723314969</v>
      </c>
      <c r="AW72" s="181">
        <f t="shared" si="32"/>
        <v>4</v>
      </c>
      <c r="AX72" s="587"/>
    </row>
    <row r="73" spans="2:50" ht="14.25" customHeight="1">
      <c r="B73" s="586"/>
      <c r="C73" s="179">
        <v>25</v>
      </c>
      <c r="D73" s="182" t="s">
        <v>375</v>
      </c>
      <c r="E73" s="183">
        <v>5</v>
      </c>
      <c r="F73" s="179">
        <v>3600</v>
      </c>
      <c r="G73" s="184">
        <f t="shared" si="18"/>
        <v>720</v>
      </c>
      <c r="H73" s="588"/>
      <c r="I73" s="185">
        <f t="shared" si="19"/>
        <v>5</v>
      </c>
      <c r="J73" s="185">
        <f t="shared" si="19"/>
        <v>3216.6058865571022</v>
      </c>
      <c r="K73" s="186">
        <f t="shared" si="19"/>
        <v>643.32117731142057</v>
      </c>
      <c r="L73" s="589"/>
      <c r="M73" s="185">
        <f>RANK(K73, K$49:$K$85)</f>
        <v>29</v>
      </c>
      <c r="N73" s="600"/>
      <c r="O73" s="590"/>
      <c r="P73" s="187">
        <v>5</v>
      </c>
      <c r="Q73" s="187">
        <v>3213.4687436999593</v>
      </c>
      <c r="R73" s="184">
        <f t="shared" si="20"/>
        <v>642.69374873999186</v>
      </c>
      <c r="S73" s="181">
        <f t="shared" si="21"/>
        <v>28</v>
      </c>
      <c r="T73" s="587"/>
      <c r="U73" s="187">
        <v>5</v>
      </c>
      <c r="V73" s="187">
        <v>3213.4687436999593</v>
      </c>
      <c r="W73" s="184">
        <f t="shared" si="17"/>
        <v>642.69374873999186</v>
      </c>
      <c r="X73" s="181">
        <f t="shared" si="22"/>
        <v>29</v>
      </c>
      <c r="Y73" s="587"/>
      <c r="Z73" s="187">
        <v>5</v>
      </c>
      <c r="AA73" s="187">
        <v>3215.6287436999592</v>
      </c>
      <c r="AB73" s="184">
        <f t="shared" si="23"/>
        <v>643.12574873999188</v>
      </c>
      <c r="AC73" s="181">
        <f t="shared" si="24"/>
        <v>29</v>
      </c>
      <c r="AD73" s="587"/>
      <c r="AE73" s="187">
        <v>5</v>
      </c>
      <c r="AF73" s="187">
        <v>3217.0687436999588</v>
      </c>
      <c r="AG73" s="184">
        <f t="shared" si="25"/>
        <v>643.41374873999177</v>
      </c>
      <c r="AH73" s="181">
        <f t="shared" si="26"/>
        <v>29</v>
      </c>
      <c r="AI73" s="587"/>
      <c r="AJ73" s="187">
        <v>5</v>
      </c>
      <c r="AK73" s="187">
        <v>3217.788743699959</v>
      </c>
      <c r="AL73" s="184">
        <f t="shared" si="27"/>
        <v>643.55774873999178</v>
      </c>
      <c r="AM73" s="181">
        <f t="shared" si="28"/>
        <v>28</v>
      </c>
      <c r="AN73" s="587"/>
      <c r="AO73" s="187">
        <v>5</v>
      </c>
      <c r="AP73" s="187">
        <v>3218.5087436999593</v>
      </c>
      <c r="AQ73" s="184">
        <f t="shared" si="29"/>
        <v>643.7017487399919</v>
      </c>
      <c r="AR73" s="181">
        <f t="shared" si="30"/>
        <v>29</v>
      </c>
      <c r="AS73" s="587"/>
      <c r="AT73" s="187">
        <v>5</v>
      </c>
      <c r="AU73" s="187">
        <v>3220.3087436999595</v>
      </c>
      <c r="AV73" s="184">
        <f t="shared" si="31"/>
        <v>644.06174873999191</v>
      </c>
      <c r="AW73" s="181">
        <f t="shared" si="32"/>
        <v>28</v>
      </c>
      <c r="AX73" s="587"/>
    </row>
    <row r="74" spans="2:50" ht="14.25" customHeight="1">
      <c r="B74" s="586"/>
      <c r="C74" s="179">
        <v>26</v>
      </c>
      <c r="D74" s="182" t="s">
        <v>372</v>
      </c>
      <c r="E74" s="183">
        <v>5</v>
      </c>
      <c r="F74" s="179">
        <v>3600</v>
      </c>
      <c r="G74" s="184">
        <f t="shared" si="18"/>
        <v>720</v>
      </c>
      <c r="H74" s="588"/>
      <c r="I74" s="185">
        <f t="shared" si="19"/>
        <v>5</v>
      </c>
      <c r="J74" s="185">
        <f t="shared" si="19"/>
        <v>3217.1474363873426</v>
      </c>
      <c r="K74" s="186">
        <f t="shared" si="19"/>
        <v>643.42948727746864</v>
      </c>
      <c r="L74" s="589"/>
      <c r="M74" s="185">
        <f>RANK(K74, K$49:$K$85)</f>
        <v>27</v>
      </c>
      <c r="N74" s="600"/>
      <c r="O74" s="590"/>
      <c r="P74" s="187">
        <v>5</v>
      </c>
      <c r="Q74" s="187">
        <v>3212.673150673058</v>
      </c>
      <c r="R74" s="184">
        <f t="shared" si="20"/>
        <v>642.53463013461158</v>
      </c>
      <c r="S74" s="181">
        <f t="shared" si="21"/>
        <v>29</v>
      </c>
      <c r="T74" s="587"/>
      <c r="U74" s="187">
        <v>5</v>
      </c>
      <c r="V74" s="187">
        <v>3214.1131506730576</v>
      </c>
      <c r="W74" s="184">
        <f t="shared" si="17"/>
        <v>642.82263013461147</v>
      </c>
      <c r="X74" s="181">
        <f t="shared" si="22"/>
        <v>28</v>
      </c>
      <c r="Y74" s="587"/>
      <c r="Z74" s="187">
        <v>5</v>
      </c>
      <c r="AA74" s="187">
        <v>3215.9131506730569</v>
      </c>
      <c r="AB74" s="184">
        <f t="shared" si="23"/>
        <v>643.18263013461137</v>
      </c>
      <c r="AC74" s="181">
        <f t="shared" si="24"/>
        <v>28</v>
      </c>
      <c r="AD74" s="587"/>
      <c r="AE74" s="187">
        <v>5</v>
      </c>
      <c r="AF74" s="187">
        <v>3217.3531506730569</v>
      </c>
      <c r="AG74" s="184">
        <f t="shared" si="25"/>
        <v>643.47063013461138</v>
      </c>
      <c r="AH74" s="181">
        <f t="shared" si="26"/>
        <v>28</v>
      </c>
      <c r="AI74" s="587"/>
      <c r="AJ74" s="187">
        <v>5</v>
      </c>
      <c r="AK74" s="187">
        <v>3218.7931506730574</v>
      </c>
      <c r="AL74" s="184">
        <f t="shared" si="27"/>
        <v>643.75863013461151</v>
      </c>
      <c r="AM74" s="181">
        <f t="shared" si="28"/>
        <v>27</v>
      </c>
      <c r="AN74" s="587"/>
      <c r="AO74" s="187">
        <v>5</v>
      </c>
      <c r="AP74" s="187">
        <v>3220.5931506730572</v>
      </c>
      <c r="AQ74" s="184">
        <f t="shared" si="29"/>
        <v>644.11863013461141</v>
      </c>
      <c r="AR74" s="181">
        <f t="shared" si="30"/>
        <v>26</v>
      </c>
      <c r="AS74" s="587"/>
      <c r="AT74" s="187">
        <v>5</v>
      </c>
      <c r="AU74" s="187">
        <v>3220.5931506730567</v>
      </c>
      <c r="AV74" s="184">
        <f t="shared" si="31"/>
        <v>644.11863013461129</v>
      </c>
      <c r="AW74" s="181">
        <f t="shared" si="32"/>
        <v>27</v>
      </c>
      <c r="AX74" s="587"/>
    </row>
    <row r="75" spans="2:50" ht="14.25" customHeight="1">
      <c r="B75" s="586"/>
      <c r="C75" s="179">
        <v>27</v>
      </c>
      <c r="D75" s="182" t="s">
        <v>374</v>
      </c>
      <c r="E75" s="183">
        <v>3</v>
      </c>
      <c r="F75" s="179">
        <v>3000</v>
      </c>
      <c r="G75" s="184">
        <f t="shared" si="18"/>
        <v>1000</v>
      </c>
      <c r="H75" s="588"/>
      <c r="I75" s="185">
        <f t="shared" si="19"/>
        <v>3</v>
      </c>
      <c r="J75" s="185">
        <f t="shared" si="19"/>
        <v>2741.896974012493</v>
      </c>
      <c r="K75" s="186">
        <f t="shared" si="19"/>
        <v>913.96565800416442</v>
      </c>
      <c r="L75" s="589"/>
      <c r="M75" s="185">
        <f>RANK(K75, K$49:$K$85)</f>
        <v>13</v>
      </c>
      <c r="N75" s="600"/>
      <c r="O75" s="590"/>
      <c r="P75" s="187">
        <v>3</v>
      </c>
      <c r="Q75" s="187">
        <v>2739.7541168696371</v>
      </c>
      <c r="R75" s="184">
        <f t="shared" si="20"/>
        <v>913.25137228987899</v>
      </c>
      <c r="S75" s="181">
        <f t="shared" si="21"/>
        <v>11</v>
      </c>
      <c r="T75" s="587"/>
      <c r="U75" s="187">
        <v>3</v>
      </c>
      <c r="V75" s="187">
        <v>2740.0541168696368</v>
      </c>
      <c r="W75" s="184">
        <f t="shared" si="17"/>
        <v>913.3513722898789</v>
      </c>
      <c r="X75" s="181">
        <f t="shared" si="22"/>
        <v>12</v>
      </c>
      <c r="Y75" s="587"/>
      <c r="Z75" s="187">
        <v>3</v>
      </c>
      <c r="AA75" s="187">
        <v>2740.6541168696367</v>
      </c>
      <c r="AB75" s="184">
        <f t="shared" si="23"/>
        <v>913.55137228987894</v>
      </c>
      <c r="AC75" s="181">
        <f t="shared" si="24"/>
        <v>12</v>
      </c>
      <c r="AD75" s="587"/>
      <c r="AE75" s="187">
        <v>3</v>
      </c>
      <c r="AF75" s="187">
        <v>2741.5541168696368</v>
      </c>
      <c r="AG75" s="184">
        <f t="shared" si="25"/>
        <v>913.8513722898789</v>
      </c>
      <c r="AH75" s="181">
        <f t="shared" si="26"/>
        <v>13</v>
      </c>
      <c r="AI75" s="587"/>
      <c r="AJ75" s="187">
        <v>3</v>
      </c>
      <c r="AK75" s="187">
        <v>2743.0541168696363</v>
      </c>
      <c r="AL75" s="184">
        <f t="shared" si="27"/>
        <v>914.35137228987878</v>
      </c>
      <c r="AM75" s="181">
        <f t="shared" si="28"/>
        <v>13</v>
      </c>
      <c r="AN75" s="587"/>
      <c r="AO75" s="187">
        <v>3</v>
      </c>
      <c r="AP75" s="187">
        <v>2743.3541168696356</v>
      </c>
      <c r="AQ75" s="184">
        <f t="shared" si="29"/>
        <v>914.45137228987858</v>
      </c>
      <c r="AR75" s="181">
        <f t="shared" si="30"/>
        <v>13</v>
      </c>
      <c r="AS75" s="587"/>
      <c r="AT75" s="187">
        <v>3</v>
      </c>
      <c r="AU75" s="187">
        <v>2744.8541168696356</v>
      </c>
      <c r="AV75" s="184">
        <f t="shared" si="31"/>
        <v>914.95137228987858</v>
      </c>
      <c r="AW75" s="181">
        <f t="shared" si="32"/>
        <v>13</v>
      </c>
      <c r="AX75" s="587"/>
    </row>
    <row r="76" spans="2:50" ht="14.25" customHeight="1">
      <c r="B76" s="586"/>
      <c r="C76" s="179">
        <v>28</v>
      </c>
      <c r="D76" s="182" t="s">
        <v>412</v>
      </c>
      <c r="E76" s="183">
        <v>3</v>
      </c>
      <c r="F76" s="179">
        <v>3600</v>
      </c>
      <c r="G76" s="184">
        <f t="shared" si="18"/>
        <v>1200</v>
      </c>
      <c r="H76" s="588"/>
      <c r="I76" s="185">
        <f t="shared" si="19"/>
        <v>3</v>
      </c>
      <c r="J76" s="185">
        <f t="shared" si="19"/>
        <v>3219.7010282849733</v>
      </c>
      <c r="K76" s="186">
        <f t="shared" si="19"/>
        <v>1073.2336760949911</v>
      </c>
      <c r="L76" s="589"/>
      <c r="M76" s="185">
        <f>RANK(K76, K$49:$K$85)</f>
        <v>1</v>
      </c>
      <c r="N76" s="600"/>
      <c r="O76" s="590"/>
      <c r="P76" s="187">
        <v>3</v>
      </c>
      <c r="Q76" s="187">
        <v>3217.6438854278304</v>
      </c>
      <c r="R76" s="184">
        <f t="shared" si="20"/>
        <v>1072.5479618092768</v>
      </c>
      <c r="S76" s="181">
        <f t="shared" si="21"/>
        <v>1</v>
      </c>
      <c r="T76" s="587"/>
      <c r="U76" s="187">
        <v>3</v>
      </c>
      <c r="V76" s="187">
        <v>3217.6438854278294</v>
      </c>
      <c r="W76" s="184">
        <f t="shared" si="17"/>
        <v>1072.5479618092766</v>
      </c>
      <c r="X76" s="181">
        <f t="shared" si="22"/>
        <v>1</v>
      </c>
      <c r="Y76" s="587"/>
      <c r="Z76" s="187">
        <v>3</v>
      </c>
      <c r="AA76" s="187">
        <v>3217.6438854278294</v>
      </c>
      <c r="AB76" s="184">
        <f t="shared" si="23"/>
        <v>1072.5479618092766</v>
      </c>
      <c r="AC76" s="181">
        <f t="shared" si="24"/>
        <v>2</v>
      </c>
      <c r="AD76" s="587"/>
      <c r="AE76" s="187">
        <v>3</v>
      </c>
      <c r="AF76" s="187">
        <v>3219.8038854278302</v>
      </c>
      <c r="AG76" s="184">
        <f t="shared" si="25"/>
        <v>1073.2679618092768</v>
      </c>
      <c r="AH76" s="181">
        <f t="shared" si="26"/>
        <v>1</v>
      </c>
      <c r="AI76" s="587"/>
      <c r="AJ76" s="187">
        <v>3</v>
      </c>
      <c r="AK76" s="187">
        <v>3220.1638854278308</v>
      </c>
      <c r="AL76" s="184">
        <f t="shared" si="27"/>
        <v>1073.3879618092769</v>
      </c>
      <c r="AM76" s="181">
        <f t="shared" si="28"/>
        <v>1</v>
      </c>
      <c r="AN76" s="587"/>
      <c r="AO76" s="187">
        <v>3</v>
      </c>
      <c r="AP76" s="187">
        <v>3221.9638854278305</v>
      </c>
      <c r="AQ76" s="184">
        <f t="shared" si="29"/>
        <v>1073.9879618092768</v>
      </c>
      <c r="AR76" s="181">
        <f t="shared" si="30"/>
        <v>2</v>
      </c>
      <c r="AS76" s="587"/>
      <c r="AT76" s="187">
        <v>3</v>
      </c>
      <c r="AU76" s="187">
        <v>3223.0438854278304</v>
      </c>
      <c r="AV76" s="184">
        <f t="shared" si="31"/>
        <v>1074.3479618092767</v>
      </c>
      <c r="AW76" s="181">
        <f t="shared" si="32"/>
        <v>2</v>
      </c>
      <c r="AX76" s="587"/>
    </row>
    <row r="77" spans="2:50" ht="14.25" customHeight="1">
      <c r="B77" s="586"/>
      <c r="C77" s="179">
        <v>29</v>
      </c>
      <c r="D77" s="182" t="s">
        <v>417</v>
      </c>
      <c r="E77" s="183">
        <v>4</v>
      </c>
      <c r="F77" s="179">
        <v>3000</v>
      </c>
      <c r="G77" s="184">
        <f t="shared" si="18"/>
        <v>750</v>
      </c>
      <c r="H77" s="588"/>
      <c r="I77" s="185">
        <f t="shared" si="19"/>
        <v>4</v>
      </c>
      <c r="J77" s="185">
        <f t="shared" si="19"/>
        <v>2740.5439101590855</v>
      </c>
      <c r="K77" s="186">
        <f t="shared" si="19"/>
        <v>685.13597753977137</v>
      </c>
      <c r="L77" s="589"/>
      <c r="M77" s="185">
        <f>RANK(K77, K$49:$K$85)</f>
        <v>19</v>
      </c>
      <c r="N77" s="600"/>
      <c r="O77" s="590"/>
      <c r="P77" s="187">
        <v>4</v>
      </c>
      <c r="Q77" s="187">
        <v>2740.4479127777176</v>
      </c>
      <c r="R77" s="184">
        <f t="shared" si="20"/>
        <v>685.11197819442941</v>
      </c>
      <c r="S77" s="181">
        <f t="shared" si="21"/>
        <v>19</v>
      </c>
      <c r="T77" s="587"/>
      <c r="U77" s="187">
        <v>4</v>
      </c>
      <c r="V77" s="187">
        <v>2738.7099097226474</v>
      </c>
      <c r="W77" s="184">
        <f t="shared" si="17"/>
        <v>684.67747743066184</v>
      </c>
      <c r="X77" s="181">
        <f t="shared" si="22"/>
        <v>19</v>
      </c>
      <c r="Y77" s="587"/>
      <c r="Z77" s="187">
        <v>4</v>
      </c>
      <c r="AA77" s="187">
        <v>2739.3099097226473</v>
      </c>
      <c r="AB77" s="184">
        <f t="shared" si="23"/>
        <v>684.82747743066182</v>
      </c>
      <c r="AC77" s="181">
        <f t="shared" si="24"/>
        <v>19</v>
      </c>
      <c r="AD77" s="587"/>
      <c r="AE77" s="187">
        <v>4</v>
      </c>
      <c r="AF77" s="187">
        <v>2739.9099097226472</v>
      </c>
      <c r="AG77" s="184">
        <f t="shared" si="25"/>
        <v>684.97747743066179</v>
      </c>
      <c r="AH77" s="181">
        <f t="shared" si="26"/>
        <v>19</v>
      </c>
      <c r="AI77" s="587"/>
      <c r="AJ77" s="187">
        <v>4</v>
      </c>
      <c r="AK77" s="187">
        <v>2740.8099097226473</v>
      </c>
      <c r="AL77" s="184">
        <f t="shared" si="27"/>
        <v>685.20247743066182</v>
      </c>
      <c r="AM77" s="181">
        <f t="shared" si="28"/>
        <v>20</v>
      </c>
      <c r="AN77" s="587"/>
      <c r="AO77" s="187">
        <v>4</v>
      </c>
      <c r="AP77" s="187">
        <v>2741.7099097226474</v>
      </c>
      <c r="AQ77" s="184">
        <f t="shared" si="29"/>
        <v>685.42747743066184</v>
      </c>
      <c r="AR77" s="181">
        <f t="shared" si="30"/>
        <v>19</v>
      </c>
      <c r="AS77" s="587"/>
      <c r="AT77" s="187">
        <v>4</v>
      </c>
      <c r="AU77" s="187">
        <v>2742.9099097226472</v>
      </c>
      <c r="AV77" s="184">
        <f t="shared" si="31"/>
        <v>685.72747743066179</v>
      </c>
      <c r="AW77" s="181">
        <f t="shared" si="32"/>
        <v>19</v>
      </c>
      <c r="AX77" s="587"/>
    </row>
    <row r="78" spans="2:50" ht="14.25" customHeight="1">
      <c r="B78" s="586"/>
      <c r="C78" s="179">
        <v>30</v>
      </c>
      <c r="D78" s="182" t="s">
        <v>470</v>
      </c>
      <c r="E78" s="183">
        <v>5</v>
      </c>
      <c r="F78" s="179">
        <v>3000</v>
      </c>
      <c r="G78" s="184">
        <f t="shared" si="18"/>
        <v>600</v>
      </c>
      <c r="H78" s="588"/>
      <c r="I78" s="185">
        <f t="shared" si="19"/>
        <v>5</v>
      </c>
      <c r="J78" s="185">
        <f t="shared" si="19"/>
        <v>2739.9342839582418</v>
      </c>
      <c r="K78" s="186">
        <f t="shared" si="19"/>
        <v>547.98685679164839</v>
      </c>
      <c r="L78" s="589"/>
      <c r="M78" s="185">
        <f>RANK(K78, K$49:$K$85)</f>
        <v>33</v>
      </c>
      <c r="N78" s="600"/>
      <c r="O78" s="590"/>
      <c r="P78" s="187">
        <v>5</v>
      </c>
      <c r="Q78" s="187">
        <v>2737.5771411010992</v>
      </c>
      <c r="R78" s="184">
        <f t="shared" si="20"/>
        <v>547.51542822021986</v>
      </c>
      <c r="S78" s="181">
        <f t="shared" si="21"/>
        <v>33</v>
      </c>
      <c r="T78" s="587"/>
      <c r="U78" s="187">
        <v>5</v>
      </c>
      <c r="V78" s="187">
        <v>2737.5771411010992</v>
      </c>
      <c r="W78" s="184">
        <f t="shared" si="17"/>
        <v>547.51542822021986</v>
      </c>
      <c r="X78" s="181">
        <f t="shared" si="22"/>
        <v>33</v>
      </c>
      <c r="Y78" s="587"/>
      <c r="Z78" s="187">
        <v>5</v>
      </c>
      <c r="AA78" s="187">
        <v>2739.0771411010992</v>
      </c>
      <c r="AB78" s="184">
        <f t="shared" si="23"/>
        <v>547.81542822021981</v>
      </c>
      <c r="AC78" s="181">
        <f t="shared" si="24"/>
        <v>33</v>
      </c>
      <c r="AD78" s="587"/>
      <c r="AE78" s="187">
        <v>5</v>
      </c>
      <c r="AF78" s="187">
        <v>2740.8771411010994</v>
      </c>
      <c r="AG78" s="184">
        <f t="shared" si="25"/>
        <v>548.17542822021983</v>
      </c>
      <c r="AH78" s="181">
        <f t="shared" si="26"/>
        <v>33</v>
      </c>
      <c r="AI78" s="587"/>
      <c r="AJ78" s="187">
        <v>5</v>
      </c>
      <c r="AK78" s="187">
        <v>2740.8771411010994</v>
      </c>
      <c r="AL78" s="184">
        <f t="shared" si="27"/>
        <v>548.17542822021983</v>
      </c>
      <c r="AM78" s="181">
        <f t="shared" si="28"/>
        <v>33</v>
      </c>
      <c r="AN78" s="587"/>
      <c r="AO78" s="187">
        <v>5</v>
      </c>
      <c r="AP78" s="187">
        <v>2741.4771411010993</v>
      </c>
      <c r="AQ78" s="184">
        <f t="shared" si="29"/>
        <v>548.29542822021983</v>
      </c>
      <c r="AR78" s="181">
        <f t="shared" si="30"/>
        <v>33</v>
      </c>
      <c r="AS78" s="587"/>
      <c r="AT78" s="187">
        <v>5</v>
      </c>
      <c r="AU78" s="187">
        <v>2742.0771411010992</v>
      </c>
      <c r="AV78" s="184">
        <f t="shared" si="31"/>
        <v>548.41542822021984</v>
      </c>
      <c r="AW78" s="181">
        <f t="shared" si="32"/>
        <v>32</v>
      </c>
      <c r="AX78" s="587"/>
    </row>
    <row r="79" spans="2:50" ht="14.25" customHeight="1">
      <c r="B79" s="586"/>
      <c r="C79" s="179">
        <v>31</v>
      </c>
      <c r="D79" s="182" t="s">
        <v>551</v>
      </c>
      <c r="E79" s="179">
        <v>5</v>
      </c>
      <c r="F79" s="179">
        <v>3600</v>
      </c>
      <c r="G79" s="184">
        <f t="shared" si="18"/>
        <v>720</v>
      </c>
      <c r="H79" s="588"/>
      <c r="I79" s="185">
        <f t="shared" si="19"/>
        <v>5</v>
      </c>
      <c r="J79" s="185">
        <f t="shared" si="19"/>
        <v>3264.408306331426</v>
      </c>
      <c r="K79" s="186">
        <f t="shared" si="19"/>
        <v>652.88166126628516</v>
      </c>
      <c r="L79" s="589"/>
      <c r="M79" s="185">
        <f>RANK(K79, K$49:$K$85)</f>
        <v>22</v>
      </c>
      <c r="N79" s="600"/>
      <c r="O79" s="590"/>
      <c r="P79" s="187">
        <v>5</v>
      </c>
      <c r="Q79" s="187">
        <v>3264.1897652792809</v>
      </c>
      <c r="R79" s="184">
        <f t="shared" si="20"/>
        <v>652.83795305585613</v>
      </c>
      <c r="S79" s="181">
        <f t="shared" si="21"/>
        <v>22</v>
      </c>
      <c r="T79" s="587"/>
      <c r="U79" s="187">
        <v>5</v>
      </c>
      <c r="V79" s="187">
        <v>3264.1897652792809</v>
      </c>
      <c r="W79" s="184">
        <f t="shared" si="17"/>
        <v>652.83795305585613</v>
      </c>
      <c r="X79" s="181">
        <f t="shared" si="22"/>
        <v>22</v>
      </c>
      <c r="Y79" s="587"/>
      <c r="Z79" s="187">
        <v>5</v>
      </c>
      <c r="AA79" s="187">
        <v>3265.2697652792804</v>
      </c>
      <c r="AB79" s="184">
        <f t="shared" si="23"/>
        <v>653.05395305585603</v>
      </c>
      <c r="AC79" s="181">
        <f t="shared" si="24"/>
        <v>22</v>
      </c>
      <c r="AD79" s="587"/>
      <c r="AE79" s="187">
        <v>5</v>
      </c>
      <c r="AF79" s="187">
        <v>3264.9097652792798</v>
      </c>
      <c r="AG79" s="184">
        <f t="shared" si="25"/>
        <v>652.98195305585591</v>
      </c>
      <c r="AH79" s="181">
        <f t="shared" si="26"/>
        <v>21</v>
      </c>
      <c r="AI79" s="587"/>
      <c r="AJ79" s="187">
        <v>5</v>
      </c>
      <c r="AK79" s="187">
        <v>3263.4697652792797</v>
      </c>
      <c r="AL79" s="184">
        <f t="shared" si="27"/>
        <v>652.6939530558559</v>
      </c>
      <c r="AM79" s="181">
        <f t="shared" si="28"/>
        <v>22</v>
      </c>
      <c r="AN79" s="587"/>
      <c r="AO79" s="187">
        <v>5</v>
      </c>
      <c r="AP79" s="187">
        <v>3264.4146589617917</v>
      </c>
      <c r="AQ79" s="184">
        <f t="shared" si="29"/>
        <v>652.88293179235836</v>
      </c>
      <c r="AR79" s="181">
        <f t="shared" si="30"/>
        <v>22</v>
      </c>
      <c r="AS79" s="587"/>
      <c r="AT79" s="187">
        <v>5</v>
      </c>
      <c r="AU79" s="187">
        <v>3264.4146589617917</v>
      </c>
      <c r="AV79" s="184">
        <f t="shared" si="31"/>
        <v>652.88293179235836</v>
      </c>
      <c r="AW79" s="181">
        <f t="shared" si="32"/>
        <v>22</v>
      </c>
      <c r="AX79" s="587"/>
    </row>
    <row r="80" spans="2:50" ht="14.25" customHeight="1">
      <c r="B80" s="586"/>
      <c r="C80" s="179">
        <v>32</v>
      </c>
      <c r="D80" s="182" t="s">
        <v>557</v>
      </c>
      <c r="E80" s="179">
        <v>4</v>
      </c>
      <c r="F80" s="179">
        <v>3000</v>
      </c>
      <c r="G80" s="184">
        <f t="shared" si="18"/>
        <v>750</v>
      </c>
      <c r="H80" s="588"/>
      <c r="I80" s="185">
        <f t="shared" ref="I80:K83" si="33">AVERAGE(P80,U80,Z80,AE80,AJ80,AO80,AT80)</f>
        <v>4</v>
      </c>
      <c r="J80" s="185">
        <f t="shared" si="33"/>
        <v>2738.9302334663175</v>
      </c>
      <c r="K80" s="186">
        <f t="shared" si="33"/>
        <v>684.73255836657938</v>
      </c>
      <c r="L80" s="589"/>
      <c r="M80" s="185">
        <f>RANK(K80, K$49:$K$85)</f>
        <v>20</v>
      </c>
      <c r="N80" s="600"/>
      <c r="O80" s="590"/>
      <c r="P80" s="187">
        <v>4</v>
      </c>
      <c r="Q80" s="187">
        <v>2736.3850913032716</v>
      </c>
      <c r="R80" s="184">
        <f t="shared" si="20"/>
        <v>684.09627282581789</v>
      </c>
      <c r="S80" s="181">
        <f t="shared" si="21"/>
        <v>20</v>
      </c>
      <c r="T80" s="587"/>
      <c r="U80" s="187">
        <v>4</v>
      </c>
      <c r="V80" s="187">
        <v>2736.6850913032717</v>
      </c>
      <c r="W80" s="184">
        <f t="shared" si="17"/>
        <v>684.17127282581794</v>
      </c>
      <c r="X80" s="181">
        <f t="shared" si="22"/>
        <v>20</v>
      </c>
      <c r="Y80" s="587"/>
      <c r="Z80" s="187">
        <v>4</v>
      </c>
      <c r="AA80" s="187">
        <v>2737.2850913032712</v>
      </c>
      <c r="AB80" s="184">
        <f t="shared" si="23"/>
        <v>684.3212728258178</v>
      </c>
      <c r="AC80" s="181">
        <f t="shared" si="24"/>
        <v>20</v>
      </c>
      <c r="AD80" s="587"/>
      <c r="AE80" s="187">
        <v>4</v>
      </c>
      <c r="AF80" s="187">
        <v>2737.5850913032709</v>
      </c>
      <c r="AG80" s="184">
        <f t="shared" si="25"/>
        <v>684.39627282581773</v>
      </c>
      <c r="AH80" s="181">
        <f t="shared" si="26"/>
        <v>20</v>
      </c>
      <c r="AI80" s="587"/>
      <c r="AJ80" s="187">
        <v>4</v>
      </c>
      <c r="AK80" s="187">
        <v>2741.0237563503788</v>
      </c>
      <c r="AL80" s="184">
        <f t="shared" si="27"/>
        <v>685.2559390875947</v>
      </c>
      <c r="AM80" s="181">
        <f t="shared" si="28"/>
        <v>19</v>
      </c>
      <c r="AN80" s="587"/>
      <c r="AO80" s="187">
        <v>4</v>
      </c>
      <c r="AP80" s="187">
        <v>2741.3237563503785</v>
      </c>
      <c r="AQ80" s="184">
        <f t="shared" si="29"/>
        <v>685.33093908759463</v>
      </c>
      <c r="AR80" s="181">
        <f t="shared" si="30"/>
        <v>20</v>
      </c>
      <c r="AS80" s="587"/>
      <c r="AT80" s="187">
        <v>4</v>
      </c>
      <c r="AU80" s="187">
        <v>2742.2237563503782</v>
      </c>
      <c r="AV80" s="184">
        <f t="shared" si="31"/>
        <v>685.55593908759454</v>
      </c>
      <c r="AW80" s="181">
        <f t="shared" si="32"/>
        <v>20</v>
      </c>
      <c r="AX80" s="587"/>
    </row>
    <row r="81" spans="1:50" ht="14.25" customHeight="1">
      <c r="B81" s="586"/>
      <c r="C81" s="179">
        <v>33</v>
      </c>
      <c r="D81" s="182" t="s">
        <v>558</v>
      </c>
      <c r="E81" s="179">
        <v>5</v>
      </c>
      <c r="F81" s="179">
        <v>3600</v>
      </c>
      <c r="G81" s="184">
        <f t="shared" si="18"/>
        <v>720</v>
      </c>
      <c r="H81" s="588"/>
      <c r="I81" s="185">
        <f t="shared" si="33"/>
        <v>5</v>
      </c>
      <c r="J81" s="185">
        <f t="shared" si="33"/>
        <v>3265.2733728110934</v>
      </c>
      <c r="K81" s="186">
        <f t="shared" si="33"/>
        <v>653.05467456221857</v>
      </c>
      <c r="L81" s="589"/>
      <c r="M81" s="185">
        <f>RANK(K81, K$49:$K$85)</f>
        <v>21</v>
      </c>
      <c r="N81" s="600"/>
      <c r="O81" s="590"/>
      <c r="P81" s="187">
        <v>5</v>
      </c>
      <c r="Q81" s="187">
        <v>3264.9813009844211</v>
      </c>
      <c r="R81" s="184">
        <f t="shared" si="20"/>
        <v>652.99626019688424</v>
      </c>
      <c r="S81" s="181">
        <f t="shared" si="21"/>
        <v>21</v>
      </c>
      <c r="T81" s="587"/>
      <c r="U81" s="187">
        <v>5</v>
      </c>
      <c r="V81" s="187">
        <v>3265.3413009844212</v>
      </c>
      <c r="W81" s="184">
        <f t="shared" si="17"/>
        <v>653.06826019688424</v>
      </c>
      <c r="X81" s="181">
        <f t="shared" si="22"/>
        <v>21</v>
      </c>
      <c r="Y81" s="587"/>
      <c r="Z81" s="187">
        <v>5</v>
      </c>
      <c r="AA81" s="187">
        <v>3266.7813009844222</v>
      </c>
      <c r="AB81" s="184">
        <f t="shared" si="23"/>
        <v>653.35626019688448</v>
      </c>
      <c r="AC81" s="181">
        <f t="shared" si="24"/>
        <v>21</v>
      </c>
      <c r="AD81" s="587"/>
      <c r="AE81" s="187">
        <v>5</v>
      </c>
      <c r="AF81" s="187">
        <v>3263.7177978418799</v>
      </c>
      <c r="AG81" s="184">
        <f t="shared" si="25"/>
        <v>652.74355956837599</v>
      </c>
      <c r="AH81" s="181">
        <f t="shared" si="26"/>
        <v>22</v>
      </c>
      <c r="AI81" s="587"/>
      <c r="AJ81" s="187">
        <v>5</v>
      </c>
      <c r="AK81" s="187">
        <v>3265.7323134124822</v>
      </c>
      <c r="AL81" s="184">
        <f t="shared" si="27"/>
        <v>653.14646268249646</v>
      </c>
      <c r="AM81" s="181">
        <f t="shared" si="28"/>
        <v>21</v>
      </c>
      <c r="AN81" s="587"/>
      <c r="AO81" s="187">
        <v>5</v>
      </c>
      <c r="AP81" s="187">
        <v>3265.7323134124822</v>
      </c>
      <c r="AQ81" s="184">
        <f t="shared" si="29"/>
        <v>653.14646268249646</v>
      </c>
      <c r="AR81" s="181">
        <f t="shared" si="30"/>
        <v>21</v>
      </c>
      <c r="AS81" s="587"/>
      <c r="AT81" s="187">
        <v>5</v>
      </c>
      <c r="AU81" s="187">
        <v>3264.6272820575418</v>
      </c>
      <c r="AV81" s="184">
        <f t="shared" si="31"/>
        <v>652.92545641150832</v>
      </c>
      <c r="AW81" s="181">
        <f t="shared" si="32"/>
        <v>21</v>
      </c>
      <c r="AX81" s="587"/>
    </row>
    <row r="82" spans="1:50" ht="14.25" customHeight="1">
      <c r="B82" s="586"/>
      <c r="C82" s="179">
        <v>34</v>
      </c>
      <c r="D82" s="182" t="s">
        <v>324</v>
      </c>
      <c r="E82" s="179">
        <v>3</v>
      </c>
      <c r="F82" s="179">
        <v>3000</v>
      </c>
      <c r="G82" s="184">
        <f t="shared" si="18"/>
        <v>1000</v>
      </c>
      <c r="H82" s="588"/>
      <c r="I82" s="185">
        <f t="shared" si="33"/>
        <v>3</v>
      </c>
      <c r="J82" s="185">
        <f t="shared" si="33"/>
        <v>2742.2258146724962</v>
      </c>
      <c r="K82" s="186">
        <f t="shared" si="33"/>
        <v>914.07527155749881</v>
      </c>
      <c r="L82" s="589"/>
      <c r="M82" s="185">
        <f>RANK(K82, K$49:$K$85)</f>
        <v>12</v>
      </c>
      <c r="N82" s="600"/>
      <c r="O82" s="590"/>
      <c r="P82" s="187">
        <v>3</v>
      </c>
      <c r="Q82" s="187">
        <v>2738.2401003867817</v>
      </c>
      <c r="R82" s="184">
        <f t="shared" si="20"/>
        <v>912.74670012892727</v>
      </c>
      <c r="S82" s="181">
        <f t="shared" si="21"/>
        <v>13</v>
      </c>
      <c r="T82" s="587"/>
      <c r="U82" s="187">
        <v>3</v>
      </c>
      <c r="V82" s="187">
        <v>2739.1401003867818</v>
      </c>
      <c r="W82" s="184">
        <f t="shared" si="17"/>
        <v>913.04670012892723</v>
      </c>
      <c r="X82" s="181">
        <f t="shared" si="22"/>
        <v>13</v>
      </c>
      <c r="Y82" s="587"/>
      <c r="Z82" s="187">
        <v>3</v>
      </c>
      <c r="AA82" s="187">
        <v>2740.0401003867814</v>
      </c>
      <c r="AB82" s="184">
        <f t="shared" si="23"/>
        <v>913.34670012892718</v>
      </c>
      <c r="AC82" s="181">
        <f t="shared" si="24"/>
        <v>13</v>
      </c>
      <c r="AD82" s="587"/>
      <c r="AE82" s="187">
        <v>3</v>
      </c>
      <c r="AF82" s="187">
        <v>2741.8401003867821</v>
      </c>
      <c r="AG82" s="184">
        <f t="shared" si="25"/>
        <v>913.94670012892732</v>
      </c>
      <c r="AH82" s="181">
        <f t="shared" si="26"/>
        <v>12</v>
      </c>
      <c r="AI82" s="587"/>
      <c r="AJ82" s="187">
        <v>3</v>
      </c>
      <c r="AK82" s="187">
        <v>2743.6401003867823</v>
      </c>
      <c r="AL82" s="184">
        <f t="shared" si="27"/>
        <v>914.54670012892745</v>
      </c>
      <c r="AM82" s="181">
        <f t="shared" si="28"/>
        <v>12</v>
      </c>
      <c r="AN82" s="587"/>
      <c r="AO82" s="187">
        <v>3</v>
      </c>
      <c r="AP82" s="187">
        <v>2745.4401003867824</v>
      </c>
      <c r="AQ82" s="184">
        <f t="shared" si="29"/>
        <v>915.14670012892748</v>
      </c>
      <c r="AR82" s="181">
        <f t="shared" si="30"/>
        <v>12</v>
      </c>
      <c r="AS82" s="587"/>
      <c r="AT82" s="187">
        <v>3</v>
      </c>
      <c r="AU82" s="187">
        <v>2747.2401003867826</v>
      </c>
      <c r="AV82" s="184">
        <f t="shared" si="31"/>
        <v>915.7467001289275</v>
      </c>
      <c r="AW82" s="181">
        <f t="shared" si="32"/>
        <v>11</v>
      </c>
      <c r="AX82" s="587"/>
    </row>
    <row r="83" spans="1:50" ht="14.25" customHeight="1">
      <c r="B83" s="586"/>
      <c r="C83" s="179">
        <v>35</v>
      </c>
      <c r="D83" s="182" t="s">
        <v>414</v>
      </c>
      <c r="E83" s="179">
        <v>12</v>
      </c>
      <c r="F83" s="179">
        <v>3600</v>
      </c>
      <c r="G83" s="184">
        <f t="shared" si="18"/>
        <v>300</v>
      </c>
      <c r="H83" s="588"/>
      <c r="I83" s="185">
        <f t="shared" si="33"/>
        <v>12</v>
      </c>
      <c r="J83" s="185">
        <f t="shared" si="33"/>
        <v>3120.8083842199399</v>
      </c>
      <c r="K83" s="186">
        <f t="shared" si="33"/>
        <v>260.06736535166164</v>
      </c>
      <c r="L83" s="589"/>
      <c r="M83" s="185">
        <f>RANK(K83, K$49:$K$85)</f>
        <v>35</v>
      </c>
      <c r="N83" s="600"/>
      <c r="O83" s="590"/>
      <c r="P83" s="187">
        <v>12</v>
      </c>
      <c r="Q83" s="187">
        <v>3123.5794291820803</v>
      </c>
      <c r="R83" s="184">
        <f t="shared" si="20"/>
        <v>260.29828576517338</v>
      </c>
      <c r="S83" s="181">
        <f t="shared" si="21"/>
        <v>34</v>
      </c>
      <c r="T83" s="587"/>
      <c r="U83" s="187">
        <v>12</v>
      </c>
      <c r="V83" s="187">
        <v>3121.5940871335451</v>
      </c>
      <c r="W83" s="184">
        <f t="shared" si="17"/>
        <v>260.1328405944621</v>
      </c>
      <c r="X83" s="181">
        <f t="shared" si="22"/>
        <v>35</v>
      </c>
      <c r="Y83" s="587"/>
      <c r="Z83" s="187">
        <v>12</v>
      </c>
      <c r="AA83" s="187">
        <v>3120.1540871335455</v>
      </c>
      <c r="AB83" s="184">
        <f t="shared" si="23"/>
        <v>260.01284059446215</v>
      </c>
      <c r="AC83" s="181">
        <f t="shared" si="24"/>
        <v>34</v>
      </c>
      <c r="AD83" s="587"/>
      <c r="AE83" s="187">
        <v>12</v>
      </c>
      <c r="AF83" s="187">
        <v>3120.1540871335465</v>
      </c>
      <c r="AG83" s="184">
        <f t="shared" si="25"/>
        <v>260.0128405944622</v>
      </c>
      <c r="AH83" s="181">
        <f t="shared" si="26"/>
        <v>35</v>
      </c>
      <c r="AI83" s="587"/>
      <c r="AJ83" s="187">
        <v>12</v>
      </c>
      <c r="AK83" s="187">
        <v>3120.1789996522871</v>
      </c>
      <c r="AL83" s="184">
        <f t="shared" si="27"/>
        <v>260.01491663769059</v>
      </c>
      <c r="AM83" s="181">
        <f t="shared" si="28"/>
        <v>35</v>
      </c>
      <c r="AN83" s="587"/>
      <c r="AO83" s="187">
        <v>12</v>
      </c>
      <c r="AP83" s="187">
        <v>3119.8189996522869</v>
      </c>
      <c r="AQ83" s="184">
        <f t="shared" si="29"/>
        <v>259.98491663769056</v>
      </c>
      <c r="AR83" s="181">
        <f t="shared" si="30"/>
        <v>35</v>
      </c>
      <c r="AS83" s="587"/>
      <c r="AT83" s="187">
        <v>12</v>
      </c>
      <c r="AU83" s="187">
        <v>3120.1789996522862</v>
      </c>
      <c r="AV83" s="184">
        <f t="shared" si="31"/>
        <v>260.01491663769053</v>
      </c>
      <c r="AW83" s="181">
        <f t="shared" si="32"/>
        <v>34</v>
      </c>
      <c r="AX83" s="587"/>
    </row>
    <row r="84" spans="1:50" ht="14.25" customHeight="1">
      <c r="B84" s="586"/>
      <c r="C84" s="179">
        <v>36</v>
      </c>
      <c r="D84" s="182"/>
      <c r="E84" s="179"/>
      <c r="F84" s="179"/>
      <c r="G84" s="184"/>
      <c r="H84" s="588"/>
      <c r="I84" s="185"/>
      <c r="J84" s="185"/>
      <c r="K84" s="186"/>
      <c r="L84" s="589"/>
      <c r="M84" s="185"/>
      <c r="N84" s="600"/>
      <c r="O84" s="590"/>
      <c r="P84" s="187"/>
      <c r="Q84" s="187"/>
      <c r="R84" s="184"/>
      <c r="S84" s="181"/>
      <c r="T84" s="587"/>
      <c r="U84" s="187"/>
      <c r="V84" s="187"/>
      <c r="W84" s="184"/>
      <c r="X84" s="181"/>
      <c r="Y84" s="587"/>
      <c r="Z84" s="187"/>
      <c r="AA84" s="187"/>
      <c r="AB84" s="184"/>
      <c r="AC84" s="181"/>
      <c r="AD84" s="587"/>
      <c r="AE84" s="187"/>
      <c r="AF84" s="187"/>
      <c r="AG84" s="184"/>
      <c r="AH84" s="181"/>
      <c r="AI84" s="587"/>
      <c r="AJ84" s="187"/>
      <c r="AK84" s="187"/>
      <c r="AL84" s="184"/>
      <c r="AM84" s="181"/>
      <c r="AN84" s="587"/>
      <c r="AO84" s="187"/>
      <c r="AP84" s="187"/>
      <c r="AQ84" s="184"/>
      <c r="AR84" s="181"/>
      <c r="AS84" s="587"/>
      <c r="AT84" s="187"/>
      <c r="AU84" s="187"/>
      <c r="AV84" s="184"/>
      <c r="AW84" s="181"/>
      <c r="AX84" s="587"/>
    </row>
    <row r="85" spans="1:50" ht="14.25" customHeight="1">
      <c r="B85" s="586"/>
      <c r="C85" s="179">
        <v>37</v>
      </c>
      <c r="D85" s="182"/>
      <c r="E85" s="179"/>
      <c r="F85" s="179"/>
      <c r="G85" s="184"/>
      <c r="H85" s="588"/>
      <c r="I85" s="185"/>
      <c r="J85" s="185"/>
      <c r="K85" s="186"/>
      <c r="L85" s="589"/>
      <c r="M85" s="185"/>
      <c r="N85" s="600"/>
      <c r="O85" s="590"/>
      <c r="P85" s="187"/>
      <c r="Q85" s="187"/>
      <c r="R85" s="184"/>
      <c r="S85" s="181"/>
      <c r="T85" s="587"/>
      <c r="U85" s="187"/>
      <c r="V85" s="187"/>
      <c r="W85" s="184"/>
      <c r="X85" s="181"/>
      <c r="Y85" s="587"/>
      <c r="Z85" s="187"/>
      <c r="AA85" s="187"/>
      <c r="AB85" s="184"/>
      <c r="AC85" s="181"/>
      <c r="AD85" s="587"/>
      <c r="AE85" s="187"/>
      <c r="AF85" s="187"/>
      <c r="AG85" s="184"/>
      <c r="AH85" s="181"/>
      <c r="AI85" s="587"/>
      <c r="AJ85" s="187"/>
      <c r="AK85" s="187"/>
      <c r="AL85" s="184"/>
      <c r="AM85" s="181"/>
      <c r="AN85" s="587"/>
      <c r="AO85" s="187"/>
      <c r="AP85" s="187"/>
      <c r="AQ85" s="184"/>
      <c r="AR85" s="181"/>
      <c r="AS85" s="587"/>
      <c r="AT85" s="187"/>
      <c r="AU85" s="187"/>
      <c r="AV85" s="184"/>
      <c r="AW85" s="181"/>
      <c r="AX85" s="587"/>
    </row>
    <row r="86" spans="1:50" ht="14.25" customHeight="1">
      <c r="B86" s="601" t="s">
        <v>679</v>
      </c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3"/>
      <c r="N86" s="606" t="s">
        <v>341</v>
      </c>
      <c r="O86" s="606" t="s">
        <v>105</v>
      </c>
      <c r="P86" s="608">
        <v>46245</v>
      </c>
      <c r="Q86" s="609"/>
      <c r="R86" s="609"/>
      <c r="S86" s="609"/>
      <c r="T86" s="609"/>
      <c r="U86" s="610">
        <v>46246</v>
      </c>
      <c r="V86" s="611"/>
      <c r="W86" s="611"/>
      <c r="X86" s="611"/>
      <c r="Y86" s="611"/>
      <c r="Z86" s="608">
        <v>46247</v>
      </c>
      <c r="AA86" s="609"/>
      <c r="AB86" s="609"/>
      <c r="AC86" s="609"/>
      <c r="AD86" s="609"/>
      <c r="AE86" s="610">
        <v>46248</v>
      </c>
      <c r="AF86" s="611"/>
      <c r="AG86" s="611"/>
      <c r="AH86" s="611"/>
      <c r="AI86" s="611"/>
      <c r="AJ86" s="592">
        <v>46249</v>
      </c>
      <c r="AK86" s="593"/>
      <c r="AL86" s="593"/>
      <c r="AM86" s="593"/>
      <c r="AN86" s="594"/>
      <c r="AO86" s="610">
        <v>46250</v>
      </c>
      <c r="AP86" s="611"/>
      <c r="AQ86" s="611"/>
      <c r="AR86" s="611"/>
      <c r="AS86" s="611"/>
      <c r="AT86" s="592">
        <v>46251</v>
      </c>
      <c r="AU86" s="593"/>
      <c r="AV86" s="593"/>
      <c r="AW86" s="593"/>
      <c r="AX86" s="594"/>
    </row>
    <row r="87" spans="1:50" ht="14.25" customHeight="1">
      <c r="B87" s="604"/>
      <c r="C87" s="604"/>
      <c r="D87" s="604"/>
      <c r="E87" s="604"/>
      <c r="F87" s="604"/>
      <c r="G87" s="604"/>
      <c r="H87" s="604"/>
      <c r="I87" s="604"/>
      <c r="J87" s="604"/>
      <c r="K87" s="604"/>
      <c r="L87" s="604"/>
      <c r="M87" s="605"/>
      <c r="N87" s="607"/>
      <c r="O87" s="607"/>
      <c r="P87" s="595">
        <v>46196</v>
      </c>
      <c r="Q87" s="595"/>
      <c r="R87" s="595"/>
      <c r="S87" s="595"/>
      <c r="T87" s="595"/>
      <c r="U87" s="596">
        <v>46197</v>
      </c>
      <c r="V87" s="596"/>
      <c r="W87" s="596"/>
      <c r="X87" s="596"/>
      <c r="Y87" s="596"/>
      <c r="Z87" s="595">
        <v>46198</v>
      </c>
      <c r="AA87" s="595"/>
      <c r="AB87" s="595"/>
      <c r="AC87" s="595"/>
      <c r="AD87" s="595"/>
      <c r="AE87" s="596">
        <v>46199</v>
      </c>
      <c r="AF87" s="596"/>
      <c r="AG87" s="596"/>
      <c r="AH87" s="596"/>
      <c r="AI87" s="596"/>
      <c r="AJ87" s="597">
        <v>46200</v>
      </c>
      <c r="AK87" s="598"/>
      <c r="AL87" s="598"/>
      <c r="AM87" s="598"/>
      <c r="AN87" s="599"/>
      <c r="AO87" s="596">
        <v>46201</v>
      </c>
      <c r="AP87" s="596"/>
      <c r="AQ87" s="596"/>
      <c r="AR87" s="596"/>
      <c r="AS87" s="596"/>
      <c r="AT87" s="597">
        <v>46202</v>
      </c>
      <c r="AU87" s="598"/>
      <c r="AV87" s="598"/>
      <c r="AW87" s="598"/>
      <c r="AX87" s="599"/>
    </row>
    <row r="88" spans="1:50" ht="14.25" customHeight="1">
      <c r="B88" s="586" t="s">
        <v>162</v>
      </c>
      <c r="C88" s="586" t="s">
        <v>157</v>
      </c>
      <c r="D88" s="586"/>
      <c r="E88" s="586" t="s">
        <v>158</v>
      </c>
      <c r="F88" s="586"/>
      <c r="G88" s="586"/>
      <c r="H88" s="586" t="s">
        <v>163</v>
      </c>
      <c r="I88" s="591" t="s">
        <v>342</v>
      </c>
      <c r="J88" s="591"/>
      <c r="K88" s="591"/>
      <c r="L88" s="591" t="s">
        <v>163</v>
      </c>
      <c r="M88" s="591" t="s">
        <v>165</v>
      </c>
      <c r="N88" s="600"/>
      <c r="O88" s="590" t="s">
        <v>164</v>
      </c>
      <c r="P88" s="590" t="s">
        <v>160</v>
      </c>
      <c r="Q88" s="590"/>
      <c r="R88" s="590"/>
      <c r="S88" s="590"/>
      <c r="T88" s="590" t="s">
        <v>163</v>
      </c>
      <c r="U88" s="590" t="s">
        <v>160</v>
      </c>
      <c r="V88" s="590"/>
      <c r="W88" s="590"/>
      <c r="X88" s="590"/>
      <c r="Y88" s="590" t="s">
        <v>163</v>
      </c>
      <c r="Z88" s="590" t="s">
        <v>160</v>
      </c>
      <c r="AA88" s="590"/>
      <c r="AB88" s="590"/>
      <c r="AC88" s="590"/>
      <c r="AD88" s="590" t="s">
        <v>163</v>
      </c>
      <c r="AE88" s="590" t="s">
        <v>160</v>
      </c>
      <c r="AF88" s="590"/>
      <c r="AG88" s="590"/>
      <c r="AH88" s="590"/>
      <c r="AI88" s="590" t="s">
        <v>163</v>
      </c>
      <c r="AJ88" s="590" t="s">
        <v>160</v>
      </c>
      <c r="AK88" s="590"/>
      <c r="AL88" s="590"/>
      <c r="AM88" s="590"/>
      <c r="AN88" s="590" t="s">
        <v>163</v>
      </c>
      <c r="AO88" s="590" t="s">
        <v>160</v>
      </c>
      <c r="AP88" s="590"/>
      <c r="AQ88" s="590"/>
      <c r="AR88" s="590"/>
      <c r="AS88" s="590" t="s">
        <v>163</v>
      </c>
      <c r="AT88" s="590" t="s">
        <v>160</v>
      </c>
      <c r="AU88" s="590"/>
      <c r="AV88" s="590"/>
      <c r="AW88" s="590"/>
      <c r="AX88" s="590" t="s">
        <v>163</v>
      </c>
    </row>
    <row r="89" spans="1:50" ht="14.25" customHeight="1">
      <c r="B89" s="586"/>
      <c r="C89" s="586"/>
      <c r="D89" s="586"/>
      <c r="E89" s="586" t="s">
        <v>343</v>
      </c>
      <c r="F89" s="586"/>
      <c r="G89" s="586"/>
      <c r="H89" s="586"/>
      <c r="I89" s="591" t="s">
        <v>343</v>
      </c>
      <c r="J89" s="591"/>
      <c r="K89" s="591"/>
      <c r="L89" s="591"/>
      <c r="M89" s="591"/>
      <c r="N89" s="600"/>
      <c r="O89" s="590"/>
      <c r="P89" s="590" t="s">
        <v>344</v>
      </c>
      <c r="Q89" s="590"/>
      <c r="R89" s="590"/>
      <c r="S89" s="590"/>
      <c r="T89" s="590"/>
      <c r="U89" s="590" t="s">
        <v>344</v>
      </c>
      <c r="V89" s="590"/>
      <c r="W89" s="590"/>
      <c r="X89" s="590"/>
      <c r="Y89" s="590"/>
      <c r="Z89" s="590" t="s">
        <v>344</v>
      </c>
      <c r="AA89" s="590"/>
      <c r="AB89" s="590"/>
      <c r="AC89" s="590"/>
      <c r="AD89" s="590"/>
      <c r="AE89" s="590" t="s">
        <v>344</v>
      </c>
      <c r="AF89" s="590"/>
      <c r="AG89" s="590"/>
      <c r="AH89" s="590"/>
      <c r="AI89" s="590"/>
      <c r="AJ89" s="590" t="s">
        <v>344</v>
      </c>
      <c r="AK89" s="590"/>
      <c r="AL89" s="590"/>
      <c r="AM89" s="590"/>
      <c r="AN89" s="590"/>
      <c r="AO89" s="590" t="s">
        <v>344</v>
      </c>
      <c r="AP89" s="590"/>
      <c r="AQ89" s="590"/>
      <c r="AR89" s="590"/>
      <c r="AS89" s="590"/>
      <c r="AT89" s="590" t="s">
        <v>344</v>
      </c>
      <c r="AU89" s="590"/>
      <c r="AV89" s="590"/>
      <c r="AW89" s="590"/>
      <c r="AX89" s="590"/>
    </row>
    <row r="90" spans="1:50" ht="14.25" customHeight="1">
      <c r="A90" s="176"/>
      <c r="B90" s="586"/>
      <c r="C90" s="586"/>
      <c r="D90" s="586"/>
      <c r="E90" s="179" t="s">
        <v>159</v>
      </c>
      <c r="F90" s="179" t="s">
        <v>345</v>
      </c>
      <c r="G90" s="179" t="s">
        <v>161</v>
      </c>
      <c r="H90" s="586"/>
      <c r="I90" s="180" t="s">
        <v>159</v>
      </c>
      <c r="J90" s="180" t="s">
        <v>345</v>
      </c>
      <c r="K90" s="180" t="s">
        <v>161</v>
      </c>
      <c r="L90" s="591"/>
      <c r="M90" s="591"/>
      <c r="N90" s="600"/>
      <c r="O90" s="590"/>
      <c r="P90" s="181" t="s">
        <v>159</v>
      </c>
      <c r="Q90" s="181" t="s">
        <v>345</v>
      </c>
      <c r="R90" s="181" t="s">
        <v>161</v>
      </c>
      <c r="S90" s="181" t="s">
        <v>165</v>
      </c>
      <c r="T90" s="590"/>
      <c r="U90" s="181" t="s">
        <v>159</v>
      </c>
      <c r="V90" s="181" t="s">
        <v>345</v>
      </c>
      <c r="W90" s="181" t="s">
        <v>161</v>
      </c>
      <c r="X90" s="181" t="s">
        <v>165</v>
      </c>
      <c r="Y90" s="590"/>
      <c r="Z90" s="181" t="s">
        <v>159</v>
      </c>
      <c r="AA90" s="181" t="s">
        <v>345</v>
      </c>
      <c r="AB90" s="181" t="s">
        <v>161</v>
      </c>
      <c r="AC90" s="181" t="s">
        <v>165</v>
      </c>
      <c r="AD90" s="590"/>
      <c r="AE90" s="181" t="s">
        <v>159</v>
      </c>
      <c r="AF90" s="181" t="s">
        <v>345</v>
      </c>
      <c r="AG90" s="181" t="s">
        <v>161</v>
      </c>
      <c r="AH90" s="181" t="s">
        <v>165</v>
      </c>
      <c r="AI90" s="590"/>
      <c r="AJ90" s="181" t="s">
        <v>159</v>
      </c>
      <c r="AK90" s="181" t="s">
        <v>345</v>
      </c>
      <c r="AL90" s="181" t="s">
        <v>161</v>
      </c>
      <c r="AM90" s="181" t="s">
        <v>165</v>
      </c>
      <c r="AN90" s="590"/>
      <c r="AO90" s="181" t="s">
        <v>159</v>
      </c>
      <c r="AP90" s="181" t="s">
        <v>345</v>
      </c>
      <c r="AQ90" s="181" t="s">
        <v>161</v>
      </c>
      <c r="AR90" s="181" t="s">
        <v>165</v>
      </c>
      <c r="AS90" s="590"/>
      <c r="AT90" s="181" t="s">
        <v>159</v>
      </c>
      <c r="AU90" s="181" t="s">
        <v>345</v>
      </c>
      <c r="AV90" s="181" t="s">
        <v>161</v>
      </c>
      <c r="AW90" s="181" t="s">
        <v>165</v>
      </c>
      <c r="AX90" s="590"/>
    </row>
    <row r="91" spans="1:50" ht="14.25" customHeight="1">
      <c r="B91" s="586" t="s">
        <v>346</v>
      </c>
      <c r="C91" s="179">
        <v>1</v>
      </c>
      <c r="D91" s="182" t="s">
        <v>371</v>
      </c>
      <c r="E91" s="183">
        <v>4</v>
      </c>
      <c r="F91" s="179">
        <v>3300</v>
      </c>
      <c r="G91" s="184">
        <f>IFERROR(F91/E91,"")</f>
        <v>825</v>
      </c>
      <c r="H91" s="588">
        <f>AVERAGE(G91:G127)</f>
        <v>869.85294117647061</v>
      </c>
      <c r="I91" s="185">
        <f>AVERAGE(P91,U91,Z91,AE91,AJ91,AO91,AT91)</f>
        <v>4</v>
      </c>
      <c r="J91" s="185">
        <f>AVERAGE(Q91,V91,AA91,AF91,AK91,AP91,AU91)</f>
        <v>3020.7126116670865</v>
      </c>
      <c r="K91" s="186">
        <f>AVERAGE(R91,W91,AB91,AG91,AL91,AQ91,AV91)</f>
        <v>755.17815291677164</v>
      </c>
      <c r="L91" s="589">
        <f>IFERROR(AVERAGE(K91:K127),"-")</f>
        <v>785.80801145408623</v>
      </c>
      <c r="M91" s="185">
        <f>RANK(K91, K$91:$K$127)</f>
        <v>17</v>
      </c>
      <c r="N91" s="600"/>
      <c r="O91" s="590"/>
      <c r="P91" s="187">
        <v>4</v>
      </c>
      <c r="Q91" s="187">
        <v>3016.75295764166</v>
      </c>
      <c r="R91" s="184">
        <f>IFERROR(Q91/P91,"")</f>
        <v>754.18823941041501</v>
      </c>
      <c r="S91" s="181">
        <f>RANK(R91, R$91:R$127)</f>
        <v>18</v>
      </c>
      <c r="T91" s="587">
        <f>AVERAGE(R91:R127)</f>
        <v>784.97644706373353</v>
      </c>
      <c r="U91" s="187">
        <v>4</v>
      </c>
      <c r="V91" s="187">
        <v>3018.787554004658</v>
      </c>
      <c r="W91" s="184">
        <f t="shared" ref="W91:W124" si="34">IFERROR(V91/U91,"")</f>
        <v>754.69688850116449</v>
      </c>
      <c r="X91" s="181">
        <f>RANK(W91, W$91:W$127)</f>
        <v>17</v>
      </c>
      <c r="Y91" s="587">
        <f>AVERAGE(W91:W127)</f>
        <v>785.23837607748294</v>
      </c>
      <c r="Z91" s="187">
        <v>4</v>
      </c>
      <c r="AA91" s="187">
        <v>3019.7775540046582</v>
      </c>
      <c r="AB91" s="184">
        <f>IFERROR(AA91/Z91,"")</f>
        <v>754.94438850116455</v>
      </c>
      <c r="AC91" s="181">
        <f>RANK(AB91, AB$91:AB$127)</f>
        <v>17</v>
      </c>
      <c r="AD91" s="587">
        <f>AVERAGE(AB91:AB127)</f>
        <v>785.5230127720622</v>
      </c>
      <c r="AE91" s="187">
        <v>4</v>
      </c>
      <c r="AF91" s="187">
        <v>3021.4275540046574</v>
      </c>
      <c r="AG91" s="184">
        <f>IFERROR(AF91/AE91,"")</f>
        <v>755.35688850116435</v>
      </c>
      <c r="AH91" s="181">
        <f>RANK(AG91, AG$91:AG$127)</f>
        <v>17</v>
      </c>
      <c r="AI91" s="587">
        <f>AVERAGE(AG91:AG127)</f>
        <v>785.79962909799372</v>
      </c>
      <c r="AJ91" s="187">
        <v>4</v>
      </c>
      <c r="AK91" s="187">
        <v>3022.0875540046572</v>
      </c>
      <c r="AL91" s="184">
        <f>IFERROR(AK91/AJ91,"")</f>
        <v>755.52188850116431</v>
      </c>
      <c r="AM91" s="181">
        <f>RANK(AL91, AL$91:AL$127)</f>
        <v>17</v>
      </c>
      <c r="AN91" s="587">
        <f>AVERAGE(AL91:AL127)</f>
        <v>786.09709678955892</v>
      </c>
      <c r="AO91" s="187">
        <v>4</v>
      </c>
      <c r="AP91" s="187">
        <v>3022.4175540046572</v>
      </c>
      <c r="AQ91" s="184">
        <f>IFERROR(AP91/AO91,"")</f>
        <v>755.60438850116429</v>
      </c>
      <c r="AR91" s="181">
        <f>RANK(AQ91, AQ$91:AQ$127)</f>
        <v>18</v>
      </c>
      <c r="AS91" s="587">
        <f>AVERAGE(AQ91:AQ127)</f>
        <v>786.38512292696259</v>
      </c>
      <c r="AT91" s="187">
        <v>4</v>
      </c>
      <c r="AU91" s="187">
        <v>3023.7375540046569</v>
      </c>
      <c r="AV91" s="184">
        <f>IFERROR(AU91/AT91,"")</f>
        <v>755.93438850116422</v>
      </c>
      <c r="AW91" s="181">
        <f>RANK(AV91, AV$91:AV$127)</f>
        <v>18</v>
      </c>
      <c r="AX91" s="587">
        <f>AVERAGE(AV91:AV127)</f>
        <v>786.63639545080912</v>
      </c>
    </row>
    <row r="92" spans="1:50" ht="14.25" customHeight="1">
      <c r="B92" s="586"/>
      <c r="C92" s="179">
        <v>2</v>
      </c>
      <c r="D92" s="182" t="s">
        <v>369</v>
      </c>
      <c r="E92" s="183">
        <v>3</v>
      </c>
      <c r="F92" s="179">
        <v>3600</v>
      </c>
      <c r="G92" s="184">
        <f t="shared" ref="G92:G124" si="35">IFERROR(F92/E92,"")</f>
        <v>1200</v>
      </c>
      <c r="H92" s="588"/>
      <c r="I92" s="185">
        <f t="shared" ref="I92:K121" si="36">AVERAGE(P92,U92,Z92,AE92,AJ92,AO92,AT92)</f>
        <v>3</v>
      </c>
      <c r="J92" s="185">
        <f t="shared" si="36"/>
        <v>3227.4080940334056</v>
      </c>
      <c r="K92" s="186">
        <f t="shared" si="36"/>
        <v>1075.8026980111354</v>
      </c>
      <c r="L92" s="589"/>
      <c r="M92" s="185">
        <f>RANK(K92, K$91:$K$127)</f>
        <v>1</v>
      </c>
      <c r="N92" s="600"/>
      <c r="O92" s="590"/>
      <c r="P92" s="187">
        <v>3</v>
      </c>
      <c r="Q92" s="187">
        <v>3222.6252368905489</v>
      </c>
      <c r="R92" s="184">
        <f t="shared" ref="R92:R124" si="37">IFERROR(Q92/P92,"")</f>
        <v>1074.2084122968497</v>
      </c>
      <c r="S92" s="181">
        <f t="shared" ref="S92:S124" si="38">RANK(R92, R$91:R$127)</f>
        <v>3</v>
      </c>
      <c r="T92" s="587"/>
      <c r="U92" s="187">
        <v>3</v>
      </c>
      <c r="V92" s="187">
        <v>3224.0652368905489</v>
      </c>
      <c r="W92" s="184">
        <f t="shared" si="34"/>
        <v>1074.6884122968497</v>
      </c>
      <c r="X92" s="181">
        <f t="shared" ref="X92:X124" si="39">RANK(W92, W$91:W$127)</f>
        <v>3</v>
      </c>
      <c r="Y92" s="587"/>
      <c r="Z92" s="187">
        <v>3</v>
      </c>
      <c r="AA92" s="187">
        <v>3225.505236890549</v>
      </c>
      <c r="AB92" s="184">
        <f t="shared" ref="AB92:AB124" si="40">IFERROR(AA92/Z92,"")</f>
        <v>1075.1684122968497</v>
      </c>
      <c r="AC92" s="181">
        <f t="shared" ref="AC92:AC124" si="41">RANK(AB92, AB$91:AB$127)</f>
        <v>3</v>
      </c>
      <c r="AD92" s="587"/>
      <c r="AE92" s="187">
        <v>3</v>
      </c>
      <c r="AF92" s="187">
        <v>3227.3052368905487</v>
      </c>
      <c r="AG92" s="184">
        <f t="shared" ref="AG92:AG124" si="42">IFERROR(AF92/AE92,"")</f>
        <v>1075.7684122968496</v>
      </c>
      <c r="AH92" s="181">
        <f t="shared" ref="AH92:AH124" si="43">RANK(AG92, AG$91:AG$127)</f>
        <v>1</v>
      </c>
      <c r="AI92" s="587"/>
      <c r="AJ92" s="187">
        <v>3</v>
      </c>
      <c r="AK92" s="187">
        <v>3229.4652368905486</v>
      </c>
      <c r="AL92" s="184">
        <f t="shared" ref="AL92:AL124" si="44">IFERROR(AK92/AJ92,"")</f>
        <v>1076.4884122968494</v>
      </c>
      <c r="AM92" s="181">
        <f t="shared" ref="AM92:AM124" si="45">RANK(AL92, AL$91:AL$127)</f>
        <v>1</v>
      </c>
      <c r="AN92" s="587"/>
      <c r="AO92" s="187">
        <v>3</v>
      </c>
      <c r="AP92" s="187">
        <v>3231.2652368905483</v>
      </c>
      <c r="AQ92" s="184">
        <f t="shared" ref="AQ92:AQ124" si="46">IFERROR(AP92/AO92,"")</f>
        <v>1077.0884122968494</v>
      </c>
      <c r="AR92" s="181">
        <f t="shared" ref="AR92:AR124" si="47">RANK(AQ92, AQ$91:AQ$127)</f>
        <v>1</v>
      </c>
      <c r="AS92" s="587"/>
      <c r="AT92" s="187">
        <v>3</v>
      </c>
      <c r="AU92" s="187">
        <v>3231.6252368905484</v>
      </c>
      <c r="AV92" s="184">
        <f t="shared" ref="AV92:AV124" si="48">IFERROR(AU92/AT92,"")</f>
        <v>1077.2084122968495</v>
      </c>
      <c r="AW92" s="181">
        <f t="shared" ref="AW92:AW124" si="49">RANK(AV92, AV$91:AV$127)</f>
        <v>1</v>
      </c>
      <c r="AX92" s="587"/>
    </row>
    <row r="93" spans="1:50" ht="14.25" customHeight="1">
      <c r="B93" s="586"/>
      <c r="C93" s="179">
        <v>3</v>
      </c>
      <c r="D93" s="182" t="s">
        <v>370</v>
      </c>
      <c r="E93" s="183">
        <v>5</v>
      </c>
      <c r="F93" s="179">
        <v>3600</v>
      </c>
      <c r="G93" s="184">
        <f t="shared" si="35"/>
        <v>720</v>
      </c>
      <c r="H93" s="588"/>
      <c r="I93" s="185">
        <f t="shared" si="36"/>
        <v>5</v>
      </c>
      <c r="J93" s="185">
        <f t="shared" si="36"/>
        <v>3222.5416525083574</v>
      </c>
      <c r="K93" s="186">
        <f t="shared" si="36"/>
        <v>644.50833050167148</v>
      </c>
      <c r="L93" s="589"/>
      <c r="M93" s="185">
        <f>RANK(K93, K$91:$K$127)</f>
        <v>29</v>
      </c>
      <c r="N93" s="600"/>
      <c r="O93" s="590"/>
      <c r="P93" s="187">
        <v>5</v>
      </c>
      <c r="Q93" s="187">
        <v>3218.4273667940724</v>
      </c>
      <c r="R93" s="184">
        <f t="shared" si="37"/>
        <v>643.68547335881453</v>
      </c>
      <c r="S93" s="181">
        <f t="shared" si="38"/>
        <v>29</v>
      </c>
      <c r="T93" s="587"/>
      <c r="U93" s="187">
        <v>5</v>
      </c>
      <c r="V93" s="187">
        <v>3219.8673667940725</v>
      </c>
      <c r="W93" s="184">
        <f t="shared" si="34"/>
        <v>643.97347335881454</v>
      </c>
      <c r="X93" s="181">
        <f t="shared" si="39"/>
        <v>29</v>
      </c>
      <c r="Y93" s="587"/>
      <c r="Z93" s="187">
        <v>5</v>
      </c>
      <c r="AA93" s="187">
        <v>3221.3073667940721</v>
      </c>
      <c r="AB93" s="184">
        <f t="shared" si="40"/>
        <v>644.26147335881444</v>
      </c>
      <c r="AC93" s="181">
        <f t="shared" si="41"/>
        <v>29</v>
      </c>
      <c r="AD93" s="587"/>
      <c r="AE93" s="187">
        <v>5</v>
      </c>
      <c r="AF93" s="187">
        <v>3222.7473667940717</v>
      </c>
      <c r="AG93" s="184">
        <f t="shared" si="42"/>
        <v>644.54947335881434</v>
      </c>
      <c r="AH93" s="181">
        <f t="shared" si="43"/>
        <v>29</v>
      </c>
      <c r="AI93" s="587"/>
      <c r="AJ93" s="187">
        <v>5</v>
      </c>
      <c r="AK93" s="187">
        <v>3224.5473667940714</v>
      </c>
      <c r="AL93" s="184">
        <f t="shared" si="44"/>
        <v>644.90947335881424</v>
      </c>
      <c r="AM93" s="181">
        <f t="shared" si="45"/>
        <v>29</v>
      </c>
      <c r="AN93" s="587"/>
      <c r="AO93" s="187">
        <v>5</v>
      </c>
      <c r="AP93" s="187">
        <v>3224.9073667940711</v>
      </c>
      <c r="AQ93" s="184">
        <f t="shared" si="46"/>
        <v>644.98147335881424</v>
      </c>
      <c r="AR93" s="181">
        <f t="shared" si="47"/>
        <v>29</v>
      </c>
      <c r="AS93" s="587"/>
      <c r="AT93" s="187">
        <v>5</v>
      </c>
      <c r="AU93" s="187">
        <v>3225.9873667940715</v>
      </c>
      <c r="AV93" s="184">
        <f t="shared" si="48"/>
        <v>645.19747335881425</v>
      </c>
      <c r="AW93" s="181">
        <f t="shared" si="49"/>
        <v>29</v>
      </c>
      <c r="AX93" s="587"/>
    </row>
    <row r="94" spans="1:50" ht="14.25" customHeight="1">
      <c r="B94" s="586"/>
      <c r="C94" s="179">
        <v>4</v>
      </c>
      <c r="D94" s="182" t="s">
        <v>212</v>
      </c>
      <c r="E94" s="183">
        <v>5</v>
      </c>
      <c r="F94" s="179">
        <v>3300</v>
      </c>
      <c r="G94" s="184">
        <f t="shared" si="35"/>
        <v>660</v>
      </c>
      <c r="H94" s="588"/>
      <c r="I94" s="185">
        <f t="shared" si="36"/>
        <v>5</v>
      </c>
      <c r="J94" s="185">
        <f t="shared" si="36"/>
        <v>3022.9698070850159</v>
      </c>
      <c r="K94" s="186">
        <f t="shared" si="36"/>
        <v>604.59396141700313</v>
      </c>
      <c r="L94" s="589"/>
      <c r="M94" s="185">
        <f>RANK(K94, K$91:$K$127)</f>
        <v>30</v>
      </c>
      <c r="N94" s="600"/>
      <c r="O94" s="590"/>
      <c r="P94" s="187">
        <v>5</v>
      </c>
      <c r="Q94" s="187">
        <v>3019.3398070850158</v>
      </c>
      <c r="R94" s="184">
        <f t="shared" si="37"/>
        <v>603.86796141700313</v>
      </c>
      <c r="S94" s="181">
        <f t="shared" si="38"/>
        <v>30</v>
      </c>
      <c r="T94" s="587"/>
      <c r="U94" s="187">
        <v>5</v>
      </c>
      <c r="V94" s="187">
        <v>3021.3198070850158</v>
      </c>
      <c r="W94" s="184">
        <f t="shared" si="34"/>
        <v>604.2639614170032</v>
      </c>
      <c r="X94" s="181">
        <f t="shared" si="39"/>
        <v>30</v>
      </c>
      <c r="Y94" s="587"/>
      <c r="Z94" s="187">
        <v>5</v>
      </c>
      <c r="AA94" s="187">
        <v>3022.309807085016</v>
      </c>
      <c r="AB94" s="184">
        <f t="shared" si="40"/>
        <v>604.46196141700318</v>
      </c>
      <c r="AC94" s="181">
        <f t="shared" si="41"/>
        <v>30</v>
      </c>
      <c r="AD94" s="587"/>
      <c r="AE94" s="187">
        <v>5</v>
      </c>
      <c r="AF94" s="187">
        <v>3023.6298070850162</v>
      </c>
      <c r="AG94" s="184">
        <f t="shared" si="42"/>
        <v>604.72596141700319</v>
      </c>
      <c r="AH94" s="181">
        <f t="shared" si="43"/>
        <v>30</v>
      </c>
      <c r="AI94" s="587"/>
      <c r="AJ94" s="187">
        <v>5</v>
      </c>
      <c r="AK94" s="187">
        <v>3023.9598070850152</v>
      </c>
      <c r="AL94" s="184">
        <f t="shared" si="44"/>
        <v>604.79196141700299</v>
      </c>
      <c r="AM94" s="181">
        <f t="shared" si="45"/>
        <v>30</v>
      </c>
      <c r="AN94" s="587"/>
      <c r="AO94" s="187">
        <v>5</v>
      </c>
      <c r="AP94" s="187">
        <v>3024.2898070850151</v>
      </c>
      <c r="AQ94" s="184">
        <f t="shared" si="46"/>
        <v>604.85796141700303</v>
      </c>
      <c r="AR94" s="181">
        <f t="shared" si="47"/>
        <v>30</v>
      </c>
      <c r="AS94" s="587"/>
      <c r="AT94" s="187">
        <v>5</v>
      </c>
      <c r="AU94" s="187">
        <v>3025.9398070850148</v>
      </c>
      <c r="AV94" s="184">
        <f t="shared" si="48"/>
        <v>605.18796141700295</v>
      </c>
      <c r="AW94" s="181">
        <f t="shared" si="49"/>
        <v>30</v>
      </c>
      <c r="AX94" s="587"/>
    </row>
    <row r="95" spans="1:50" ht="14.25" customHeight="1">
      <c r="B95" s="586"/>
      <c r="C95" s="179">
        <v>5</v>
      </c>
      <c r="D95" s="182" t="s">
        <v>366</v>
      </c>
      <c r="E95" s="183">
        <v>3</v>
      </c>
      <c r="F95" s="179">
        <v>3600</v>
      </c>
      <c r="G95" s="184">
        <f t="shared" si="35"/>
        <v>1200</v>
      </c>
      <c r="H95" s="588"/>
      <c r="I95" s="185">
        <f t="shared" si="36"/>
        <v>3</v>
      </c>
      <c r="J95" s="185">
        <f t="shared" si="36"/>
        <v>3220.0005664671562</v>
      </c>
      <c r="K95" s="186">
        <f t="shared" si="36"/>
        <v>1073.3335221557186</v>
      </c>
      <c r="L95" s="589"/>
      <c r="M95" s="185">
        <f>RANK(K95, K$91:$K$127)</f>
        <v>8</v>
      </c>
      <c r="N95" s="600"/>
      <c r="O95" s="590"/>
      <c r="P95" s="187">
        <v>3</v>
      </c>
      <c r="Q95" s="187">
        <v>3216.606280752871</v>
      </c>
      <c r="R95" s="184">
        <f t="shared" si="37"/>
        <v>1072.2020935842904</v>
      </c>
      <c r="S95" s="181">
        <f t="shared" si="38"/>
        <v>8</v>
      </c>
      <c r="T95" s="587"/>
      <c r="U95" s="187">
        <v>3</v>
      </c>
      <c r="V95" s="187">
        <v>3216.9662807528712</v>
      </c>
      <c r="W95" s="184">
        <f t="shared" si="34"/>
        <v>1072.3220935842903</v>
      </c>
      <c r="X95" s="181">
        <f t="shared" si="39"/>
        <v>8</v>
      </c>
      <c r="Y95" s="587"/>
      <c r="Z95" s="187">
        <v>3</v>
      </c>
      <c r="AA95" s="187">
        <v>3218.0462807528706</v>
      </c>
      <c r="AB95" s="184">
        <f t="shared" si="40"/>
        <v>1072.6820935842902</v>
      </c>
      <c r="AC95" s="181">
        <f t="shared" si="41"/>
        <v>8</v>
      </c>
      <c r="AD95" s="587"/>
      <c r="AE95" s="187">
        <v>3</v>
      </c>
      <c r="AF95" s="187">
        <v>3219.8462807528704</v>
      </c>
      <c r="AG95" s="184">
        <f t="shared" si="42"/>
        <v>1073.2820935842901</v>
      </c>
      <c r="AH95" s="181">
        <f t="shared" si="43"/>
        <v>8</v>
      </c>
      <c r="AI95" s="587"/>
      <c r="AJ95" s="187">
        <v>3</v>
      </c>
      <c r="AK95" s="187">
        <v>3221.2862807528704</v>
      </c>
      <c r="AL95" s="184">
        <f t="shared" si="44"/>
        <v>1073.7620935842901</v>
      </c>
      <c r="AM95" s="181">
        <f t="shared" si="45"/>
        <v>8</v>
      </c>
      <c r="AN95" s="587"/>
      <c r="AO95" s="187">
        <v>3</v>
      </c>
      <c r="AP95" s="187">
        <v>3222.72628075287</v>
      </c>
      <c r="AQ95" s="184">
        <f t="shared" si="46"/>
        <v>1074.2420935842899</v>
      </c>
      <c r="AR95" s="181">
        <f t="shared" si="47"/>
        <v>8</v>
      </c>
      <c r="AS95" s="587"/>
      <c r="AT95" s="187">
        <v>3</v>
      </c>
      <c r="AU95" s="187">
        <v>3224.5262807528698</v>
      </c>
      <c r="AV95" s="184">
        <f t="shared" si="48"/>
        <v>1074.8420935842898</v>
      </c>
      <c r="AW95" s="181">
        <f t="shared" si="49"/>
        <v>8</v>
      </c>
      <c r="AX95" s="587"/>
    </row>
    <row r="96" spans="1:50" ht="14.25" customHeight="1">
      <c r="B96" s="586"/>
      <c r="C96" s="179">
        <v>6</v>
      </c>
      <c r="D96" s="182" t="s">
        <v>318</v>
      </c>
      <c r="E96" s="183">
        <v>4</v>
      </c>
      <c r="F96" s="179">
        <v>3600</v>
      </c>
      <c r="G96" s="184">
        <f t="shared" si="35"/>
        <v>900</v>
      </c>
      <c r="H96" s="588"/>
      <c r="I96" s="185">
        <f t="shared" si="36"/>
        <v>4</v>
      </c>
      <c r="J96" s="185">
        <f t="shared" si="36"/>
        <v>3227.0363886558775</v>
      </c>
      <c r="K96" s="186">
        <f t="shared" si="36"/>
        <v>806.75909716396939</v>
      </c>
      <c r="L96" s="589"/>
      <c r="M96" s="185">
        <f>RANK(K96, K$91:$K$127)</f>
        <v>14</v>
      </c>
      <c r="N96" s="600"/>
      <c r="O96" s="590"/>
      <c r="P96" s="187">
        <v>4</v>
      </c>
      <c r="Q96" s="187">
        <v>3223.9506743701636</v>
      </c>
      <c r="R96" s="184">
        <f t="shared" si="37"/>
        <v>805.9876685925409</v>
      </c>
      <c r="S96" s="181">
        <f t="shared" si="38"/>
        <v>14</v>
      </c>
      <c r="T96" s="587"/>
      <c r="U96" s="187">
        <v>4</v>
      </c>
      <c r="V96" s="187">
        <v>3225.0306743701631</v>
      </c>
      <c r="W96" s="184">
        <f t="shared" si="34"/>
        <v>806.25766859254077</v>
      </c>
      <c r="X96" s="181">
        <f t="shared" si="39"/>
        <v>14</v>
      </c>
      <c r="Y96" s="587"/>
      <c r="Z96" s="187">
        <v>4</v>
      </c>
      <c r="AA96" s="187">
        <v>3225.3906743701632</v>
      </c>
      <c r="AB96" s="184">
        <f t="shared" si="40"/>
        <v>806.3476685925408</v>
      </c>
      <c r="AC96" s="181">
        <f t="shared" si="41"/>
        <v>14</v>
      </c>
      <c r="AD96" s="587"/>
      <c r="AE96" s="187">
        <v>4</v>
      </c>
      <c r="AF96" s="187">
        <v>3226.4706743701627</v>
      </c>
      <c r="AG96" s="184">
        <f t="shared" si="42"/>
        <v>806.61766859254067</v>
      </c>
      <c r="AH96" s="181">
        <f t="shared" si="43"/>
        <v>15</v>
      </c>
      <c r="AI96" s="587"/>
      <c r="AJ96" s="187">
        <v>4</v>
      </c>
      <c r="AK96" s="187">
        <v>3227.9106743701632</v>
      </c>
      <c r="AL96" s="184">
        <f t="shared" si="44"/>
        <v>806.97766859254079</v>
      </c>
      <c r="AM96" s="181">
        <f t="shared" si="45"/>
        <v>14</v>
      </c>
      <c r="AN96" s="587"/>
      <c r="AO96" s="187">
        <v>4</v>
      </c>
      <c r="AP96" s="187">
        <v>3230.0706743701635</v>
      </c>
      <c r="AQ96" s="184">
        <f t="shared" si="46"/>
        <v>807.51766859254087</v>
      </c>
      <c r="AR96" s="181">
        <f t="shared" si="47"/>
        <v>14</v>
      </c>
      <c r="AS96" s="587"/>
      <c r="AT96" s="187">
        <v>4</v>
      </c>
      <c r="AU96" s="187">
        <v>3230.4306743701636</v>
      </c>
      <c r="AV96" s="184">
        <f t="shared" si="48"/>
        <v>807.6076685925409</v>
      </c>
      <c r="AW96" s="181">
        <f t="shared" si="49"/>
        <v>14</v>
      </c>
      <c r="AX96" s="587"/>
    </row>
    <row r="97" spans="2:50" ht="14.25" customHeight="1">
      <c r="B97" s="586"/>
      <c r="C97" s="179">
        <v>7</v>
      </c>
      <c r="D97" s="182" t="s">
        <v>368</v>
      </c>
      <c r="E97" s="183">
        <v>3</v>
      </c>
      <c r="F97" s="179">
        <v>3600</v>
      </c>
      <c r="G97" s="184">
        <f t="shared" si="35"/>
        <v>1200</v>
      </c>
      <c r="H97" s="588"/>
      <c r="I97" s="185">
        <f t="shared" si="36"/>
        <v>3</v>
      </c>
      <c r="J97" s="185">
        <f t="shared" si="36"/>
        <v>3223.4589502372592</v>
      </c>
      <c r="K97" s="186">
        <f t="shared" si="36"/>
        <v>1074.4863167457531</v>
      </c>
      <c r="L97" s="589"/>
      <c r="M97" s="185">
        <f>RANK(K97, K$91:$K$127)</f>
        <v>7</v>
      </c>
      <c r="N97" s="600"/>
      <c r="O97" s="590"/>
      <c r="P97" s="187">
        <v>3</v>
      </c>
      <c r="Q97" s="187">
        <v>3219.6018073801165</v>
      </c>
      <c r="R97" s="184">
        <f t="shared" si="37"/>
        <v>1073.2006024600389</v>
      </c>
      <c r="S97" s="181">
        <f t="shared" si="38"/>
        <v>7</v>
      </c>
      <c r="T97" s="587"/>
      <c r="U97" s="187">
        <v>3</v>
      </c>
      <c r="V97" s="187">
        <v>3221.0418073801166</v>
      </c>
      <c r="W97" s="184">
        <f t="shared" si="34"/>
        <v>1073.6806024600389</v>
      </c>
      <c r="X97" s="181">
        <f t="shared" si="39"/>
        <v>7</v>
      </c>
      <c r="Y97" s="587"/>
      <c r="Z97" s="187">
        <v>3</v>
      </c>
      <c r="AA97" s="187">
        <v>3222.1218073801169</v>
      </c>
      <c r="AB97" s="184">
        <f t="shared" si="40"/>
        <v>1074.0406024600391</v>
      </c>
      <c r="AC97" s="181">
        <f t="shared" si="41"/>
        <v>7</v>
      </c>
      <c r="AD97" s="587"/>
      <c r="AE97" s="187">
        <v>3</v>
      </c>
      <c r="AF97" s="187">
        <v>3223.9218073801167</v>
      </c>
      <c r="AG97" s="184">
        <f t="shared" si="42"/>
        <v>1074.640602460039</v>
      </c>
      <c r="AH97" s="181">
        <f t="shared" si="43"/>
        <v>6</v>
      </c>
      <c r="AI97" s="587"/>
      <c r="AJ97" s="187">
        <v>3</v>
      </c>
      <c r="AK97" s="187">
        <v>3223.9218073801167</v>
      </c>
      <c r="AL97" s="184">
        <f t="shared" si="44"/>
        <v>1074.640602460039</v>
      </c>
      <c r="AM97" s="181">
        <f t="shared" si="45"/>
        <v>7</v>
      </c>
      <c r="AN97" s="587"/>
      <c r="AO97" s="187">
        <v>3</v>
      </c>
      <c r="AP97" s="187">
        <v>3225.7218073801164</v>
      </c>
      <c r="AQ97" s="184">
        <f t="shared" si="46"/>
        <v>1075.2406024600389</v>
      </c>
      <c r="AR97" s="181">
        <f t="shared" si="47"/>
        <v>6</v>
      </c>
      <c r="AS97" s="587"/>
      <c r="AT97" s="187">
        <v>3</v>
      </c>
      <c r="AU97" s="187">
        <v>3227.8818073801167</v>
      </c>
      <c r="AV97" s="184">
        <f t="shared" si="48"/>
        <v>1075.9606024600389</v>
      </c>
      <c r="AW97" s="181">
        <f t="shared" si="49"/>
        <v>6</v>
      </c>
      <c r="AX97" s="587"/>
    </row>
    <row r="98" spans="2:50" ht="14.25" customHeight="1">
      <c r="B98" s="586"/>
      <c r="C98" s="179">
        <v>8</v>
      </c>
      <c r="D98" s="182" t="s">
        <v>367</v>
      </c>
      <c r="E98" s="183">
        <v>5</v>
      </c>
      <c r="F98" s="179">
        <v>3600</v>
      </c>
      <c r="G98" s="184">
        <f t="shared" si="35"/>
        <v>720</v>
      </c>
      <c r="H98" s="588"/>
      <c r="I98" s="185">
        <f t="shared" si="36"/>
        <v>5</v>
      </c>
      <c r="J98" s="185">
        <f t="shared" si="36"/>
        <v>3223.9095508629143</v>
      </c>
      <c r="K98" s="186">
        <f t="shared" si="36"/>
        <v>644.78191017258291</v>
      </c>
      <c r="L98" s="589"/>
      <c r="M98" s="185">
        <f>RANK(K98, K$91:$K$127)</f>
        <v>28</v>
      </c>
      <c r="N98" s="600"/>
      <c r="O98" s="590"/>
      <c r="P98" s="187">
        <v>5</v>
      </c>
      <c r="Q98" s="187">
        <v>3221.3895508629143</v>
      </c>
      <c r="R98" s="184">
        <f t="shared" si="37"/>
        <v>644.27791017258289</v>
      </c>
      <c r="S98" s="181">
        <f t="shared" si="38"/>
        <v>27</v>
      </c>
      <c r="T98" s="587"/>
      <c r="U98" s="187">
        <v>5</v>
      </c>
      <c r="V98" s="187">
        <v>3222.4695508629143</v>
      </c>
      <c r="W98" s="184">
        <f t="shared" si="34"/>
        <v>644.4939101725829</v>
      </c>
      <c r="X98" s="181">
        <f t="shared" si="39"/>
        <v>28</v>
      </c>
      <c r="Y98" s="587"/>
      <c r="Z98" s="187">
        <v>5</v>
      </c>
      <c r="AA98" s="187">
        <v>3223.1895508629145</v>
      </c>
      <c r="AB98" s="184">
        <f t="shared" si="40"/>
        <v>644.63791017258291</v>
      </c>
      <c r="AC98" s="181">
        <f t="shared" si="41"/>
        <v>28</v>
      </c>
      <c r="AD98" s="587"/>
      <c r="AE98" s="187">
        <v>5</v>
      </c>
      <c r="AF98" s="187">
        <v>3223.9095508629143</v>
      </c>
      <c r="AG98" s="184">
        <f t="shared" si="42"/>
        <v>644.78191017258291</v>
      </c>
      <c r="AH98" s="181">
        <f t="shared" si="43"/>
        <v>28</v>
      </c>
      <c r="AI98" s="587"/>
      <c r="AJ98" s="187">
        <v>5</v>
      </c>
      <c r="AK98" s="187">
        <v>3224.6295508629146</v>
      </c>
      <c r="AL98" s="184">
        <f t="shared" si="44"/>
        <v>644.92591017258292</v>
      </c>
      <c r="AM98" s="181">
        <f t="shared" si="45"/>
        <v>28</v>
      </c>
      <c r="AN98" s="587"/>
      <c r="AO98" s="187">
        <v>5</v>
      </c>
      <c r="AP98" s="187">
        <v>3225.7095508629145</v>
      </c>
      <c r="AQ98" s="184">
        <f t="shared" si="46"/>
        <v>645.14191017258293</v>
      </c>
      <c r="AR98" s="181">
        <f t="shared" si="47"/>
        <v>28</v>
      </c>
      <c r="AS98" s="587"/>
      <c r="AT98" s="187">
        <v>5</v>
      </c>
      <c r="AU98" s="187">
        <v>3226.0695508629146</v>
      </c>
      <c r="AV98" s="184">
        <f t="shared" si="48"/>
        <v>645.21391017258293</v>
      </c>
      <c r="AW98" s="181">
        <f t="shared" si="49"/>
        <v>28</v>
      </c>
      <c r="AX98" s="587"/>
    </row>
    <row r="99" spans="2:50" ht="14.25" customHeight="1">
      <c r="B99" s="586"/>
      <c r="C99" s="179">
        <v>9</v>
      </c>
      <c r="D99" s="182" t="s">
        <v>365</v>
      </c>
      <c r="E99" s="183">
        <v>5</v>
      </c>
      <c r="F99" s="179">
        <v>3600</v>
      </c>
      <c r="G99" s="184">
        <f t="shared" si="35"/>
        <v>720</v>
      </c>
      <c r="H99" s="588"/>
      <c r="I99" s="185">
        <f t="shared" si="36"/>
        <v>5</v>
      </c>
      <c r="J99" s="185">
        <f t="shared" si="36"/>
        <v>3224.6287309708518</v>
      </c>
      <c r="K99" s="186">
        <f t="shared" si="36"/>
        <v>644.92574619417042</v>
      </c>
      <c r="L99" s="589"/>
      <c r="M99" s="185">
        <f>RANK(K99, K$91:$K$127)</f>
        <v>27</v>
      </c>
      <c r="N99" s="600"/>
      <c r="O99" s="590"/>
      <c r="P99" s="187">
        <v>5</v>
      </c>
      <c r="Q99" s="187">
        <v>3222.8801595422806</v>
      </c>
      <c r="R99" s="184">
        <f t="shared" si="37"/>
        <v>644.57603190845612</v>
      </c>
      <c r="S99" s="181">
        <f t="shared" si="38"/>
        <v>23</v>
      </c>
      <c r="T99" s="587"/>
      <c r="U99" s="187">
        <v>5</v>
      </c>
      <c r="V99" s="187">
        <v>3223.2401595422803</v>
      </c>
      <c r="W99" s="184">
        <f t="shared" si="34"/>
        <v>644.64803190845601</v>
      </c>
      <c r="X99" s="181">
        <f t="shared" si="39"/>
        <v>24</v>
      </c>
      <c r="Y99" s="587"/>
      <c r="Z99" s="187">
        <v>5</v>
      </c>
      <c r="AA99" s="187">
        <v>3223.2401595422798</v>
      </c>
      <c r="AB99" s="184">
        <f t="shared" si="40"/>
        <v>644.64803190845601</v>
      </c>
      <c r="AC99" s="181">
        <f t="shared" si="41"/>
        <v>27</v>
      </c>
      <c r="AD99" s="587"/>
      <c r="AE99" s="187">
        <v>5</v>
      </c>
      <c r="AF99" s="187">
        <v>3224.6801595422803</v>
      </c>
      <c r="AG99" s="184">
        <f t="shared" si="42"/>
        <v>644.93603190845602</v>
      </c>
      <c r="AH99" s="181">
        <f t="shared" si="43"/>
        <v>26</v>
      </c>
      <c r="AI99" s="587"/>
      <c r="AJ99" s="187">
        <v>5</v>
      </c>
      <c r="AK99" s="187">
        <v>3224.6801595422803</v>
      </c>
      <c r="AL99" s="184">
        <f t="shared" si="44"/>
        <v>644.93603190845602</v>
      </c>
      <c r="AM99" s="181">
        <f t="shared" si="45"/>
        <v>27</v>
      </c>
      <c r="AN99" s="587"/>
      <c r="AO99" s="187">
        <v>5</v>
      </c>
      <c r="AP99" s="187">
        <v>3226.1201595422804</v>
      </c>
      <c r="AQ99" s="184">
        <f t="shared" si="46"/>
        <v>645.22403190845603</v>
      </c>
      <c r="AR99" s="181">
        <f t="shared" si="47"/>
        <v>27</v>
      </c>
      <c r="AS99" s="587"/>
      <c r="AT99" s="187">
        <v>5</v>
      </c>
      <c r="AU99" s="187">
        <v>3227.5601595422804</v>
      </c>
      <c r="AV99" s="184">
        <f t="shared" si="48"/>
        <v>645.51203190845604</v>
      </c>
      <c r="AW99" s="181">
        <f t="shared" si="49"/>
        <v>27</v>
      </c>
      <c r="AX99" s="587"/>
    </row>
    <row r="100" spans="2:50" ht="14.25" customHeight="1">
      <c r="B100" s="586"/>
      <c r="C100" s="179">
        <v>10</v>
      </c>
      <c r="D100" s="182" t="s">
        <v>211</v>
      </c>
      <c r="E100" s="183">
        <v>3</v>
      </c>
      <c r="F100" s="179">
        <v>3000</v>
      </c>
      <c r="G100" s="184">
        <f t="shared" si="35"/>
        <v>1000</v>
      </c>
      <c r="H100" s="588"/>
      <c r="I100" s="185">
        <f t="shared" si="36"/>
        <v>3</v>
      </c>
      <c r="J100" s="185">
        <f t="shared" si="36"/>
        <v>2749.8875431881711</v>
      </c>
      <c r="K100" s="186">
        <f t="shared" si="36"/>
        <v>916.62918106272377</v>
      </c>
      <c r="L100" s="589"/>
      <c r="M100" s="185">
        <f>RANK(K100, K$91:$K$127)</f>
        <v>12</v>
      </c>
      <c r="N100" s="600"/>
      <c r="O100" s="590"/>
      <c r="P100" s="187">
        <v>3</v>
      </c>
      <c r="Q100" s="187">
        <v>2747.3161146167417</v>
      </c>
      <c r="R100" s="184">
        <f t="shared" si="37"/>
        <v>915.77203820558054</v>
      </c>
      <c r="S100" s="181">
        <f t="shared" si="38"/>
        <v>12</v>
      </c>
      <c r="T100" s="587"/>
      <c r="U100" s="187">
        <v>3</v>
      </c>
      <c r="V100" s="187">
        <v>2747.3161146167422</v>
      </c>
      <c r="W100" s="184">
        <f t="shared" si="34"/>
        <v>915.77203820558077</v>
      </c>
      <c r="X100" s="181">
        <f t="shared" si="39"/>
        <v>12</v>
      </c>
      <c r="Y100" s="587"/>
      <c r="Z100" s="187">
        <v>3</v>
      </c>
      <c r="AA100" s="187">
        <v>2748.2161146167427</v>
      </c>
      <c r="AB100" s="184">
        <f t="shared" si="40"/>
        <v>916.07203820558095</v>
      </c>
      <c r="AC100" s="181">
        <f t="shared" si="41"/>
        <v>12</v>
      </c>
      <c r="AD100" s="587"/>
      <c r="AE100" s="187">
        <v>3</v>
      </c>
      <c r="AF100" s="187">
        <v>2749.7161146167427</v>
      </c>
      <c r="AG100" s="184">
        <f t="shared" si="42"/>
        <v>916.57203820558095</v>
      </c>
      <c r="AH100" s="181">
        <f t="shared" si="43"/>
        <v>12</v>
      </c>
      <c r="AI100" s="587"/>
      <c r="AJ100" s="187">
        <v>3</v>
      </c>
      <c r="AK100" s="187">
        <v>2750.916114616743</v>
      </c>
      <c r="AL100" s="184">
        <f t="shared" si="44"/>
        <v>916.97203820558104</v>
      </c>
      <c r="AM100" s="181">
        <f t="shared" si="45"/>
        <v>13</v>
      </c>
      <c r="AN100" s="587"/>
      <c r="AO100" s="187">
        <v>3</v>
      </c>
      <c r="AP100" s="187">
        <v>2752.416114616743</v>
      </c>
      <c r="AQ100" s="184">
        <f t="shared" si="46"/>
        <v>917.47203820558104</v>
      </c>
      <c r="AR100" s="181">
        <f t="shared" si="47"/>
        <v>13</v>
      </c>
      <c r="AS100" s="587"/>
      <c r="AT100" s="187">
        <v>3</v>
      </c>
      <c r="AU100" s="187">
        <v>2753.3161146167431</v>
      </c>
      <c r="AV100" s="184">
        <f t="shared" si="48"/>
        <v>917.772038205581</v>
      </c>
      <c r="AW100" s="181">
        <f t="shared" si="49"/>
        <v>13</v>
      </c>
      <c r="AX100" s="587"/>
    </row>
    <row r="101" spans="2:50" ht="14.25" customHeight="1">
      <c r="B101" s="586"/>
      <c r="C101" s="179">
        <v>11</v>
      </c>
      <c r="D101" s="182" t="s">
        <v>416</v>
      </c>
      <c r="E101" s="183">
        <v>12</v>
      </c>
      <c r="F101" s="179">
        <v>3600</v>
      </c>
      <c r="G101" s="184">
        <f t="shared" si="35"/>
        <v>300</v>
      </c>
      <c r="H101" s="588"/>
      <c r="I101" s="185">
        <f t="shared" si="36"/>
        <v>12</v>
      </c>
      <c r="J101" s="185">
        <f t="shared" si="36"/>
        <v>3121.239428269439</v>
      </c>
      <c r="K101" s="186">
        <f t="shared" si="36"/>
        <v>260.1032856891199</v>
      </c>
      <c r="L101" s="589"/>
      <c r="M101" s="185">
        <f>RANK(K101, K$91:$K$127)</f>
        <v>33</v>
      </c>
      <c r="N101" s="600"/>
      <c r="O101" s="590"/>
      <c r="P101" s="187">
        <v>12</v>
      </c>
      <c r="Q101" s="187">
        <v>3120.0879833464292</v>
      </c>
      <c r="R101" s="184">
        <f t="shared" si="37"/>
        <v>260.00733194553578</v>
      </c>
      <c r="S101" s="181">
        <f t="shared" si="38"/>
        <v>34</v>
      </c>
      <c r="T101" s="587"/>
      <c r="U101" s="187">
        <v>12</v>
      </c>
      <c r="V101" s="187">
        <v>3119.0079833464297</v>
      </c>
      <c r="W101" s="184">
        <f t="shared" si="34"/>
        <v>259.91733194553581</v>
      </c>
      <c r="X101" s="181">
        <f t="shared" si="39"/>
        <v>34</v>
      </c>
      <c r="Y101" s="587"/>
      <c r="Z101" s="187">
        <v>12</v>
      </c>
      <c r="AA101" s="187">
        <v>3121.8152017875232</v>
      </c>
      <c r="AB101" s="184">
        <f t="shared" si="40"/>
        <v>260.15126681562691</v>
      </c>
      <c r="AC101" s="181">
        <f t="shared" si="41"/>
        <v>33</v>
      </c>
      <c r="AD101" s="587"/>
      <c r="AE101" s="187">
        <v>12</v>
      </c>
      <c r="AF101" s="187">
        <v>3121.4552017875235</v>
      </c>
      <c r="AG101" s="184">
        <f t="shared" si="42"/>
        <v>260.12126681562694</v>
      </c>
      <c r="AH101" s="181">
        <f t="shared" si="43"/>
        <v>33</v>
      </c>
      <c r="AI101" s="587"/>
      <c r="AJ101" s="187">
        <v>12</v>
      </c>
      <c r="AK101" s="187">
        <v>3121.8152017875232</v>
      </c>
      <c r="AL101" s="184">
        <f t="shared" si="44"/>
        <v>260.15126681562691</v>
      </c>
      <c r="AM101" s="181">
        <f t="shared" si="45"/>
        <v>34</v>
      </c>
      <c r="AN101" s="587"/>
      <c r="AO101" s="187">
        <v>12</v>
      </c>
      <c r="AP101" s="187">
        <v>3122.0672129153199</v>
      </c>
      <c r="AQ101" s="184">
        <f t="shared" si="46"/>
        <v>260.17226774294335</v>
      </c>
      <c r="AR101" s="181">
        <f t="shared" si="47"/>
        <v>33</v>
      </c>
      <c r="AS101" s="587"/>
      <c r="AT101" s="187">
        <v>12</v>
      </c>
      <c r="AU101" s="187">
        <v>3122.4272129153201</v>
      </c>
      <c r="AV101" s="184">
        <f t="shared" si="48"/>
        <v>260.20226774294332</v>
      </c>
      <c r="AW101" s="181">
        <f t="shared" si="49"/>
        <v>33</v>
      </c>
      <c r="AX101" s="587"/>
    </row>
    <row r="102" spans="2:50" ht="14.25" customHeight="1">
      <c r="B102" s="586"/>
      <c r="C102" s="179">
        <v>12</v>
      </c>
      <c r="D102" s="182" t="s">
        <v>432</v>
      </c>
      <c r="E102" s="183">
        <v>3</v>
      </c>
      <c r="F102" s="179">
        <v>3300</v>
      </c>
      <c r="G102" s="184">
        <f t="shared" si="35"/>
        <v>1100</v>
      </c>
      <c r="H102" s="588"/>
      <c r="I102" s="185">
        <f t="shared" si="36"/>
        <v>3</v>
      </c>
      <c r="J102" s="185">
        <f t="shared" si="36"/>
        <v>3020.1763380363554</v>
      </c>
      <c r="K102" s="186">
        <f t="shared" si="36"/>
        <v>1006.7254460121186</v>
      </c>
      <c r="L102" s="589"/>
      <c r="M102" s="185">
        <f>RANK(K102, K$91:$K$127)</f>
        <v>10</v>
      </c>
      <c r="N102" s="600"/>
      <c r="O102" s="590"/>
      <c r="P102" s="187">
        <v>3</v>
      </c>
      <c r="Q102" s="187">
        <v>3016.0634405697474</v>
      </c>
      <c r="R102" s="184">
        <f t="shared" si="37"/>
        <v>1005.3544801899158</v>
      </c>
      <c r="S102" s="181">
        <f t="shared" si="38"/>
        <v>10</v>
      </c>
      <c r="T102" s="587"/>
      <c r="U102" s="187">
        <v>3</v>
      </c>
      <c r="V102" s="187">
        <v>3018.6618209474573</v>
      </c>
      <c r="W102" s="184">
        <f t="shared" si="34"/>
        <v>1006.2206069824857</v>
      </c>
      <c r="X102" s="181">
        <f t="shared" si="39"/>
        <v>10</v>
      </c>
      <c r="Y102" s="587"/>
      <c r="Z102" s="187">
        <v>3</v>
      </c>
      <c r="AA102" s="187">
        <v>3019.3218209474571</v>
      </c>
      <c r="AB102" s="184">
        <f t="shared" si="40"/>
        <v>1006.4406069824857</v>
      </c>
      <c r="AC102" s="181">
        <f t="shared" si="41"/>
        <v>10</v>
      </c>
      <c r="AD102" s="587"/>
      <c r="AE102" s="187">
        <v>3</v>
      </c>
      <c r="AF102" s="187">
        <v>3020.3118209474574</v>
      </c>
      <c r="AG102" s="184">
        <f t="shared" si="42"/>
        <v>1006.7706069824858</v>
      </c>
      <c r="AH102" s="181">
        <f t="shared" si="43"/>
        <v>10</v>
      </c>
      <c r="AI102" s="587"/>
      <c r="AJ102" s="187">
        <v>3</v>
      </c>
      <c r="AK102" s="187">
        <v>3021.3018209474571</v>
      </c>
      <c r="AL102" s="184">
        <f t="shared" si="44"/>
        <v>1007.1006069824857</v>
      </c>
      <c r="AM102" s="181">
        <f t="shared" si="45"/>
        <v>10</v>
      </c>
      <c r="AN102" s="587"/>
      <c r="AO102" s="187">
        <v>3</v>
      </c>
      <c r="AP102" s="187">
        <v>3022.6218209474573</v>
      </c>
      <c r="AQ102" s="184">
        <f t="shared" si="46"/>
        <v>1007.5406069824858</v>
      </c>
      <c r="AR102" s="181">
        <f t="shared" si="47"/>
        <v>10</v>
      </c>
      <c r="AS102" s="587"/>
      <c r="AT102" s="187">
        <v>3</v>
      </c>
      <c r="AU102" s="187">
        <v>3022.9518209474572</v>
      </c>
      <c r="AV102" s="184">
        <f t="shared" si="48"/>
        <v>1007.6506069824858</v>
      </c>
      <c r="AW102" s="181">
        <f t="shared" si="49"/>
        <v>10</v>
      </c>
      <c r="AX102" s="587"/>
    </row>
    <row r="103" spans="2:50" ht="14.25" customHeight="1">
      <c r="B103" s="586"/>
      <c r="C103" s="179">
        <v>13</v>
      </c>
      <c r="D103" s="182" t="s">
        <v>528</v>
      </c>
      <c r="E103" s="183">
        <v>3</v>
      </c>
      <c r="F103" s="179">
        <v>3600</v>
      </c>
      <c r="G103" s="184">
        <f t="shared" si="35"/>
        <v>1200</v>
      </c>
      <c r="H103" s="588"/>
      <c r="I103" s="185">
        <f t="shared" si="36"/>
        <v>3</v>
      </c>
      <c r="J103" s="185">
        <f t="shared" si="36"/>
        <v>3224.8897864308819</v>
      </c>
      <c r="K103" s="186">
        <f t="shared" si="36"/>
        <v>1074.9632621436272</v>
      </c>
      <c r="L103" s="589"/>
      <c r="M103" s="185">
        <f>RANK(K103, K$91:$K$127)</f>
        <v>5</v>
      </c>
      <c r="N103" s="600"/>
      <c r="O103" s="590"/>
      <c r="P103" s="187">
        <v>3</v>
      </c>
      <c r="Q103" s="187">
        <v>3222.3183578594526</v>
      </c>
      <c r="R103" s="184">
        <f t="shared" si="37"/>
        <v>1074.1061192864843</v>
      </c>
      <c r="S103" s="181">
        <f t="shared" si="38"/>
        <v>4</v>
      </c>
      <c r="T103" s="587"/>
      <c r="U103" s="187">
        <v>3</v>
      </c>
      <c r="V103" s="187">
        <v>3222.6783578594527</v>
      </c>
      <c r="W103" s="184">
        <f t="shared" si="34"/>
        <v>1074.2261192864842</v>
      </c>
      <c r="X103" s="181">
        <f t="shared" si="39"/>
        <v>6</v>
      </c>
      <c r="Y103" s="587"/>
      <c r="Z103" s="187">
        <v>3</v>
      </c>
      <c r="AA103" s="187">
        <v>3223.7583578594531</v>
      </c>
      <c r="AB103" s="184">
        <f t="shared" si="40"/>
        <v>1074.5861192864843</v>
      </c>
      <c r="AC103" s="181">
        <f t="shared" si="41"/>
        <v>5</v>
      </c>
      <c r="AD103" s="587"/>
      <c r="AE103" s="187">
        <v>3</v>
      </c>
      <c r="AF103" s="187">
        <v>3224.1183578594532</v>
      </c>
      <c r="AG103" s="184">
        <f t="shared" si="42"/>
        <v>1074.7061192864844</v>
      </c>
      <c r="AH103" s="181">
        <f t="shared" si="43"/>
        <v>5</v>
      </c>
      <c r="AI103" s="587"/>
      <c r="AJ103" s="187">
        <v>3</v>
      </c>
      <c r="AK103" s="187">
        <v>3225.1983578594532</v>
      </c>
      <c r="AL103" s="184">
        <f t="shared" si="44"/>
        <v>1075.0661192864843</v>
      </c>
      <c r="AM103" s="181">
        <f t="shared" si="45"/>
        <v>5</v>
      </c>
      <c r="AN103" s="587"/>
      <c r="AO103" s="187">
        <v>3</v>
      </c>
      <c r="AP103" s="187">
        <v>3226.9983578594529</v>
      </c>
      <c r="AQ103" s="184">
        <f t="shared" si="46"/>
        <v>1075.6661192864842</v>
      </c>
      <c r="AR103" s="181">
        <f t="shared" si="47"/>
        <v>5</v>
      </c>
      <c r="AS103" s="587"/>
      <c r="AT103" s="187">
        <v>3</v>
      </c>
      <c r="AU103" s="187">
        <v>3229.1583578594527</v>
      </c>
      <c r="AV103" s="184">
        <f t="shared" si="48"/>
        <v>1076.3861192864842</v>
      </c>
      <c r="AW103" s="181">
        <f t="shared" si="49"/>
        <v>3</v>
      </c>
      <c r="AX103" s="587"/>
    </row>
    <row r="104" spans="2:50" ht="14.25" customHeight="1">
      <c r="B104" s="586"/>
      <c r="C104" s="179">
        <v>14</v>
      </c>
      <c r="D104" s="182" t="s">
        <v>521</v>
      </c>
      <c r="E104" s="183">
        <v>3</v>
      </c>
      <c r="F104" s="179">
        <v>3300</v>
      </c>
      <c r="G104" s="184">
        <f t="shared" si="35"/>
        <v>1100</v>
      </c>
      <c r="H104" s="588"/>
      <c r="I104" s="185">
        <f t="shared" si="36"/>
        <v>3</v>
      </c>
      <c r="J104" s="185">
        <f t="shared" si="36"/>
        <v>3026.3060999974355</v>
      </c>
      <c r="K104" s="186">
        <f t="shared" si="36"/>
        <v>1008.7686999991453</v>
      </c>
      <c r="L104" s="589"/>
      <c r="M104" s="185">
        <f>RANK(K104, K$91:$K$127)</f>
        <v>9</v>
      </c>
      <c r="N104" s="600"/>
      <c r="O104" s="590"/>
      <c r="P104" s="187">
        <v>3</v>
      </c>
      <c r="Q104" s="187">
        <v>3024.0583646395125</v>
      </c>
      <c r="R104" s="184">
        <f t="shared" si="37"/>
        <v>1008.0194548798376</v>
      </c>
      <c r="S104" s="181">
        <f t="shared" si="38"/>
        <v>9</v>
      </c>
      <c r="T104" s="587"/>
      <c r="U104" s="187">
        <v>3</v>
      </c>
      <c r="V104" s="187">
        <v>3025.7083646395126</v>
      </c>
      <c r="W104" s="184">
        <f t="shared" si="34"/>
        <v>1008.5694548798375</v>
      </c>
      <c r="X104" s="181">
        <f t="shared" si="39"/>
        <v>9</v>
      </c>
      <c r="Y104" s="587"/>
      <c r="Z104" s="187">
        <v>3</v>
      </c>
      <c r="AA104" s="187">
        <v>3026.698364639512</v>
      </c>
      <c r="AB104" s="184">
        <f t="shared" si="40"/>
        <v>1008.8994548798373</v>
      </c>
      <c r="AC104" s="181">
        <f t="shared" si="41"/>
        <v>9</v>
      </c>
      <c r="AD104" s="587"/>
      <c r="AE104" s="187">
        <v>3</v>
      </c>
      <c r="AF104" s="187">
        <v>3027.3583646395123</v>
      </c>
      <c r="AG104" s="184">
        <f t="shared" si="42"/>
        <v>1009.1194548798375</v>
      </c>
      <c r="AH104" s="181">
        <f t="shared" si="43"/>
        <v>9</v>
      </c>
      <c r="AI104" s="587"/>
      <c r="AJ104" s="187">
        <v>3</v>
      </c>
      <c r="AK104" s="187">
        <v>3025.5630804746661</v>
      </c>
      <c r="AL104" s="184">
        <f t="shared" si="44"/>
        <v>1008.5210268248887</v>
      </c>
      <c r="AM104" s="181">
        <f t="shared" si="45"/>
        <v>9</v>
      </c>
      <c r="AN104" s="587"/>
      <c r="AO104" s="187">
        <v>3</v>
      </c>
      <c r="AP104" s="187">
        <v>3026.5530804746663</v>
      </c>
      <c r="AQ104" s="184">
        <f t="shared" si="46"/>
        <v>1008.8510268248888</v>
      </c>
      <c r="AR104" s="181">
        <f t="shared" si="47"/>
        <v>9</v>
      </c>
      <c r="AS104" s="587"/>
      <c r="AT104" s="187">
        <v>3</v>
      </c>
      <c r="AU104" s="187">
        <v>3028.203080474666</v>
      </c>
      <c r="AV104" s="184">
        <f t="shared" si="48"/>
        <v>1009.4010268248886</v>
      </c>
      <c r="AW104" s="181">
        <f t="shared" si="49"/>
        <v>9</v>
      </c>
      <c r="AX104" s="587"/>
    </row>
    <row r="105" spans="2:50" ht="14.25" customHeight="1">
      <c r="B105" s="586"/>
      <c r="C105" s="179">
        <v>15</v>
      </c>
      <c r="D105" s="182" t="s">
        <v>593</v>
      </c>
      <c r="E105" s="183">
        <v>4</v>
      </c>
      <c r="F105" s="179">
        <v>3300</v>
      </c>
      <c r="G105" s="184">
        <f t="shared" si="35"/>
        <v>825</v>
      </c>
      <c r="H105" s="588"/>
      <c r="I105" s="185">
        <f t="shared" si="36"/>
        <v>4</v>
      </c>
      <c r="J105" s="185">
        <f t="shared" si="36"/>
        <v>3025.3238431001705</v>
      </c>
      <c r="K105" s="186">
        <f t="shared" si="36"/>
        <v>756.33096077504263</v>
      </c>
      <c r="L105" s="589"/>
      <c r="M105" s="185">
        <f>RANK(K105, K$91:$K$127)</f>
        <v>16</v>
      </c>
      <c r="N105" s="600"/>
      <c r="O105" s="590"/>
      <c r="P105" s="187">
        <v>4</v>
      </c>
      <c r="Q105" s="187">
        <v>3023.0609859573146</v>
      </c>
      <c r="R105" s="184">
        <f t="shared" si="37"/>
        <v>755.76524648932866</v>
      </c>
      <c r="S105" s="181">
        <f t="shared" si="38"/>
        <v>16</v>
      </c>
      <c r="T105" s="587"/>
      <c r="U105" s="187">
        <v>4</v>
      </c>
      <c r="V105" s="187">
        <v>3023.0609859573146</v>
      </c>
      <c r="W105" s="184">
        <f t="shared" si="34"/>
        <v>755.76524648932866</v>
      </c>
      <c r="X105" s="181">
        <f t="shared" si="39"/>
        <v>16</v>
      </c>
      <c r="Y105" s="587"/>
      <c r="Z105" s="187">
        <v>4</v>
      </c>
      <c r="AA105" s="187">
        <v>3024.7109859573138</v>
      </c>
      <c r="AB105" s="184">
        <f t="shared" si="40"/>
        <v>756.17774648932846</v>
      </c>
      <c r="AC105" s="181">
        <f t="shared" si="41"/>
        <v>16</v>
      </c>
      <c r="AD105" s="587"/>
      <c r="AE105" s="187">
        <v>4</v>
      </c>
      <c r="AF105" s="187">
        <v>3025.7009859573136</v>
      </c>
      <c r="AG105" s="184">
        <f t="shared" si="42"/>
        <v>756.4252464893284</v>
      </c>
      <c r="AH105" s="181">
        <f t="shared" si="43"/>
        <v>16</v>
      </c>
      <c r="AI105" s="587"/>
      <c r="AJ105" s="187">
        <v>4</v>
      </c>
      <c r="AK105" s="187">
        <v>3026.3609859573135</v>
      </c>
      <c r="AL105" s="184">
        <f t="shared" si="44"/>
        <v>756.59024648932836</v>
      </c>
      <c r="AM105" s="181">
        <f t="shared" si="45"/>
        <v>16</v>
      </c>
      <c r="AN105" s="587"/>
      <c r="AO105" s="187">
        <v>4</v>
      </c>
      <c r="AP105" s="187">
        <v>3026.3609859573135</v>
      </c>
      <c r="AQ105" s="184">
        <f t="shared" si="46"/>
        <v>756.59024648932836</v>
      </c>
      <c r="AR105" s="181">
        <f t="shared" si="47"/>
        <v>16</v>
      </c>
      <c r="AS105" s="587"/>
      <c r="AT105" s="187">
        <v>4</v>
      </c>
      <c r="AU105" s="187">
        <v>3028.010985957314</v>
      </c>
      <c r="AV105" s="184">
        <f t="shared" si="48"/>
        <v>757.0027464893285</v>
      </c>
      <c r="AW105" s="181">
        <f t="shared" si="49"/>
        <v>16</v>
      </c>
      <c r="AX105" s="587"/>
    </row>
    <row r="106" spans="2:50" ht="14.25" customHeight="1">
      <c r="B106" s="586"/>
      <c r="C106" s="179">
        <v>16</v>
      </c>
      <c r="D106" s="182" t="s">
        <v>608</v>
      </c>
      <c r="E106" s="183">
        <v>5</v>
      </c>
      <c r="F106" s="179">
        <v>3600</v>
      </c>
      <c r="G106" s="184">
        <f t="shared" si="35"/>
        <v>720</v>
      </c>
      <c r="H106" s="588"/>
      <c r="I106" s="185">
        <f t="shared" si="36"/>
        <v>5</v>
      </c>
      <c r="J106" s="185">
        <f t="shared" si="36"/>
        <v>3226.5830194487339</v>
      </c>
      <c r="K106" s="186">
        <f t="shared" si="36"/>
        <v>645.31660388974672</v>
      </c>
      <c r="L106" s="589"/>
      <c r="M106" s="185">
        <f>RANK(K106, K$91:$K$127)</f>
        <v>23</v>
      </c>
      <c r="N106" s="600"/>
      <c r="O106" s="590"/>
      <c r="P106" s="187">
        <v>5</v>
      </c>
      <c r="Q106" s="187">
        <v>3222.005876591591</v>
      </c>
      <c r="R106" s="184">
        <f t="shared" si="37"/>
        <v>644.40117531831822</v>
      </c>
      <c r="S106" s="181">
        <f t="shared" si="38"/>
        <v>26</v>
      </c>
      <c r="T106" s="587"/>
      <c r="U106" s="187">
        <v>5</v>
      </c>
      <c r="V106" s="187">
        <v>3223.8058765915903</v>
      </c>
      <c r="W106" s="184">
        <f t="shared" si="34"/>
        <v>644.76117531831801</v>
      </c>
      <c r="X106" s="181">
        <f t="shared" si="39"/>
        <v>23</v>
      </c>
      <c r="Y106" s="587"/>
      <c r="Z106" s="187">
        <v>5</v>
      </c>
      <c r="AA106" s="187">
        <v>3225.2458765915899</v>
      </c>
      <c r="AB106" s="184">
        <f t="shared" si="40"/>
        <v>645.04917531831802</v>
      </c>
      <c r="AC106" s="181">
        <f t="shared" si="41"/>
        <v>23</v>
      </c>
      <c r="AD106" s="587"/>
      <c r="AE106" s="187">
        <v>5</v>
      </c>
      <c r="AF106" s="187">
        <v>3226.6858765915899</v>
      </c>
      <c r="AG106" s="184">
        <f t="shared" si="42"/>
        <v>645.33717531831803</v>
      </c>
      <c r="AH106" s="181">
        <f t="shared" si="43"/>
        <v>24</v>
      </c>
      <c r="AI106" s="587"/>
      <c r="AJ106" s="187">
        <v>5</v>
      </c>
      <c r="AK106" s="187">
        <v>3228.8458765915907</v>
      </c>
      <c r="AL106" s="184">
        <f t="shared" si="44"/>
        <v>645.76917531831816</v>
      </c>
      <c r="AM106" s="181">
        <f t="shared" si="45"/>
        <v>24</v>
      </c>
      <c r="AN106" s="587"/>
      <c r="AO106" s="187">
        <v>5</v>
      </c>
      <c r="AP106" s="187">
        <v>3229.5658765915905</v>
      </c>
      <c r="AQ106" s="184">
        <f t="shared" si="46"/>
        <v>645.91317531831805</v>
      </c>
      <c r="AR106" s="181">
        <f t="shared" si="47"/>
        <v>23</v>
      </c>
      <c r="AS106" s="587"/>
      <c r="AT106" s="187">
        <v>5</v>
      </c>
      <c r="AU106" s="187">
        <v>3229.9258765915902</v>
      </c>
      <c r="AV106" s="184">
        <f t="shared" si="48"/>
        <v>645.98517531831806</v>
      </c>
      <c r="AW106" s="181">
        <f t="shared" si="49"/>
        <v>24</v>
      </c>
      <c r="AX106" s="587"/>
    </row>
    <row r="107" spans="2:50" ht="14.25" customHeight="1">
      <c r="B107" s="586"/>
      <c r="C107" s="179">
        <v>17</v>
      </c>
      <c r="D107" s="182" t="s">
        <v>378</v>
      </c>
      <c r="E107" s="183">
        <v>5</v>
      </c>
      <c r="F107" s="179">
        <v>3600</v>
      </c>
      <c r="G107" s="184">
        <f t="shared" si="35"/>
        <v>720</v>
      </c>
      <c r="H107" s="588"/>
      <c r="I107" s="185">
        <f t="shared" si="36"/>
        <v>5</v>
      </c>
      <c r="J107" s="185">
        <f t="shared" si="36"/>
        <v>3226.4278723519924</v>
      </c>
      <c r="K107" s="186">
        <f t="shared" si="36"/>
        <v>645.28557447039839</v>
      </c>
      <c r="L107" s="589"/>
      <c r="M107" s="185">
        <f>RANK(K107, K$91:$K$127)</f>
        <v>24</v>
      </c>
      <c r="N107" s="600"/>
      <c r="O107" s="590"/>
      <c r="P107" s="187">
        <v>5</v>
      </c>
      <c r="Q107" s="187">
        <v>3222.8278723519907</v>
      </c>
      <c r="R107" s="184">
        <f t="shared" si="37"/>
        <v>644.56557447039813</v>
      </c>
      <c r="S107" s="181">
        <f t="shared" si="38"/>
        <v>24</v>
      </c>
      <c r="T107" s="587"/>
      <c r="U107" s="187">
        <v>5</v>
      </c>
      <c r="V107" s="187">
        <v>3222.8278723519916</v>
      </c>
      <c r="W107" s="184">
        <f t="shared" si="34"/>
        <v>644.56557447039836</v>
      </c>
      <c r="X107" s="181">
        <f t="shared" si="39"/>
        <v>27</v>
      </c>
      <c r="Y107" s="587"/>
      <c r="Z107" s="187">
        <v>5</v>
      </c>
      <c r="AA107" s="187">
        <v>3224.6278723519918</v>
      </c>
      <c r="AB107" s="184">
        <f t="shared" si="40"/>
        <v>644.92557447039837</v>
      </c>
      <c r="AC107" s="181">
        <f t="shared" si="41"/>
        <v>24</v>
      </c>
      <c r="AD107" s="587"/>
      <c r="AE107" s="187">
        <v>5</v>
      </c>
      <c r="AF107" s="187">
        <v>3226.7878723519925</v>
      </c>
      <c r="AG107" s="184">
        <f t="shared" si="42"/>
        <v>645.3575744703985</v>
      </c>
      <c r="AH107" s="181">
        <f t="shared" si="43"/>
        <v>23</v>
      </c>
      <c r="AI107" s="587"/>
      <c r="AJ107" s="187">
        <v>5</v>
      </c>
      <c r="AK107" s="187">
        <v>3228.9478723519924</v>
      </c>
      <c r="AL107" s="184">
        <f t="shared" si="44"/>
        <v>645.78957447039852</v>
      </c>
      <c r="AM107" s="181">
        <f t="shared" si="45"/>
        <v>23</v>
      </c>
      <c r="AN107" s="587"/>
      <c r="AO107" s="187">
        <v>5</v>
      </c>
      <c r="AP107" s="187">
        <v>3229.3078723519925</v>
      </c>
      <c r="AQ107" s="184">
        <f t="shared" si="46"/>
        <v>645.86157447039852</v>
      </c>
      <c r="AR107" s="181">
        <f t="shared" si="47"/>
        <v>25</v>
      </c>
      <c r="AS107" s="587"/>
      <c r="AT107" s="187">
        <v>5</v>
      </c>
      <c r="AU107" s="187">
        <v>3229.6678723519926</v>
      </c>
      <c r="AV107" s="184">
        <f t="shared" si="48"/>
        <v>645.93357447039853</v>
      </c>
      <c r="AW107" s="181">
        <f t="shared" si="49"/>
        <v>25</v>
      </c>
      <c r="AX107" s="587"/>
    </row>
    <row r="108" spans="2:50" ht="14.25" customHeight="1">
      <c r="B108" s="586"/>
      <c r="C108" s="179">
        <v>18</v>
      </c>
      <c r="D108" s="182" t="s">
        <v>377</v>
      </c>
      <c r="E108" s="183">
        <v>3</v>
      </c>
      <c r="F108" s="179">
        <v>3600</v>
      </c>
      <c r="G108" s="184">
        <f t="shared" si="35"/>
        <v>1200</v>
      </c>
      <c r="H108" s="588"/>
      <c r="I108" s="185">
        <f t="shared" si="36"/>
        <v>3</v>
      </c>
      <c r="J108" s="185">
        <f t="shared" si="36"/>
        <v>3227.1203308296863</v>
      </c>
      <c r="K108" s="186">
        <f t="shared" si="36"/>
        <v>1075.706776943229</v>
      </c>
      <c r="L108" s="589"/>
      <c r="M108" s="185">
        <f>RANK(K108, K$91:$K$127)</f>
        <v>2</v>
      </c>
      <c r="N108" s="600"/>
      <c r="O108" s="590"/>
      <c r="P108" s="187">
        <v>3</v>
      </c>
      <c r="Q108" s="187">
        <v>3225.320330829687</v>
      </c>
      <c r="R108" s="184">
        <f t="shared" si="37"/>
        <v>1075.1067769432291</v>
      </c>
      <c r="S108" s="181">
        <f t="shared" si="38"/>
        <v>1</v>
      </c>
      <c r="T108" s="587"/>
      <c r="U108" s="187">
        <v>3</v>
      </c>
      <c r="V108" s="187">
        <v>3226.0403308296868</v>
      </c>
      <c r="W108" s="184">
        <f t="shared" si="34"/>
        <v>1075.3467769432289</v>
      </c>
      <c r="X108" s="181">
        <f t="shared" si="39"/>
        <v>1</v>
      </c>
      <c r="Y108" s="587"/>
      <c r="Z108" s="187">
        <v>3</v>
      </c>
      <c r="AA108" s="187">
        <v>3226.4003308296865</v>
      </c>
      <c r="AB108" s="184">
        <f t="shared" si="40"/>
        <v>1075.4667769432288</v>
      </c>
      <c r="AC108" s="181">
        <f t="shared" si="41"/>
        <v>1</v>
      </c>
      <c r="AD108" s="587"/>
      <c r="AE108" s="187">
        <v>3</v>
      </c>
      <c r="AF108" s="187">
        <v>3226.400330829686</v>
      </c>
      <c r="AG108" s="184">
        <f t="shared" si="42"/>
        <v>1075.4667769432288</v>
      </c>
      <c r="AH108" s="181">
        <f t="shared" si="43"/>
        <v>2</v>
      </c>
      <c r="AI108" s="587"/>
      <c r="AJ108" s="187">
        <v>3</v>
      </c>
      <c r="AK108" s="187">
        <v>3227.8403308296865</v>
      </c>
      <c r="AL108" s="184">
        <f t="shared" si="44"/>
        <v>1075.9467769432288</v>
      </c>
      <c r="AM108" s="181">
        <f t="shared" si="45"/>
        <v>2</v>
      </c>
      <c r="AN108" s="587"/>
      <c r="AO108" s="187">
        <v>3</v>
      </c>
      <c r="AP108" s="187">
        <v>3228.9203308296865</v>
      </c>
      <c r="AQ108" s="184">
        <f t="shared" si="46"/>
        <v>1076.3067769432289</v>
      </c>
      <c r="AR108" s="181">
        <f t="shared" si="47"/>
        <v>3</v>
      </c>
      <c r="AS108" s="587"/>
      <c r="AT108" s="187">
        <v>3</v>
      </c>
      <c r="AU108" s="187">
        <v>3228.9203308296865</v>
      </c>
      <c r="AV108" s="184">
        <f t="shared" si="48"/>
        <v>1076.3067769432289</v>
      </c>
      <c r="AW108" s="181">
        <f t="shared" si="49"/>
        <v>4</v>
      </c>
      <c r="AX108" s="587"/>
    </row>
    <row r="109" spans="2:50" ht="14.25" customHeight="1">
      <c r="B109" s="586"/>
      <c r="C109" s="179">
        <v>19</v>
      </c>
      <c r="D109" s="182" t="s">
        <v>379</v>
      </c>
      <c r="E109" s="183">
        <v>4</v>
      </c>
      <c r="F109" s="179">
        <v>3300</v>
      </c>
      <c r="G109" s="184">
        <f t="shared" si="35"/>
        <v>825</v>
      </c>
      <c r="H109" s="588"/>
      <c r="I109" s="185">
        <f t="shared" si="36"/>
        <v>4</v>
      </c>
      <c r="J109" s="185">
        <f t="shared" si="36"/>
        <v>3020.6562159380269</v>
      </c>
      <c r="K109" s="186">
        <f t="shared" si="36"/>
        <v>755.16405398450672</v>
      </c>
      <c r="L109" s="589"/>
      <c r="M109" s="185">
        <f>RANK(K109, K$91:$K$127)</f>
        <v>18</v>
      </c>
      <c r="N109" s="600"/>
      <c r="O109" s="590"/>
      <c r="P109" s="187">
        <v>4</v>
      </c>
      <c r="Q109" s="187">
        <v>3017.8380772177347</v>
      </c>
      <c r="R109" s="184">
        <f t="shared" si="37"/>
        <v>754.45951930443368</v>
      </c>
      <c r="S109" s="181">
        <f t="shared" si="38"/>
        <v>17</v>
      </c>
      <c r="T109" s="587"/>
      <c r="U109" s="187">
        <v>4</v>
      </c>
      <c r="V109" s="187">
        <v>3018.4980772177346</v>
      </c>
      <c r="W109" s="184">
        <f t="shared" si="34"/>
        <v>754.62451930443365</v>
      </c>
      <c r="X109" s="181">
        <f t="shared" si="39"/>
        <v>18</v>
      </c>
      <c r="Y109" s="587"/>
      <c r="Z109" s="187">
        <v>4</v>
      </c>
      <c r="AA109" s="187">
        <v>3019.4880772177344</v>
      </c>
      <c r="AB109" s="184">
        <f t="shared" si="40"/>
        <v>754.87201930443359</v>
      </c>
      <c r="AC109" s="181">
        <f t="shared" si="41"/>
        <v>18</v>
      </c>
      <c r="AD109" s="587"/>
      <c r="AE109" s="187">
        <v>4</v>
      </c>
      <c r="AF109" s="187">
        <v>3019.8180772177343</v>
      </c>
      <c r="AG109" s="184">
        <f t="shared" si="42"/>
        <v>754.95451930443357</v>
      </c>
      <c r="AH109" s="181">
        <f t="shared" si="43"/>
        <v>18</v>
      </c>
      <c r="AI109" s="587"/>
      <c r="AJ109" s="187">
        <v>4</v>
      </c>
      <c r="AK109" s="187">
        <v>3021.9937342317503</v>
      </c>
      <c r="AL109" s="184">
        <f t="shared" si="44"/>
        <v>755.49843355793757</v>
      </c>
      <c r="AM109" s="181">
        <f t="shared" si="45"/>
        <v>18</v>
      </c>
      <c r="AN109" s="587"/>
      <c r="AO109" s="187">
        <v>4</v>
      </c>
      <c r="AP109" s="187">
        <v>3022.6537342317497</v>
      </c>
      <c r="AQ109" s="184">
        <f t="shared" si="46"/>
        <v>755.66343355793742</v>
      </c>
      <c r="AR109" s="181">
        <f t="shared" si="47"/>
        <v>17</v>
      </c>
      <c r="AS109" s="587"/>
      <c r="AT109" s="187">
        <v>4</v>
      </c>
      <c r="AU109" s="187">
        <v>3024.3037342317498</v>
      </c>
      <c r="AV109" s="184">
        <f t="shared" si="48"/>
        <v>756.07593355793745</v>
      </c>
      <c r="AW109" s="181">
        <f t="shared" si="49"/>
        <v>17</v>
      </c>
      <c r="AX109" s="587"/>
    </row>
    <row r="110" spans="2:50" ht="14.25" customHeight="1">
      <c r="B110" s="586"/>
      <c r="C110" s="179">
        <v>20</v>
      </c>
      <c r="D110" s="182" t="s">
        <v>323</v>
      </c>
      <c r="E110" s="183">
        <v>5</v>
      </c>
      <c r="F110" s="179">
        <v>3300</v>
      </c>
      <c r="G110" s="184">
        <f t="shared" si="35"/>
        <v>660</v>
      </c>
      <c r="H110" s="588"/>
      <c r="I110" s="185">
        <f t="shared" si="36"/>
        <v>5</v>
      </c>
      <c r="J110" s="185">
        <f t="shared" si="36"/>
        <v>3020.5157603009652</v>
      </c>
      <c r="K110" s="186">
        <f t="shared" si="36"/>
        <v>604.103152060193</v>
      </c>
      <c r="L110" s="589"/>
      <c r="M110" s="185">
        <f>RANK(K110, K$91:$K$127)</f>
        <v>31</v>
      </c>
      <c r="N110" s="600"/>
      <c r="O110" s="590"/>
      <c r="P110" s="187">
        <v>5</v>
      </c>
      <c r="Q110" s="187">
        <v>3015.5787743904607</v>
      </c>
      <c r="R110" s="184">
        <f t="shared" si="37"/>
        <v>603.11575487809216</v>
      </c>
      <c r="S110" s="181">
        <f t="shared" si="38"/>
        <v>31</v>
      </c>
      <c r="T110" s="587"/>
      <c r="U110" s="187">
        <v>5</v>
      </c>
      <c r="V110" s="187">
        <v>3018.4921984106254</v>
      </c>
      <c r="W110" s="184">
        <f t="shared" si="34"/>
        <v>603.69843968212513</v>
      </c>
      <c r="X110" s="181">
        <f t="shared" si="39"/>
        <v>31</v>
      </c>
      <c r="Y110" s="587"/>
      <c r="Z110" s="187">
        <v>5</v>
      </c>
      <c r="AA110" s="187">
        <v>3020.1421984106255</v>
      </c>
      <c r="AB110" s="184">
        <f t="shared" si="40"/>
        <v>604.02843968212505</v>
      </c>
      <c r="AC110" s="181">
        <f t="shared" si="41"/>
        <v>31</v>
      </c>
      <c r="AD110" s="587"/>
      <c r="AE110" s="187">
        <v>5</v>
      </c>
      <c r="AF110" s="187">
        <v>3020.1421984106255</v>
      </c>
      <c r="AG110" s="184">
        <f t="shared" si="42"/>
        <v>604.02843968212505</v>
      </c>
      <c r="AH110" s="181">
        <f t="shared" si="43"/>
        <v>31</v>
      </c>
      <c r="AI110" s="587"/>
      <c r="AJ110" s="187">
        <v>5</v>
      </c>
      <c r="AK110" s="187">
        <v>3022.0949841614729</v>
      </c>
      <c r="AL110" s="184">
        <f t="shared" si="44"/>
        <v>604.41899683229462</v>
      </c>
      <c r="AM110" s="181">
        <f t="shared" si="45"/>
        <v>31</v>
      </c>
      <c r="AN110" s="587"/>
      <c r="AO110" s="187">
        <v>5</v>
      </c>
      <c r="AP110" s="187">
        <v>3023.4149841614731</v>
      </c>
      <c r="AQ110" s="184">
        <f t="shared" si="46"/>
        <v>604.68299683229463</v>
      </c>
      <c r="AR110" s="181">
        <f t="shared" si="47"/>
        <v>31</v>
      </c>
      <c r="AS110" s="587"/>
      <c r="AT110" s="187">
        <v>5</v>
      </c>
      <c r="AU110" s="187">
        <v>3023.7449841614734</v>
      </c>
      <c r="AV110" s="184">
        <f t="shared" si="48"/>
        <v>604.74899683229467</v>
      </c>
      <c r="AW110" s="181">
        <f t="shared" si="49"/>
        <v>31</v>
      </c>
      <c r="AX110" s="587"/>
    </row>
    <row r="111" spans="2:50" ht="14.25" customHeight="1">
      <c r="B111" s="586"/>
      <c r="C111" s="179">
        <v>21</v>
      </c>
      <c r="D111" s="182" t="s">
        <v>373</v>
      </c>
      <c r="E111" s="183">
        <v>3</v>
      </c>
      <c r="F111" s="179">
        <v>3600</v>
      </c>
      <c r="G111" s="184">
        <f t="shared" si="35"/>
        <v>1200</v>
      </c>
      <c r="H111" s="588"/>
      <c r="I111" s="185">
        <f t="shared" si="36"/>
        <v>3</v>
      </c>
      <c r="J111" s="185">
        <f t="shared" si="36"/>
        <v>3224.3119828676568</v>
      </c>
      <c r="K111" s="186">
        <f t="shared" si="36"/>
        <v>1074.7706609558854</v>
      </c>
      <c r="L111" s="589"/>
      <c r="M111" s="185">
        <f>RANK(K111, K$91:$K$127)</f>
        <v>6</v>
      </c>
      <c r="N111" s="600"/>
      <c r="O111" s="590"/>
      <c r="P111" s="187">
        <v>3</v>
      </c>
      <c r="Q111" s="187">
        <v>3222.2034114390844</v>
      </c>
      <c r="R111" s="184">
        <f t="shared" si="37"/>
        <v>1074.0678038130281</v>
      </c>
      <c r="S111" s="181">
        <f t="shared" si="38"/>
        <v>5</v>
      </c>
      <c r="T111" s="587"/>
      <c r="U111" s="187">
        <v>3</v>
      </c>
      <c r="V111" s="187">
        <v>3223.2834114390844</v>
      </c>
      <c r="W111" s="184">
        <f t="shared" si="34"/>
        <v>1074.427803813028</v>
      </c>
      <c r="X111" s="181">
        <f t="shared" si="39"/>
        <v>5</v>
      </c>
      <c r="Y111" s="587"/>
      <c r="Z111" s="187">
        <v>3</v>
      </c>
      <c r="AA111" s="187">
        <v>3223.2834114390853</v>
      </c>
      <c r="AB111" s="184">
        <f t="shared" si="40"/>
        <v>1074.4278038130285</v>
      </c>
      <c r="AC111" s="181">
        <f t="shared" si="41"/>
        <v>6</v>
      </c>
      <c r="AD111" s="587"/>
      <c r="AE111" s="187">
        <v>3</v>
      </c>
      <c r="AF111" s="187">
        <v>3223.2834114390857</v>
      </c>
      <c r="AG111" s="184">
        <f t="shared" si="42"/>
        <v>1074.4278038130285</v>
      </c>
      <c r="AH111" s="181">
        <f t="shared" si="43"/>
        <v>7</v>
      </c>
      <c r="AI111" s="587"/>
      <c r="AJ111" s="187">
        <v>3</v>
      </c>
      <c r="AK111" s="187">
        <v>3225.0834114390855</v>
      </c>
      <c r="AL111" s="184">
        <f t="shared" si="44"/>
        <v>1075.0278038130284</v>
      </c>
      <c r="AM111" s="181">
        <f t="shared" si="45"/>
        <v>6</v>
      </c>
      <c r="AN111" s="587"/>
      <c r="AO111" s="187">
        <v>3</v>
      </c>
      <c r="AP111" s="187">
        <v>3225.4434114390847</v>
      </c>
      <c r="AQ111" s="184">
        <f t="shared" si="46"/>
        <v>1075.1478038130283</v>
      </c>
      <c r="AR111" s="181">
        <f t="shared" si="47"/>
        <v>7</v>
      </c>
      <c r="AS111" s="587"/>
      <c r="AT111" s="187">
        <v>3</v>
      </c>
      <c r="AU111" s="187">
        <v>3227.603411439085</v>
      </c>
      <c r="AV111" s="184">
        <f t="shared" si="48"/>
        <v>1075.8678038130283</v>
      </c>
      <c r="AW111" s="181">
        <f t="shared" si="49"/>
        <v>7</v>
      </c>
      <c r="AX111" s="587"/>
    </row>
    <row r="112" spans="2:50" ht="14.25" customHeight="1">
      <c r="B112" s="586"/>
      <c r="C112" s="179">
        <v>22</v>
      </c>
      <c r="D112" s="182" t="s">
        <v>482</v>
      </c>
      <c r="E112" s="183">
        <v>4</v>
      </c>
      <c r="F112" s="179">
        <v>3600</v>
      </c>
      <c r="G112" s="184">
        <f t="shared" si="35"/>
        <v>900</v>
      </c>
      <c r="H112" s="588"/>
      <c r="I112" s="185">
        <f t="shared" si="36"/>
        <v>4</v>
      </c>
      <c r="J112" s="185">
        <f t="shared" si="36"/>
        <v>3224.4331075857017</v>
      </c>
      <c r="K112" s="186">
        <f t="shared" si="36"/>
        <v>806.10827689642542</v>
      </c>
      <c r="L112" s="589"/>
      <c r="M112" s="185">
        <f>RANK(K112, K$91:$K$127)</f>
        <v>15</v>
      </c>
      <c r="N112" s="600"/>
      <c r="O112" s="590"/>
      <c r="P112" s="187">
        <v>4</v>
      </c>
      <c r="Q112" s="187">
        <v>3217.0800309830338</v>
      </c>
      <c r="R112" s="184">
        <f t="shared" si="37"/>
        <v>804.27000774575845</v>
      </c>
      <c r="S112" s="181">
        <f t="shared" si="38"/>
        <v>15</v>
      </c>
      <c r="T112" s="587"/>
      <c r="U112" s="187">
        <v>4</v>
      </c>
      <c r="V112" s="187">
        <v>3217.4400309830339</v>
      </c>
      <c r="W112" s="184">
        <f t="shared" si="34"/>
        <v>804.36000774575848</v>
      </c>
      <c r="X112" s="181">
        <f t="shared" si="39"/>
        <v>15</v>
      </c>
      <c r="Y112" s="587"/>
      <c r="Z112" s="187">
        <v>4</v>
      </c>
      <c r="AA112" s="187">
        <v>3223.5008819654358</v>
      </c>
      <c r="AB112" s="184">
        <f t="shared" si="40"/>
        <v>805.87522049135896</v>
      </c>
      <c r="AC112" s="181">
        <f t="shared" si="41"/>
        <v>15</v>
      </c>
      <c r="AD112" s="587"/>
      <c r="AE112" s="187">
        <v>4</v>
      </c>
      <c r="AF112" s="187">
        <v>3226.5427022921012</v>
      </c>
      <c r="AG112" s="184">
        <f t="shared" si="42"/>
        <v>806.63567557302531</v>
      </c>
      <c r="AH112" s="181">
        <f t="shared" si="43"/>
        <v>14</v>
      </c>
      <c r="AI112" s="587"/>
      <c r="AJ112" s="187">
        <v>4</v>
      </c>
      <c r="AK112" s="187">
        <v>3227.6227022921021</v>
      </c>
      <c r="AL112" s="184">
        <f t="shared" si="44"/>
        <v>806.90567557302552</v>
      </c>
      <c r="AM112" s="181">
        <f t="shared" si="45"/>
        <v>15</v>
      </c>
      <c r="AN112" s="587"/>
      <c r="AO112" s="187">
        <v>4</v>
      </c>
      <c r="AP112" s="187">
        <v>3228.702702292102</v>
      </c>
      <c r="AQ112" s="184">
        <f t="shared" si="46"/>
        <v>807.1756755730255</v>
      </c>
      <c r="AR112" s="181">
        <f t="shared" si="47"/>
        <v>15</v>
      </c>
      <c r="AS112" s="587"/>
      <c r="AT112" s="187">
        <v>4</v>
      </c>
      <c r="AU112" s="187">
        <v>3230.1427022921021</v>
      </c>
      <c r="AV112" s="184">
        <f t="shared" si="48"/>
        <v>807.53567557302551</v>
      </c>
      <c r="AW112" s="181">
        <f t="shared" si="49"/>
        <v>15</v>
      </c>
      <c r="AX112" s="587"/>
    </row>
    <row r="113" spans="2:50" ht="14.25" customHeight="1">
      <c r="B113" s="586"/>
      <c r="C113" s="179">
        <v>23</v>
      </c>
      <c r="D113" s="182" t="s">
        <v>376</v>
      </c>
      <c r="E113" s="183">
        <v>3</v>
      </c>
      <c r="F113" s="179">
        <v>3600</v>
      </c>
      <c r="G113" s="184">
        <f t="shared" si="35"/>
        <v>1200</v>
      </c>
      <c r="H113" s="588"/>
      <c r="I113" s="185">
        <f t="shared" si="36"/>
        <v>3</v>
      </c>
      <c r="J113" s="185">
        <f t="shared" si="36"/>
        <v>3226.0903312802052</v>
      </c>
      <c r="K113" s="186">
        <f t="shared" si="36"/>
        <v>1075.3634437600685</v>
      </c>
      <c r="L113" s="589"/>
      <c r="M113" s="185">
        <f>RANK(K113, K$91:$K$127)</f>
        <v>3</v>
      </c>
      <c r="N113" s="600"/>
      <c r="O113" s="590"/>
      <c r="P113" s="187">
        <v>3</v>
      </c>
      <c r="Q113" s="187">
        <v>3221.5646169944903</v>
      </c>
      <c r="R113" s="184">
        <f t="shared" si="37"/>
        <v>1073.8548723314968</v>
      </c>
      <c r="S113" s="181">
        <f t="shared" si="38"/>
        <v>6</v>
      </c>
      <c r="T113" s="587"/>
      <c r="U113" s="187">
        <v>3</v>
      </c>
      <c r="V113" s="187">
        <v>3223.724616994491</v>
      </c>
      <c r="W113" s="184">
        <f t="shared" si="34"/>
        <v>1074.5748723314971</v>
      </c>
      <c r="X113" s="181">
        <f t="shared" si="39"/>
        <v>4</v>
      </c>
      <c r="Y113" s="587"/>
      <c r="Z113" s="187">
        <v>3</v>
      </c>
      <c r="AA113" s="187">
        <v>3224.8046169944914</v>
      </c>
      <c r="AB113" s="184">
        <f t="shared" si="40"/>
        <v>1074.9348723314972</v>
      </c>
      <c r="AC113" s="181">
        <f t="shared" si="41"/>
        <v>4</v>
      </c>
      <c r="AD113" s="587"/>
      <c r="AE113" s="187">
        <v>3</v>
      </c>
      <c r="AF113" s="187">
        <v>3225.8846169944914</v>
      </c>
      <c r="AG113" s="184">
        <f t="shared" si="42"/>
        <v>1075.2948723314971</v>
      </c>
      <c r="AH113" s="181">
        <f t="shared" si="43"/>
        <v>4</v>
      </c>
      <c r="AI113" s="587"/>
      <c r="AJ113" s="187">
        <v>3</v>
      </c>
      <c r="AK113" s="187">
        <v>3227.6846169944911</v>
      </c>
      <c r="AL113" s="184">
        <f t="shared" si="44"/>
        <v>1075.894872331497</v>
      </c>
      <c r="AM113" s="181">
        <f t="shared" si="45"/>
        <v>3</v>
      </c>
      <c r="AN113" s="587"/>
      <c r="AO113" s="187">
        <v>3</v>
      </c>
      <c r="AP113" s="187">
        <v>3229.1246169944916</v>
      </c>
      <c r="AQ113" s="184">
        <f t="shared" si="46"/>
        <v>1076.3748723314973</v>
      </c>
      <c r="AR113" s="181">
        <f t="shared" si="47"/>
        <v>2</v>
      </c>
      <c r="AS113" s="587"/>
      <c r="AT113" s="187">
        <v>3</v>
      </c>
      <c r="AU113" s="187">
        <v>3229.8446169944918</v>
      </c>
      <c r="AV113" s="184">
        <f t="shared" si="48"/>
        <v>1076.6148723314973</v>
      </c>
      <c r="AW113" s="181">
        <f t="shared" si="49"/>
        <v>2</v>
      </c>
      <c r="AX113" s="587"/>
    </row>
    <row r="114" spans="2:50" ht="14.25" customHeight="1">
      <c r="B114" s="586"/>
      <c r="C114" s="179">
        <v>24</v>
      </c>
      <c r="D114" s="182" t="s">
        <v>375</v>
      </c>
      <c r="E114" s="183">
        <v>5</v>
      </c>
      <c r="F114" s="179">
        <v>3600</v>
      </c>
      <c r="G114" s="184">
        <f t="shared" si="35"/>
        <v>720</v>
      </c>
      <c r="H114" s="588"/>
      <c r="I114" s="185">
        <f t="shared" si="36"/>
        <v>5</v>
      </c>
      <c r="J114" s="185">
        <f t="shared" si="36"/>
        <v>3226.1716008428166</v>
      </c>
      <c r="K114" s="186">
        <f t="shared" si="36"/>
        <v>645.23432016856339</v>
      </c>
      <c r="L114" s="589"/>
      <c r="M114" s="185">
        <f>RANK(K114, K$91:$K$127)</f>
        <v>25</v>
      </c>
      <c r="N114" s="600"/>
      <c r="O114" s="590"/>
      <c r="P114" s="187">
        <v>5</v>
      </c>
      <c r="Q114" s="187">
        <v>3222.4687436999602</v>
      </c>
      <c r="R114" s="184">
        <f t="shared" si="37"/>
        <v>644.49374873999204</v>
      </c>
      <c r="S114" s="181">
        <f t="shared" si="38"/>
        <v>25</v>
      </c>
      <c r="T114" s="587"/>
      <c r="U114" s="187">
        <v>5</v>
      </c>
      <c r="V114" s="187">
        <v>3222.8287436999608</v>
      </c>
      <c r="W114" s="184">
        <f t="shared" si="34"/>
        <v>644.56574873999216</v>
      </c>
      <c r="X114" s="181">
        <f t="shared" si="39"/>
        <v>26</v>
      </c>
      <c r="Y114" s="587"/>
      <c r="Z114" s="187">
        <v>5</v>
      </c>
      <c r="AA114" s="187">
        <v>3224.2687436999604</v>
      </c>
      <c r="AB114" s="184">
        <f t="shared" si="40"/>
        <v>644.85374873999206</v>
      </c>
      <c r="AC114" s="181">
        <f t="shared" si="41"/>
        <v>25</v>
      </c>
      <c r="AD114" s="587"/>
      <c r="AE114" s="187">
        <v>5</v>
      </c>
      <c r="AF114" s="187">
        <v>3225.7087436999595</v>
      </c>
      <c r="AG114" s="184">
        <f t="shared" si="42"/>
        <v>645.14174873999195</v>
      </c>
      <c r="AH114" s="181">
        <f t="shared" si="43"/>
        <v>25</v>
      </c>
      <c r="AI114" s="587"/>
      <c r="AJ114" s="187">
        <v>5</v>
      </c>
      <c r="AK114" s="187">
        <v>3227.8687436999599</v>
      </c>
      <c r="AL114" s="184">
        <f t="shared" si="44"/>
        <v>645.57374873999197</v>
      </c>
      <c r="AM114" s="181">
        <f t="shared" si="45"/>
        <v>25</v>
      </c>
      <c r="AN114" s="587"/>
      <c r="AO114" s="187">
        <v>5</v>
      </c>
      <c r="AP114" s="187">
        <v>3229.308743699959</v>
      </c>
      <c r="AQ114" s="184">
        <f t="shared" si="46"/>
        <v>645.86174873999175</v>
      </c>
      <c r="AR114" s="181">
        <f t="shared" si="47"/>
        <v>24</v>
      </c>
      <c r="AS114" s="587"/>
      <c r="AT114" s="187">
        <v>5</v>
      </c>
      <c r="AU114" s="187">
        <v>3230.748743699959</v>
      </c>
      <c r="AV114" s="184">
        <f t="shared" si="48"/>
        <v>646.14974873999176</v>
      </c>
      <c r="AW114" s="181">
        <f t="shared" si="49"/>
        <v>23</v>
      </c>
      <c r="AX114" s="587"/>
    </row>
    <row r="115" spans="2:50" ht="14.25" customHeight="1">
      <c r="B115" s="586"/>
      <c r="C115" s="179">
        <v>25</v>
      </c>
      <c r="D115" s="182" t="s">
        <v>372</v>
      </c>
      <c r="E115" s="183">
        <v>5</v>
      </c>
      <c r="F115" s="179">
        <v>3600</v>
      </c>
      <c r="G115" s="184">
        <f t="shared" si="35"/>
        <v>720</v>
      </c>
      <c r="H115" s="588"/>
      <c r="I115" s="185">
        <f t="shared" si="36"/>
        <v>5</v>
      </c>
      <c r="J115" s="185">
        <f t="shared" si="36"/>
        <v>3224.8617221016284</v>
      </c>
      <c r="K115" s="186">
        <f t="shared" si="36"/>
        <v>644.97234442032561</v>
      </c>
      <c r="L115" s="589"/>
      <c r="M115" s="185">
        <f>RANK(K115, K$91:$K$127)</f>
        <v>26</v>
      </c>
      <c r="N115" s="600"/>
      <c r="O115" s="590"/>
      <c r="P115" s="187">
        <v>5</v>
      </c>
      <c r="Q115" s="187">
        <v>3220.9531506730564</v>
      </c>
      <c r="R115" s="184">
        <f t="shared" si="37"/>
        <v>644.1906301346113</v>
      </c>
      <c r="S115" s="181">
        <f t="shared" si="38"/>
        <v>28</v>
      </c>
      <c r="T115" s="587"/>
      <c r="U115" s="187">
        <v>5</v>
      </c>
      <c r="V115" s="187">
        <v>3223.1131506730571</v>
      </c>
      <c r="W115" s="184">
        <f t="shared" si="34"/>
        <v>644.62263013461143</v>
      </c>
      <c r="X115" s="181">
        <f t="shared" si="39"/>
        <v>25</v>
      </c>
      <c r="Y115" s="587"/>
      <c r="Z115" s="187">
        <v>5</v>
      </c>
      <c r="AA115" s="187">
        <v>3223.8331506730565</v>
      </c>
      <c r="AB115" s="184">
        <f t="shared" si="40"/>
        <v>644.76663013461132</v>
      </c>
      <c r="AC115" s="181">
        <f t="shared" si="41"/>
        <v>26</v>
      </c>
      <c r="AD115" s="587"/>
      <c r="AE115" s="187">
        <v>5</v>
      </c>
      <c r="AF115" s="187">
        <v>3224.1931506730566</v>
      </c>
      <c r="AG115" s="184">
        <f t="shared" si="42"/>
        <v>644.83863013461132</v>
      </c>
      <c r="AH115" s="181">
        <f t="shared" si="43"/>
        <v>27</v>
      </c>
      <c r="AI115" s="587"/>
      <c r="AJ115" s="187">
        <v>5</v>
      </c>
      <c r="AK115" s="187">
        <v>3225.9931506730572</v>
      </c>
      <c r="AL115" s="184">
        <f t="shared" si="44"/>
        <v>645.19863013461145</v>
      </c>
      <c r="AM115" s="181">
        <f t="shared" si="45"/>
        <v>26</v>
      </c>
      <c r="AN115" s="587"/>
      <c r="AO115" s="187">
        <v>5</v>
      </c>
      <c r="AP115" s="187">
        <v>3227.7931506730565</v>
      </c>
      <c r="AQ115" s="184">
        <f t="shared" si="46"/>
        <v>645.55863013461135</v>
      </c>
      <c r="AR115" s="181">
        <f t="shared" si="47"/>
        <v>26</v>
      </c>
      <c r="AS115" s="587"/>
      <c r="AT115" s="187">
        <v>5</v>
      </c>
      <c r="AU115" s="187">
        <v>3228.1531506730566</v>
      </c>
      <c r="AV115" s="184">
        <f t="shared" si="48"/>
        <v>645.63063013461135</v>
      </c>
      <c r="AW115" s="181">
        <f t="shared" si="49"/>
        <v>26</v>
      </c>
      <c r="AX115" s="587"/>
    </row>
    <row r="116" spans="2:50" ht="14.25" customHeight="1">
      <c r="B116" s="586"/>
      <c r="C116" s="179">
        <v>26</v>
      </c>
      <c r="D116" s="182" t="s">
        <v>374</v>
      </c>
      <c r="E116" s="183">
        <v>3</v>
      </c>
      <c r="F116" s="179">
        <v>3000</v>
      </c>
      <c r="G116" s="184">
        <f t="shared" si="35"/>
        <v>1000</v>
      </c>
      <c r="H116" s="588"/>
      <c r="I116" s="185">
        <f t="shared" si="36"/>
        <v>3</v>
      </c>
      <c r="J116" s="185">
        <f t="shared" si="36"/>
        <v>2749.7313120102626</v>
      </c>
      <c r="K116" s="186">
        <f t="shared" si="36"/>
        <v>916.57710400342069</v>
      </c>
      <c r="L116" s="589"/>
      <c r="M116" s="185">
        <f>RANK(K116, K$91:$K$127)</f>
        <v>13</v>
      </c>
      <c r="N116" s="600"/>
      <c r="O116" s="590"/>
      <c r="P116" s="187">
        <v>3</v>
      </c>
      <c r="Q116" s="187">
        <v>2746.0541168696354</v>
      </c>
      <c r="R116" s="184">
        <f t="shared" si="37"/>
        <v>915.35137228987844</v>
      </c>
      <c r="S116" s="181">
        <f t="shared" si="38"/>
        <v>13</v>
      </c>
      <c r="T116" s="587"/>
      <c r="U116" s="187">
        <v>3</v>
      </c>
      <c r="V116" s="187">
        <v>2746.3541168696352</v>
      </c>
      <c r="W116" s="184">
        <f t="shared" si="34"/>
        <v>915.45137228987835</v>
      </c>
      <c r="X116" s="181">
        <f t="shared" si="39"/>
        <v>13</v>
      </c>
      <c r="Y116" s="587"/>
      <c r="Z116" s="187">
        <v>3</v>
      </c>
      <c r="AA116" s="187">
        <v>2746.9541168696351</v>
      </c>
      <c r="AB116" s="184">
        <f t="shared" si="40"/>
        <v>915.6513722898784</v>
      </c>
      <c r="AC116" s="181">
        <f t="shared" si="41"/>
        <v>13</v>
      </c>
      <c r="AD116" s="587"/>
      <c r="AE116" s="187">
        <v>3</v>
      </c>
      <c r="AF116" s="187">
        <v>2748.7541168696353</v>
      </c>
      <c r="AG116" s="184">
        <f t="shared" si="42"/>
        <v>916.25137228987842</v>
      </c>
      <c r="AH116" s="181">
        <f t="shared" si="43"/>
        <v>13</v>
      </c>
      <c r="AI116" s="587"/>
      <c r="AJ116" s="187">
        <v>3</v>
      </c>
      <c r="AK116" s="187">
        <v>2752.0954633756055</v>
      </c>
      <c r="AL116" s="184">
        <f t="shared" si="44"/>
        <v>917.36515445853513</v>
      </c>
      <c r="AM116" s="181">
        <f t="shared" si="45"/>
        <v>12</v>
      </c>
      <c r="AN116" s="587"/>
      <c r="AO116" s="187">
        <v>3</v>
      </c>
      <c r="AP116" s="187">
        <v>2753.8036266088448</v>
      </c>
      <c r="AQ116" s="184">
        <f t="shared" si="46"/>
        <v>917.93454220294825</v>
      </c>
      <c r="AR116" s="181">
        <f t="shared" si="47"/>
        <v>12</v>
      </c>
      <c r="AS116" s="587"/>
      <c r="AT116" s="187">
        <v>3</v>
      </c>
      <c r="AU116" s="187">
        <v>2754.1036266088445</v>
      </c>
      <c r="AV116" s="184">
        <f t="shared" si="48"/>
        <v>918.03454220294816</v>
      </c>
      <c r="AW116" s="181">
        <f t="shared" si="49"/>
        <v>12</v>
      </c>
      <c r="AX116" s="587"/>
    </row>
    <row r="117" spans="2:50" ht="14.25" customHeight="1">
      <c r="B117" s="586"/>
      <c r="C117" s="179">
        <v>27</v>
      </c>
      <c r="D117" s="182" t="s">
        <v>412</v>
      </c>
      <c r="E117" s="183">
        <v>3</v>
      </c>
      <c r="F117" s="179">
        <v>3600</v>
      </c>
      <c r="G117" s="184">
        <f t="shared" si="35"/>
        <v>1200</v>
      </c>
      <c r="H117" s="588"/>
      <c r="I117" s="185">
        <f t="shared" si="36"/>
        <v>3</v>
      </c>
      <c r="J117" s="185">
        <f t="shared" si="36"/>
        <v>3225.9238854278292</v>
      </c>
      <c r="K117" s="186">
        <f t="shared" si="36"/>
        <v>1075.3079618092763</v>
      </c>
      <c r="L117" s="589"/>
      <c r="M117" s="185">
        <f>RANK(K117, K$91:$K$127)</f>
        <v>4</v>
      </c>
      <c r="N117" s="600"/>
      <c r="O117" s="590"/>
      <c r="P117" s="187">
        <v>3</v>
      </c>
      <c r="Q117" s="187">
        <v>3223.4038854278297</v>
      </c>
      <c r="R117" s="184">
        <f t="shared" si="37"/>
        <v>1074.4679618092766</v>
      </c>
      <c r="S117" s="181">
        <f t="shared" si="38"/>
        <v>2</v>
      </c>
      <c r="T117" s="587"/>
      <c r="U117" s="187">
        <v>3</v>
      </c>
      <c r="V117" s="187">
        <v>3224.4838854278296</v>
      </c>
      <c r="W117" s="184">
        <f t="shared" si="34"/>
        <v>1074.8279618092765</v>
      </c>
      <c r="X117" s="181">
        <f t="shared" si="39"/>
        <v>2</v>
      </c>
      <c r="Y117" s="587"/>
      <c r="Z117" s="187">
        <v>3</v>
      </c>
      <c r="AA117" s="187">
        <v>3225.5638854278286</v>
      </c>
      <c r="AB117" s="184">
        <f t="shared" si="40"/>
        <v>1075.1879618092762</v>
      </c>
      <c r="AC117" s="181">
        <f t="shared" si="41"/>
        <v>2</v>
      </c>
      <c r="AD117" s="587"/>
      <c r="AE117" s="187">
        <v>3</v>
      </c>
      <c r="AF117" s="187">
        <v>3225.9238854278292</v>
      </c>
      <c r="AG117" s="184">
        <f t="shared" si="42"/>
        <v>1075.3079618092763</v>
      </c>
      <c r="AH117" s="181">
        <f t="shared" si="43"/>
        <v>3</v>
      </c>
      <c r="AI117" s="587"/>
      <c r="AJ117" s="187">
        <v>3</v>
      </c>
      <c r="AK117" s="187">
        <v>3226.2838854278289</v>
      </c>
      <c r="AL117" s="184">
        <f t="shared" si="44"/>
        <v>1075.4279618092762</v>
      </c>
      <c r="AM117" s="181">
        <f t="shared" si="45"/>
        <v>4</v>
      </c>
      <c r="AN117" s="587"/>
      <c r="AO117" s="187">
        <v>3</v>
      </c>
      <c r="AP117" s="187">
        <v>3227.7238854278289</v>
      </c>
      <c r="AQ117" s="184">
        <f t="shared" si="46"/>
        <v>1075.9079618092762</v>
      </c>
      <c r="AR117" s="181">
        <f t="shared" si="47"/>
        <v>4</v>
      </c>
      <c r="AS117" s="587"/>
      <c r="AT117" s="187">
        <v>3</v>
      </c>
      <c r="AU117" s="187">
        <v>3228.0838854278286</v>
      </c>
      <c r="AV117" s="184">
        <f t="shared" si="48"/>
        <v>1076.0279618092761</v>
      </c>
      <c r="AW117" s="181">
        <f t="shared" si="49"/>
        <v>5</v>
      </c>
      <c r="AX117" s="587"/>
    </row>
    <row r="118" spans="2:50" ht="14.25" customHeight="1">
      <c r="B118" s="586"/>
      <c r="C118" s="179">
        <v>28</v>
      </c>
      <c r="D118" s="182" t="s">
        <v>417</v>
      </c>
      <c r="E118" s="183">
        <v>4</v>
      </c>
      <c r="F118" s="179">
        <v>3000</v>
      </c>
      <c r="G118" s="184">
        <f t="shared" si="35"/>
        <v>750</v>
      </c>
      <c r="H118" s="588"/>
      <c r="I118" s="185">
        <f t="shared" si="36"/>
        <v>4</v>
      </c>
      <c r="J118" s="185">
        <f t="shared" si="36"/>
        <v>2746.9813382940761</v>
      </c>
      <c r="K118" s="186">
        <f t="shared" si="36"/>
        <v>686.74533457351902</v>
      </c>
      <c r="L118" s="589"/>
      <c r="M118" s="185">
        <f>RANK(K118, K$91:$K$127)</f>
        <v>20</v>
      </c>
      <c r="N118" s="600"/>
      <c r="O118" s="590"/>
      <c r="P118" s="187">
        <v>4</v>
      </c>
      <c r="Q118" s="187">
        <v>2744.109909722647</v>
      </c>
      <c r="R118" s="184">
        <f t="shared" si="37"/>
        <v>686.02747743066175</v>
      </c>
      <c r="S118" s="181">
        <f t="shared" si="38"/>
        <v>19</v>
      </c>
      <c r="T118" s="587"/>
      <c r="U118" s="187">
        <v>4</v>
      </c>
      <c r="V118" s="187">
        <v>2745.6099097226474</v>
      </c>
      <c r="W118" s="184">
        <f t="shared" si="34"/>
        <v>686.40247743066186</v>
      </c>
      <c r="X118" s="181">
        <f t="shared" si="39"/>
        <v>19</v>
      </c>
      <c r="Y118" s="587"/>
      <c r="Z118" s="187">
        <v>4</v>
      </c>
      <c r="AA118" s="187">
        <v>2746.8099097226473</v>
      </c>
      <c r="AB118" s="184">
        <f t="shared" si="40"/>
        <v>686.70247743066182</v>
      </c>
      <c r="AC118" s="181">
        <f t="shared" si="41"/>
        <v>19</v>
      </c>
      <c r="AD118" s="587"/>
      <c r="AE118" s="187">
        <v>4</v>
      </c>
      <c r="AF118" s="187">
        <v>2747.4099097226472</v>
      </c>
      <c r="AG118" s="184">
        <f t="shared" si="42"/>
        <v>686.85247743066179</v>
      </c>
      <c r="AH118" s="181">
        <f t="shared" si="43"/>
        <v>20</v>
      </c>
      <c r="AI118" s="587"/>
      <c r="AJ118" s="187">
        <v>4</v>
      </c>
      <c r="AK118" s="187">
        <v>2748.3099097226473</v>
      </c>
      <c r="AL118" s="184">
        <f t="shared" si="44"/>
        <v>687.07747743066182</v>
      </c>
      <c r="AM118" s="181">
        <f t="shared" si="45"/>
        <v>20</v>
      </c>
      <c r="AN118" s="587"/>
      <c r="AO118" s="187">
        <v>4</v>
      </c>
      <c r="AP118" s="187">
        <v>2748.3099097226477</v>
      </c>
      <c r="AQ118" s="184">
        <f t="shared" si="46"/>
        <v>687.07747743066193</v>
      </c>
      <c r="AR118" s="181">
        <f t="shared" si="47"/>
        <v>20</v>
      </c>
      <c r="AS118" s="587"/>
      <c r="AT118" s="187">
        <v>4</v>
      </c>
      <c r="AU118" s="187">
        <v>2748.3099097226482</v>
      </c>
      <c r="AV118" s="184">
        <f t="shared" si="48"/>
        <v>687.07747743066204</v>
      </c>
      <c r="AW118" s="181">
        <f t="shared" si="49"/>
        <v>20</v>
      </c>
      <c r="AX118" s="587"/>
    </row>
    <row r="119" spans="2:50" ht="14.25" customHeight="1">
      <c r="B119" s="586"/>
      <c r="C119" s="179">
        <v>29</v>
      </c>
      <c r="D119" s="182" t="s">
        <v>470</v>
      </c>
      <c r="E119" s="183">
        <v>5</v>
      </c>
      <c r="F119" s="179">
        <v>3000</v>
      </c>
      <c r="G119" s="184">
        <f t="shared" si="35"/>
        <v>600</v>
      </c>
      <c r="H119" s="588"/>
      <c r="I119" s="185">
        <f t="shared" si="36"/>
        <v>5</v>
      </c>
      <c r="J119" s="185">
        <f t="shared" si="36"/>
        <v>2747.383394444515</v>
      </c>
      <c r="K119" s="186">
        <f t="shared" si="36"/>
        <v>549.47667888890305</v>
      </c>
      <c r="L119" s="589"/>
      <c r="M119" s="185">
        <f>RANK(K119, K$91:$K$127)</f>
        <v>32</v>
      </c>
      <c r="N119" s="600"/>
      <c r="O119" s="590"/>
      <c r="P119" s="187">
        <v>5</v>
      </c>
      <c r="Q119" s="187">
        <v>2742.3771411010994</v>
      </c>
      <c r="R119" s="184">
        <f t="shared" si="37"/>
        <v>548.4754282202199</v>
      </c>
      <c r="S119" s="181">
        <f t="shared" si="38"/>
        <v>32</v>
      </c>
      <c r="T119" s="587"/>
      <c r="U119" s="187">
        <v>5</v>
      </c>
      <c r="V119" s="187">
        <v>2745.3677700017515</v>
      </c>
      <c r="W119" s="184">
        <f t="shared" si="34"/>
        <v>549.07355400035033</v>
      </c>
      <c r="X119" s="181">
        <f t="shared" si="39"/>
        <v>32</v>
      </c>
      <c r="Y119" s="587"/>
      <c r="Z119" s="187">
        <v>5</v>
      </c>
      <c r="AA119" s="187">
        <v>2746.2677700017512</v>
      </c>
      <c r="AB119" s="184">
        <f t="shared" si="40"/>
        <v>549.25355400035028</v>
      </c>
      <c r="AC119" s="181">
        <f t="shared" si="41"/>
        <v>32</v>
      </c>
      <c r="AD119" s="587"/>
      <c r="AE119" s="187">
        <v>5</v>
      </c>
      <c r="AF119" s="187">
        <v>2747.1677700017513</v>
      </c>
      <c r="AG119" s="184">
        <f t="shared" si="42"/>
        <v>549.43355400035023</v>
      </c>
      <c r="AH119" s="181">
        <f t="shared" si="43"/>
        <v>32</v>
      </c>
      <c r="AI119" s="587"/>
      <c r="AJ119" s="187">
        <v>5</v>
      </c>
      <c r="AK119" s="187">
        <v>2748.6677700017513</v>
      </c>
      <c r="AL119" s="184">
        <f t="shared" si="44"/>
        <v>549.7335540003503</v>
      </c>
      <c r="AM119" s="181">
        <f t="shared" si="45"/>
        <v>32</v>
      </c>
      <c r="AN119" s="587"/>
      <c r="AO119" s="187">
        <v>5</v>
      </c>
      <c r="AP119" s="187">
        <v>2750.1677700017513</v>
      </c>
      <c r="AQ119" s="184">
        <f t="shared" si="46"/>
        <v>550.03355400035025</v>
      </c>
      <c r="AR119" s="181">
        <f t="shared" si="47"/>
        <v>32</v>
      </c>
      <c r="AS119" s="587"/>
      <c r="AT119" s="187">
        <v>5</v>
      </c>
      <c r="AU119" s="187">
        <v>2751.6677700017513</v>
      </c>
      <c r="AV119" s="184">
        <f t="shared" si="48"/>
        <v>550.3335540003502</v>
      </c>
      <c r="AW119" s="181">
        <f t="shared" si="49"/>
        <v>32</v>
      </c>
      <c r="AX119" s="587"/>
    </row>
    <row r="120" spans="2:50" ht="14.25" customHeight="1">
      <c r="B120" s="586"/>
      <c r="C120" s="179">
        <v>30</v>
      </c>
      <c r="D120" s="182" t="s">
        <v>551</v>
      </c>
      <c r="E120" s="183">
        <v>5</v>
      </c>
      <c r="F120" s="179">
        <v>3600</v>
      </c>
      <c r="G120" s="184">
        <f t="shared" si="35"/>
        <v>720</v>
      </c>
      <c r="H120" s="588"/>
      <c r="I120" s="185">
        <f t="shared" si="36"/>
        <v>5</v>
      </c>
      <c r="J120" s="185">
        <f t="shared" si="36"/>
        <v>3262.8277059694879</v>
      </c>
      <c r="K120" s="186">
        <f t="shared" si="36"/>
        <v>652.56554119389762</v>
      </c>
      <c r="L120" s="589"/>
      <c r="M120" s="185">
        <f>RANK(K120, K$91:$K$127)</f>
        <v>22</v>
      </c>
      <c r="N120" s="600"/>
      <c r="O120" s="590"/>
      <c r="P120" s="187">
        <v>5</v>
      </c>
      <c r="Q120" s="187">
        <v>3262.9746589617916</v>
      </c>
      <c r="R120" s="184">
        <f t="shared" si="37"/>
        <v>652.59493179235835</v>
      </c>
      <c r="S120" s="181">
        <f t="shared" si="38"/>
        <v>21</v>
      </c>
      <c r="T120" s="587"/>
      <c r="U120" s="187">
        <v>5</v>
      </c>
      <c r="V120" s="187">
        <v>3261.8946589617922</v>
      </c>
      <c r="W120" s="184">
        <f t="shared" si="34"/>
        <v>652.37893179235846</v>
      </c>
      <c r="X120" s="181">
        <f t="shared" si="39"/>
        <v>22</v>
      </c>
      <c r="Y120" s="587"/>
      <c r="Z120" s="187">
        <v>5</v>
      </c>
      <c r="AA120" s="187">
        <v>3262.6146589617924</v>
      </c>
      <c r="AB120" s="184">
        <f t="shared" si="40"/>
        <v>652.52293179235846</v>
      </c>
      <c r="AC120" s="181">
        <f t="shared" si="41"/>
        <v>22</v>
      </c>
      <c r="AD120" s="587"/>
      <c r="AE120" s="187">
        <v>5</v>
      </c>
      <c r="AF120" s="187">
        <v>3262.9746589617921</v>
      </c>
      <c r="AG120" s="184">
        <f t="shared" si="42"/>
        <v>652.59493179235847</v>
      </c>
      <c r="AH120" s="181">
        <f t="shared" si="43"/>
        <v>22</v>
      </c>
      <c r="AI120" s="587"/>
      <c r="AJ120" s="187">
        <v>5</v>
      </c>
      <c r="AK120" s="187">
        <v>3262.2546589617928</v>
      </c>
      <c r="AL120" s="184">
        <f t="shared" si="44"/>
        <v>652.45093179235857</v>
      </c>
      <c r="AM120" s="181">
        <f t="shared" si="45"/>
        <v>22</v>
      </c>
      <c r="AN120" s="587"/>
      <c r="AO120" s="187">
        <v>5</v>
      </c>
      <c r="AP120" s="187">
        <v>3262.25465896179</v>
      </c>
      <c r="AQ120" s="184">
        <f t="shared" si="46"/>
        <v>652.45093179235801</v>
      </c>
      <c r="AR120" s="181">
        <f t="shared" si="47"/>
        <v>22</v>
      </c>
      <c r="AS120" s="587"/>
      <c r="AT120" s="187">
        <v>5</v>
      </c>
      <c r="AU120" s="187">
        <v>3264.8259880156643</v>
      </c>
      <c r="AV120" s="184">
        <f t="shared" si="48"/>
        <v>652.96519760313288</v>
      </c>
      <c r="AW120" s="181">
        <f t="shared" si="49"/>
        <v>22</v>
      </c>
      <c r="AX120" s="587"/>
    </row>
    <row r="121" spans="2:50" ht="14.25" customHeight="1">
      <c r="B121" s="586"/>
      <c r="C121" s="179">
        <v>31</v>
      </c>
      <c r="D121" s="182" t="s">
        <v>557</v>
      </c>
      <c r="E121" s="179">
        <v>4</v>
      </c>
      <c r="F121" s="179">
        <v>3000</v>
      </c>
      <c r="G121" s="184">
        <f t="shared" si="35"/>
        <v>750</v>
      </c>
      <c r="H121" s="588"/>
      <c r="I121" s="185">
        <f t="shared" si="36"/>
        <v>4</v>
      </c>
      <c r="J121" s="185">
        <f t="shared" si="36"/>
        <v>2747.5380420646638</v>
      </c>
      <c r="K121" s="186">
        <f t="shared" si="36"/>
        <v>686.88451051616596</v>
      </c>
      <c r="L121" s="589"/>
      <c r="M121" s="185">
        <f>RANK(K121, K$91:$K$127)</f>
        <v>19</v>
      </c>
      <c r="N121" s="600"/>
      <c r="O121" s="590"/>
      <c r="P121" s="187">
        <v>4</v>
      </c>
      <c r="Q121" s="187">
        <v>2743.7237563503782</v>
      </c>
      <c r="R121" s="184">
        <f t="shared" si="37"/>
        <v>685.93093908759454</v>
      </c>
      <c r="S121" s="181">
        <f t="shared" si="38"/>
        <v>20</v>
      </c>
      <c r="T121" s="587"/>
      <c r="U121" s="187">
        <v>4</v>
      </c>
      <c r="V121" s="187">
        <v>2744.3237563503781</v>
      </c>
      <c r="W121" s="184">
        <f t="shared" si="34"/>
        <v>686.08093908759452</v>
      </c>
      <c r="X121" s="181">
        <f t="shared" si="39"/>
        <v>20</v>
      </c>
      <c r="Y121" s="587"/>
      <c r="Z121" s="187">
        <v>4</v>
      </c>
      <c r="AA121" s="187">
        <v>2745.8237563503776</v>
      </c>
      <c r="AB121" s="184">
        <f t="shared" si="40"/>
        <v>686.4559390875944</v>
      </c>
      <c r="AC121" s="181">
        <f t="shared" si="41"/>
        <v>20</v>
      </c>
      <c r="AD121" s="587"/>
      <c r="AE121" s="187">
        <v>4</v>
      </c>
      <c r="AF121" s="187">
        <v>2747.6237563503778</v>
      </c>
      <c r="AG121" s="184">
        <f t="shared" si="42"/>
        <v>686.90593908759445</v>
      </c>
      <c r="AH121" s="181">
        <f t="shared" si="43"/>
        <v>19</v>
      </c>
      <c r="AI121" s="587"/>
      <c r="AJ121" s="187">
        <v>4</v>
      </c>
      <c r="AK121" s="187">
        <v>2748.8237563503776</v>
      </c>
      <c r="AL121" s="184">
        <f t="shared" si="44"/>
        <v>687.2059390875944</v>
      </c>
      <c r="AM121" s="181">
        <f t="shared" si="45"/>
        <v>19</v>
      </c>
      <c r="AN121" s="587"/>
      <c r="AO121" s="187">
        <v>4</v>
      </c>
      <c r="AP121" s="187">
        <v>2750.3237563503776</v>
      </c>
      <c r="AQ121" s="184">
        <f t="shared" si="46"/>
        <v>687.5809390875944</v>
      </c>
      <c r="AR121" s="181">
        <f t="shared" si="47"/>
        <v>19</v>
      </c>
      <c r="AS121" s="587"/>
      <c r="AT121" s="187">
        <v>4</v>
      </c>
      <c r="AU121" s="187">
        <v>2752.1237563503778</v>
      </c>
      <c r="AV121" s="184">
        <f t="shared" si="48"/>
        <v>688.03093908759445</v>
      </c>
      <c r="AW121" s="181">
        <f t="shared" si="49"/>
        <v>19</v>
      </c>
      <c r="AX121" s="587"/>
    </row>
    <row r="122" spans="2:50" ht="14.25" customHeight="1">
      <c r="B122" s="586"/>
      <c r="C122" s="179">
        <v>32</v>
      </c>
      <c r="D122" s="182" t="s">
        <v>558</v>
      </c>
      <c r="E122" s="179">
        <v>5</v>
      </c>
      <c r="F122" s="179">
        <v>3600</v>
      </c>
      <c r="G122" s="184">
        <f t="shared" si="35"/>
        <v>720</v>
      </c>
      <c r="H122" s="588"/>
      <c r="I122" s="185">
        <f t="shared" ref="I122:K124" si="50">AVERAGE(P122,U122,Z122,AE122,AJ122,AO122,AT122)</f>
        <v>5</v>
      </c>
      <c r="J122" s="185">
        <f t="shared" si="50"/>
        <v>3264.3187106289697</v>
      </c>
      <c r="K122" s="186">
        <f t="shared" si="50"/>
        <v>652.86374212579381</v>
      </c>
      <c r="L122" s="589"/>
      <c r="M122" s="185">
        <f>RANK(K122, K$91:$K$127)</f>
        <v>21</v>
      </c>
      <c r="N122" s="600"/>
      <c r="O122" s="590"/>
      <c r="P122" s="187">
        <v>5</v>
      </c>
      <c r="Q122" s="187">
        <v>3262.8272820575421</v>
      </c>
      <c r="R122" s="184">
        <f t="shared" si="37"/>
        <v>652.56545641150842</v>
      </c>
      <c r="S122" s="181">
        <f t="shared" si="38"/>
        <v>22</v>
      </c>
      <c r="T122" s="587"/>
      <c r="U122" s="187">
        <v>5</v>
      </c>
      <c r="V122" s="187">
        <v>3262.8272820575417</v>
      </c>
      <c r="W122" s="184">
        <f t="shared" si="34"/>
        <v>652.56545641150831</v>
      </c>
      <c r="X122" s="181">
        <f t="shared" si="39"/>
        <v>21</v>
      </c>
      <c r="Y122" s="587"/>
      <c r="Z122" s="187">
        <v>5</v>
      </c>
      <c r="AA122" s="187">
        <v>3263.1872820575409</v>
      </c>
      <c r="AB122" s="184">
        <f t="shared" si="40"/>
        <v>652.6374564115082</v>
      </c>
      <c r="AC122" s="181">
        <f t="shared" si="41"/>
        <v>21</v>
      </c>
      <c r="AD122" s="587"/>
      <c r="AE122" s="187">
        <v>5</v>
      </c>
      <c r="AF122" s="187">
        <v>3264.2672820575408</v>
      </c>
      <c r="AG122" s="184">
        <f t="shared" si="42"/>
        <v>652.8534564115082</v>
      </c>
      <c r="AH122" s="181">
        <f t="shared" si="43"/>
        <v>21</v>
      </c>
      <c r="AI122" s="587"/>
      <c r="AJ122" s="187">
        <v>5</v>
      </c>
      <c r="AK122" s="187">
        <v>3264.6272820575409</v>
      </c>
      <c r="AL122" s="184">
        <f t="shared" si="44"/>
        <v>652.92545641150821</v>
      </c>
      <c r="AM122" s="181">
        <f t="shared" si="45"/>
        <v>21</v>
      </c>
      <c r="AN122" s="587"/>
      <c r="AO122" s="187">
        <v>5</v>
      </c>
      <c r="AP122" s="187">
        <v>3266.4272820575402</v>
      </c>
      <c r="AQ122" s="184">
        <f t="shared" si="46"/>
        <v>653.28545641150799</v>
      </c>
      <c r="AR122" s="181">
        <f t="shared" si="47"/>
        <v>21</v>
      </c>
      <c r="AS122" s="587"/>
      <c r="AT122" s="187">
        <v>5</v>
      </c>
      <c r="AU122" s="187">
        <v>3266.0672820575401</v>
      </c>
      <c r="AV122" s="184">
        <f t="shared" si="48"/>
        <v>653.21345641150799</v>
      </c>
      <c r="AW122" s="181">
        <f t="shared" si="49"/>
        <v>21</v>
      </c>
      <c r="AX122" s="587"/>
    </row>
    <row r="123" spans="2:50" ht="14.25" customHeight="1">
      <c r="B123" s="586"/>
      <c r="C123" s="179">
        <v>33</v>
      </c>
      <c r="D123" s="182" t="s">
        <v>324</v>
      </c>
      <c r="E123" s="179">
        <v>3</v>
      </c>
      <c r="F123" s="179">
        <v>3000</v>
      </c>
      <c r="G123" s="184">
        <f t="shared" si="35"/>
        <v>1000</v>
      </c>
      <c r="H123" s="588"/>
      <c r="I123" s="185">
        <f t="shared" si="50"/>
        <v>3</v>
      </c>
      <c r="J123" s="185">
        <f t="shared" si="50"/>
        <v>2751.1401003867827</v>
      </c>
      <c r="K123" s="186">
        <f t="shared" si="50"/>
        <v>917.04670012892734</v>
      </c>
      <c r="L123" s="589"/>
      <c r="M123" s="185">
        <f>RANK(K123, K$91:$K$127)</f>
        <v>11</v>
      </c>
      <c r="N123" s="600"/>
      <c r="O123" s="590"/>
      <c r="P123" s="187">
        <v>3</v>
      </c>
      <c r="Q123" s="187">
        <v>2747.5401003867819</v>
      </c>
      <c r="R123" s="184">
        <f t="shared" si="37"/>
        <v>915.8467001289273</v>
      </c>
      <c r="S123" s="181">
        <f t="shared" si="38"/>
        <v>11</v>
      </c>
      <c r="T123" s="587"/>
      <c r="U123" s="187">
        <v>3</v>
      </c>
      <c r="V123" s="187">
        <v>2748.4401003867824</v>
      </c>
      <c r="W123" s="184">
        <f t="shared" si="34"/>
        <v>916.14670012892748</v>
      </c>
      <c r="X123" s="181">
        <f t="shared" si="39"/>
        <v>11</v>
      </c>
      <c r="Y123" s="587"/>
      <c r="Z123" s="187">
        <v>3</v>
      </c>
      <c r="AA123" s="187">
        <v>2749.6401003867823</v>
      </c>
      <c r="AB123" s="184">
        <f t="shared" si="40"/>
        <v>916.54670012892745</v>
      </c>
      <c r="AC123" s="181">
        <f t="shared" si="41"/>
        <v>11</v>
      </c>
      <c r="AD123" s="587"/>
      <c r="AE123" s="187">
        <v>3</v>
      </c>
      <c r="AF123" s="187">
        <v>2751.4401003867824</v>
      </c>
      <c r="AG123" s="184">
        <f t="shared" si="42"/>
        <v>917.14670012892748</v>
      </c>
      <c r="AH123" s="181">
        <f t="shared" si="43"/>
        <v>11</v>
      </c>
      <c r="AI123" s="587"/>
      <c r="AJ123" s="187">
        <v>3</v>
      </c>
      <c r="AK123" s="187">
        <v>2752.6401003867823</v>
      </c>
      <c r="AL123" s="184">
        <f t="shared" si="44"/>
        <v>917.54670012892745</v>
      </c>
      <c r="AM123" s="181">
        <f t="shared" si="45"/>
        <v>11</v>
      </c>
      <c r="AN123" s="587"/>
      <c r="AO123" s="187">
        <v>3</v>
      </c>
      <c r="AP123" s="187">
        <v>2754.1401003867823</v>
      </c>
      <c r="AQ123" s="184">
        <f t="shared" si="46"/>
        <v>918.04670012892745</v>
      </c>
      <c r="AR123" s="181">
        <f t="shared" si="47"/>
        <v>11</v>
      </c>
      <c r="AS123" s="587"/>
      <c r="AT123" s="187">
        <v>3</v>
      </c>
      <c r="AU123" s="187">
        <v>2754.1401003867823</v>
      </c>
      <c r="AV123" s="184">
        <f t="shared" si="48"/>
        <v>918.04670012892745</v>
      </c>
      <c r="AW123" s="181">
        <f t="shared" si="49"/>
        <v>11</v>
      </c>
      <c r="AX123" s="587"/>
    </row>
    <row r="124" spans="2:50" ht="14.25" customHeight="1">
      <c r="B124" s="586"/>
      <c r="C124" s="179">
        <v>34</v>
      </c>
      <c r="D124" s="182" t="s">
        <v>414</v>
      </c>
      <c r="E124" s="179">
        <v>12</v>
      </c>
      <c r="F124" s="179">
        <v>3600</v>
      </c>
      <c r="G124" s="184">
        <f t="shared" si="35"/>
        <v>300</v>
      </c>
      <c r="H124" s="588"/>
      <c r="I124" s="185">
        <f t="shared" si="50"/>
        <v>12</v>
      </c>
      <c r="J124" s="185">
        <f t="shared" si="50"/>
        <v>3121.0684522695251</v>
      </c>
      <c r="K124" s="186">
        <f t="shared" si="50"/>
        <v>260.08903768912705</v>
      </c>
      <c r="L124" s="589"/>
      <c r="M124" s="185">
        <f>RANK(K124, K$91:$K$127)</f>
        <v>34</v>
      </c>
      <c r="N124" s="600"/>
      <c r="O124" s="590"/>
      <c r="P124" s="187">
        <v>12</v>
      </c>
      <c r="Q124" s="187">
        <v>3122.32806143379</v>
      </c>
      <c r="R124" s="184">
        <f t="shared" si="37"/>
        <v>260.19400511948248</v>
      </c>
      <c r="S124" s="181">
        <f t="shared" si="38"/>
        <v>33</v>
      </c>
      <c r="T124" s="587"/>
      <c r="U124" s="187">
        <v>12</v>
      </c>
      <c r="V124" s="187">
        <v>3121.6080614337898</v>
      </c>
      <c r="W124" s="184">
        <f t="shared" si="34"/>
        <v>260.13400511948248</v>
      </c>
      <c r="X124" s="181">
        <f t="shared" si="39"/>
        <v>33</v>
      </c>
      <c r="Y124" s="587"/>
      <c r="Z124" s="187">
        <v>12</v>
      </c>
      <c r="AA124" s="187">
        <v>3121.2480614337901</v>
      </c>
      <c r="AB124" s="184">
        <f t="shared" si="40"/>
        <v>260.10400511948251</v>
      </c>
      <c r="AC124" s="181">
        <f t="shared" si="41"/>
        <v>34</v>
      </c>
      <c r="AD124" s="587"/>
      <c r="AE124" s="187">
        <v>12</v>
      </c>
      <c r="AF124" s="187">
        <v>3119.80806143379</v>
      </c>
      <c r="AG124" s="184">
        <f t="shared" si="42"/>
        <v>259.9840051194825</v>
      </c>
      <c r="AH124" s="181">
        <f t="shared" si="43"/>
        <v>34</v>
      </c>
      <c r="AI124" s="587"/>
      <c r="AJ124" s="187">
        <v>12</v>
      </c>
      <c r="AK124" s="187">
        <v>3122.2689733838379</v>
      </c>
      <c r="AL124" s="184">
        <f t="shared" si="44"/>
        <v>260.18908111531982</v>
      </c>
      <c r="AM124" s="181">
        <f t="shared" si="45"/>
        <v>33</v>
      </c>
      <c r="AN124" s="587"/>
      <c r="AO124" s="187">
        <v>12</v>
      </c>
      <c r="AP124" s="187">
        <v>3120.4689733838381</v>
      </c>
      <c r="AQ124" s="184">
        <f t="shared" si="46"/>
        <v>260.03908111531985</v>
      </c>
      <c r="AR124" s="181">
        <f t="shared" si="47"/>
        <v>34</v>
      </c>
      <c r="AS124" s="587"/>
      <c r="AT124" s="187">
        <v>12</v>
      </c>
      <c r="AU124" s="187">
        <v>3119.7489733838383</v>
      </c>
      <c r="AV124" s="184">
        <f t="shared" si="48"/>
        <v>259.97908111531984</v>
      </c>
      <c r="AW124" s="181">
        <f t="shared" si="49"/>
        <v>34</v>
      </c>
      <c r="AX124" s="587"/>
    </row>
    <row r="125" spans="2:50" ht="14.25" customHeight="1">
      <c r="B125" s="586"/>
      <c r="C125" s="179">
        <v>35</v>
      </c>
      <c r="D125" s="182"/>
      <c r="E125" s="179"/>
      <c r="F125" s="179"/>
      <c r="G125" s="184"/>
      <c r="H125" s="588"/>
      <c r="I125" s="185"/>
      <c r="J125" s="185"/>
      <c r="K125" s="186"/>
      <c r="L125" s="589"/>
      <c r="M125" s="185"/>
      <c r="N125" s="600"/>
      <c r="O125" s="590"/>
      <c r="P125" s="187"/>
      <c r="Q125" s="187"/>
      <c r="R125" s="184"/>
      <c r="S125" s="181"/>
      <c r="T125" s="587"/>
      <c r="U125" s="187"/>
      <c r="V125" s="187"/>
      <c r="W125" s="184"/>
      <c r="X125" s="181"/>
      <c r="Y125" s="587"/>
      <c r="Z125" s="187"/>
      <c r="AA125" s="187"/>
      <c r="AB125" s="184"/>
      <c r="AC125" s="181"/>
      <c r="AD125" s="587"/>
      <c r="AE125" s="187"/>
      <c r="AF125" s="187"/>
      <c r="AG125" s="184"/>
      <c r="AH125" s="181"/>
      <c r="AI125" s="587"/>
      <c r="AJ125" s="187"/>
      <c r="AK125" s="187"/>
      <c r="AL125" s="184"/>
      <c r="AM125" s="181"/>
      <c r="AN125" s="587"/>
      <c r="AO125" s="187"/>
      <c r="AP125" s="187"/>
      <c r="AQ125" s="184"/>
      <c r="AR125" s="181"/>
      <c r="AS125" s="587"/>
      <c r="AT125" s="187"/>
      <c r="AU125" s="187"/>
      <c r="AV125" s="184"/>
      <c r="AW125" s="181"/>
      <c r="AX125" s="587"/>
    </row>
    <row r="126" spans="2:50" ht="14.25" customHeight="1">
      <c r="B126" s="586"/>
      <c r="C126" s="179">
        <v>36</v>
      </c>
      <c r="D126" s="182"/>
      <c r="E126" s="179"/>
      <c r="F126" s="179"/>
      <c r="G126" s="184"/>
      <c r="H126" s="588"/>
      <c r="I126" s="185"/>
      <c r="J126" s="185"/>
      <c r="K126" s="186"/>
      <c r="L126" s="589"/>
      <c r="M126" s="185"/>
      <c r="N126" s="600"/>
      <c r="O126" s="590"/>
      <c r="P126" s="187"/>
      <c r="Q126" s="187"/>
      <c r="R126" s="184"/>
      <c r="S126" s="181"/>
      <c r="T126" s="587"/>
      <c r="U126" s="187"/>
      <c r="V126" s="187"/>
      <c r="W126" s="184"/>
      <c r="X126" s="181"/>
      <c r="Y126" s="587"/>
      <c r="Z126" s="187"/>
      <c r="AA126" s="187"/>
      <c r="AB126" s="184"/>
      <c r="AC126" s="181"/>
      <c r="AD126" s="587"/>
      <c r="AE126" s="187"/>
      <c r="AF126" s="187"/>
      <c r="AG126" s="184"/>
      <c r="AH126" s="181"/>
      <c r="AI126" s="587"/>
      <c r="AJ126" s="187"/>
      <c r="AK126" s="187"/>
      <c r="AL126" s="184"/>
      <c r="AM126" s="181"/>
      <c r="AN126" s="587"/>
      <c r="AO126" s="187"/>
      <c r="AP126" s="187"/>
      <c r="AQ126" s="184"/>
      <c r="AR126" s="181"/>
      <c r="AS126" s="587"/>
      <c r="AT126" s="187"/>
      <c r="AU126" s="187"/>
      <c r="AV126" s="184"/>
      <c r="AW126" s="181"/>
      <c r="AX126" s="587"/>
    </row>
    <row r="127" spans="2:50" ht="14.25" customHeight="1">
      <c r="B127" s="586"/>
      <c r="C127" s="179">
        <v>37</v>
      </c>
      <c r="D127" s="182"/>
      <c r="E127" s="179"/>
      <c r="F127" s="179"/>
      <c r="G127" s="184"/>
      <c r="H127" s="588"/>
      <c r="I127" s="185"/>
      <c r="J127" s="185"/>
      <c r="K127" s="186"/>
      <c r="L127" s="589"/>
      <c r="M127" s="185"/>
      <c r="N127" s="600"/>
      <c r="O127" s="590"/>
      <c r="P127" s="187"/>
      <c r="Q127" s="187"/>
      <c r="R127" s="184"/>
      <c r="S127" s="181"/>
      <c r="T127" s="587"/>
      <c r="U127" s="187"/>
      <c r="V127" s="187"/>
      <c r="W127" s="184"/>
      <c r="X127" s="181"/>
      <c r="Y127" s="587"/>
      <c r="Z127" s="187"/>
      <c r="AA127" s="187"/>
      <c r="AB127" s="184"/>
      <c r="AC127" s="181"/>
      <c r="AD127" s="587"/>
      <c r="AE127" s="187"/>
      <c r="AF127" s="187"/>
      <c r="AG127" s="184"/>
      <c r="AH127" s="181"/>
      <c r="AI127" s="587"/>
      <c r="AJ127" s="187"/>
      <c r="AK127" s="187"/>
      <c r="AL127" s="184"/>
      <c r="AM127" s="181"/>
      <c r="AN127" s="587"/>
      <c r="AO127" s="187"/>
      <c r="AP127" s="187"/>
      <c r="AQ127" s="184"/>
      <c r="AR127" s="181"/>
      <c r="AS127" s="587"/>
      <c r="AT127" s="187"/>
      <c r="AU127" s="187"/>
      <c r="AV127" s="184"/>
      <c r="AW127" s="181"/>
      <c r="AX127" s="587"/>
    </row>
    <row r="128" spans="2:50" ht="14.25" customHeight="1">
      <c r="B128" s="601" t="s">
        <v>716</v>
      </c>
      <c r="C128" s="602"/>
      <c r="D128" s="602"/>
      <c r="E128" s="602"/>
      <c r="F128" s="602"/>
      <c r="G128" s="602"/>
      <c r="H128" s="602"/>
      <c r="I128" s="602"/>
      <c r="J128" s="602"/>
      <c r="K128" s="602"/>
      <c r="L128" s="602"/>
      <c r="M128" s="603"/>
      <c r="N128" s="606" t="s">
        <v>341</v>
      </c>
      <c r="O128" s="606" t="s">
        <v>105</v>
      </c>
      <c r="P128" s="608">
        <v>46252</v>
      </c>
      <c r="Q128" s="609"/>
      <c r="R128" s="609"/>
      <c r="S128" s="609"/>
      <c r="T128" s="609"/>
      <c r="U128" s="610">
        <v>46253</v>
      </c>
      <c r="V128" s="611"/>
      <c r="W128" s="611"/>
      <c r="X128" s="611"/>
      <c r="Y128" s="611"/>
      <c r="Z128" s="608">
        <v>46254</v>
      </c>
      <c r="AA128" s="609"/>
      <c r="AB128" s="609"/>
      <c r="AC128" s="609"/>
      <c r="AD128" s="609"/>
      <c r="AE128" s="610">
        <v>46255</v>
      </c>
      <c r="AF128" s="611"/>
      <c r="AG128" s="611"/>
      <c r="AH128" s="611"/>
      <c r="AI128" s="611"/>
      <c r="AJ128" s="592">
        <v>46256</v>
      </c>
      <c r="AK128" s="593"/>
      <c r="AL128" s="593"/>
      <c r="AM128" s="593"/>
      <c r="AN128" s="594"/>
      <c r="AO128" s="610">
        <v>46257</v>
      </c>
      <c r="AP128" s="611"/>
      <c r="AQ128" s="611"/>
      <c r="AR128" s="611"/>
      <c r="AS128" s="611"/>
      <c r="AT128" s="592">
        <v>46258</v>
      </c>
      <c r="AU128" s="593"/>
      <c r="AV128" s="593"/>
      <c r="AW128" s="593"/>
      <c r="AX128" s="594"/>
    </row>
    <row r="129" spans="1:50" ht="14.25" customHeight="1">
      <c r="B129" s="604"/>
      <c r="C129" s="604"/>
      <c r="D129" s="604"/>
      <c r="E129" s="604"/>
      <c r="F129" s="604"/>
      <c r="G129" s="604"/>
      <c r="H129" s="604"/>
      <c r="I129" s="604"/>
      <c r="J129" s="604"/>
      <c r="K129" s="604"/>
      <c r="L129" s="604"/>
      <c r="M129" s="605"/>
      <c r="N129" s="607"/>
      <c r="O129" s="607"/>
      <c r="P129" s="595">
        <v>46196</v>
      </c>
      <c r="Q129" s="595"/>
      <c r="R129" s="595"/>
      <c r="S129" s="595"/>
      <c r="T129" s="595"/>
      <c r="U129" s="596">
        <v>46197</v>
      </c>
      <c r="V129" s="596"/>
      <c r="W129" s="596"/>
      <c r="X129" s="596"/>
      <c r="Y129" s="596"/>
      <c r="Z129" s="595">
        <v>46198</v>
      </c>
      <c r="AA129" s="595"/>
      <c r="AB129" s="595"/>
      <c r="AC129" s="595"/>
      <c r="AD129" s="595"/>
      <c r="AE129" s="596">
        <v>46199</v>
      </c>
      <c r="AF129" s="596"/>
      <c r="AG129" s="596"/>
      <c r="AH129" s="596"/>
      <c r="AI129" s="596"/>
      <c r="AJ129" s="597">
        <v>46200</v>
      </c>
      <c r="AK129" s="598"/>
      <c r="AL129" s="598"/>
      <c r="AM129" s="598"/>
      <c r="AN129" s="599"/>
      <c r="AO129" s="596">
        <v>46201</v>
      </c>
      <c r="AP129" s="596"/>
      <c r="AQ129" s="596"/>
      <c r="AR129" s="596"/>
      <c r="AS129" s="596"/>
      <c r="AT129" s="597">
        <v>46202</v>
      </c>
      <c r="AU129" s="598"/>
      <c r="AV129" s="598"/>
      <c r="AW129" s="598"/>
      <c r="AX129" s="599"/>
    </row>
    <row r="130" spans="1:50" ht="14.25" customHeight="1">
      <c r="B130" s="586" t="s">
        <v>162</v>
      </c>
      <c r="C130" s="586" t="s">
        <v>157</v>
      </c>
      <c r="D130" s="586"/>
      <c r="E130" s="586" t="s">
        <v>158</v>
      </c>
      <c r="F130" s="586"/>
      <c r="G130" s="586"/>
      <c r="H130" s="586" t="s">
        <v>163</v>
      </c>
      <c r="I130" s="591" t="s">
        <v>342</v>
      </c>
      <c r="J130" s="591"/>
      <c r="K130" s="591"/>
      <c r="L130" s="591" t="s">
        <v>163</v>
      </c>
      <c r="M130" s="591" t="s">
        <v>165</v>
      </c>
      <c r="N130" s="600"/>
      <c r="O130" s="590" t="s">
        <v>164</v>
      </c>
      <c r="P130" s="590" t="s">
        <v>160</v>
      </c>
      <c r="Q130" s="590"/>
      <c r="R130" s="590"/>
      <c r="S130" s="590"/>
      <c r="T130" s="590" t="s">
        <v>163</v>
      </c>
      <c r="U130" s="590" t="s">
        <v>160</v>
      </c>
      <c r="V130" s="590"/>
      <c r="W130" s="590"/>
      <c r="X130" s="590"/>
      <c r="Y130" s="590" t="s">
        <v>163</v>
      </c>
      <c r="Z130" s="590" t="s">
        <v>160</v>
      </c>
      <c r="AA130" s="590"/>
      <c r="AB130" s="590"/>
      <c r="AC130" s="590"/>
      <c r="AD130" s="590" t="s">
        <v>163</v>
      </c>
      <c r="AE130" s="590" t="s">
        <v>160</v>
      </c>
      <c r="AF130" s="590"/>
      <c r="AG130" s="590"/>
      <c r="AH130" s="590"/>
      <c r="AI130" s="590" t="s">
        <v>163</v>
      </c>
      <c r="AJ130" s="590" t="s">
        <v>160</v>
      </c>
      <c r="AK130" s="590"/>
      <c r="AL130" s="590"/>
      <c r="AM130" s="590"/>
      <c r="AN130" s="590" t="s">
        <v>163</v>
      </c>
      <c r="AO130" s="590" t="s">
        <v>160</v>
      </c>
      <c r="AP130" s="590"/>
      <c r="AQ130" s="590"/>
      <c r="AR130" s="590"/>
      <c r="AS130" s="590" t="s">
        <v>163</v>
      </c>
      <c r="AT130" s="590" t="s">
        <v>160</v>
      </c>
      <c r="AU130" s="590"/>
      <c r="AV130" s="590"/>
      <c r="AW130" s="590"/>
      <c r="AX130" s="590" t="s">
        <v>163</v>
      </c>
    </row>
    <row r="131" spans="1:50" ht="14.25" customHeight="1">
      <c r="B131" s="586"/>
      <c r="C131" s="586"/>
      <c r="D131" s="586"/>
      <c r="E131" s="586" t="s">
        <v>343</v>
      </c>
      <c r="F131" s="586"/>
      <c r="G131" s="586"/>
      <c r="H131" s="586"/>
      <c r="I131" s="591" t="s">
        <v>343</v>
      </c>
      <c r="J131" s="591"/>
      <c r="K131" s="591"/>
      <c r="L131" s="591"/>
      <c r="M131" s="591"/>
      <c r="N131" s="600"/>
      <c r="O131" s="590"/>
      <c r="P131" s="590" t="s">
        <v>344</v>
      </c>
      <c r="Q131" s="590"/>
      <c r="R131" s="590"/>
      <c r="S131" s="590"/>
      <c r="T131" s="590"/>
      <c r="U131" s="590" t="s">
        <v>344</v>
      </c>
      <c r="V131" s="590"/>
      <c r="W131" s="590"/>
      <c r="X131" s="590"/>
      <c r="Y131" s="590"/>
      <c r="Z131" s="590" t="s">
        <v>344</v>
      </c>
      <c r="AA131" s="590"/>
      <c r="AB131" s="590"/>
      <c r="AC131" s="590"/>
      <c r="AD131" s="590"/>
      <c r="AE131" s="590" t="s">
        <v>344</v>
      </c>
      <c r="AF131" s="590"/>
      <c r="AG131" s="590"/>
      <c r="AH131" s="590"/>
      <c r="AI131" s="590"/>
      <c r="AJ131" s="590" t="s">
        <v>344</v>
      </c>
      <c r="AK131" s="590"/>
      <c r="AL131" s="590"/>
      <c r="AM131" s="590"/>
      <c r="AN131" s="590"/>
      <c r="AO131" s="590" t="s">
        <v>344</v>
      </c>
      <c r="AP131" s="590"/>
      <c r="AQ131" s="590"/>
      <c r="AR131" s="590"/>
      <c r="AS131" s="590"/>
      <c r="AT131" s="590" t="s">
        <v>344</v>
      </c>
      <c r="AU131" s="590"/>
      <c r="AV131" s="590"/>
      <c r="AW131" s="590"/>
      <c r="AX131" s="590"/>
    </row>
    <row r="132" spans="1:50" ht="14.25" customHeight="1">
      <c r="A132" s="176"/>
      <c r="B132" s="586"/>
      <c r="C132" s="586"/>
      <c r="D132" s="586"/>
      <c r="E132" s="179" t="s">
        <v>159</v>
      </c>
      <c r="F132" s="179" t="s">
        <v>345</v>
      </c>
      <c r="G132" s="179" t="s">
        <v>161</v>
      </c>
      <c r="H132" s="586"/>
      <c r="I132" s="180" t="s">
        <v>159</v>
      </c>
      <c r="J132" s="180" t="s">
        <v>345</v>
      </c>
      <c r="K132" s="180" t="s">
        <v>161</v>
      </c>
      <c r="L132" s="591"/>
      <c r="M132" s="591"/>
      <c r="N132" s="600"/>
      <c r="O132" s="590"/>
      <c r="P132" s="181" t="s">
        <v>159</v>
      </c>
      <c r="Q132" s="181" t="s">
        <v>345</v>
      </c>
      <c r="R132" s="181" t="s">
        <v>161</v>
      </c>
      <c r="S132" s="181" t="s">
        <v>165</v>
      </c>
      <c r="T132" s="590"/>
      <c r="U132" s="181" t="s">
        <v>159</v>
      </c>
      <c r="V132" s="181" t="s">
        <v>345</v>
      </c>
      <c r="W132" s="181" t="s">
        <v>161</v>
      </c>
      <c r="X132" s="181" t="s">
        <v>165</v>
      </c>
      <c r="Y132" s="590"/>
      <c r="Z132" s="181" t="s">
        <v>159</v>
      </c>
      <c r="AA132" s="181" t="s">
        <v>345</v>
      </c>
      <c r="AB132" s="181" t="s">
        <v>161</v>
      </c>
      <c r="AC132" s="181" t="s">
        <v>165</v>
      </c>
      <c r="AD132" s="590"/>
      <c r="AE132" s="181" t="s">
        <v>159</v>
      </c>
      <c r="AF132" s="181" t="s">
        <v>345</v>
      </c>
      <c r="AG132" s="181" t="s">
        <v>161</v>
      </c>
      <c r="AH132" s="181" t="s">
        <v>165</v>
      </c>
      <c r="AI132" s="590"/>
      <c r="AJ132" s="181" t="s">
        <v>159</v>
      </c>
      <c r="AK132" s="181" t="s">
        <v>345</v>
      </c>
      <c r="AL132" s="181" t="s">
        <v>161</v>
      </c>
      <c r="AM132" s="181" t="s">
        <v>165</v>
      </c>
      <c r="AN132" s="590"/>
      <c r="AO132" s="181" t="s">
        <v>159</v>
      </c>
      <c r="AP132" s="181" t="s">
        <v>345</v>
      </c>
      <c r="AQ132" s="181" t="s">
        <v>161</v>
      </c>
      <c r="AR132" s="181" t="s">
        <v>165</v>
      </c>
      <c r="AS132" s="590"/>
      <c r="AT132" s="181" t="s">
        <v>159</v>
      </c>
      <c r="AU132" s="181" t="s">
        <v>345</v>
      </c>
      <c r="AV132" s="181" t="s">
        <v>161</v>
      </c>
      <c r="AW132" s="181" t="s">
        <v>165</v>
      </c>
      <c r="AX132" s="590"/>
    </row>
    <row r="133" spans="1:50" ht="14.25" customHeight="1">
      <c r="B133" s="586" t="s">
        <v>346</v>
      </c>
      <c r="C133" s="179">
        <v>1</v>
      </c>
      <c r="D133" s="182" t="s">
        <v>371</v>
      </c>
      <c r="E133" s="183">
        <v>4</v>
      </c>
      <c r="F133" s="179">
        <v>3300</v>
      </c>
      <c r="G133" s="184">
        <f>IFERROR(F133/E133,"")</f>
        <v>825</v>
      </c>
      <c r="H133" s="588">
        <f>AVERAGE(G133:G169)</f>
        <v>863.85714285714289</v>
      </c>
      <c r="I133" s="185">
        <f>AVERAGE(P133,U133,Z133,AE133,AJ133,AO133,AT133)</f>
        <v>4</v>
      </c>
      <c r="J133" s="185">
        <f>AVERAGE(Q133,V133,AA133,AF133,AK133,AP133,AU133)</f>
        <v>3027.8391457484272</v>
      </c>
      <c r="K133" s="186">
        <f>AVERAGE(R133,W133,AB133,AG133,AL133,AQ133,AV133)</f>
        <v>756.9597864371068</v>
      </c>
      <c r="L133" s="589">
        <f>IFERROR(AVERAGE(K133:K169),"-")</f>
        <v>779.44928705475968</v>
      </c>
      <c r="M133" s="185">
        <f>RANK(K133, K$133:$K$169)</f>
        <v>18</v>
      </c>
      <c r="N133" s="600"/>
      <c r="O133" s="590"/>
      <c r="P133" s="187">
        <v>4</v>
      </c>
      <c r="Q133" s="187">
        <v>3025.387554004657</v>
      </c>
      <c r="R133" s="184">
        <f>IFERROR(Q133/P133,"")</f>
        <v>756.34688850116424</v>
      </c>
      <c r="S133" s="181">
        <f>RANK(R133, R$133:R$169)</f>
        <v>25</v>
      </c>
      <c r="T133" s="587">
        <f>AVERAGE(R133:R169)</f>
        <v>774.88828020908886</v>
      </c>
      <c r="U133" s="187">
        <v>4</v>
      </c>
      <c r="V133" s="187">
        <v>3026.7075540046571</v>
      </c>
      <c r="W133" s="184">
        <f t="shared" ref="W133:W166" si="51">IFERROR(V133/U133,"")</f>
        <v>756.67688850116429</v>
      </c>
      <c r="X133" s="181">
        <f>RANK(W133, W$133:W$169)</f>
        <v>17</v>
      </c>
      <c r="Y133" s="587">
        <f>AVERAGE(W133:W169)</f>
        <v>787.18033836924019</v>
      </c>
      <c r="Z133" s="187">
        <v>4</v>
      </c>
      <c r="AA133" s="187">
        <v>3027.0375540046571</v>
      </c>
      <c r="AB133" s="184">
        <f>IFERROR(AA133/Z133,"")</f>
        <v>756.75938850116427</v>
      </c>
      <c r="AC133" s="181">
        <f>RANK(AB133, AB$133:AB$169)</f>
        <v>17</v>
      </c>
      <c r="AD133" s="587">
        <f>AVERAGE(AB133:AB169)</f>
        <v>787.45097954787389</v>
      </c>
      <c r="AE133" s="187">
        <v>4</v>
      </c>
      <c r="AF133" s="187">
        <v>3027.3675540046574</v>
      </c>
      <c r="AG133" s="184">
        <f>IFERROR(AF133/AE133,"")</f>
        <v>756.84188850116436</v>
      </c>
      <c r="AH133" s="181">
        <f>RANK(AG133, AG$133:AG$169)</f>
        <v>17</v>
      </c>
      <c r="AI133" s="587">
        <f>AVERAGE(AG133:AG169)</f>
        <v>787.77096356498657</v>
      </c>
      <c r="AJ133" s="187">
        <v>4</v>
      </c>
      <c r="AK133" s="187">
        <v>3027.3675540046574</v>
      </c>
      <c r="AL133" s="184">
        <f>IFERROR(AK133/AJ133,"")</f>
        <v>756.84188850116436</v>
      </c>
      <c r="AM133" s="181">
        <f>RANK(AL133, AL$133:AL$169)</f>
        <v>18</v>
      </c>
      <c r="AN133" s="587">
        <f>AVERAGE(AL133:AL169)</f>
        <v>788.00290768243701</v>
      </c>
      <c r="AO133" s="187">
        <v>4</v>
      </c>
      <c r="AP133" s="187">
        <v>3030.5031251078517</v>
      </c>
      <c r="AQ133" s="184">
        <f>IFERROR(AP133/AO133,"")</f>
        <v>757.62578127696293</v>
      </c>
      <c r="AR133" s="181">
        <f>RANK(AQ133, AQ$133:AQ$169)</f>
        <v>18</v>
      </c>
      <c r="AS133" s="587">
        <f>AVERAGE(AQ133:AQ169)</f>
        <v>793.79668711791805</v>
      </c>
      <c r="AT133" s="187">
        <v>4</v>
      </c>
      <c r="AU133" s="187">
        <v>3030.5031251078517</v>
      </c>
      <c r="AV133" s="184">
        <f>IFERROR(AU133/AT133,"")</f>
        <v>757.62578127696293</v>
      </c>
      <c r="AW133" s="181">
        <f>RANK(AV133, AV$133:AV$169)</f>
        <v>18</v>
      </c>
      <c r="AX133" s="587">
        <f>AVERAGE(AV133:AV169)</f>
        <v>791.93899504694139</v>
      </c>
    </row>
    <row r="134" spans="1:50" ht="14.25" customHeight="1">
      <c r="B134" s="586"/>
      <c r="C134" s="179">
        <v>2</v>
      </c>
      <c r="D134" s="182" t="s">
        <v>369</v>
      </c>
      <c r="E134" s="183">
        <v>3</v>
      </c>
      <c r="F134" s="179">
        <v>3600</v>
      </c>
      <c r="G134" s="184">
        <f t="shared" ref="G134:G167" si="52">IFERROR(F134/E134,"")</f>
        <v>1200</v>
      </c>
      <c r="H134" s="588"/>
      <c r="I134" s="185">
        <f t="shared" ref="I134:K163" si="53">AVERAGE(P134,U134,Z134,AE134,AJ134,AO134,AT134)</f>
        <v>3.1428571428571428</v>
      </c>
      <c r="J134" s="185">
        <f t="shared" si="53"/>
        <v>3236.4595226048323</v>
      </c>
      <c r="K134" s="186">
        <f t="shared" si="53"/>
        <v>1040.3352547148183</v>
      </c>
      <c r="L134" s="589"/>
      <c r="M134" s="185">
        <f>RANK(K134, K$133:$K$169)</f>
        <v>1</v>
      </c>
      <c r="N134" s="600"/>
      <c r="O134" s="590"/>
      <c r="P134" s="187">
        <v>4</v>
      </c>
      <c r="Q134" s="187">
        <v>3232.7052368905479</v>
      </c>
      <c r="R134" s="184">
        <f t="shared" ref="R134:R166" si="54">IFERROR(Q134/P134,"")</f>
        <v>808.17630922263697</v>
      </c>
      <c r="S134" s="181">
        <f t="shared" ref="S134:S166" si="55">RANK(R134, R$133:R$169)</f>
        <v>3</v>
      </c>
      <c r="T134" s="587"/>
      <c r="U134" s="187">
        <v>3</v>
      </c>
      <c r="V134" s="187">
        <v>3234.5052368905476</v>
      </c>
      <c r="W134" s="184">
        <f t="shared" si="51"/>
        <v>1078.1684122968493</v>
      </c>
      <c r="X134" s="181">
        <f t="shared" ref="X134:X166" si="56">RANK(W134, W$133:W$169)</f>
        <v>1</v>
      </c>
      <c r="Y134" s="587"/>
      <c r="Z134" s="187">
        <v>3</v>
      </c>
      <c r="AA134" s="187">
        <v>3235.9452368905472</v>
      </c>
      <c r="AB134" s="184">
        <f t="shared" ref="AB134:AB166" si="57">IFERROR(AA134/Z134,"")</f>
        <v>1078.6484122968491</v>
      </c>
      <c r="AC134" s="181">
        <f t="shared" ref="AC134:AC166" si="58">RANK(AB134, AB$133:AB$169)</f>
        <v>1</v>
      </c>
      <c r="AD134" s="587"/>
      <c r="AE134" s="187">
        <v>3</v>
      </c>
      <c r="AF134" s="187">
        <v>3236.3052368905464</v>
      </c>
      <c r="AG134" s="184">
        <f t="shared" ref="AG134:AG166" si="59">IFERROR(AF134/AE134,"")</f>
        <v>1078.7684122968487</v>
      </c>
      <c r="AH134" s="181">
        <f t="shared" ref="AH134:AH166" si="60">RANK(AG134, AG$133:AG$169)</f>
        <v>1</v>
      </c>
      <c r="AI134" s="587"/>
      <c r="AJ134" s="187">
        <v>3</v>
      </c>
      <c r="AK134" s="187">
        <v>3237.7452368905456</v>
      </c>
      <c r="AL134" s="184">
        <f t="shared" ref="AL134:AL166" si="61">IFERROR(AK134/AJ134,"")</f>
        <v>1079.2484122968485</v>
      </c>
      <c r="AM134" s="181">
        <f t="shared" ref="AM134:AM166" si="62">RANK(AL134, AL$133:AL$169)</f>
        <v>1</v>
      </c>
      <c r="AN134" s="587"/>
      <c r="AO134" s="187">
        <v>3</v>
      </c>
      <c r="AP134" s="187">
        <v>3238.4652368905454</v>
      </c>
      <c r="AQ134" s="184">
        <f t="shared" ref="AQ134:AQ166" si="63">IFERROR(AP134/AO134,"")</f>
        <v>1079.4884122968485</v>
      </c>
      <c r="AR134" s="181">
        <f t="shared" ref="AR134:AR166" si="64">RANK(AQ134, AQ$133:AQ$169)</f>
        <v>1</v>
      </c>
      <c r="AS134" s="587"/>
      <c r="AT134" s="187">
        <v>3</v>
      </c>
      <c r="AU134" s="187">
        <v>3239.5452368905458</v>
      </c>
      <c r="AV134" s="184">
        <f t="shared" ref="AV134:AV167" si="65">IFERROR(AU134/AT134,"")</f>
        <v>1079.8484122968487</v>
      </c>
      <c r="AW134" s="181">
        <f t="shared" ref="AW134:AW166" si="66">RANK(AV134, AV$133:AV$169)</f>
        <v>1</v>
      </c>
      <c r="AX134" s="587"/>
    </row>
    <row r="135" spans="1:50" ht="14.25" customHeight="1">
      <c r="B135" s="586"/>
      <c r="C135" s="179">
        <v>3</v>
      </c>
      <c r="D135" s="182" t="s">
        <v>370</v>
      </c>
      <c r="E135" s="183">
        <v>5</v>
      </c>
      <c r="F135" s="179">
        <v>3600</v>
      </c>
      <c r="G135" s="184">
        <f t="shared" si="52"/>
        <v>720</v>
      </c>
      <c r="H135" s="588"/>
      <c r="I135" s="185">
        <f t="shared" si="53"/>
        <v>4.8571428571428568</v>
      </c>
      <c r="J135" s="185">
        <f t="shared" si="53"/>
        <v>3232.3984246553264</v>
      </c>
      <c r="K135" s="186">
        <f t="shared" si="53"/>
        <v>669.53016612245153</v>
      </c>
      <c r="L135" s="589"/>
      <c r="M135" s="185">
        <f>RANK(K135, K$133:$K$169)</f>
        <v>29</v>
      </c>
      <c r="N135" s="600"/>
      <c r="O135" s="590"/>
      <c r="P135" s="187">
        <v>4</v>
      </c>
      <c r="Q135" s="187">
        <v>3227.0673667940709</v>
      </c>
      <c r="R135" s="184">
        <f t="shared" si="54"/>
        <v>806.76684169851774</v>
      </c>
      <c r="S135" s="181">
        <f t="shared" si="55"/>
        <v>17</v>
      </c>
      <c r="T135" s="587"/>
      <c r="U135" s="187">
        <v>5</v>
      </c>
      <c r="V135" s="187">
        <v>3228.1473667940713</v>
      </c>
      <c r="W135" s="184">
        <f t="shared" si="51"/>
        <v>645.62947335881427</v>
      </c>
      <c r="X135" s="181">
        <f t="shared" si="56"/>
        <v>29</v>
      </c>
      <c r="Y135" s="587"/>
      <c r="Z135" s="187">
        <v>5</v>
      </c>
      <c r="AA135" s="187">
        <v>3228.5073667940715</v>
      </c>
      <c r="AB135" s="184">
        <f t="shared" si="57"/>
        <v>645.70147335881427</v>
      </c>
      <c r="AC135" s="181">
        <f t="shared" si="58"/>
        <v>29</v>
      </c>
      <c r="AD135" s="587"/>
      <c r="AE135" s="187">
        <v>5</v>
      </c>
      <c r="AF135" s="187">
        <v>3233.1567180512684</v>
      </c>
      <c r="AG135" s="184">
        <f t="shared" si="59"/>
        <v>646.63134361025368</v>
      </c>
      <c r="AH135" s="181">
        <f t="shared" si="60"/>
        <v>28</v>
      </c>
      <c r="AI135" s="587"/>
      <c r="AJ135" s="187">
        <v>5</v>
      </c>
      <c r="AK135" s="187">
        <v>3235.3167180512687</v>
      </c>
      <c r="AL135" s="184">
        <f t="shared" si="61"/>
        <v>647.0633436102537</v>
      </c>
      <c r="AM135" s="181">
        <f t="shared" si="62"/>
        <v>24</v>
      </c>
      <c r="AN135" s="587"/>
      <c r="AO135" s="187">
        <v>5</v>
      </c>
      <c r="AP135" s="187">
        <v>3237.4767180512681</v>
      </c>
      <c r="AQ135" s="184">
        <f t="shared" si="63"/>
        <v>647.4953436102536</v>
      </c>
      <c r="AR135" s="181">
        <f t="shared" si="64"/>
        <v>23</v>
      </c>
      <c r="AS135" s="587"/>
      <c r="AT135" s="187">
        <v>5</v>
      </c>
      <c r="AU135" s="187">
        <v>3237.116718051268</v>
      </c>
      <c r="AV135" s="184">
        <f t="shared" si="65"/>
        <v>647.4233436102536</v>
      </c>
      <c r="AW135" s="181">
        <f t="shared" si="66"/>
        <v>23</v>
      </c>
      <c r="AX135" s="587"/>
    </row>
    <row r="136" spans="1:50" ht="14.25" customHeight="1">
      <c r="B136" s="586"/>
      <c r="C136" s="179">
        <v>4</v>
      </c>
      <c r="D136" s="182" t="s">
        <v>212</v>
      </c>
      <c r="E136" s="183">
        <v>5</v>
      </c>
      <c r="F136" s="179">
        <v>3300</v>
      </c>
      <c r="G136" s="184">
        <f t="shared" si="52"/>
        <v>660</v>
      </c>
      <c r="H136" s="588"/>
      <c r="I136" s="185">
        <f t="shared" si="53"/>
        <v>4.833333333333333</v>
      </c>
      <c r="J136" s="185">
        <f t="shared" si="53"/>
        <v>3030.174807085014</v>
      </c>
      <c r="K136" s="186">
        <f t="shared" si="53"/>
        <v>631.26762647604448</v>
      </c>
      <c r="L136" s="589"/>
      <c r="M136" s="185">
        <f>RANK(K136, K$133:$K$169)</f>
        <v>31</v>
      </c>
      <c r="N136" s="600"/>
      <c r="O136" s="590"/>
      <c r="P136" s="187">
        <v>4</v>
      </c>
      <c r="Q136" s="187">
        <v>3027.9198070850148</v>
      </c>
      <c r="R136" s="184">
        <f t="shared" si="54"/>
        <v>756.9799517712537</v>
      </c>
      <c r="S136" s="181">
        <f t="shared" si="55"/>
        <v>24</v>
      </c>
      <c r="T136" s="587"/>
      <c r="U136" s="187">
        <v>5</v>
      </c>
      <c r="V136" s="187">
        <v>3028.2498070850147</v>
      </c>
      <c r="W136" s="184">
        <f t="shared" si="51"/>
        <v>605.64996141700294</v>
      </c>
      <c r="X136" s="181">
        <f t="shared" si="56"/>
        <v>30</v>
      </c>
      <c r="Y136" s="587"/>
      <c r="Z136" s="187">
        <v>5</v>
      </c>
      <c r="AA136" s="187">
        <v>3029.5698070850144</v>
      </c>
      <c r="AB136" s="184">
        <f t="shared" si="57"/>
        <v>605.91396141700284</v>
      </c>
      <c r="AC136" s="181">
        <f t="shared" si="58"/>
        <v>30</v>
      </c>
      <c r="AD136" s="587"/>
      <c r="AE136" s="187">
        <v>5</v>
      </c>
      <c r="AF136" s="187">
        <v>3031.2198070850136</v>
      </c>
      <c r="AG136" s="184">
        <f t="shared" si="59"/>
        <v>606.24396141700277</v>
      </c>
      <c r="AH136" s="181">
        <f t="shared" si="60"/>
        <v>30</v>
      </c>
      <c r="AI136" s="587"/>
      <c r="AJ136" s="187">
        <v>5</v>
      </c>
      <c r="AK136" s="187">
        <v>3031.2198070850141</v>
      </c>
      <c r="AL136" s="184">
        <f t="shared" si="61"/>
        <v>606.24396141700277</v>
      </c>
      <c r="AM136" s="181">
        <f t="shared" si="62"/>
        <v>30</v>
      </c>
      <c r="AN136" s="587"/>
      <c r="AO136" s="187">
        <v>5</v>
      </c>
      <c r="AP136" s="187">
        <v>3032.8698070850137</v>
      </c>
      <c r="AQ136" s="184">
        <f t="shared" si="63"/>
        <v>606.57396141700269</v>
      </c>
      <c r="AR136" s="181">
        <f t="shared" si="64"/>
        <v>30</v>
      </c>
      <c r="AS136" s="587"/>
      <c r="AT136" s="187"/>
      <c r="AU136" s="187"/>
      <c r="AV136" s="184"/>
      <c r="AW136" s="181"/>
      <c r="AX136" s="587"/>
    </row>
    <row r="137" spans="1:50" ht="14.25" customHeight="1">
      <c r="B137" s="586"/>
      <c r="C137" s="179">
        <v>5</v>
      </c>
      <c r="D137" s="182" t="s">
        <v>366</v>
      </c>
      <c r="E137" s="183">
        <v>3</v>
      </c>
      <c r="F137" s="179">
        <v>3600</v>
      </c>
      <c r="G137" s="184">
        <f t="shared" si="52"/>
        <v>1200</v>
      </c>
      <c r="H137" s="588"/>
      <c r="I137" s="185">
        <f t="shared" si="53"/>
        <v>3.1428571428571428</v>
      </c>
      <c r="J137" s="185">
        <f t="shared" si="53"/>
        <v>3231.2200095977705</v>
      </c>
      <c r="K137" s="186">
        <f t="shared" si="53"/>
        <v>1038.6775474760084</v>
      </c>
      <c r="L137" s="589"/>
      <c r="M137" s="185">
        <f>RANK(K137, K$133:$K$169)</f>
        <v>7</v>
      </c>
      <c r="N137" s="600"/>
      <c r="O137" s="590"/>
      <c r="P137" s="187">
        <v>4</v>
      </c>
      <c r="Q137" s="187">
        <v>3225.2462807528696</v>
      </c>
      <c r="R137" s="184">
        <f t="shared" si="54"/>
        <v>806.31157018821739</v>
      </c>
      <c r="S137" s="181">
        <f t="shared" si="55"/>
        <v>19</v>
      </c>
      <c r="T137" s="587"/>
      <c r="U137" s="187">
        <v>3</v>
      </c>
      <c r="V137" s="187">
        <v>3228.795631071921</v>
      </c>
      <c r="W137" s="184">
        <f t="shared" si="51"/>
        <v>1076.2652103573071</v>
      </c>
      <c r="X137" s="181">
        <f t="shared" si="56"/>
        <v>7</v>
      </c>
      <c r="Y137" s="587"/>
      <c r="Z137" s="187">
        <v>3</v>
      </c>
      <c r="AA137" s="187">
        <v>3230.5956310719207</v>
      </c>
      <c r="AB137" s="184">
        <f t="shared" si="57"/>
        <v>1076.865210357307</v>
      </c>
      <c r="AC137" s="181">
        <f t="shared" si="58"/>
        <v>6</v>
      </c>
      <c r="AD137" s="587"/>
      <c r="AE137" s="187">
        <v>3</v>
      </c>
      <c r="AF137" s="187">
        <v>3231.6756310719206</v>
      </c>
      <c r="AG137" s="184">
        <f t="shared" si="59"/>
        <v>1077.2252103573069</v>
      </c>
      <c r="AH137" s="181">
        <f t="shared" si="60"/>
        <v>8</v>
      </c>
      <c r="AI137" s="587"/>
      <c r="AJ137" s="187">
        <v>3</v>
      </c>
      <c r="AK137" s="187">
        <v>3232.7556310719206</v>
      </c>
      <c r="AL137" s="184">
        <f t="shared" si="61"/>
        <v>1077.5852103573068</v>
      </c>
      <c r="AM137" s="181">
        <f t="shared" si="62"/>
        <v>7</v>
      </c>
      <c r="AN137" s="587"/>
      <c r="AO137" s="187">
        <v>3</v>
      </c>
      <c r="AP137" s="187">
        <v>3234.1956310719202</v>
      </c>
      <c r="AQ137" s="184">
        <f t="shared" si="63"/>
        <v>1078.0652103573068</v>
      </c>
      <c r="AR137" s="181">
        <f t="shared" si="64"/>
        <v>5</v>
      </c>
      <c r="AS137" s="587"/>
      <c r="AT137" s="187">
        <v>3</v>
      </c>
      <c r="AU137" s="187">
        <v>3235.2756310719201</v>
      </c>
      <c r="AV137" s="184">
        <f t="shared" si="65"/>
        <v>1078.4252103573067</v>
      </c>
      <c r="AW137" s="181">
        <f t="shared" si="66"/>
        <v>4</v>
      </c>
      <c r="AX137" s="587"/>
    </row>
    <row r="138" spans="1:50" ht="14.25" customHeight="1">
      <c r="B138" s="586"/>
      <c r="C138" s="179">
        <v>6</v>
      </c>
      <c r="D138" s="182" t="s">
        <v>318</v>
      </c>
      <c r="E138" s="183">
        <v>4</v>
      </c>
      <c r="F138" s="179">
        <v>3600</v>
      </c>
      <c r="G138" s="184">
        <f t="shared" si="52"/>
        <v>900</v>
      </c>
      <c r="H138" s="588"/>
      <c r="I138" s="185">
        <f t="shared" si="53"/>
        <v>4</v>
      </c>
      <c r="J138" s="185">
        <f t="shared" si="53"/>
        <v>3234.7506743701642</v>
      </c>
      <c r="K138" s="186">
        <f t="shared" si="53"/>
        <v>808.68766859254106</v>
      </c>
      <c r="L138" s="589"/>
      <c r="M138" s="185">
        <f>RANK(K138, K$133:$K$169)</f>
        <v>15</v>
      </c>
      <c r="N138" s="600"/>
      <c r="O138" s="590"/>
      <c r="P138" s="187">
        <v>4</v>
      </c>
      <c r="Q138" s="187">
        <v>3231.510674370164</v>
      </c>
      <c r="R138" s="184">
        <f t="shared" si="54"/>
        <v>807.877668592541</v>
      </c>
      <c r="S138" s="181">
        <f t="shared" si="55"/>
        <v>5</v>
      </c>
      <c r="T138" s="587"/>
      <c r="U138" s="187">
        <v>4</v>
      </c>
      <c r="V138" s="187">
        <v>3232.2306743701643</v>
      </c>
      <c r="W138" s="184">
        <f t="shared" si="51"/>
        <v>808.05766859254106</v>
      </c>
      <c r="X138" s="181">
        <f t="shared" si="56"/>
        <v>15</v>
      </c>
      <c r="Y138" s="587"/>
      <c r="Z138" s="187">
        <v>4</v>
      </c>
      <c r="AA138" s="187">
        <v>3233.6706743701643</v>
      </c>
      <c r="AB138" s="184">
        <f t="shared" si="57"/>
        <v>808.41766859254108</v>
      </c>
      <c r="AC138" s="181">
        <f t="shared" si="58"/>
        <v>15</v>
      </c>
      <c r="AD138" s="587"/>
      <c r="AE138" s="187">
        <v>4</v>
      </c>
      <c r="AF138" s="187">
        <v>3234.7506743701642</v>
      </c>
      <c r="AG138" s="184">
        <f t="shared" si="59"/>
        <v>808.68766859254106</v>
      </c>
      <c r="AH138" s="181">
        <f t="shared" si="60"/>
        <v>15</v>
      </c>
      <c r="AI138" s="587"/>
      <c r="AJ138" s="187">
        <v>4</v>
      </c>
      <c r="AK138" s="187">
        <v>3236.550674370164</v>
      </c>
      <c r="AL138" s="184">
        <f t="shared" si="61"/>
        <v>809.13766859254099</v>
      </c>
      <c r="AM138" s="181">
        <f t="shared" si="62"/>
        <v>15</v>
      </c>
      <c r="AN138" s="587"/>
      <c r="AO138" s="187">
        <v>4</v>
      </c>
      <c r="AP138" s="187">
        <v>3237.990674370164</v>
      </c>
      <c r="AQ138" s="184">
        <f t="shared" si="63"/>
        <v>809.497668592541</v>
      </c>
      <c r="AR138" s="181">
        <f t="shared" si="64"/>
        <v>15</v>
      </c>
      <c r="AS138" s="587"/>
      <c r="AT138" s="187">
        <v>4</v>
      </c>
      <c r="AU138" s="187">
        <v>3236.5506743701649</v>
      </c>
      <c r="AV138" s="184">
        <f t="shared" si="65"/>
        <v>809.13766859254122</v>
      </c>
      <c r="AW138" s="181">
        <f t="shared" si="66"/>
        <v>15</v>
      </c>
      <c r="AX138" s="587"/>
    </row>
    <row r="139" spans="1:50" ht="14.25" customHeight="1">
      <c r="B139" s="586"/>
      <c r="C139" s="516" t="s">
        <v>717</v>
      </c>
      <c r="D139" s="182" t="s">
        <v>368</v>
      </c>
      <c r="E139" s="183">
        <v>3</v>
      </c>
      <c r="F139" s="179">
        <v>3600</v>
      </c>
      <c r="G139" s="184">
        <f t="shared" si="52"/>
        <v>1200</v>
      </c>
      <c r="H139" s="588"/>
      <c r="I139" s="185">
        <f t="shared" si="53"/>
        <v>3.1428571428571428</v>
      </c>
      <c r="J139" s="185">
        <f t="shared" si="53"/>
        <v>3231.2246645229743</v>
      </c>
      <c r="K139" s="186">
        <f t="shared" si="53"/>
        <v>1038.6434380864662</v>
      </c>
      <c r="L139" s="589"/>
      <c r="M139" s="185">
        <f>RANK(K139, K$133:$K$169)</f>
        <v>8</v>
      </c>
      <c r="N139" s="600"/>
      <c r="O139" s="590"/>
      <c r="P139" s="187">
        <v>4</v>
      </c>
      <c r="Q139" s="187">
        <v>3228.2418073801168</v>
      </c>
      <c r="R139" s="184">
        <f t="shared" si="54"/>
        <v>807.06045184502921</v>
      </c>
      <c r="S139" s="181">
        <f t="shared" si="55"/>
        <v>16</v>
      </c>
      <c r="T139" s="587"/>
      <c r="U139" s="187">
        <v>3</v>
      </c>
      <c r="V139" s="187">
        <v>3228.6018073801174</v>
      </c>
      <c r="W139" s="184">
        <f t="shared" si="51"/>
        <v>1076.2006024600391</v>
      </c>
      <c r="X139" s="181">
        <f t="shared" si="56"/>
        <v>8</v>
      </c>
      <c r="Y139" s="587"/>
      <c r="Z139" s="187">
        <v>3</v>
      </c>
      <c r="AA139" s="187">
        <v>3230.041807380117</v>
      </c>
      <c r="AB139" s="184">
        <f t="shared" si="57"/>
        <v>1076.6806024600389</v>
      </c>
      <c r="AC139" s="181">
        <f t="shared" si="58"/>
        <v>7</v>
      </c>
      <c r="AD139" s="587"/>
      <c r="AE139" s="187">
        <v>3</v>
      </c>
      <c r="AF139" s="187">
        <v>3231.8418073801172</v>
      </c>
      <c r="AG139" s="184">
        <f t="shared" si="59"/>
        <v>1077.2806024600391</v>
      </c>
      <c r="AH139" s="181">
        <f t="shared" si="60"/>
        <v>7</v>
      </c>
      <c r="AI139" s="587"/>
      <c r="AJ139" s="187">
        <v>3</v>
      </c>
      <c r="AK139" s="187">
        <v>3233.6418073801169</v>
      </c>
      <c r="AL139" s="184">
        <f t="shared" si="61"/>
        <v>1077.880602460039</v>
      </c>
      <c r="AM139" s="181">
        <f t="shared" si="62"/>
        <v>5</v>
      </c>
      <c r="AN139" s="587"/>
      <c r="AO139" s="187">
        <v>3</v>
      </c>
      <c r="AP139" s="187">
        <v>3234.0018073801166</v>
      </c>
      <c r="AQ139" s="184">
        <f t="shared" si="63"/>
        <v>1078.0006024600389</v>
      </c>
      <c r="AR139" s="181">
        <f t="shared" si="64"/>
        <v>6</v>
      </c>
      <c r="AS139" s="587"/>
      <c r="AT139" s="187">
        <v>3</v>
      </c>
      <c r="AU139" s="187">
        <v>3232.2018073801169</v>
      </c>
      <c r="AV139" s="184">
        <f t="shared" si="65"/>
        <v>1077.400602460039</v>
      </c>
      <c r="AW139" s="181">
        <f t="shared" si="66"/>
        <v>7</v>
      </c>
      <c r="AX139" s="587"/>
    </row>
    <row r="140" spans="1:50" ht="14.25" customHeight="1">
      <c r="B140" s="586"/>
      <c r="C140" s="179">
        <v>8</v>
      </c>
      <c r="D140" s="182" t="s">
        <v>367</v>
      </c>
      <c r="E140" s="183">
        <v>5</v>
      </c>
      <c r="F140" s="179">
        <v>3600</v>
      </c>
      <c r="G140" s="184">
        <f t="shared" si="52"/>
        <v>720</v>
      </c>
      <c r="H140" s="588"/>
      <c r="I140" s="185">
        <f t="shared" si="53"/>
        <v>4.8571428571428568</v>
      </c>
      <c r="J140" s="185">
        <f t="shared" si="53"/>
        <v>3232.8894890885108</v>
      </c>
      <c r="K140" s="186">
        <f t="shared" si="53"/>
        <v>669.62125175243739</v>
      </c>
      <c r="L140" s="589"/>
      <c r="M140" s="185">
        <f>RANK(K140, K$133:$K$169)</f>
        <v>27</v>
      </c>
      <c r="N140" s="600"/>
      <c r="O140" s="590"/>
      <c r="P140" s="187">
        <v>4</v>
      </c>
      <c r="Q140" s="187">
        <v>3226.0695508629146</v>
      </c>
      <c r="R140" s="184">
        <f t="shared" si="54"/>
        <v>806.51738771572866</v>
      </c>
      <c r="S140" s="181">
        <f t="shared" si="55"/>
        <v>18</v>
      </c>
      <c r="T140" s="587"/>
      <c r="U140" s="187">
        <v>5</v>
      </c>
      <c r="V140" s="187">
        <v>3231.8661454594439</v>
      </c>
      <c r="W140" s="184">
        <f t="shared" si="51"/>
        <v>646.37322909188879</v>
      </c>
      <c r="X140" s="181">
        <f t="shared" si="56"/>
        <v>25</v>
      </c>
      <c r="Y140" s="587"/>
      <c r="Z140" s="187">
        <v>5</v>
      </c>
      <c r="AA140" s="187">
        <v>3232.9461454594439</v>
      </c>
      <c r="AB140" s="184">
        <f t="shared" si="57"/>
        <v>646.5892290918888</v>
      </c>
      <c r="AC140" s="181">
        <f t="shared" si="58"/>
        <v>26</v>
      </c>
      <c r="AD140" s="587"/>
      <c r="AE140" s="187">
        <v>5</v>
      </c>
      <c r="AF140" s="187">
        <v>3233.306145459444</v>
      </c>
      <c r="AG140" s="184">
        <f t="shared" si="59"/>
        <v>646.6612290918888</v>
      </c>
      <c r="AH140" s="181">
        <f t="shared" si="60"/>
        <v>26</v>
      </c>
      <c r="AI140" s="587"/>
      <c r="AJ140" s="187">
        <v>5</v>
      </c>
      <c r="AK140" s="187">
        <v>3234.7461454594436</v>
      </c>
      <c r="AL140" s="184">
        <f t="shared" si="61"/>
        <v>646.9492290918887</v>
      </c>
      <c r="AM140" s="181">
        <f t="shared" si="62"/>
        <v>25</v>
      </c>
      <c r="AN140" s="587"/>
      <c r="AO140" s="187">
        <v>5</v>
      </c>
      <c r="AP140" s="187">
        <v>3235.4661454594439</v>
      </c>
      <c r="AQ140" s="184">
        <f t="shared" si="63"/>
        <v>647.09322909188882</v>
      </c>
      <c r="AR140" s="181">
        <f t="shared" si="64"/>
        <v>26</v>
      </c>
      <c r="AS140" s="587"/>
      <c r="AT140" s="187">
        <v>5</v>
      </c>
      <c r="AU140" s="187">
        <v>3235.8261454594444</v>
      </c>
      <c r="AV140" s="184">
        <f t="shared" si="65"/>
        <v>647.16522909188893</v>
      </c>
      <c r="AW140" s="181">
        <f t="shared" si="66"/>
        <v>26</v>
      </c>
      <c r="AX140" s="587"/>
    </row>
    <row r="141" spans="1:50" ht="14.25" customHeight="1">
      <c r="B141" s="586"/>
      <c r="C141" s="179">
        <v>9</v>
      </c>
      <c r="D141" s="182" t="s">
        <v>365</v>
      </c>
      <c r="E141" s="183">
        <v>5</v>
      </c>
      <c r="F141" s="179">
        <v>3600</v>
      </c>
      <c r="G141" s="184">
        <f t="shared" si="52"/>
        <v>720</v>
      </c>
      <c r="H141" s="588"/>
      <c r="I141" s="185">
        <f t="shared" si="53"/>
        <v>4.8571428571428568</v>
      </c>
      <c r="J141" s="185">
        <f t="shared" si="53"/>
        <v>3233.3715881137091</v>
      </c>
      <c r="K141" s="186">
        <f t="shared" si="53"/>
        <v>669.74374733375805</v>
      </c>
      <c r="L141" s="589"/>
      <c r="M141" s="185">
        <f>RANK(K141, K$133:$K$169)</f>
        <v>25</v>
      </c>
      <c r="N141" s="600"/>
      <c r="O141" s="590"/>
      <c r="P141" s="187">
        <v>4</v>
      </c>
      <c r="Q141" s="187">
        <v>3229.7201595422803</v>
      </c>
      <c r="R141" s="184">
        <f t="shared" si="54"/>
        <v>807.43003988557007</v>
      </c>
      <c r="S141" s="181">
        <f t="shared" si="55"/>
        <v>12</v>
      </c>
      <c r="T141" s="587"/>
      <c r="U141" s="187">
        <v>5</v>
      </c>
      <c r="V141" s="187">
        <v>3231.1601595422803</v>
      </c>
      <c r="W141" s="184">
        <f t="shared" si="51"/>
        <v>646.23203190845607</v>
      </c>
      <c r="X141" s="181">
        <f t="shared" si="56"/>
        <v>27</v>
      </c>
      <c r="Y141" s="587"/>
      <c r="Z141" s="187">
        <v>5</v>
      </c>
      <c r="AA141" s="187">
        <v>3232.9601595422796</v>
      </c>
      <c r="AB141" s="184">
        <f t="shared" si="57"/>
        <v>646.59203190845597</v>
      </c>
      <c r="AC141" s="181">
        <f t="shared" si="58"/>
        <v>25</v>
      </c>
      <c r="AD141" s="587"/>
      <c r="AE141" s="187">
        <v>5</v>
      </c>
      <c r="AF141" s="187">
        <v>3233.6801595422803</v>
      </c>
      <c r="AG141" s="184">
        <f t="shared" si="59"/>
        <v>646.73603190845608</v>
      </c>
      <c r="AH141" s="181">
        <f t="shared" si="60"/>
        <v>25</v>
      </c>
      <c r="AI141" s="587"/>
      <c r="AJ141" s="187">
        <v>5</v>
      </c>
      <c r="AK141" s="187">
        <v>3234.0401595422804</v>
      </c>
      <c r="AL141" s="184">
        <f t="shared" si="61"/>
        <v>646.80803190845609</v>
      </c>
      <c r="AM141" s="181">
        <f t="shared" si="62"/>
        <v>27</v>
      </c>
      <c r="AN141" s="587"/>
      <c r="AO141" s="187">
        <v>5</v>
      </c>
      <c r="AP141" s="187">
        <v>3236.2001595422807</v>
      </c>
      <c r="AQ141" s="184">
        <f t="shared" si="63"/>
        <v>647.2400319084561</v>
      </c>
      <c r="AR141" s="181">
        <f t="shared" si="64"/>
        <v>25</v>
      </c>
      <c r="AS141" s="587"/>
      <c r="AT141" s="187">
        <v>5</v>
      </c>
      <c r="AU141" s="187">
        <v>3235.8401595422802</v>
      </c>
      <c r="AV141" s="184">
        <f t="shared" si="65"/>
        <v>647.16803190845599</v>
      </c>
      <c r="AW141" s="181">
        <f t="shared" si="66"/>
        <v>25</v>
      </c>
      <c r="AX141" s="587"/>
    </row>
    <row r="142" spans="1:50" ht="14.25" customHeight="1">
      <c r="B142" s="586"/>
      <c r="C142" s="179">
        <v>10</v>
      </c>
      <c r="D142" s="182" t="s">
        <v>211</v>
      </c>
      <c r="E142" s="183">
        <v>3</v>
      </c>
      <c r="F142" s="179">
        <v>3000</v>
      </c>
      <c r="G142" s="184">
        <f t="shared" si="52"/>
        <v>1000</v>
      </c>
      <c r="H142" s="588"/>
      <c r="I142" s="185">
        <f t="shared" si="53"/>
        <v>3.1428571428571428</v>
      </c>
      <c r="J142" s="185">
        <f t="shared" si="53"/>
        <v>2758.0732574738859</v>
      </c>
      <c r="K142" s="186">
        <f t="shared" si="53"/>
        <v>886.56589398395295</v>
      </c>
      <c r="L142" s="589"/>
      <c r="M142" s="185">
        <f>RANK(K142, K$133:$K$169)</f>
        <v>12</v>
      </c>
      <c r="N142" s="600"/>
      <c r="O142" s="590"/>
      <c r="P142" s="187">
        <v>4</v>
      </c>
      <c r="Q142" s="187">
        <v>2754.5161146167434</v>
      </c>
      <c r="R142" s="184">
        <f t="shared" si="54"/>
        <v>688.62902865418584</v>
      </c>
      <c r="S142" s="181">
        <f t="shared" si="55"/>
        <v>31</v>
      </c>
      <c r="T142" s="587"/>
      <c r="U142" s="187">
        <v>3</v>
      </c>
      <c r="V142" s="187">
        <v>2756.0161146167434</v>
      </c>
      <c r="W142" s="184">
        <f t="shared" si="51"/>
        <v>918.67203820558109</v>
      </c>
      <c r="X142" s="181">
        <f t="shared" si="56"/>
        <v>11</v>
      </c>
      <c r="Y142" s="587"/>
      <c r="Z142" s="187">
        <v>3</v>
      </c>
      <c r="AA142" s="187">
        <v>2757.5161146167425</v>
      </c>
      <c r="AB142" s="184">
        <f t="shared" si="57"/>
        <v>919.17203820558086</v>
      </c>
      <c r="AC142" s="181">
        <f t="shared" si="58"/>
        <v>11</v>
      </c>
      <c r="AD142" s="587"/>
      <c r="AE142" s="187">
        <v>3</v>
      </c>
      <c r="AF142" s="187">
        <v>2758.4161146167426</v>
      </c>
      <c r="AG142" s="184">
        <f t="shared" si="59"/>
        <v>919.47203820558082</v>
      </c>
      <c r="AH142" s="181">
        <f t="shared" si="60"/>
        <v>12</v>
      </c>
      <c r="AI142" s="587"/>
      <c r="AJ142" s="187">
        <v>3</v>
      </c>
      <c r="AK142" s="187">
        <v>2759.6161146167424</v>
      </c>
      <c r="AL142" s="184">
        <f t="shared" si="61"/>
        <v>919.87203820558079</v>
      </c>
      <c r="AM142" s="181">
        <f t="shared" si="62"/>
        <v>12</v>
      </c>
      <c r="AN142" s="587"/>
      <c r="AO142" s="187">
        <v>3</v>
      </c>
      <c r="AP142" s="187">
        <v>2760.8161146167427</v>
      </c>
      <c r="AQ142" s="184">
        <f t="shared" si="63"/>
        <v>920.27203820558088</v>
      </c>
      <c r="AR142" s="181">
        <f t="shared" si="64"/>
        <v>11</v>
      </c>
      <c r="AS142" s="587"/>
      <c r="AT142" s="187">
        <v>3</v>
      </c>
      <c r="AU142" s="187">
        <v>2759.6161146167428</v>
      </c>
      <c r="AV142" s="184">
        <f t="shared" si="65"/>
        <v>919.87203820558091</v>
      </c>
      <c r="AW142" s="181">
        <f t="shared" si="66"/>
        <v>12</v>
      </c>
      <c r="AX142" s="587"/>
    </row>
    <row r="143" spans="1:50" ht="14.25" customHeight="1">
      <c r="B143" s="586"/>
      <c r="C143" s="179">
        <v>11</v>
      </c>
      <c r="D143" s="182" t="s">
        <v>416</v>
      </c>
      <c r="E143" s="183">
        <v>12</v>
      </c>
      <c r="F143" s="179">
        <v>3600</v>
      </c>
      <c r="G143" s="184">
        <f t="shared" si="52"/>
        <v>300</v>
      </c>
      <c r="H143" s="588"/>
      <c r="I143" s="185">
        <f t="shared" si="53"/>
        <v>10.857142857142858</v>
      </c>
      <c r="J143" s="185">
        <f t="shared" si="53"/>
        <v>3121.1465203442608</v>
      </c>
      <c r="K143" s="186">
        <f t="shared" si="53"/>
        <v>334.41829043003952</v>
      </c>
      <c r="L143" s="589"/>
      <c r="M143" s="185">
        <f>RANK(K143, K$133:$K$169)</f>
        <v>34</v>
      </c>
      <c r="N143" s="600"/>
      <c r="O143" s="590"/>
      <c r="P143" s="187">
        <v>4</v>
      </c>
      <c r="Q143" s="187">
        <v>3121.5553768567456</v>
      </c>
      <c r="R143" s="184">
        <f t="shared" si="54"/>
        <v>780.38884421418641</v>
      </c>
      <c r="S143" s="181">
        <f t="shared" si="55"/>
        <v>20</v>
      </c>
      <c r="T143" s="587"/>
      <c r="U143" s="187">
        <v>12</v>
      </c>
      <c r="V143" s="187">
        <v>3120.1153768567456</v>
      </c>
      <c r="W143" s="184">
        <f t="shared" si="51"/>
        <v>260.00961473806211</v>
      </c>
      <c r="X143" s="181">
        <f t="shared" si="56"/>
        <v>34</v>
      </c>
      <c r="Y143" s="587"/>
      <c r="Z143" s="187">
        <v>12</v>
      </c>
      <c r="AA143" s="187">
        <v>3119.9029777392666</v>
      </c>
      <c r="AB143" s="184">
        <f t="shared" si="57"/>
        <v>259.99191481160557</v>
      </c>
      <c r="AC143" s="181">
        <f t="shared" si="58"/>
        <v>34</v>
      </c>
      <c r="AD143" s="587"/>
      <c r="AE143" s="187">
        <v>12</v>
      </c>
      <c r="AF143" s="187">
        <v>3120.982977739267</v>
      </c>
      <c r="AG143" s="184">
        <f t="shared" si="59"/>
        <v>260.0819148116056</v>
      </c>
      <c r="AH143" s="181">
        <f t="shared" si="60"/>
        <v>34</v>
      </c>
      <c r="AI143" s="587"/>
      <c r="AJ143" s="187">
        <v>12</v>
      </c>
      <c r="AK143" s="187">
        <v>3121.7029777392677</v>
      </c>
      <c r="AL143" s="184">
        <f t="shared" si="61"/>
        <v>260.14191481160566</v>
      </c>
      <c r="AM143" s="181">
        <f t="shared" si="62"/>
        <v>34</v>
      </c>
      <c r="AN143" s="587"/>
      <c r="AO143" s="187">
        <v>12</v>
      </c>
      <c r="AP143" s="187">
        <v>3122.0629777392674</v>
      </c>
      <c r="AQ143" s="184">
        <f t="shared" si="63"/>
        <v>260.17191481160563</v>
      </c>
      <c r="AR143" s="181">
        <f t="shared" si="64"/>
        <v>32</v>
      </c>
      <c r="AS143" s="587"/>
      <c r="AT143" s="187">
        <v>12</v>
      </c>
      <c r="AU143" s="187">
        <v>3121.7029777392681</v>
      </c>
      <c r="AV143" s="184">
        <f t="shared" si="65"/>
        <v>260.14191481160566</v>
      </c>
      <c r="AW143" s="181">
        <f t="shared" si="66"/>
        <v>32</v>
      </c>
      <c r="AX143" s="587"/>
    </row>
    <row r="144" spans="1:50" ht="14.25" customHeight="1">
      <c r="B144" s="586"/>
      <c r="C144" s="179">
        <v>12</v>
      </c>
      <c r="D144" s="182" t="s">
        <v>432</v>
      </c>
      <c r="E144" s="183">
        <v>3</v>
      </c>
      <c r="F144" s="179">
        <v>3300</v>
      </c>
      <c r="G144" s="184">
        <f t="shared" si="52"/>
        <v>1100</v>
      </c>
      <c r="H144" s="588"/>
      <c r="I144" s="185">
        <f t="shared" si="53"/>
        <v>3.1428571428571428</v>
      </c>
      <c r="J144" s="185">
        <f t="shared" si="53"/>
        <v>3028.2902988200635</v>
      </c>
      <c r="K144" s="186">
        <f t="shared" si="53"/>
        <v>973.422935071599</v>
      </c>
      <c r="L144" s="589"/>
      <c r="M144" s="185">
        <f>RANK(K144, K$133:$K$169)</f>
        <v>10</v>
      </c>
      <c r="N144" s="600"/>
      <c r="O144" s="590"/>
      <c r="P144" s="187">
        <v>4</v>
      </c>
      <c r="Q144" s="187">
        <v>3024.6018209474569</v>
      </c>
      <c r="R144" s="184">
        <f t="shared" si="54"/>
        <v>756.15045523686422</v>
      </c>
      <c r="S144" s="181">
        <f t="shared" si="55"/>
        <v>27</v>
      </c>
      <c r="T144" s="587"/>
      <c r="U144" s="187">
        <v>3</v>
      </c>
      <c r="V144" s="187">
        <v>3026.2518209474565</v>
      </c>
      <c r="W144" s="184">
        <f t="shared" si="51"/>
        <v>1008.7506069824855</v>
      </c>
      <c r="X144" s="181">
        <f t="shared" si="56"/>
        <v>10</v>
      </c>
      <c r="Y144" s="587"/>
      <c r="Z144" s="187">
        <v>3</v>
      </c>
      <c r="AA144" s="187">
        <v>3026.9118209474564</v>
      </c>
      <c r="AB144" s="184">
        <f t="shared" si="57"/>
        <v>1008.9706069824855</v>
      </c>
      <c r="AC144" s="181">
        <f t="shared" si="58"/>
        <v>10</v>
      </c>
      <c r="AD144" s="587"/>
      <c r="AE144" s="187">
        <v>3</v>
      </c>
      <c r="AF144" s="187">
        <v>3028.5618209474569</v>
      </c>
      <c r="AG144" s="184">
        <f t="shared" si="59"/>
        <v>1009.5206069824857</v>
      </c>
      <c r="AH144" s="181">
        <f t="shared" si="60"/>
        <v>10</v>
      </c>
      <c r="AI144" s="587"/>
      <c r="AJ144" s="187">
        <v>3</v>
      </c>
      <c r="AK144" s="187">
        <v>3028.8918209474568</v>
      </c>
      <c r="AL144" s="184">
        <f t="shared" si="61"/>
        <v>1009.6306069824856</v>
      </c>
      <c r="AM144" s="181">
        <f t="shared" si="62"/>
        <v>10</v>
      </c>
      <c r="AN144" s="587"/>
      <c r="AO144" s="187">
        <v>3</v>
      </c>
      <c r="AP144" s="187">
        <v>3031.5714935015808</v>
      </c>
      <c r="AQ144" s="184">
        <f t="shared" si="63"/>
        <v>1010.5238311671936</v>
      </c>
      <c r="AR144" s="181">
        <f t="shared" si="64"/>
        <v>10</v>
      </c>
      <c r="AS144" s="587"/>
      <c r="AT144" s="187">
        <v>3</v>
      </c>
      <c r="AU144" s="187">
        <v>3031.2414935015804</v>
      </c>
      <c r="AV144" s="184">
        <f t="shared" si="65"/>
        <v>1010.4138311671935</v>
      </c>
      <c r="AW144" s="181">
        <f t="shared" si="66"/>
        <v>10</v>
      </c>
      <c r="AX144" s="587"/>
    </row>
    <row r="145" spans="2:50" ht="14.25" customHeight="1">
      <c r="B145" s="586"/>
      <c r="C145" s="179">
        <v>13</v>
      </c>
      <c r="D145" s="182" t="s">
        <v>528</v>
      </c>
      <c r="E145" s="183">
        <v>3</v>
      </c>
      <c r="F145" s="179">
        <v>3600</v>
      </c>
      <c r="G145" s="184">
        <f t="shared" si="52"/>
        <v>1200</v>
      </c>
      <c r="H145" s="588"/>
      <c r="I145" s="185">
        <f t="shared" si="53"/>
        <v>3.1428571428571428</v>
      </c>
      <c r="J145" s="185">
        <f t="shared" si="53"/>
        <v>3231.8326435737386</v>
      </c>
      <c r="K145" s="186">
        <f t="shared" si="53"/>
        <v>1038.8137578833955</v>
      </c>
      <c r="L145" s="589"/>
      <c r="M145" s="185">
        <f>RANK(K145, K$133:$K$169)</f>
        <v>5</v>
      </c>
      <c r="N145" s="600"/>
      <c r="O145" s="590"/>
      <c r="P145" s="187">
        <v>4</v>
      </c>
      <c r="Q145" s="187">
        <v>3230.9583578594525</v>
      </c>
      <c r="R145" s="184">
        <f t="shared" si="54"/>
        <v>807.73958946486312</v>
      </c>
      <c r="S145" s="181">
        <f t="shared" si="55"/>
        <v>7</v>
      </c>
      <c r="T145" s="587"/>
      <c r="U145" s="187">
        <v>3</v>
      </c>
      <c r="V145" s="187">
        <v>3231.3183578594526</v>
      </c>
      <c r="W145" s="184">
        <f t="shared" si="51"/>
        <v>1077.1061192864843</v>
      </c>
      <c r="X145" s="181">
        <f t="shared" si="56"/>
        <v>2</v>
      </c>
      <c r="Y145" s="587"/>
      <c r="Z145" s="187">
        <v>3</v>
      </c>
      <c r="AA145" s="187">
        <v>3232.0383578594524</v>
      </c>
      <c r="AB145" s="184">
        <f t="shared" si="57"/>
        <v>1077.3461192864841</v>
      </c>
      <c r="AC145" s="181">
        <f t="shared" si="58"/>
        <v>3</v>
      </c>
      <c r="AD145" s="587"/>
      <c r="AE145" s="187">
        <v>3</v>
      </c>
      <c r="AF145" s="187">
        <v>3232.0383578594524</v>
      </c>
      <c r="AG145" s="184">
        <f t="shared" si="59"/>
        <v>1077.3461192864841</v>
      </c>
      <c r="AH145" s="181">
        <f t="shared" si="60"/>
        <v>6</v>
      </c>
      <c r="AI145" s="587"/>
      <c r="AJ145" s="187">
        <v>3</v>
      </c>
      <c r="AK145" s="187">
        <v>3232.3983578594525</v>
      </c>
      <c r="AL145" s="184">
        <f t="shared" si="61"/>
        <v>1077.4661192864842</v>
      </c>
      <c r="AM145" s="181">
        <f t="shared" si="62"/>
        <v>8</v>
      </c>
      <c r="AN145" s="587"/>
      <c r="AO145" s="187">
        <v>3</v>
      </c>
      <c r="AP145" s="187">
        <v>3232.7583578594526</v>
      </c>
      <c r="AQ145" s="184">
        <f t="shared" si="63"/>
        <v>1077.5861192864843</v>
      </c>
      <c r="AR145" s="181">
        <f t="shared" si="64"/>
        <v>8</v>
      </c>
      <c r="AS145" s="587"/>
      <c r="AT145" s="187">
        <v>3</v>
      </c>
      <c r="AU145" s="187">
        <v>3231.318357859453</v>
      </c>
      <c r="AV145" s="184">
        <f t="shared" si="65"/>
        <v>1077.1061192864843</v>
      </c>
      <c r="AW145" s="181">
        <f t="shared" si="66"/>
        <v>8</v>
      </c>
      <c r="AX145" s="587"/>
    </row>
    <row r="146" spans="2:50" ht="14.25" customHeight="1">
      <c r="B146" s="586"/>
      <c r="C146" s="179">
        <v>14</v>
      </c>
      <c r="D146" s="182" t="s">
        <v>521</v>
      </c>
      <c r="E146" s="183">
        <v>3</v>
      </c>
      <c r="F146" s="179">
        <v>3300</v>
      </c>
      <c r="G146" s="184">
        <f t="shared" si="52"/>
        <v>1100</v>
      </c>
      <c r="H146" s="588"/>
      <c r="I146" s="185">
        <f t="shared" si="53"/>
        <v>3.1428571428571428</v>
      </c>
      <c r="J146" s="185">
        <f t="shared" si="53"/>
        <v>3033.7413316106622</v>
      </c>
      <c r="K146" s="186">
        <f t="shared" si="53"/>
        <v>975.17743100742723</v>
      </c>
      <c r="L146" s="589"/>
      <c r="M146" s="185">
        <f>RANK(K146, K$133:$K$169)</f>
        <v>9</v>
      </c>
      <c r="N146" s="600"/>
      <c r="O146" s="590"/>
      <c r="P146" s="187">
        <v>4</v>
      </c>
      <c r="Q146" s="187">
        <v>3029.8530804746656</v>
      </c>
      <c r="R146" s="184">
        <f t="shared" si="54"/>
        <v>757.4632701186664</v>
      </c>
      <c r="S146" s="181">
        <f t="shared" si="55"/>
        <v>22</v>
      </c>
      <c r="T146" s="587"/>
      <c r="U146" s="187">
        <v>3</v>
      </c>
      <c r="V146" s="187">
        <v>3030.7593734666625</v>
      </c>
      <c r="W146" s="184">
        <f t="shared" si="51"/>
        <v>1010.2531244888875</v>
      </c>
      <c r="X146" s="181">
        <f t="shared" si="56"/>
        <v>9</v>
      </c>
      <c r="Y146" s="587"/>
      <c r="Z146" s="187">
        <v>3</v>
      </c>
      <c r="AA146" s="187">
        <v>3032.7393734666625</v>
      </c>
      <c r="AB146" s="184">
        <f t="shared" si="57"/>
        <v>1010.9131244888875</v>
      </c>
      <c r="AC146" s="181">
        <f t="shared" si="58"/>
        <v>9</v>
      </c>
      <c r="AD146" s="587"/>
      <c r="AE146" s="187">
        <v>3</v>
      </c>
      <c r="AF146" s="187">
        <v>3034.3893734666626</v>
      </c>
      <c r="AG146" s="184">
        <f t="shared" si="59"/>
        <v>1011.4631244888875</v>
      </c>
      <c r="AH146" s="181">
        <f t="shared" si="60"/>
        <v>9</v>
      </c>
      <c r="AI146" s="587"/>
      <c r="AJ146" s="187">
        <v>3</v>
      </c>
      <c r="AK146" s="187">
        <v>3036.0393734666618</v>
      </c>
      <c r="AL146" s="184">
        <f t="shared" si="61"/>
        <v>1012.0131244888872</v>
      </c>
      <c r="AM146" s="181">
        <f t="shared" si="62"/>
        <v>9</v>
      </c>
      <c r="AN146" s="587"/>
      <c r="AO146" s="187">
        <v>3</v>
      </c>
      <c r="AP146" s="187">
        <v>3036.6993734666617</v>
      </c>
      <c r="AQ146" s="184">
        <f t="shared" si="63"/>
        <v>1012.2331244888873</v>
      </c>
      <c r="AR146" s="181">
        <f t="shared" si="64"/>
        <v>9</v>
      </c>
      <c r="AS146" s="587"/>
      <c r="AT146" s="187">
        <v>3</v>
      </c>
      <c r="AU146" s="187">
        <v>3035.7093734666614</v>
      </c>
      <c r="AV146" s="184">
        <f t="shared" si="65"/>
        <v>1011.9031244888871</v>
      </c>
      <c r="AW146" s="181">
        <f t="shared" si="66"/>
        <v>9</v>
      </c>
      <c r="AX146" s="587"/>
    </row>
    <row r="147" spans="2:50" ht="14.25" customHeight="1">
      <c r="B147" s="586"/>
      <c r="C147" s="179">
        <v>15</v>
      </c>
      <c r="D147" s="182" t="s">
        <v>593</v>
      </c>
      <c r="E147" s="183">
        <v>4</v>
      </c>
      <c r="F147" s="179">
        <v>3300</v>
      </c>
      <c r="G147" s="184">
        <f t="shared" si="52"/>
        <v>825</v>
      </c>
      <c r="H147" s="588"/>
      <c r="I147" s="185">
        <f t="shared" si="53"/>
        <v>4</v>
      </c>
      <c r="J147" s="185">
        <f t="shared" si="53"/>
        <v>3033.3852716715992</v>
      </c>
      <c r="K147" s="186">
        <f t="shared" si="53"/>
        <v>758.3463179178998</v>
      </c>
      <c r="L147" s="589"/>
      <c r="M147" s="185">
        <f>RANK(K147, K$133:$K$169)</f>
        <v>16</v>
      </c>
      <c r="N147" s="600"/>
      <c r="O147" s="590"/>
      <c r="P147" s="187">
        <v>4</v>
      </c>
      <c r="Q147" s="187">
        <v>3029.6609859573146</v>
      </c>
      <c r="R147" s="184">
        <f t="shared" si="54"/>
        <v>757.41524648932864</v>
      </c>
      <c r="S147" s="181">
        <f t="shared" si="55"/>
        <v>23</v>
      </c>
      <c r="T147" s="587"/>
      <c r="U147" s="187">
        <v>4</v>
      </c>
      <c r="V147" s="187">
        <v>3030.9809859573147</v>
      </c>
      <c r="W147" s="184">
        <f t="shared" si="51"/>
        <v>757.74524648932868</v>
      </c>
      <c r="X147" s="181">
        <f t="shared" si="56"/>
        <v>16</v>
      </c>
      <c r="Y147" s="587"/>
      <c r="Z147" s="187">
        <v>4</v>
      </c>
      <c r="AA147" s="187">
        <v>3032.6309859573144</v>
      </c>
      <c r="AB147" s="184">
        <f t="shared" si="57"/>
        <v>758.15774648932859</v>
      </c>
      <c r="AC147" s="181">
        <f t="shared" si="58"/>
        <v>16</v>
      </c>
      <c r="AD147" s="587"/>
      <c r="AE147" s="187">
        <v>4</v>
      </c>
      <c r="AF147" s="187">
        <v>3034.2809859573135</v>
      </c>
      <c r="AG147" s="184">
        <f t="shared" si="59"/>
        <v>758.57024648932838</v>
      </c>
      <c r="AH147" s="181">
        <f t="shared" si="60"/>
        <v>16</v>
      </c>
      <c r="AI147" s="587"/>
      <c r="AJ147" s="187">
        <v>4</v>
      </c>
      <c r="AK147" s="187">
        <v>3035.2709859573133</v>
      </c>
      <c r="AL147" s="184">
        <f t="shared" si="61"/>
        <v>758.81774648932833</v>
      </c>
      <c r="AM147" s="181">
        <f t="shared" si="62"/>
        <v>16</v>
      </c>
      <c r="AN147" s="587"/>
      <c r="AO147" s="187">
        <v>4</v>
      </c>
      <c r="AP147" s="187">
        <v>3035.9309859573127</v>
      </c>
      <c r="AQ147" s="184">
        <f t="shared" si="63"/>
        <v>758.98274648932818</v>
      </c>
      <c r="AR147" s="181">
        <f t="shared" si="64"/>
        <v>16</v>
      </c>
      <c r="AS147" s="587"/>
      <c r="AT147" s="187">
        <v>4</v>
      </c>
      <c r="AU147" s="187">
        <v>3034.9409859573129</v>
      </c>
      <c r="AV147" s="184">
        <f t="shared" si="65"/>
        <v>758.73524648932823</v>
      </c>
      <c r="AW147" s="181">
        <f t="shared" si="66"/>
        <v>16</v>
      </c>
      <c r="AX147" s="587"/>
    </row>
    <row r="148" spans="2:50" ht="14.25" customHeight="1">
      <c r="B148" s="586"/>
      <c r="C148" s="179">
        <v>16</v>
      </c>
      <c r="D148" s="182" t="s">
        <v>608</v>
      </c>
      <c r="E148" s="183">
        <v>5</v>
      </c>
      <c r="F148" s="179">
        <v>3600</v>
      </c>
      <c r="G148" s="184">
        <f t="shared" si="52"/>
        <v>720</v>
      </c>
      <c r="H148" s="588"/>
      <c r="I148" s="185">
        <f t="shared" si="53"/>
        <v>4.8571428571428568</v>
      </c>
      <c r="J148" s="185">
        <f t="shared" si="53"/>
        <v>3233.2687337344469</v>
      </c>
      <c r="K148" s="186">
        <f t="shared" si="53"/>
        <v>669.7272172939721</v>
      </c>
      <c r="L148" s="589"/>
      <c r="M148" s="185">
        <f>RANK(K148, K$133:$K$169)</f>
        <v>26</v>
      </c>
      <c r="N148" s="600"/>
      <c r="O148" s="590"/>
      <c r="P148" s="187">
        <v>4</v>
      </c>
      <c r="Q148" s="187">
        <v>3230.2858765915903</v>
      </c>
      <c r="R148" s="184">
        <f t="shared" si="54"/>
        <v>807.57146914789757</v>
      </c>
      <c r="S148" s="181">
        <f t="shared" si="55"/>
        <v>10</v>
      </c>
      <c r="T148" s="587"/>
      <c r="U148" s="187">
        <v>5</v>
      </c>
      <c r="V148" s="187">
        <v>3231.7258765915899</v>
      </c>
      <c r="W148" s="184">
        <f t="shared" si="51"/>
        <v>646.34517531831796</v>
      </c>
      <c r="X148" s="181">
        <f t="shared" si="56"/>
        <v>26</v>
      </c>
      <c r="Y148" s="587"/>
      <c r="Z148" s="187">
        <v>5</v>
      </c>
      <c r="AA148" s="187">
        <v>3232.4458765915897</v>
      </c>
      <c r="AB148" s="184">
        <f t="shared" si="57"/>
        <v>646.48917531831796</v>
      </c>
      <c r="AC148" s="181">
        <f t="shared" si="58"/>
        <v>27</v>
      </c>
      <c r="AD148" s="587"/>
      <c r="AE148" s="187">
        <v>5</v>
      </c>
      <c r="AF148" s="187">
        <v>3233.8858765915893</v>
      </c>
      <c r="AG148" s="184">
        <f t="shared" si="59"/>
        <v>646.77717531831786</v>
      </c>
      <c r="AH148" s="181">
        <f t="shared" si="60"/>
        <v>24</v>
      </c>
      <c r="AI148" s="587"/>
      <c r="AJ148" s="187">
        <v>5</v>
      </c>
      <c r="AK148" s="187">
        <v>3233.8858765915888</v>
      </c>
      <c r="AL148" s="184">
        <f t="shared" si="61"/>
        <v>646.77717531831775</v>
      </c>
      <c r="AM148" s="181">
        <f t="shared" si="62"/>
        <v>28</v>
      </c>
      <c r="AN148" s="587"/>
      <c r="AO148" s="187">
        <v>5</v>
      </c>
      <c r="AP148" s="187">
        <v>3234.6058765915886</v>
      </c>
      <c r="AQ148" s="184">
        <f t="shared" si="63"/>
        <v>646.92117531831775</v>
      </c>
      <c r="AR148" s="181">
        <f t="shared" si="64"/>
        <v>28</v>
      </c>
      <c r="AS148" s="587"/>
      <c r="AT148" s="187">
        <v>5</v>
      </c>
      <c r="AU148" s="187">
        <v>3236.0458765915887</v>
      </c>
      <c r="AV148" s="184">
        <f t="shared" si="65"/>
        <v>647.20917531831776</v>
      </c>
      <c r="AW148" s="181">
        <f t="shared" si="66"/>
        <v>24</v>
      </c>
      <c r="AX148" s="587"/>
    </row>
    <row r="149" spans="2:50" ht="14.25" customHeight="1">
      <c r="B149" s="586"/>
      <c r="C149" s="179">
        <v>17</v>
      </c>
      <c r="D149" s="182" t="s">
        <v>378</v>
      </c>
      <c r="E149" s="183">
        <v>5</v>
      </c>
      <c r="F149" s="179">
        <v>3600</v>
      </c>
      <c r="G149" s="184">
        <f t="shared" si="52"/>
        <v>720</v>
      </c>
      <c r="H149" s="588"/>
      <c r="I149" s="185">
        <f t="shared" si="53"/>
        <v>4.8571428571428568</v>
      </c>
      <c r="J149" s="185">
        <f t="shared" si="53"/>
        <v>3233.5250152091353</v>
      </c>
      <c r="K149" s="186">
        <f t="shared" si="53"/>
        <v>669.78177355862704</v>
      </c>
      <c r="L149" s="589"/>
      <c r="M149" s="185">
        <f>RANK(K149, K$133:$K$169)</f>
        <v>24</v>
      </c>
      <c r="N149" s="600"/>
      <c r="O149" s="590"/>
      <c r="P149" s="187">
        <v>4</v>
      </c>
      <c r="Q149" s="187">
        <v>3230.7478723519926</v>
      </c>
      <c r="R149" s="184">
        <f t="shared" si="54"/>
        <v>807.68696808799814</v>
      </c>
      <c r="S149" s="181">
        <f t="shared" si="55"/>
        <v>8</v>
      </c>
      <c r="T149" s="587"/>
      <c r="U149" s="187">
        <v>5</v>
      </c>
      <c r="V149" s="187">
        <v>3232.9078723519929</v>
      </c>
      <c r="W149" s="184">
        <f t="shared" si="51"/>
        <v>646.58157447039855</v>
      </c>
      <c r="X149" s="181">
        <f t="shared" si="56"/>
        <v>24</v>
      </c>
      <c r="Y149" s="587"/>
      <c r="Z149" s="187">
        <v>5</v>
      </c>
      <c r="AA149" s="187">
        <v>3233.267872351993</v>
      </c>
      <c r="AB149" s="184">
        <f t="shared" si="57"/>
        <v>646.65357447039855</v>
      </c>
      <c r="AC149" s="181">
        <f t="shared" si="58"/>
        <v>24</v>
      </c>
      <c r="AD149" s="587"/>
      <c r="AE149" s="187">
        <v>5</v>
      </c>
      <c r="AF149" s="187">
        <v>3233.267872351993</v>
      </c>
      <c r="AG149" s="184">
        <f t="shared" si="59"/>
        <v>646.65357447039855</v>
      </c>
      <c r="AH149" s="181">
        <f t="shared" si="60"/>
        <v>27</v>
      </c>
      <c r="AI149" s="587"/>
      <c r="AJ149" s="187">
        <v>5</v>
      </c>
      <c r="AK149" s="187">
        <v>3234.3478723519925</v>
      </c>
      <c r="AL149" s="184">
        <f t="shared" si="61"/>
        <v>646.86957447039845</v>
      </c>
      <c r="AM149" s="181">
        <f t="shared" si="62"/>
        <v>26</v>
      </c>
      <c r="AN149" s="587"/>
      <c r="AO149" s="187">
        <v>5</v>
      </c>
      <c r="AP149" s="187">
        <v>3235.4278723519919</v>
      </c>
      <c r="AQ149" s="184">
        <f t="shared" si="63"/>
        <v>647.08557447039834</v>
      </c>
      <c r="AR149" s="181">
        <f t="shared" si="64"/>
        <v>27</v>
      </c>
      <c r="AS149" s="587"/>
      <c r="AT149" s="187">
        <v>5</v>
      </c>
      <c r="AU149" s="187">
        <v>3234.7078723519917</v>
      </c>
      <c r="AV149" s="184">
        <f t="shared" si="65"/>
        <v>646.94157447039834</v>
      </c>
      <c r="AW149" s="181">
        <f t="shared" si="66"/>
        <v>29</v>
      </c>
      <c r="AX149" s="587"/>
    </row>
    <row r="150" spans="2:50" ht="14.25" customHeight="1">
      <c r="B150" s="586"/>
      <c r="C150" s="179">
        <v>18</v>
      </c>
      <c r="D150" s="182" t="s">
        <v>377</v>
      </c>
      <c r="E150" s="183">
        <v>3</v>
      </c>
      <c r="F150" s="179">
        <v>3600</v>
      </c>
      <c r="G150" s="184">
        <f t="shared" si="52"/>
        <v>1200</v>
      </c>
      <c r="H150" s="588"/>
      <c r="I150" s="185">
        <f t="shared" si="53"/>
        <v>3.1428571428571428</v>
      </c>
      <c r="J150" s="185">
        <f t="shared" si="53"/>
        <v>3233.8574736868291</v>
      </c>
      <c r="K150" s="186">
        <f t="shared" si="53"/>
        <v>1039.5001063381135</v>
      </c>
      <c r="L150" s="589"/>
      <c r="M150" s="185">
        <f>RANK(K150, K$133:$K$169)</f>
        <v>2</v>
      </c>
      <c r="N150" s="600"/>
      <c r="O150" s="590"/>
      <c r="P150" s="187">
        <v>4</v>
      </c>
      <c r="Q150" s="187">
        <v>3230.0003308296864</v>
      </c>
      <c r="R150" s="184">
        <f t="shared" si="54"/>
        <v>807.5000827074216</v>
      </c>
      <c r="S150" s="181">
        <f t="shared" si="55"/>
        <v>11</v>
      </c>
      <c r="T150" s="587"/>
      <c r="U150" s="187">
        <v>3</v>
      </c>
      <c r="V150" s="187">
        <v>3230.7203308296866</v>
      </c>
      <c r="W150" s="184">
        <f t="shared" si="51"/>
        <v>1076.9067769432288</v>
      </c>
      <c r="X150" s="181">
        <f t="shared" si="56"/>
        <v>4</v>
      </c>
      <c r="Y150" s="587"/>
      <c r="Z150" s="187">
        <v>3</v>
      </c>
      <c r="AA150" s="187">
        <v>3232.5203308296859</v>
      </c>
      <c r="AB150" s="184">
        <f t="shared" si="57"/>
        <v>1077.5067769432287</v>
      </c>
      <c r="AC150" s="181">
        <f t="shared" si="58"/>
        <v>2</v>
      </c>
      <c r="AD150" s="587"/>
      <c r="AE150" s="187">
        <v>3</v>
      </c>
      <c r="AF150" s="187">
        <v>3233.9603308296864</v>
      </c>
      <c r="AG150" s="184">
        <f t="shared" si="59"/>
        <v>1077.9867769432287</v>
      </c>
      <c r="AH150" s="181">
        <f t="shared" si="60"/>
        <v>2</v>
      </c>
      <c r="AI150" s="587"/>
      <c r="AJ150" s="187">
        <v>3</v>
      </c>
      <c r="AK150" s="187">
        <v>3235.7603308296857</v>
      </c>
      <c r="AL150" s="184">
        <f t="shared" si="61"/>
        <v>1078.5867769432286</v>
      </c>
      <c r="AM150" s="181">
        <f t="shared" si="62"/>
        <v>2</v>
      </c>
      <c r="AN150" s="587"/>
      <c r="AO150" s="187">
        <v>3</v>
      </c>
      <c r="AP150" s="187">
        <v>3236.4803308296855</v>
      </c>
      <c r="AQ150" s="184">
        <f t="shared" si="63"/>
        <v>1078.8267769432284</v>
      </c>
      <c r="AR150" s="181">
        <f t="shared" si="64"/>
        <v>2</v>
      </c>
      <c r="AS150" s="587"/>
      <c r="AT150" s="187">
        <v>3</v>
      </c>
      <c r="AU150" s="187">
        <v>3237.560330829685</v>
      </c>
      <c r="AV150" s="184">
        <f t="shared" si="65"/>
        <v>1079.1867769432283</v>
      </c>
      <c r="AW150" s="181">
        <f t="shared" si="66"/>
        <v>2</v>
      </c>
      <c r="AX150" s="587"/>
    </row>
    <row r="151" spans="2:50" ht="14.25" customHeight="1">
      <c r="B151" s="586"/>
      <c r="C151" s="179">
        <v>19</v>
      </c>
      <c r="D151" s="182" t="s">
        <v>379</v>
      </c>
      <c r="E151" s="183">
        <v>4</v>
      </c>
      <c r="F151" s="179">
        <v>3300</v>
      </c>
      <c r="G151" s="184">
        <f t="shared" si="52"/>
        <v>825</v>
      </c>
      <c r="H151" s="588"/>
      <c r="I151" s="185">
        <f t="shared" si="53"/>
        <v>4</v>
      </c>
      <c r="J151" s="185">
        <f t="shared" si="53"/>
        <v>3028.2499554434389</v>
      </c>
      <c r="K151" s="186">
        <f t="shared" si="53"/>
        <v>757.06248886085973</v>
      </c>
      <c r="L151" s="589"/>
      <c r="M151" s="185">
        <f>RANK(K151, K$133:$K$169)</f>
        <v>17</v>
      </c>
      <c r="N151" s="600"/>
      <c r="O151" s="590"/>
      <c r="P151" s="187">
        <v>4</v>
      </c>
      <c r="Q151" s="187">
        <v>3025.2937342317496</v>
      </c>
      <c r="R151" s="184">
        <f t="shared" si="54"/>
        <v>756.32343355793739</v>
      </c>
      <c r="S151" s="181">
        <f t="shared" si="55"/>
        <v>26</v>
      </c>
      <c r="T151" s="587"/>
      <c r="U151" s="187">
        <v>4</v>
      </c>
      <c r="V151" s="187">
        <v>3025.9537342317494</v>
      </c>
      <c r="W151" s="184">
        <f t="shared" si="51"/>
        <v>756.48843355793736</v>
      </c>
      <c r="X151" s="181">
        <f t="shared" si="56"/>
        <v>18</v>
      </c>
      <c r="Y151" s="587"/>
      <c r="Z151" s="187">
        <v>4</v>
      </c>
      <c r="AA151" s="187">
        <v>3026.2837342317493</v>
      </c>
      <c r="AB151" s="184">
        <f t="shared" si="57"/>
        <v>756.57093355793734</v>
      </c>
      <c r="AC151" s="181">
        <f t="shared" si="58"/>
        <v>18</v>
      </c>
      <c r="AD151" s="587"/>
      <c r="AE151" s="187">
        <v>4</v>
      </c>
      <c r="AF151" s="187">
        <v>3027.2737342317491</v>
      </c>
      <c r="AG151" s="184">
        <f t="shared" si="59"/>
        <v>756.81843355793728</v>
      </c>
      <c r="AH151" s="181">
        <f t="shared" si="60"/>
        <v>18</v>
      </c>
      <c r="AI151" s="587"/>
      <c r="AJ151" s="187">
        <v>4</v>
      </c>
      <c r="AK151" s="187">
        <v>3028.9237342317488</v>
      </c>
      <c r="AL151" s="184">
        <f t="shared" si="61"/>
        <v>757.23093355793719</v>
      </c>
      <c r="AM151" s="181">
        <f t="shared" si="62"/>
        <v>17</v>
      </c>
      <c r="AN151" s="587"/>
      <c r="AO151" s="187">
        <v>4</v>
      </c>
      <c r="AP151" s="187">
        <v>3032.0105084726633</v>
      </c>
      <c r="AQ151" s="184">
        <f t="shared" si="63"/>
        <v>758.00262711816583</v>
      </c>
      <c r="AR151" s="181">
        <f t="shared" si="64"/>
        <v>17</v>
      </c>
      <c r="AS151" s="587"/>
      <c r="AT151" s="187">
        <v>4</v>
      </c>
      <c r="AU151" s="187">
        <v>3032.0105084726633</v>
      </c>
      <c r="AV151" s="184">
        <f t="shared" si="65"/>
        <v>758.00262711816583</v>
      </c>
      <c r="AW151" s="181">
        <f t="shared" si="66"/>
        <v>17</v>
      </c>
      <c r="AX151" s="587"/>
    </row>
    <row r="152" spans="2:50" ht="14.25" customHeight="1">
      <c r="B152" s="586"/>
      <c r="C152" s="179">
        <v>20</v>
      </c>
      <c r="D152" s="182" t="s">
        <v>323</v>
      </c>
      <c r="E152" s="183">
        <v>5</v>
      </c>
      <c r="F152" s="179">
        <v>3300</v>
      </c>
      <c r="G152" s="184">
        <f t="shared" si="52"/>
        <v>660</v>
      </c>
      <c r="H152" s="588"/>
      <c r="I152" s="185">
        <f t="shared" si="53"/>
        <v>4.8</v>
      </c>
      <c r="J152" s="185">
        <f t="shared" si="53"/>
        <v>3026.7809841614735</v>
      </c>
      <c r="K152" s="186">
        <f t="shared" si="53"/>
        <v>635.6002466739094</v>
      </c>
      <c r="L152" s="589"/>
      <c r="M152" s="185">
        <f>RANK(K152, K$133:$K$169)</f>
        <v>30</v>
      </c>
      <c r="N152" s="600"/>
      <c r="O152" s="590"/>
      <c r="P152" s="187">
        <v>4</v>
      </c>
      <c r="Q152" s="187">
        <v>3024.4049841614733</v>
      </c>
      <c r="R152" s="184">
        <f t="shared" si="54"/>
        <v>756.10124604036832</v>
      </c>
      <c r="S152" s="181">
        <f t="shared" si="55"/>
        <v>28</v>
      </c>
      <c r="T152" s="587"/>
      <c r="U152" s="187">
        <v>5</v>
      </c>
      <c r="V152" s="187">
        <v>3026.3849841614738</v>
      </c>
      <c r="W152" s="184">
        <f t="shared" si="51"/>
        <v>605.2769968322948</v>
      </c>
      <c r="X152" s="181">
        <f t="shared" si="56"/>
        <v>31</v>
      </c>
      <c r="Y152" s="587"/>
      <c r="Z152" s="187">
        <v>5</v>
      </c>
      <c r="AA152" s="187">
        <v>3026.7149841614741</v>
      </c>
      <c r="AB152" s="184">
        <f t="shared" si="57"/>
        <v>605.34299683229483</v>
      </c>
      <c r="AC152" s="181">
        <f t="shared" si="58"/>
        <v>31</v>
      </c>
      <c r="AD152" s="587"/>
      <c r="AE152" s="187">
        <v>5</v>
      </c>
      <c r="AF152" s="187">
        <v>3027.7049841614735</v>
      </c>
      <c r="AG152" s="184">
        <f t="shared" si="59"/>
        <v>605.5409968322947</v>
      </c>
      <c r="AH152" s="181">
        <f t="shared" si="60"/>
        <v>31</v>
      </c>
      <c r="AI152" s="587"/>
      <c r="AJ152" s="187">
        <v>5</v>
      </c>
      <c r="AK152" s="187">
        <v>3028.6949841614728</v>
      </c>
      <c r="AL152" s="184">
        <f t="shared" si="61"/>
        <v>605.73899683229456</v>
      </c>
      <c r="AM152" s="181">
        <f t="shared" si="62"/>
        <v>31</v>
      </c>
      <c r="AN152" s="587"/>
      <c r="AO152" s="187"/>
      <c r="AP152" s="187"/>
      <c r="AQ152" s="184"/>
      <c r="AR152" s="181"/>
      <c r="AS152" s="587"/>
      <c r="AT152" s="187"/>
      <c r="AU152" s="187"/>
      <c r="AV152" s="184"/>
      <c r="AW152" s="181"/>
      <c r="AX152" s="587"/>
    </row>
    <row r="153" spans="2:50" ht="14.25" customHeight="1">
      <c r="B153" s="586"/>
      <c r="C153" s="179">
        <v>21</v>
      </c>
      <c r="D153" s="182" t="s">
        <v>373</v>
      </c>
      <c r="E153" s="183">
        <v>3</v>
      </c>
      <c r="F153" s="179">
        <v>3600</v>
      </c>
      <c r="G153" s="184">
        <f t="shared" si="52"/>
        <v>1200</v>
      </c>
      <c r="H153" s="588"/>
      <c r="I153" s="185">
        <f t="shared" si="53"/>
        <v>3.1428571428571428</v>
      </c>
      <c r="J153" s="185">
        <f t="shared" si="53"/>
        <v>3233.1062685819425</v>
      </c>
      <c r="K153" s="186">
        <f t="shared" si="53"/>
        <v>1039.2568108197061</v>
      </c>
      <c r="L153" s="589"/>
      <c r="M153" s="185">
        <f>RANK(K153, K$133:$K$169)</f>
        <v>4</v>
      </c>
      <c r="N153" s="600"/>
      <c r="O153" s="590"/>
      <c r="P153" s="187">
        <v>4</v>
      </c>
      <c r="Q153" s="187">
        <v>3229.4034114390852</v>
      </c>
      <c r="R153" s="184">
        <f t="shared" si="54"/>
        <v>807.35085285977129</v>
      </c>
      <c r="S153" s="181">
        <f t="shared" si="55"/>
        <v>13</v>
      </c>
      <c r="T153" s="587"/>
      <c r="U153" s="187">
        <v>3</v>
      </c>
      <c r="V153" s="187">
        <v>3229.7634114390858</v>
      </c>
      <c r="W153" s="184">
        <f t="shared" si="51"/>
        <v>1076.5878038130286</v>
      </c>
      <c r="X153" s="181">
        <f t="shared" si="56"/>
        <v>5</v>
      </c>
      <c r="Y153" s="587"/>
      <c r="Z153" s="187">
        <v>3</v>
      </c>
      <c r="AA153" s="187">
        <v>3231.9234114390865</v>
      </c>
      <c r="AB153" s="184">
        <f t="shared" si="57"/>
        <v>1077.3078038130288</v>
      </c>
      <c r="AC153" s="181">
        <f t="shared" si="58"/>
        <v>5</v>
      </c>
      <c r="AD153" s="587"/>
      <c r="AE153" s="187">
        <v>3</v>
      </c>
      <c r="AF153" s="187">
        <v>3233.3634114390861</v>
      </c>
      <c r="AG153" s="184">
        <f t="shared" si="59"/>
        <v>1077.7878038130286</v>
      </c>
      <c r="AH153" s="181">
        <f t="shared" si="60"/>
        <v>4</v>
      </c>
      <c r="AI153" s="587"/>
      <c r="AJ153" s="187">
        <v>3</v>
      </c>
      <c r="AK153" s="187">
        <v>3235.1634114390854</v>
      </c>
      <c r="AL153" s="184">
        <f t="shared" si="61"/>
        <v>1078.3878038130285</v>
      </c>
      <c r="AM153" s="181">
        <f t="shared" si="62"/>
        <v>4</v>
      </c>
      <c r="AN153" s="587"/>
      <c r="AO153" s="187">
        <v>3</v>
      </c>
      <c r="AP153" s="187">
        <v>3236.2434114390853</v>
      </c>
      <c r="AQ153" s="184">
        <f t="shared" si="63"/>
        <v>1078.7478038130284</v>
      </c>
      <c r="AR153" s="181">
        <f t="shared" si="64"/>
        <v>4</v>
      </c>
      <c r="AS153" s="587"/>
      <c r="AT153" s="187">
        <v>3</v>
      </c>
      <c r="AU153" s="187">
        <v>3235.8834114390856</v>
      </c>
      <c r="AV153" s="184">
        <f t="shared" si="65"/>
        <v>1078.6278038130285</v>
      </c>
      <c r="AW153" s="181">
        <f t="shared" si="66"/>
        <v>3</v>
      </c>
      <c r="AX153" s="587"/>
    </row>
    <row r="154" spans="2:50" ht="14.25" customHeight="1">
      <c r="B154" s="586"/>
      <c r="C154" s="179">
        <v>22</v>
      </c>
      <c r="D154" s="182" t="s">
        <v>482</v>
      </c>
      <c r="E154" s="183">
        <v>4</v>
      </c>
      <c r="F154" s="179">
        <v>3600</v>
      </c>
      <c r="G154" s="184">
        <f t="shared" si="52"/>
        <v>900</v>
      </c>
      <c r="H154" s="588"/>
      <c r="I154" s="185">
        <f t="shared" si="53"/>
        <v>4</v>
      </c>
      <c r="J154" s="185">
        <f t="shared" si="53"/>
        <v>3236.159845149245</v>
      </c>
      <c r="K154" s="186">
        <f t="shared" si="53"/>
        <v>809.03996128731126</v>
      </c>
      <c r="L154" s="589"/>
      <c r="M154" s="185">
        <f>RANK(K154, K$133:$K$169)</f>
        <v>14</v>
      </c>
      <c r="N154" s="600"/>
      <c r="O154" s="590"/>
      <c r="P154" s="187">
        <v>4</v>
      </c>
      <c r="Q154" s="187">
        <v>3231.9427022921027</v>
      </c>
      <c r="R154" s="184">
        <f t="shared" si="54"/>
        <v>807.98567557302567</v>
      </c>
      <c r="S154" s="181">
        <f t="shared" si="55"/>
        <v>4</v>
      </c>
      <c r="T154" s="587"/>
      <c r="U154" s="187">
        <v>4</v>
      </c>
      <c r="V154" s="187">
        <v>3233.742702292102</v>
      </c>
      <c r="W154" s="184">
        <f t="shared" si="51"/>
        <v>808.43567557302549</v>
      </c>
      <c r="X154" s="181">
        <f t="shared" si="56"/>
        <v>14</v>
      </c>
      <c r="Y154" s="587"/>
      <c r="Z154" s="187">
        <v>4</v>
      </c>
      <c r="AA154" s="187">
        <v>3235.1827022921016</v>
      </c>
      <c r="AB154" s="184">
        <f t="shared" si="57"/>
        <v>808.79567557302539</v>
      </c>
      <c r="AC154" s="181">
        <f t="shared" si="58"/>
        <v>14</v>
      </c>
      <c r="AD154" s="587"/>
      <c r="AE154" s="187">
        <v>4</v>
      </c>
      <c r="AF154" s="187">
        <v>3235.5427022921012</v>
      </c>
      <c r="AG154" s="184">
        <f t="shared" si="59"/>
        <v>808.88567557302531</v>
      </c>
      <c r="AH154" s="181">
        <f t="shared" si="60"/>
        <v>14</v>
      </c>
      <c r="AI154" s="587"/>
      <c r="AJ154" s="187">
        <v>4</v>
      </c>
      <c r="AK154" s="187">
        <v>3237.702702292102</v>
      </c>
      <c r="AL154" s="184">
        <f t="shared" si="61"/>
        <v>809.4256755730255</v>
      </c>
      <c r="AM154" s="181">
        <f t="shared" si="62"/>
        <v>14</v>
      </c>
      <c r="AN154" s="587"/>
      <c r="AO154" s="187">
        <v>4</v>
      </c>
      <c r="AP154" s="187">
        <v>3238.7827022921024</v>
      </c>
      <c r="AQ154" s="184">
        <f t="shared" si="63"/>
        <v>809.6956755730256</v>
      </c>
      <c r="AR154" s="181">
        <f t="shared" si="64"/>
        <v>14</v>
      </c>
      <c r="AS154" s="587"/>
      <c r="AT154" s="187">
        <v>4</v>
      </c>
      <c r="AU154" s="187">
        <v>3240.2227022921024</v>
      </c>
      <c r="AV154" s="184">
        <f t="shared" si="65"/>
        <v>810.05567557302561</v>
      </c>
      <c r="AW154" s="181">
        <f t="shared" si="66"/>
        <v>14</v>
      </c>
      <c r="AX154" s="587"/>
    </row>
    <row r="155" spans="2:50" ht="14.25" customHeight="1">
      <c r="B155" s="586"/>
      <c r="C155" s="179">
        <v>23</v>
      </c>
      <c r="D155" s="182" t="s">
        <v>376</v>
      </c>
      <c r="E155" s="183">
        <v>3</v>
      </c>
      <c r="F155" s="179">
        <v>3600</v>
      </c>
      <c r="G155" s="184">
        <f t="shared" si="52"/>
        <v>1200</v>
      </c>
      <c r="H155" s="588"/>
      <c r="I155" s="185">
        <f t="shared" si="53"/>
        <v>3.1428571428571428</v>
      </c>
      <c r="J155" s="185">
        <f t="shared" si="53"/>
        <v>3233.4446169944904</v>
      </c>
      <c r="K155" s="186">
        <f t="shared" si="53"/>
        <v>1039.355769748229</v>
      </c>
      <c r="L155" s="589"/>
      <c r="M155" s="185">
        <f>RANK(K155, K$133:$K$169)</f>
        <v>3</v>
      </c>
      <c r="N155" s="600"/>
      <c r="O155" s="590"/>
      <c r="P155" s="187">
        <v>4</v>
      </c>
      <c r="Q155" s="187">
        <v>3230.5646169944912</v>
      </c>
      <c r="R155" s="184">
        <f t="shared" si="54"/>
        <v>807.6411542486228</v>
      </c>
      <c r="S155" s="181">
        <f t="shared" si="55"/>
        <v>9</v>
      </c>
      <c r="T155" s="587"/>
      <c r="U155" s="187">
        <v>3</v>
      </c>
      <c r="V155" s="187">
        <v>3231.2846169944905</v>
      </c>
      <c r="W155" s="184">
        <f t="shared" si="51"/>
        <v>1077.0948723314968</v>
      </c>
      <c r="X155" s="181">
        <f t="shared" si="56"/>
        <v>3</v>
      </c>
      <c r="Y155" s="587"/>
      <c r="Z155" s="187">
        <v>3</v>
      </c>
      <c r="AA155" s="187">
        <v>3232.0046169944899</v>
      </c>
      <c r="AB155" s="184">
        <f t="shared" si="57"/>
        <v>1077.3348723314966</v>
      </c>
      <c r="AC155" s="181">
        <f t="shared" si="58"/>
        <v>4</v>
      </c>
      <c r="AD155" s="587"/>
      <c r="AE155" s="187">
        <v>3</v>
      </c>
      <c r="AF155" s="187">
        <v>3233.8046169944896</v>
      </c>
      <c r="AG155" s="184">
        <f t="shared" si="59"/>
        <v>1077.9348723314965</v>
      </c>
      <c r="AH155" s="181">
        <f t="shared" si="60"/>
        <v>3</v>
      </c>
      <c r="AI155" s="587"/>
      <c r="AJ155" s="187">
        <v>3</v>
      </c>
      <c r="AK155" s="187">
        <v>3235.2446169944901</v>
      </c>
      <c r="AL155" s="184">
        <f t="shared" si="61"/>
        <v>1078.4148723314968</v>
      </c>
      <c r="AM155" s="181">
        <f t="shared" si="62"/>
        <v>3</v>
      </c>
      <c r="AN155" s="587"/>
      <c r="AO155" s="187">
        <v>3</v>
      </c>
      <c r="AP155" s="187">
        <v>3236.3246169944905</v>
      </c>
      <c r="AQ155" s="184">
        <f t="shared" si="63"/>
        <v>1078.7748723314969</v>
      </c>
      <c r="AR155" s="181">
        <f t="shared" si="64"/>
        <v>3</v>
      </c>
      <c r="AS155" s="587"/>
      <c r="AT155" s="187">
        <v>3</v>
      </c>
      <c r="AU155" s="187">
        <v>3234.8846169944909</v>
      </c>
      <c r="AV155" s="184">
        <f t="shared" si="65"/>
        <v>1078.2948723314969</v>
      </c>
      <c r="AW155" s="181">
        <f t="shared" si="66"/>
        <v>5</v>
      </c>
      <c r="AX155" s="587"/>
    </row>
    <row r="156" spans="2:50" ht="14.25" customHeight="1">
      <c r="B156" s="586"/>
      <c r="C156" s="179">
        <v>24</v>
      </c>
      <c r="D156" s="182" t="s">
        <v>375</v>
      </c>
      <c r="E156" s="183">
        <v>5</v>
      </c>
      <c r="F156" s="179">
        <v>3600</v>
      </c>
      <c r="G156" s="184">
        <f t="shared" si="52"/>
        <v>720</v>
      </c>
      <c r="H156" s="588"/>
      <c r="I156" s="185">
        <f t="shared" si="53"/>
        <v>4.8571428571428568</v>
      </c>
      <c r="J156" s="185">
        <f t="shared" si="53"/>
        <v>3235.0173151285303</v>
      </c>
      <c r="K156" s="186">
        <f t="shared" si="53"/>
        <v>670.08538262356285</v>
      </c>
      <c r="L156" s="589"/>
      <c r="M156" s="185">
        <f>RANK(K156, K$133:$K$169)</f>
        <v>23</v>
      </c>
      <c r="N156" s="600"/>
      <c r="O156" s="590"/>
      <c r="P156" s="187">
        <v>4</v>
      </c>
      <c r="Q156" s="187">
        <v>3231.4687436999584</v>
      </c>
      <c r="R156" s="184">
        <f t="shared" si="54"/>
        <v>807.8671859249896</v>
      </c>
      <c r="S156" s="181">
        <f t="shared" si="55"/>
        <v>6</v>
      </c>
      <c r="T156" s="587"/>
      <c r="U156" s="187">
        <v>5</v>
      </c>
      <c r="V156" s="187">
        <v>3233.6287436999592</v>
      </c>
      <c r="W156" s="184">
        <f t="shared" si="51"/>
        <v>646.72574873999179</v>
      </c>
      <c r="X156" s="181">
        <f t="shared" si="56"/>
        <v>23</v>
      </c>
      <c r="Y156" s="587"/>
      <c r="Z156" s="187">
        <v>5</v>
      </c>
      <c r="AA156" s="187">
        <v>3234.3487436999594</v>
      </c>
      <c r="AB156" s="184">
        <f t="shared" si="57"/>
        <v>646.86974873999191</v>
      </c>
      <c r="AC156" s="181">
        <f t="shared" si="58"/>
        <v>23</v>
      </c>
      <c r="AD156" s="587"/>
      <c r="AE156" s="187">
        <v>5</v>
      </c>
      <c r="AF156" s="187">
        <v>3235.788743699959</v>
      </c>
      <c r="AG156" s="184">
        <f t="shared" si="59"/>
        <v>647.1577487399918</v>
      </c>
      <c r="AH156" s="181">
        <f t="shared" si="60"/>
        <v>23</v>
      </c>
      <c r="AI156" s="587"/>
      <c r="AJ156" s="187">
        <v>5</v>
      </c>
      <c r="AK156" s="187">
        <v>3236.8687436999589</v>
      </c>
      <c r="AL156" s="184">
        <f t="shared" si="61"/>
        <v>647.37374873999181</v>
      </c>
      <c r="AM156" s="181">
        <f t="shared" si="62"/>
        <v>23</v>
      </c>
      <c r="AN156" s="587"/>
      <c r="AO156" s="187">
        <v>5</v>
      </c>
      <c r="AP156" s="187">
        <v>3237.2287436999586</v>
      </c>
      <c r="AQ156" s="184">
        <f t="shared" si="63"/>
        <v>647.4457487399917</v>
      </c>
      <c r="AR156" s="181">
        <f t="shared" si="64"/>
        <v>24</v>
      </c>
      <c r="AS156" s="587"/>
      <c r="AT156" s="187">
        <v>5</v>
      </c>
      <c r="AU156" s="187">
        <v>3235.7887436999581</v>
      </c>
      <c r="AV156" s="184">
        <f t="shared" si="65"/>
        <v>647.15774873999158</v>
      </c>
      <c r="AW156" s="181">
        <f t="shared" si="66"/>
        <v>27</v>
      </c>
      <c r="AX156" s="587"/>
    </row>
    <row r="157" spans="2:50" ht="14.25" customHeight="1">
      <c r="B157" s="586"/>
      <c r="C157" s="179">
        <v>25</v>
      </c>
      <c r="D157" s="182" t="s">
        <v>372</v>
      </c>
      <c r="E157" s="183">
        <v>5</v>
      </c>
      <c r="F157" s="179">
        <v>3600</v>
      </c>
      <c r="G157" s="184">
        <f t="shared" si="52"/>
        <v>720</v>
      </c>
      <c r="H157" s="588"/>
      <c r="I157" s="185">
        <f t="shared" si="53"/>
        <v>4.8571428571428568</v>
      </c>
      <c r="J157" s="185">
        <f t="shared" si="53"/>
        <v>3232.3702935301994</v>
      </c>
      <c r="K157" s="186">
        <f t="shared" si="53"/>
        <v>669.54000978227589</v>
      </c>
      <c r="L157" s="589"/>
      <c r="M157" s="185">
        <f>RANK(K157, K$133:$K$169)</f>
        <v>28</v>
      </c>
      <c r="N157" s="600"/>
      <c r="O157" s="590"/>
      <c r="P157" s="187">
        <v>4</v>
      </c>
      <c r="Q157" s="187">
        <v>3229.2331506730561</v>
      </c>
      <c r="R157" s="184">
        <f t="shared" si="54"/>
        <v>807.30828766826403</v>
      </c>
      <c r="S157" s="181">
        <f t="shared" si="55"/>
        <v>14</v>
      </c>
      <c r="T157" s="587"/>
      <c r="U157" s="187">
        <v>5</v>
      </c>
      <c r="V157" s="187">
        <v>3231.0331506730563</v>
      </c>
      <c r="W157" s="184">
        <f t="shared" si="51"/>
        <v>646.20663013461126</v>
      </c>
      <c r="X157" s="181">
        <f t="shared" si="56"/>
        <v>28</v>
      </c>
      <c r="Y157" s="587"/>
      <c r="Z157" s="187">
        <v>5</v>
      </c>
      <c r="AA157" s="187">
        <v>3231.7531506730566</v>
      </c>
      <c r="AB157" s="184">
        <f t="shared" si="57"/>
        <v>646.35063013461127</v>
      </c>
      <c r="AC157" s="181">
        <f t="shared" si="58"/>
        <v>28</v>
      </c>
      <c r="AD157" s="587"/>
      <c r="AE157" s="187">
        <v>5</v>
      </c>
      <c r="AF157" s="187">
        <v>3232.4731506730564</v>
      </c>
      <c r="AG157" s="184">
        <f t="shared" si="59"/>
        <v>646.49463013461127</v>
      </c>
      <c r="AH157" s="181">
        <f t="shared" si="60"/>
        <v>29</v>
      </c>
      <c r="AI157" s="587"/>
      <c r="AJ157" s="187">
        <v>5</v>
      </c>
      <c r="AK157" s="187">
        <v>3233.1931506730557</v>
      </c>
      <c r="AL157" s="184">
        <f t="shared" si="61"/>
        <v>646.63863013461116</v>
      </c>
      <c r="AM157" s="181">
        <f t="shared" si="62"/>
        <v>29</v>
      </c>
      <c r="AN157" s="587"/>
      <c r="AO157" s="187">
        <v>5</v>
      </c>
      <c r="AP157" s="187">
        <v>3233.913150673056</v>
      </c>
      <c r="AQ157" s="184">
        <f t="shared" si="63"/>
        <v>646.78263013461117</v>
      </c>
      <c r="AR157" s="181">
        <f t="shared" si="64"/>
        <v>29</v>
      </c>
      <c r="AS157" s="587"/>
      <c r="AT157" s="187">
        <v>5</v>
      </c>
      <c r="AU157" s="187">
        <v>3234.9931506730563</v>
      </c>
      <c r="AV157" s="184">
        <f t="shared" si="65"/>
        <v>646.99863013461129</v>
      </c>
      <c r="AW157" s="181">
        <f t="shared" si="66"/>
        <v>28</v>
      </c>
      <c r="AX157" s="587"/>
    </row>
    <row r="158" spans="2:50" ht="14.25" customHeight="1">
      <c r="B158" s="586"/>
      <c r="C158" s="179">
        <v>26</v>
      </c>
      <c r="D158" s="182" t="s">
        <v>374</v>
      </c>
      <c r="E158" s="183">
        <v>3</v>
      </c>
      <c r="F158" s="179">
        <v>3000</v>
      </c>
      <c r="G158" s="184">
        <f t="shared" si="52"/>
        <v>1000</v>
      </c>
      <c r="H158" s="588"/>
      <c r="I158" s="185">
        <f t="shared" si="53"/>
        <v>3.1428571428571428</v>
      </c>
      <c r="J158" s="185">
        <f t="shared" si="53"/>
        <v>2755.9893408945582</v>
      </c>
      <c r="K158" s="186">
        <f t="shared" si="53"/>
        <v>885.86902283855693</v>
      </c>
      <c r="L158" s="589"/>
      <c r="M158" s="185">
        <f>RANK(K158, K$133:$K$169)</f>
        <v>13</v>
      </c>
      <c r="N158" s="600"/>
      <c r="O158" s="590"/>
      <c r="P158" s="187">
        <v>4</v>
      </c>
      <c r="Q158" s="187">
        <v>2754.7036266088444</v>
      </c>
      <c r="R158" s="184">
        <f t="shared" si="54"/>
        <v>688.6759066522111</v>
      </c>
      <c r="S158" s="181">
        <f t="shared" si="55"/>
        <v>30</v>
      </c>
      <c r="T158" s="587"/>
      <c r="U158" s="187">
        <v>3</v>
      </c>
      <c r="V158" s="187">
        <v>2754.7036266088444</v>
      </c>
      <c r="W158" s="184">
        <f t="shared" si="51"/>
        <v>918.23454220294809</v>
      </c>
      <c r="X158" s="181">
        <f t="shared" si="56"/>
        <v>13</v>
      </c>
      <c r="Y158" s="587"/>
      <c r="Z158" s="187">
        <v>3</v>
      </c>
      <c r="AA158" s="187">
        <v>2754.7036266088444</v>
      </c>
      <c r="AB158" s="184">
        <f t="shared" si="57"/>
        <v>918.23454220294809</v>
      </c>
      <c r="AC158" s="181">
        <f t="shared" si="58"/>
        <v>13</v>
      </c>
      <c r="AD158" s="587"/>
      <c r="AE158" s="187">
        <v>3</v>
      </c>
      <c r="AF158" s="187">
        <v>2756.2036266088435</v>
      </c>
      <c r="AG158" s="184">
        <f t="shared" si="59"/>
        <v>918.73454220294786</v>
      </c>
      <c r="AH158" s="181">
        <f t="shared" si="60"/>
        <v>13</v>
      </c>
      <c r="AI158" s="587"/>
      <c r="AJ158" s="187">
        <v>3</v>
      </c>
      <c r="AK158" s="187">
        <v>2756.2036266088435</v>
      </c>
      <c r="AL158" s="184">
        <f t="shared" si="61"/>
        <v>918.73454220294786</v>
      </c>
      <c r="AM158" s="181">
        <f t="shared" si="62"/>
        <v>13</v>
      </c>
      <c r="AN158" s="587"/>
      <c r="AO158" s="187">
        <v>3</v>
      </c>
      <c r="AP158" s="187">
        <v>2757.4036266088433</v>
      </c>
      <c r="AQ158" s="184">
        <f t="shared" si="63"/>
        <v>919.13454220294773</v>
      </c>
      <c r="AR158" s="181">
        <f t="shared" si="64"/>
        <v>13</v>
      </c>
      <c r="AS158" s="587"/>
      <c r="AT158" s="187">
        <v>3</v>
      </c>
      <c r="AU158" s="187">
        <v>2758.0036266088428</v>
      </c>
      <c r="AV158" s="184">
        <f t="shared" si="65"/>
        <v>919.33454220294755</v>
      </c>
      <c r="AW158" s="181">
        <f t="shared" si="66"/>
        <v>13</v>
      </c>
      <c r="AX158" s="587"/>
    </row>
    <row r="159" spans="2:50" ht="14.25" customHeight="1">
      <c r="B159" s="586"/>
      <c r="C159" s="179">
        <v>27</v>
      </c>
      <c r="D159" s="182" t="s">
        <v>412</v>
      </c>
      <c r="E159" s="183">
        <v>3</v>
      </c>
      <c r="F159" s="179">
        <v>3600</v>
      </c>
      <c r="G159" s="184">
        <f t="shared" si="52"/>
        <v>1200</v>
      </c>
      <c r="H159" s="588"/>
      <c r="I159" s="185">
        <f t="shared" si="53"/>
        <v>3.1428571428571428</v>
      </c>
      <c r="J159" s="185">
        <f t="shared" si="53"/>
        <v>3231.5295997135431</v>
      </c>
      <c r="K159" s="186">
        <f t="shared" si="53"/>
        <v>1038.7383917446591</v>
      </c>
      <c r="L159" s="589"/>
      <c r="M159" s="185">
        <f>RANK(K159, K$133:$K$169)</f>
        <v>6</v>
      </c>
      <c r="N159" s="600"/>
      <c r="O159" s="590"/>
      <c r="P159" s="187">
        <v>4</v>
      </c>
      <c r="Q159" s="187">
        <v>3228.8038854278275</v>
      </c>
      <c r="R159" s="184">
        <f t="shared" si="54"/>
        <v>807.20097135695687</v>
      </c>
      <c r="S159" s="181">
        <f t="shared" si="55"/>
        <v>15</v>
      </c>
      <c r="T159" s="587"/>
      <c r="U159" s="187">
        <v>3</v>
      </c>
      <c r="V159" s="187">
        <v>3229.5238854278286</v>
      </c>
      <c r="W159" s="184">
        <f t="shared" si="51"/>
        <v>1076.5079618092761</v>
      </c>
      <c r="X159" s="181">
        <f t="shared" si="56"/>
        <v>6</v>
      </c>
      <c r="Y159" s="587"/>
      <c r="Z159" s="187">
        <v>3</v>
      </c>
      <c r="AA159" s="187">
        <v>3229.8838854278283</v>
      </c>
      <c r="AB159" s="184">
        <f t="shared" si="57"/>
        <v>1076.627961809276</v>
      </c>
      <c r="AC159" s="181">
        <f t="shared" si="58"/>
        <v>8</v>
      </c>
      <c r="AD159" s="587"/>
      <c r="AE159" s="187">
        <v>3</v>
      </c>
      <c r="AF159" s="187">
        <v>3232.0438854278282</v>
      </c>
      <c r="AG159" s="184">
        <f t="shared" si="59"/>
        <v>1077.3479618092761</v>
      </c>
      <c r="AH159" s="181">
        <f t="shared" si="60"/>
        <v>5</v>
      </c>
      <c r="AI159" s="587"/>
      <c r="AJ159" s="187">
        <v>3</v>
      </c>
      <c r="AK159" s="187">
        <v>3232.763885427828</v>
      </c>
      <c r="AL159" s="184">
        <f t="shared" si="61"/>
        <v>1077.5879618092761</v>
      </c>
      <c r="AM159" s="181">
        <f t="shared" si="62"/>
        <v>6</v>
      </c>
      <c r="AN159" s="587"/>
      <c r="AO159" s="187">
        <v>3</v>
      </c>
      <c r="AP159" s="187">
        <v>3233.1238854278281</v>
      </c>
      <c r="AQ159" s="184">
        <f t="shared" si="63"/>
        <v>1077.707961809276</v>
      </c>
      <c r="AR159" s="181">
        <f t="shared" si="64"/>
        <v>7</v>
      </c>
      <c r="AS159" s="587"/>
      <c r="AT159" s="187">
        <v>3</v>
      </c>
      <c r="AU159" s="187">
        <v>3234.5638854278286</v>
      </c>
      <c r="AV159" s="184">
        <f t="shared" si="65"/>
        <v>1078.1879618092762</v>
      </c>
      <c r="AW159" s="181">
        <f t="shared" si="66"/>
        <v>6</v>
      </c>
      <c r="AX159" s="587"/>
    </row>
    <row r="160" spans="2:50" ht="14.25" customHeight="1">
      <c r="B160" s="586"/>
      <c r="C160" s="179">
        <v>28</v>
      </c>
      <c r="D160" s="182" t="s">
        <v>417</v>
      </c>
      <c r="E160" s="183">
        <v>4</v>
      </c>
      <c r="F160" s="179">
        <v>3000</v>
      </c>
      <c r="G160" s="184">
        <f t="shared" si="52"/>
        <v>750</v>
      </c>
      <c r="H160" s="588"/>
      <c r="I160" s="185">
        <f t="shared" si="53"/>
        <v>4</v>
      </c>
      <c r="J160" s="185">
        <f t="shared" si="53"/>
        <v>2753.3049641921157</v>
      </c>
      <c r="K160" s="186">
        <f t="shared" si="53"/>
        <v>688.32624104802892</v>
      </c>
      <c r="L160" s="589"/>
      <c r="M160" s="185">
        <f>RANK(K160, K$133:$K$169)</f>
        <v>20</v>
      </c>
      <c r="N160" s="600"/>
      <c r="O160" s="590"/>
      <c r="P160" s="187">
        <v>4</v>
      </c>
      <c r="Q160" s="187">
        <v>2748.9099097226481</v>
      </c>
      <c r="R160" s="184">
        <f t="shared" si="54"/>
        <v>687.22747743066202</v>
      </c>
      <c r="S160" s="181">
        <f t="shared" si="55"/>
        <v>34</v>
      </c>
      <c r="T160" s="587"/>
      <c r="U160" s="187">
        <v>4</v>
      </c>
      <c r="V160" s="187">
        <v>2750.1099097226484</v>
      </c>
      <c r="W160" s="184">
        <f t="shared" si="51"/>
        <v>687.52747743066209</v>
      </c>
      <c r="X160" s="181">
        <f t="shared" si="56"/>
        <v>20</v>
      </c>
      <c r="Y160" s="587"/>
      <c r="Z160" s="187">
        <v>4</v>
      </c>
      <c r="AA160" s="187">
        <v>2750.4099097226485</v>
      </c>
      <c r="AB160" s="184">
        <f t="shared" si="57"/>
        <v>687.60247743066213</v>
      </c>
      <c r="AC160" s="181">
        <f t="shared" si="58"/>
        <v>20</v>
      </c>
      <c r="AD160" s="587"/>
      <c r="AE160" s="187">
        <v>4</v>
      </c>
      <c r="AF160" s="187">
        <v>2754.4262550442168</v>
      </c>
      <c r="AG160" s="184">
        <f t="shared" si="59"/>
        <v>688.60656376105419</v>
      </c>
      <c r="AH160" s="181">
        <f t="shared" si="60"/>
        <v>20</v>
      </c>
      <c r="AI160" s="587"/>
      <c r="AJ160" s="187">
        <v>4</v>
      </c>
      <c r="AK160" s="187">
        <v>2755.3262550442164</v>
      </c>
      <c r="AL160" s="184">
        <f t="shared" si="61"/>
        <v>688.8315637610541</v>
      </c>
      <c r="AM160" s="181">
        <f t="shared" si="62"/>
        <v>20</v>
      </c>
      <c r="AN160" s="587"/>
      <c r="AO160" s="187">
        <v>4</v>
      </c>
      <c r="AP160" s="187">
        <v>2756.8262550442164</v>
      </c>
      <c r="AQ160" s="184">
        <f t="shared" si="63"/>
        <v>689.2065637610541</v>
      </c>
      <c r="AR160" s="181">
        <f t="shared" si="64"/>
        <v>20</v>
      </c>
      <c r="AS160" s="587"/>
      <c r="AT160" s="187">
        <v>4</v>
      </c>
      <c r="AU160" s="187">
        <v>2757.1262550442161</v>
      </c>
      <c r="AV160" s="184">
        <f t="shared" si="65"/>
        <v>689.28156376105403</v>
      </c>
      <c r="AW160" s="181">
        <f t="shared" si="66"/>
        <v>20</v>
      </c>
      <c r="AX160" s="587"/>
    </row>
    <row r="161" spans="1:50" ht="14.25" customHeight="1">
      <c r="B161" s="586"/>
      <c r="C161" s="179">
        <v>29</v>
      </c>
      <c r="D161" s="182" t="s">
        <v>470</v>
      </c>
      <c r="E161" s="183">
        <v>5</v>
      </c>
      <c r="F161" s="179">
        <v>3000</v>
      </c>
      <c r="G161" s="184">
        <f t="shared" si="52"/>
        <v>600</v>
      </c>
      <c r="H161" s="588"/>
      <c r="I161" s="185">
        <f t="shared" si="53"/>
        <v>4.8571428571428568</v>
      </c>
      <c r="J161" s="185">
        <f t="shared" si="53"/>
        <v>2754.1106271446083</v>
      </c>
      <c r="K161" s="186">
        <f t="shared" si="53"/>
        <v>570.47903807179136</v>
      </c>
      <c r="L161" s="589"/>
      <c r="M161" s="185">
        <f>RANK(K161, K$133:$K$169)</f>
        <v>32</v>
      </c>
      <c r="N161" s="600"/>
      <c r="O161" s="590"/>
      <c r="P161" s="187">
        <v>4</v>
      </c>
      <c r="Q161" s="187">
        <v>2751.9677700017514</v>
      </c>
      <c r="R161" s="184">
        <f t="shared" si="54"/>
        <v>687.99194250043786</v>
      </c>
      <c r="S161" s="181">
        <f t="shared" si="55"/>
        <v>33</v>
      </c>
      <c r="T161" s="587"/>
      <c r="U161" s="187">
        <v>5</v>
      </c>
      <c r="V161" s="187">
        <v>2752.8677700017515</v>
      </c>
      <c r="W161" s="184">
        <f t="shared" si="51"/>
        <v>550.57355400035033</v>
      </c>
      <c r="X161" s="181">
        <f t="shared" si="56"/>
        <v>32</v>
      </c>
      <c r="Y161" s="587"/>
      <c r="Z161" s="187">
        <v>5</v>
      </c>
      <c r="AA161" s="187">
        <v>2753.7677700017516</v>
      </c>
      <c r="AB161" s="184">
        <f t="shared" si="57"/>
        <v>550.75355400035028</v>
      </c>
      <c r="AC161" s="181">
        <f t="shared" si="58"/>
        <v>32</v>
      </c>
      <c r="AD161" s="587"/>
      <c r="AE161" s="187">
        <v>5</v>
      </c>
      <c r="AF161" s="187">
        <v>2754.9677700017514</v>
      </c>
      <c r="AG161" s="184">
        <f t="shared" si="59"/>
        <v>550.99355400035029</v>
      </c>
      <c r="AH161" s="181">
        <f t="shared" si="60"/>
        <v>32</v>
      </c>
      <c r="AI161" s="587"/>
      <c r="AJ161" s="187">
        <v>5</v>
      </c>
      <c r="AK161" s="187">
        <v>2754.967770001751</v>
      </c>
      <c r="AL161" s="184">
        <f t="shared" si="61"/>
        <v>550.99355400035017</v>
      </c>
      <c r="AM161" s="181">
        <f t="shared" si="62"/>
        <v>32</v>
      </c>
      <c r="AN161" s="587"/>
      <c r="AO161" s="187">
        <v>5</v>
      </c>
      <c r="AP161" s="187">
        <v>2754.9677700017501</v>
      </c>
      <c r="AQ161" s="184">
        <f t="shared" si="63"/>
        <v>550.99355400035006</v>
      </c>
      <c r="AR161" s="181">
        <f t="shared" si="64"/>
        <v>31</v>
      </c>
      <c r="AS161" s="587"/>
      <c r="AT161" s="187">
        <v>5</v>
      </c>
      <c r="AU161" s="187">
        <v>2755.2677700017503</v>
      </c>
      <c r="AV161" s="184">
        <f t="shared" si="65"/>
        <v>551.05355400035</v>
      </c>
      <c r="AW161" s="181">
        <f t="shared" si="66"/>
        <v>30</v>
      </c>
      <c r="AX161" s="587"/>
    </row>
    <row r="162" spans="1:50" ht="14.25" customHeight="1">
      <c r="B162" s="586"/>
      <c r="C162" s="179">
        <v>30</v>
      </c>
      <c r="D162" s="182" t="s">
        <v>551</v>
      </c>
      <c r="E162" s="183">
        <v>5</v>
      </c>
      <c r="F162" s="179">
        <v>3600</v>
      </c>
      <c r="G162" s="184">
        <f t="shared" si="52"/>
        <v>720</v>
      </c>
      <c r="H162" s="588"/>
      <c r="I162" s="185">
        <f t="shared" si="53"/>
        <v>4.8571428571428568</v>
      </c>
      <c r="J162" s="185">
        <f t="shared" si="53"/>
        <v>3265.1803975136754</v>
      </c>
      <c r="K162" s="186">
        <f t="shared" si="53"/>
        <v>676.36780240870837</v>
      </c>
      <c r="L162" s="589"/>
      <c r="M162" s="185">
        <f>RANK(K162, K$133:$K$169)</f>
        <v>21</v>
      </c>
      <c r="N162" s="600"/>
      <c r="O162" s="590"/>
      <c r="P162" s="187">
        <v>4</v>
      </c>
      <c r="Q162" s="187">
        <v>3266.4412068362681</v>
      </c>
      <c r="R162" s="184">
        <f t="shared" si="54"/>
        <v>816.61030170906702</v>
      </c>
      <c r="S162" s="181">
        <f t="shared" si="55"/>
        <v>2</v>
      </c>
      <c r="T162" s="587"/>
      <c r="U162" s="187">
        <v>5</v>
      </c>
      <c r="V162" s="187">
        <v>3265.3612068362681</v>
      </c>
      <c r="W162" s="184">
        <f t="shared" si="51"/>
        <v>653.07224136725358</v>
      </c>
      <c r="X162" s="181">
        <f t="shared" si="56"/>
        <v>21</v>
      </c>
      <c r="Y162" s="587"/>
      <c r="Z162" s="187">
        <v>5</v>
      </c>
      <c r="AA162" s="187">
        <v>3266.8012068362677</v>
      </c>
      <c r="AB162" s="184">
        <f t="shared" si="57"/>
        <v>653.36024136725359</v>
      </c>
      <c r="AC162" s="181">
        <f t="shared" si="58"/>
        <v>21</v>
      </c>
      <c r="AD162" s="587"/>
      <c r="AE162" s="187">
        <v>5</v>
      </c>
      <c r="AF162" s="187">
        <v>3266.0812068362679</v>
      </c>
      <c r="AG162" s="184">
        <f t="shared" si="59"/>
        <v>653.21624136725359</v>
      </c>
      <c r="AH162" s="181">
        <f t="shared" si="60"/>
        <v>21</v>
      </c>
      <c r="AI162" s="587"/>
      <c r="AJ162" s="187">
        <v>5</v>
      </c>
      <c r="AK162" s="187">
        <v>3264.2193184168841</v>
      </c>
      <c r="AL162" s="184">
        <f t="shared" si="61"/>
        <v>652.84386368337687</v>
      </c>
      <c r="AM162" s="181">
        <f t="shared" si="62"/>
        <v>21</v>
      </c>
      <c r="AN162" s="587"/>
      <c r="AO162" s="187">
        <v>5</v>
      </c>
      <c r="AP162" s="187">
        <v>3263.8593184168849</v>
      </c>
      <c r="AQ162" s="184">
        <f t="shared" si="63"/>
        <v>652.77186368337698</v>
      </c>
      <c r="AR162" s="181">
        <f t="shared" si="64"/>
        <v>21</v>
      </c>
      <c r="AS162" s="587"/>
      <c r="AT162" s="187">
        <v>5</v>
      </c>
      <c r="AU162" s="187">
        <v>3263.4993184168852</v>
      </c>
      <c r="AV162" s="184">
        <f t="shared" si="65"/>
        <v>652.69986368337709</v>
      </c>
      <c r="AW162" s="181">
        <f t="shared" si="66"/>
        <v>22</v>
      </c>
      <c r="AX162" s="587"/>
    </row>
    <row r="163" spans="1:50" ht="14.25" customHeight="1">
      <c r="B163" s="586"/>
      <c r="C163" s="179">
        <v>31</v>
      </c>
      <c r="D163" s="182" t="s">
        <v>557</v>
      </c>
      <c r="E163" s="179">
        <v>4</v>
      </c>
      <c r="F163" s="179">
        <v>3000</v>
      </c>
      <c r="G163" s="184">
        <f t="shared" si="52"/>
        <v>750</v>
      </c>
      <c r="H163" s="588"/>
      <c r="I163" s="185">
        <f t="shared" si="53"/>
        <v>4</v>
      </c>
      <c r="J163" s="185">
        <f t="shared" si="53"/>
        <v>2755.5828918733159</v>
      </c>
      <c r="K163" s="186">
        <f t="shared" si="53"/>
        <v>688.89572296832898</v>
      </c>
      <c r="L163" s="589"/>
      <c r="M163" s="185">
        <f>RANK(K163, K$133:$K$169)</f>
        <v>19</v>
      </c>
      <c r="N163" s="600"/>
      <c r="O163" s="590"/>
      <c r="P163" s="187">
        <v>4</v>
      </c>
      <c r="Q163" s="187">
        <v>2752.7237563503777</v>
      </c>
      <c r="R163" s="184">
        <f t="shared" si="54"/>
        <v>688.18093908759442</v>
      </c>
      <c r="S163" s="181">
        <f t="shared" si="55"/>
        <v>32</v>
      </c>
      <c r="T163" s="587"/>
      <c r="U163" s="187">
        <v>4</v>
      </c>
      <c r="V163" s="187">
        <v>2753.6237563503778</v>
      </c>
      <c r="W163" s="184">
        <f t="shared" si="51"/>
        <v>688.40593908759445</v>
      </c>
      <c r="X163" s="181">
        <f t="shared" si="56"/>
        <v>19</v>
      </c>
      <c r="Y163" s="587"/>
      <c r="Z163" s="187">
        <v>4</v>
      </c>
      <c r="AA163" s="187">
        <v>2755.1237563503769</v>
      </c>
      <c r="AB163" s="184">
        <f t="shared" si="57"/>
        <v>688.78093908759422</v>
      </c>
      <c r="AC163" s="181">
        <f t="shared" si="58"/>
        <v>19</v>
      </c>
      <c r="AD163" s="587"/>
      <c r="AE163" s="187">
        <v>4</v>
      </c>
      <c r="AF163" s="187">
        <v>2756.6237563503769</v>
      </c>
      <c r="AG163" s="184">
        <f t="shared" si="59"/>
        <v>689.15593908759422</v>
      </c>
      <c r="AH163" s="181">
        <f t="shared" si="60"/>
        <v>19</v>
      </c>
      <c r="AI163" s="587"/>
      <c r="AJ163" s="187">
        <v>4</v>
      </c>
      <c r="AK163" s="187">
        <v>2755.7950725705673</v>
      </c>
      <c r="AL163" s="184">
        <f t="shared" si="61"/>
        <v>688.94876814264182</v>
      </c>
      <c r="AM163" s="181">
        <f t="shared" si="62"/>
        <v>19</v>
      </c>
      <c r="AN163" s="587"/>
      <c r="AO163" s="187">
        <v>4</v>
      </c>
      <c r="AP163" s="187">
        <v>2756.9950725705671</v>
      </c>
      <c r="AQ163" s="184">
        <f t="shared" si="63"/>
        <v>689.24876814264178</v>
      </c>
      <c r="AR163" s="181">
        <f t="shared" si="64"/>
        <v>19</v>
      </c>
      <c r="AS163" s="587"/>
      <c r="AT163" s="187">
        <v>4</v>
      </c>
      <c r="AU163" s="187">
        <v>2758.1950725705665</v>
      </c>
      <c r="AV163" s="184">
        <f t="shared" si="65"/>
        <v>689.54876814264162</v>
      </c>
      <c r="AW163" s="181">
        <f t="shared" si="66"/>
        <v>19</v>
      </c>
      <c r="AX163" s="587"/>
    </row>
    <row r="164" spans="1:50" ht="14.25" customHeight="1">
      <c r="B164" s="586"/>
      <c r="C164" s="179">
        <v>32</v>
      </c>
      <c r="D164" s="182" t="s">
        <v>558</v>
      </c>
      <c r="E164" s="179">
        <v>5</v>
      </c>
      <c r="F164" s="179">
        <v>3600</v>
      </c>
      <c r="G164" s="184">
        <f t="shared" si="52"/>
        <v>720</v>
      </c>
      <c r="H164" s="588"/>
      <c r="I164" s="185">
        <f t="shared" ref="I164:K167" si="67">AVERAGE(P164,U164,Z164,AE164,AJ164,AO164,AT164)</f>
        <v>4.8571428571428568</v>
      </c>
      <c r="J164" s="185">
        <f t="shared" si="67"/>
        <v>3264.584004166551</v>
      </c>
      <c r="K164" s="186">
        <f t="shared" si="67"/>
        <v>676.25613856229279</v>
      </c>
      <c r="L164" s="589"/>
      <c r="M164" s="185">
        <f>RANK(K164, K$133:$K$169)</f>
        <v>22</v>
      </c>
      <c r="N164" s="600"/>
      <c r="O164" s="590"/>
      <c r="P164" s="187">
        <v>4</v>
      </c>
      <c r="Q164" s="187">
        <v>3267.5072820575392</v>
      </c>
      <c r="R164" s="184">
        <f t="shared" si="54"/>
        <v>816.8768205143848</v>
      </c>
      <c r="S164" s="181">
        <f t="shared" si="55"/>
        <v>1</v>
      </c>
      <c r="T164" s="587"/>
      <c r="U164" s="187">
        <v>5</v>
      </c>
      <c r="V164" s="187">
        <v>3263.945169629349</v>
      </c>
      <c r="W164" s="184">
        <f t="shared" si="51"/>
        <v>652.78903392586983</v>
      </c>
      <c r="X164" s="181">
        <f t="shared" si="56"/>
        <v>22</v>
      </c>
      <c r="Y164" s="587"/>
      <c r="Z164" s="187">
        <v>5</v>
      </c>
      <c r="AA164" s="187">
        <v>3264.3051696293487</v>
      </c>
      <c r="AB164" s="184">
        <f t="shared" si="57"/>
        <v>652.86103392586972</v>
      </c>
      <c r="AC164" s="181">
        <f t="shared" si="58"/>
        <v>22</v>
      </c>
      <c r="AD164" s="587"/>
      <c r="AE164" s="187">
        <v>5</v>
      </c>
      <c r="AF164" s="187">
        <v>3263.9451696293486</v>
      </c>
      <c r="AG164" s="184">
        <f t="shared" si="59"/>
        <v>652.78903392586972</v>
      </c>
      <c r="AH164" s="181">
        <f t="shared" si="60"/>
        <v>22</v>
      </c>
      <c r="AI164" s="587"/>
      <c r="AJ164" s="187">
        <v>5</v>
      </c>
      <c r="AK164" s="187">
        <v>3263.7684127400917</v>
      </c>
      <c r="AL164" s="184">
        <f t="shared" si="61"/>
        <v>652.75368254801833</v>
      </c>
      <c r="AM164" s="181">
        <f t="shared" si="62"/>
        <v>22</v>
      </c>
      <c r="AN164" s="587"/>
      <c r="AO164" s="187">
        <v>5</v>
      </c>
      <c r="AP164" s="187">
        <v>3263.7684127400917</v>
      </c>
      <c r="AQ164" s="184">
        <f t="shared" si="63"/>
        <v>652.75368254801833</v>
      </c>
      <c r="AR164" s="181">
        <f t="shared" si="64"/>
        <v>22</v>
      </c>
      <c r="AS164" s="587"/>
      <c r="AT164" s="187">
        <v>5</v>
      </c>
      <c r="AU164" s="187">
        <v>3264.8484127400916</v>
      </c>
      <c r="AV164" s="184">
        <f t="shared" si="65"/>
        <v>652.96968254801834</v>
      </c>
      <c r="AW164" s="181">
        <f t="shared" si="66"/>
        <v>21</v>
      </c>
      <c r="AX164" s="587"/>
    </row>
    <row r="165" spans="1:50" ht="14.25" customHeight="1">
      <c r="B165" s="586"/>
      <c r="C165" s="179">
        <v>33</v>
      </c>
      <c r="D165" s="182" t="s">
        <v>324</v>
      </c>
      <c r="E165" s="179">
        <v>3</v>
      </c>
      <c r="F165" s="179">
        <v>3000</v>
      </c>
      <c r="G165" s="184">
        <f t="shared" si="52"/>
        <v>1000</v>
      </c>
      <c r="H165" s="588"/>
      <c r="I165" s="185">
        <f t="shared" si="67"/>
        <v>3.1428571428571428</v>
      </c>
      <c r="J165" s="185">
        <f t="shared" si="67"/>
        <v>2758.5115289582095</v>
      </c>
      <c r="K165" s="186">
        <f t="shared" si="67"/>
        <v>886.6986036957511</v>
      </c>
      <c r="L165" s="589"/>
      <c r="M165" s="185">
        <f>RANK(K165, K$133:$K$169)</f>
        <v>11</v>
      </c>
      <c r="N165" s="600"/>
      <c r="O165" s="590"/>
      <c r="P165" s="187">
        <v>4</v>
      </c>
      <c r="Q165" s="187">
        <v>2755.6401003867813</v>
      </c>
      <c r="R165" s="184">
        <f t="shared" si="54"/>
        <v>688.91002509669534</v>
      </c>
      <c r="S165" s="181">
        <f t="shared" si="55"/>
        <v>29</v>
      </c>
      <c r="T165" s="587"/>
      <c r="U165" s="187">
        <v>3</v>
      </c>
      <c r="V165" s="187">
        <v>2755.6401003867813</v>
      </c>
      <c r="W165" s="184">
        <f t="shared" si="51"/>
        <v>918.54670012892711</v>
      </c>
      <c r="X165" s="181">
        <f t="shared" si="56"/>
        <v>12</v>
      </c>
      <c r="Y165" s="587"/>
      <c r="Z165" s="187">
        <v>3</v>
      </c>
      <c r="AA165" s="187">
        <v>2757.1401003867813</v>
      </c>
      <c r="AB165" s="184">
        <f t="shared" si="57"/>
        <v>919.04670012892711</v>
      </c>
      <c r="AC165" s="181">
        <f t="shared" si="58"/>
        <v>12</v>
      </c>
      <c r="AD165" s="587"/>
      <c r="AE165" s="187">
        <v>3</v>
      </c>
      <c r="AF165" s="187">
        <v>2758.9401003867815</v>
      </c>
      <c r="AG165" s="184">
        <f t="shared" si="59"/>
        <v>919.64670012892714</v>
      </c>
      <c r="AH165" s="181">
        <f t="shared" si="60"/>
        <v>11</v>
      </c>
      <c r="AI165" s="587"/>
      <c r="AJ165" s="187">
        <v>3</v>
      </c>
      <c r="AK165" s="187">
        <v>2760.1401003867809</v>
      </c>
      <c r="AL165" s="184">
        <f t="shared" si="61"/>
        <v>920.046700128927</v>
      </c>
      <c r="AM165" s="181">
        <f t="shared" si="62"/>
        <v>11</v>
      </c>
      <c r="AN165" s="587"/>
      <c r="AO165" s="187">
        <v>3</v>
      </c>
      <c r="AP165" s="187">
        <v>2760.7401003867803</v>
      </c>
      <c r="AQ165" s="184">
        <f t="shared" si="63"/>
        <v>920.24670012892682</v>
      </c>
      <c r="AR165" s="181">
        <f t="shared" si="64"/>
        <v>12</v>
      </c>
      <c r="AS165" s="587"/>
      <c r="AT165" s="187">
        <v>3</v>
      </c>
      <c r="AU165" s="187">
        <v>2761.3401003867803</v>
      </c>
      <c r="AV165" s="184">
        <f t="shared" si="65"/>
        <v>920.44670012892675</v>
      </c>
      <c r="AW165" s="181">
        <f t="shared" si="66"/>
        <v>11</v>
      </c>
      <c r="AX165" s="587"/>
    </row>
    <row r="166" spans="1:50" ht="14.25" customHeight="1">
      <c r="B166" s="586"/>
      <c r="C166" s="179">
        <v>34</v>
      </c>
      <c r="D166" s="182" t="s">
        <v>414</v>
      </c>
      <c r="E166" s="179">
        <v>12</v>
      </c>
      <c r="F166" s="179">
        <v>3600</v>
      </c>
      <c r="G166" s="184">
        <f t="shared" si="52"/>
        <v>300</v>
      </c>
      <c r="H166" s="588"/>
      <c r="I166" s="185">
        <f t="shared" si="67"/>
        <v>10.857142857142858</v>
      </c>
      <c r="J166" s="185">
        <f t="shared" si="67"/>
        <v>3121.1381372360966</v>
      </c>
      <c r="K166" s="186">
        <f t="shared" si="67"/>
        <v>334.37458223119467</v>
      </c>
      <c r="L166" s="589"/>
      <c r="M166" s="185">
        <f>RANK(K166, K$133:$K$169)</f>
        <v>35</v>
      </c>
      <c r="N166" s="600"/>
      <c r="O166" s="590"/>
      <c r="P166" s="187">
        <v>4</v>
      </c>
      <c r="Q166" s="187">
        <v>3119.7489733838383</v>
      </c>
      <c r="R166" s="184">
        <f t="shared" si="54"/>
        <v>779.93724334595959</v>
      </c>
      <c r="S166" s="181">
        <f t="shared" si="55"/>
        <v>21</v>
      </c>
      <c r="T166" s="587"/>
      <c r="U166" s="187">
        <v>12</v>
      </c>
      <c r="V166" s="187">
        <v>3120.4096645448067</v>
      </c>
      <c r="W166" s="184">
        <f t="shared" si="51"/>
        <v>260.0341387120672</v>
      </c>
      <c r="X166" s="181">
        <f t="shared" si="56"/>
        <v>33</v>
      </c>
      <c r="Y166" s="587"/>
      <c r="Z166" s="187">
        <v>12</v>
      </c>
      <c r="AA166" s="187">
        <v>3121.4896645448061</v>
      </c>
      <c r="AB166" s="184">
        <f t="shared" si="57"/>
        <v>260.12413871206718</v>
      </c>
      <c r="AC166" s="181">
        <f t="shared" si="58"/>
        <v>33</v>
      </c>
      <c r="AD166" s="587"/>
      <c r="AE166" s="187">
        <v>12</v>
      </c>
      <c r="AF166" s="187">
        <v>3121.8496645448067</v>
      </c>
      <c r="AG166" s="184">
        <f t="shared" si="59"/>
        <v>260.15413871206721</v>
      </c>
      <c r="AH166" s="181">
        <f t="shared" si="60"/>
        <v>33</v>
      </c>
      <c r="AI166" s="587"/>
      <c r="AJ166" s="187">
        <v>12</v>
      </c>
      <c r="AK166" s="187">
        <v>3122.5696645448065</v>
      </c>
      <c r="AL166" s="184">
        <f t="shared" si="61"/>
        <v>260.21413871206721</v>
      </c>
      <c r="AM166" s="181">
        <f t="shared" si="62"/>
        <v>33</v>
      </c>
      <c r="AN166" s="587"/>
      <c r="AO166" s="187">
        <v>12</v>
      </c>
      <c r="AP166" s="187">
        <v>3121.1296645448065</v>
      </c>
      <c r="AQ166" s="184">
        <f t="shared" si="63"/>
        <v>260.09413871206721</v>
      </c>
      <c r="AR166" s="181">
        <f t="shared" si="64"/>
        <v>33</v>
      </c>
      <c r="AS166" s="587"/>
      <c r="AT166" s="187">
        <v>12</v>
      </c>
      <c r="AU166" s="187">
        <v>3120.7696645448059</v>
      </c>
      <c r="AV166" s="184">
        <f t="shared" si="65"/>
        <v>260.06413871206718</v>
      </c>
      <c r="AW166" s="181">
        <f t="shared" si="66"/>
        <v>33</v>
      </c>
      <c r="AX166" s="587"/>
    </row>
    <row r="167" spans="1:50" ht="14.25" customHeight="1">
      <c r="B167" s="586"/>
      <c r="C167" s="179">
        <v>35</v>
      </c>
      <c r="D167" s="182" t="s">
        <v>715</v>
      </c>
      <c r="E167" s="179">
        <v>5</v>
      </c>
      <c r="F167" s="179">
        <v>3300</v>
      </c>
      <c r="G167" s="184">
        <f t="shared" si="52"/>
        <v>660</v>
      </c>
      <c r="H167" s="588"/>
      <c r="I167" s="185">
        <f t="shared" si="67"/>
        <v>5</v>
      </c>
      <c r="J167" s="185">
        <f t="shared" si="67"/>
        <v>2727.7931153738259</v>
      </c>
      <c r="K167" s="186">
        <f t="shared" si="67"/>
        <v>545.55862307476514</v>
      </c>
      <c r="L167" s="589"/>
      <c r="M167" s="185">
        <f>RANK(K167, K$133:$K$169)</f>
        <v>33</v>
      </c>
      <c r="N167" s="600"/>
      <c r="O167" s="590"/>
      <c r="P167" s="187"/>
      <c r="Q167" s="187"/>
      <c r="R167" s="184"/>
      <c r="S167" s="181"/>
      <c r="T167" s="587"/>
      <c r="U167" s="187"/>
      <c r="V167" s="187"/>
      <c r="W167" s="184"/>
      <c r="X167" s="181"/>
      <c r="Y167" s="587"/>
      <c r="Z167" s="187"/>
      <c r="AA167" s="187"/>
      <c r="AB167" s="184"/>
      <c r="AC167" s="181"/>
      <c r="AD167" s="587"/>
      <c r="AE167" s="187"/>
      <c r="AF167" s="187"/>
      <c r="AG167" s="184"/>
      <c r="AH167" s="181"/>
      <c r="AI167" s="587"/>
      <c r="AJ167" s="187"/>
      <c r="AK167" s="187"/>
      <c r="AL167" s="184"/>
      <c r="AM167" s="181"/>
      <c r="AN167" s="587"/>
      <c r="AO167" s="187"/>
      <c r="AP167" s="187"/>
      <c r="AQ167" s="184"/>
      <c r="AR167" s="181"/>
      <c r="AS167" s="587"/>
      <c r="AT167" s="187">
        <v>5</v>
      </c>
      <c r="AU167" s="187">
        <v>2727.7931153738259</v>
      </c>
      <c r="AV167" s="184">
        <f t="shared" si="65"/>
        <v>545.55862307476514</v>
      </c>
      <c r="AW167" s="181">
        <f>RANK(AV167, AV$133:AV$169)</f>
        <v>31</v>
      </c>
      <c r="AX167" s="587"/>
    </row>
    <row r="168" spans="1:50" ht="14.25" customHeight="1">
      <c r="B168" s="586"/>
      <c r="C168" s="179">
        <v>36</v>
      </c>
      <c r="D168" s="182"/>
      <c r="E168" s="179"/>
      <c r="F168" s="179"/>
      <c r="G168" s="184"/>
      <c r="H168" s="588"/>
      <c r="I168" s="185"/>
      <c r="J168" s="185"/>
      <c r="K168" s="186"/>
      <c r="L168" s="589"/>
      <c r="M168" s="185"/>
      <c r="N168" s="600"/>
      <c r="O168" s="590"/>
      <c r="P168" s="187"/>
      <c r="Q168" s="187"/>
      <c r="R168" s="184"/>
      <c r="S168" s="181"/>
      <c r="T168" s="587"/>
      <c r="U168" s="187"/>
      <c r="V168" s="187"/>
      <c r="W168" s="184"/>
      <c r="X168" s="181"/>
      <c r="Y168" s="587"/>
      <c r="Z168" s="187"/>
      <c r="AA168" s="187"/>
      <c r="AB168" s="184"/>
      <c r="AC168" s="181"/>
      <c r="AD168" s="587"/>
      <c r="AE168" s="187"/>
      <c r="AF168" s="187"/>
      <c r="AG168" s="184"/>
      <c r="AH168" s="181"/>
      <c r="AI168" s="587"/>
      <c r="AJ168" s="187"/>
      <c r="AK168" s="187"/>
      <c r="AL168" s="184"/>
      <c r="AM168" s="181"/>
      <c r="AN168" s="587"/>
      <c r="AO168" s="187"/>
      <c r="AP168" s="187"/>
      <c r="AQ168" s="184"/>
      <c r="AR168" s="181"/>
      <c r="AS168" s="587"/>
      <c r="AT168" s="187"/>
      <c r="AU168" s="187"/>
      <c r="AV168" s="184"/>
      <c r="AW168" s="181"/>
      <c r="AX168" s="587"/>
    </row>
    <row r="169" spans="1:50" ht="14.25" customHeight="1">
      <c r="B169" s="586"/>
      <c r="C169" s="179">
        <v>37</v>
      </c>
      <c r="D169" s="182"/>
      <c r="E169" s="179"/>
      <c r="F169" s="179"/>
      <c r="G169" s="184"/>
      <c r="H169" s="588"/>
      <c r="I169" s="185"/>
      <c r="J169" s="185"/>
      <c r="K169" s="186"/>
      <c r="L169" s="589"/>
      <c r="M169" s="185"/>
      <c r="N169" s="600"/>
      <c r="O169" s="590"/>
      <c r="P169" s="187"/>
      <c r="Q169" s="187"/>
      <c r="R169" s="184"/>
      <c r="S169" s="181"/>
      <c r="T169" s="587"/>
      <c r="U169" s="187"/>
      <c r="V169" s="187"/>
      <c r="W169" s="184"/>
      <c r="X169" s="181"/>
      <c r="Y169" s="587"/>
      <c r="Z169" s="187"/>
      <c r="AA169" s="187"/>
      <c r="AB169" s="184"/>
      <c r="AC169" s="181"/>
      <c r="AD169" s="587"/>
      <c r="AE169" s="187"/>
      <c r="AF169" s="187"/>
      <c r="AG169" s="184"/>
      <c r="AH169" s="181"/>
      <c r="AI169" s="587"/>
      <c r="AJ169" s="187"/>
      <c r="AK169" s="187"/>
      <c r="AL169" s="184"/>
      <c r="AM169" s="181"/>
      <c r="AN169" s="587"/>
      <c r="AO169" s="187"/>
      <c r="AP169" s="187"/>
      <c r="AQ169" s="184"/>
      <c r="AR169" s="181"/>
      <c r="AS169" s="587"/>
      <c r="AT169" s="187"/>
      <c r="AU169" s="187"/>
      <c r="AV169" s="184"/>
      <c r="AW169" s="181"/>
      <c r="AX169" s="587"/>
    </row>
    <row r="170" spans="1:50" ht="14.25" customHeight="1">
      <c r="B170" s="601" t="s">
        <v>772</v>
      </c>
      <c r="C170" s="602"/>
      <c r="D170" s="602"/>
      <c r="E170" s="602"/>
      <c r="F170" s="602"/>
      <c r="G170" s="602"/>
      <c r="H170" s="602"/>
      <c r="I170" s="602"/>
      <c r="J170" s="602"/>
      <c r="K170" s="602"/>
      <c r="L170" s="602"/>
      <c r="M170" s="603"/>
      <c r="N170" s="606" t="s">
        <v>341</v>
      </c>
      <c r="O170" s="606" t="s">
        <v>105</v>
      </c>
      <c r="P170" s="608">
        <v>46259</v>
      </c>
      <c r="Q170" s="609"/>
      <c r="R170" s="609"/>
      <c r="S170" s="609"/>
      <c r="T170" s="609"/>
      <c r="U170" s="610">
        <v>46260</v>
      </c>
      <c r="V170" s="611"/>
      <c r="W170" s="611"/>
      <c r="X170" s="611"/>
      <c r="Y170" s="611"/>
      <c r="Z170" s="608">
        <v>46261</v>
      </c>
      <c r="AA170" s="609"/>
      <c r="AB170" s="609"/>
      <c r="AC170" s="609"/>
      <c r="AD170" s="609"/>
      <c r="AE170" s="610">
        <v>46262</v>
      </c>
      <c r="AF170" s="611"/>
      <c r="AG170" s="611"/>
      <c r="AH170" s="611"/>
      <c r="AI170" s="611"/>
      <c r="AJ170" s="592">
        <v>46263</v>
      </c>
      <c r="AK170" s="593"/>
      <c r="AL170" s="593"/>
      <c r="AM170" s="593"/>
      <c r="AN170" s="594"/>
      <c r="AO170" s="610">
        <v>46264</v>
      </c>
      <c r="AP170" s="611"/>
      <c r="AQ170" s="611"/>
      <c r="AR170" s="611"/>
      <c r="AS170" s="611"/>
      <c r="AT170" s="592">
        <v>46265</v>
      </c>
      <c r="AU170" s="593"/>
      <c r="AV170" s="593"/>
      <c r="AW170" s="593"/>
      <c r="AX170" s="594"/>
    </row>
    <row r="171" spans="1:50" ht="14.25" customHeight="1">
      <c r="B171" s="604"/>
      <c r="C171" s="604"/>
      <c r="D171" s="604"/>
      <c r="E171" s="604"/>
      <c r="F171" s="604"/>
      <c r="G171" s="604"/>
      <c r="H171" s="604"/>
      <c r="I171" s="604"/>
      <c r="J171" s="604"/>
      <c r="K171" s="604"/>
      <c r="L171" s="604"/>
      <c r="M171" s="605"/>
      <c r="N171" s="607"/>
      <c r="O171" s="607"/>
      <c r="P171" s="595">
        <v>46196</v>
      </c>
      <c r="Q171" s="595"/>
      <c r="R171" s="595"/>
      <c r="S171" s="595"/>
      <c r="T171" s="595"/>
      <c r="U171" s="596">
        <v>46197</v>
      </c>
      <c r="V171" s="596"/>
      <c r="W171" s="596"/>
      <c r="X171" s="596"/>
      <c r="Y171" s="596"/>
      <c r="Z171" s="595">
        <v>46198</v>
      </c>
      <c r="AA171" s="595"/>
      <c r="AB171" s="595"/>
      <c r="AC171" s="595"/>
      <c r="AD171" s="595"/>
      <c r="AE171" s="596">
        <v>46199</v>
      </c>
      <c r="AF171" s="596"/>
      <c r="AG171" s="596"/>
      <c r="AH171" s="596"/>
      <c r="AI171" s="596"/>
      <c r="AJ171" s="597">
        <v>46200</v>
      </c>
      <c r="AK171" s="598"/>
      <c r="AL171" s="598"/>
      <c r="AM171" s="598"/>
      <c r="AN171" s="599"/>
      <c r="AO171" s="596">
        <v>46201</v>
      </c>
      <c r="AP171" s="596"/>
      <c r="AQ171" s="596"/>
      <c r="AR171" s="596"/>
      <c r="AS171" s="596"/>
      <c r="AT171" s="597">
        <v>46202</v>
      </c>
      <c r="AU171" s="598"/>
      <c r="AV171" s="598"/>
      <c r="AW171" s="598"/>
      <c r="AX171" s="599"/>
    </row>
    <row r="172" spans="1:50" ht="14.25" customHeight="1">
      <c r="B172" s="586" t="s">
        <v>162</v>
      </c>
      <c r="C172" s="586" t="s">
        <v>157</v>
      </c>
      <c r="D172" s="586"/>
      <c r="E172" s="586" t="s">
        <v>158</v>
      </c>
      <c r="F172" s="586"/>
      <c r="G172" s="586"/>
      <c r="H172" s="586" t="s">
        <v>163</v>
      </c>
      <c r="I172" s="591" t="s">
        <v>342</v>
      </c>
      <c r="J172" s="591"/>
      <c r="K172" s="591"/>
      <c r="L172" s="591" t="s">
        <v>163</v>
      </c>
      <c r="M172" s="591" t="s">
        <v>165</v>
      </c>
      <c r="N172" s="600"/>
      <c r="O172" s="590" t="s">
        <v>164</v>
      </c>
      <c r="P172" s="590" t="s">
        <v>160</v>
      </c>
      <c r="Q172" s="590"/>
      <c r="R172" s="590"/>
      <c r="S172" s="590"/>
      <c r="T172" s="590" t="s">
        <v>163</v>
      </c>
      <c r="U172" s="590" t="s">
        <v>160</v>
      </c>
      <c r="V172" s="590"/>
      <c r="W172" s="590"/>
      <c r="X172" s="590"/>
      <c r="Y172" s="590" t="s">
        <v>163</v>
      </c>
      <c r="Z172" s="590" t="s">
        <v>160</v>
      </c>
      <c r="AA172" s="590"/>
      <c r="AB172" s="590"/>
      <c r="AC172" s="590"/>
      <c r="AD172" s="590" t="s">
        <v>163</v>
      </c>
      <c r="AE172" s="590" t="s">
        <v>160</v>
      </c>
      <c r="AF172" s="590"/>
      <c r="AG172" s="590"/>
      <c r="AH172" s="590"/>
      <c r="AI172" s="590" t="s">
        <v>163</v>
      </c>
      <c r="AJ172" s="590" t="s">
        <v>160</v>
      </c>
      <c r="AK172" s="590"/>
      <c r="AL172" s="590"/>
      <c r="AM172" s="590"/>
      <c r="AN172" s="590" t="s">
        <v>163</v>
      </c>
      <c r="AO172" s="590" t="s">
        <v>160</v>
      </c>
      <c r="AP172" s="590"/>
      <c r="AQ172" s="590"/>
      <c r="AR172" s="590"/>
      <c r="AS172" s="590" t="s">
        <v>163</v>
      </c>
      <c r="AT172" s="590" t="s">
        <v>160</v>
      </c>
      <c r="AU172" s="590"/>
      <c r="AV172" s="590"/>
      <c r="AW172" s="590"/>
      <c r="AX172" s="590" t="s">
        <v>163</v>
      </c>
    </row>
    <row r="173" spans="1:50" ht="14.25" customHeight="1">
      <c r="B173" s="586"/>
      <c r="C173" s="586"/>
      <c r="D173" s="586"/>
      <c r="E173" s="586" t="s">
        <v>343</v>
      </c>
      <c r="F173" s="586"/>
      <c r="G173" s="586"/>
      <c r="H173" s="586"/>
      <c r="I173" s="591" t="s">
        <v>343</v>
      </c>
      <c r="J173" s="591"/>
      <c r="K173" s="591"/>
      <c r="L173" s="591"/>
      <c r="M173" s="591"/>
      <c r="N173" s="600"/>
      <c r="O173" s="590"/>
      <c r="P173" s="590" t="s">
        <v>344</v>
      </c>
      <c r="Q173" s="590"/>
      <c r="R173" s="590"/>
      <c r="S173" s="590"/>
      <c r="T173" s="590"/>
      <c r="U173" s="590" t="s">
        <v>344</v>
      </c>
      <c r="V173" s="590"/>
      <c r="W173" s="590"/>
      <c r="X173" s="590"/>
      <c r="Y173" s="590"/>
      <c r="Z173" s="590" t="s">
        <v>344</v>
      </c>
      <c r="AA173" s="590"/>
      <c r="AB173" s="590"/>
      <c r="AC173" s="590"/>
      <c r="AD173" s="590"/>
      <c r="AE173" s="590" t="s">
        <v>344</v>
      </c>
      <c r="AF173" s="590"/>
      <c r="AG173" s="590"/>
      <c r="AH173" s="590"/>
      <c r="AI173" s="590"/>
      <c r="AJ173" s="590" t="s">
        <v>344</v>
      </c>
      <c r="AK173" s="590"/>
      <c r="AL173" s="590"/>
      <c r="AM173" s="590"/>
      <c r="AN173" s="590"/>
      <c r="AO173" s="590" t="s">
        <v>344</v>
      </c>
      <c r="AP173" s="590"/>
      <c r="AQ173" s="590"/>
      <c r="AR173" s="590"/>
      <c r="AS173" s="590"/>
      <c r="AT173" s="590" t="s">
        <v>344</v>
      </c>
      <c r="AU173" s="590"/>
      <c r="AV173" s="590"/>
      <c r="AW173" s="590"/>
      <c r="AX173" s="590"/>
    </row>
    <row r="174" spans="1:50" ht="14.25" customHeight="1">
      <c r="A174" s="176"/>
      <c r="B174" s="586"/>
      <c r="C174" s="586"/>
      <c r="D174" s="586"/>
      <c r="E174" s="179" t="s">
        <v>159</v>
      </c>
      <c r="F174" s="179" t="s">
        <v>345</v>
      </c>
      <c r="G174" s="179" t="s">
        <v>161</v>
      </c>
      <c r="H174" s="586"/>
      <c r="I174" s="180" t="s">
        <v>159</v>
      </c>
      <c r="J174" s="180" t="s">
        <v>345</v>
      </c>
      <c r="K174" s="180" t="s">
        <v>161</v>
      </c>
      <c r="L174" s="591"/>
      <c r="M174" s="591"/>
      <c r="N174" s="600"/>
      <c r="O174" s="590"/>
      <c r="P174" s="181" t="s">
        <v>159</v>
      </c>
      <c r="Q174" s="181" t="s">
        <v>345</v>
      </c>
      <c r="R174" s="181" t="s">
        <v>161</v>
      </c>
      <c r="S174" s="181" t="s">
        <v>165</v>
      </c>
      <c r="T174" s="590"/>
      <c r="U174" s="181" t="s">
        <v>159</v>
      </c>
      <c r="V174" s="181" t="s">
        <v>345</v>
      </c>
      <c r="W174" s="181" t="s">
        <v>161</v>
      </c>
      <c r="X174" s="181" t="s">
        <v>165</v>
      </c>
      <c r="Y174" s="590"/>
      <c r="Z174" s="181" t="s">
        <v>159</v>
      </c>
      <c r="AA174" s="181" t="s">
        <v>345</v>
      </c>
      <c r="AB174" s="181" t="s">
        <v>161</v>
      </c>
      <c r="AC174" s="181" t="s">
        <v>165</v>
      </c>
      <c r="AD174" s="590"/>
      <c r="AE174" s="181" t="s">
        <v>159</v>
      </c>
      <c r="AF174" s="181" t="s">
        <v>345</v>
      </c>
      <c r="AG174" s="181" t="s">
        <v>161</v>
      </c>
      <c r="AH174" s="181" t="s">
        <v>165</v>
      </c>
      <c r="AI174" s="590"/>
      <c r="AJ174" s="181" t="s">
        <v>159</v>
      </c>
      <c r="AK174" s="181" t="s">
        <v>345</v>
      </c>
      <c r="AL174" s="181" t="s">
        <v>161</v>
      </c>
      <c r="AM174" s="181" t="s">
        <v>165</v>
      </c>
      <c r="AN174" s="590"/>
      <c r="AO174" s="181" t="s">
        <v>159</v>
      </c>
      <c r="AP174" s="181" t="s">
        <v>345</v>
      </c>
      <c r="AQ174" s="181" t="s">
        <v>161</v>
      </c>
      <c r="AR174" s="181" t="s">
        <v>165</v>
      </c>
      <c r="AS174" s="590"/>
      <c r="AT174" s="181" t="s">
        <v>159</v>
      </c>
      <c r="AU174" s="181" t="s">
        <v>345</v>
      </c>
      <c r="AV174" s="181" t="s">
        <v>161</v>
      </c>
      <c r="AW174" s="181" t="s">
        <v>165</v>
      </c>
      <c r="AX174" s="590"/>
    </row>
    <row r="175" spans="1:50" ht="14.25" customHeight="1">
      <c r="B175" s="586" t="s">
        <v>346</v>
      </c>
      <c r="C175" s="179">
        <v>1</v>
      </c>
      <c r="D175" s="182" t="s">
        <v>371</v>
      </c>
      <c r="E175" s="183">
        <v>4</v>
      </c>
      <c r="F175" s="179">
        <v>3300</v>
      </c>
      <c r="G175" s="184">
        <f>IFERROR(F175/E175,"")</f>
        <v>825</v>
      </c>
      <c r="H175" s="588">
        <f>AVERAGE(G175:G211)</f>
        <v>871.52777777777783</v>
      </c>
      <c r="I175" s="185">
        <f>AVERAGE(P175,U175,Z175,AE175,AJ175,AO175,AT175)</f>
        <v>4</v>
      </c>
      <c r="J175" s="185">
        <f>AVERAGE(Q175,V175,AA175,AF175,AK175,AP175,AU175)</f>
        <v>3034.1165323711311</v>
      </c>
      <c r="K175" s="186">
        <f>AVERAGE(R175,W175,AB175,AG175,AL175,AQ175,AV175)</f>
        <v>758.52913309278279</v>
      </c>
      <c r="L175" s="589">
        <f>IFERROR(AVERAGE(K175:K211),"-")</f>
        <v>784.91185488547501</v>
      </c>
      <c r="M175" s="185">
        <f>RANK(K175, K$175:$K$211)</f>
        <v>18</v>
      </c>
      <c r="N175" s="600"/>
      <c r="O175" s="590"/>
      <c r="P175" s="187">
        <v>4</v>
      </c>
      <c r="Q175" s="187">
        <v>3029.8727961842324</v>
      </c>
      <c r="R175" s="184">
        <f>IFERROR(Q175/P175,"")</f>
        <v>757.46819904605809</v>
      </c>
      <c r="S175" s="181">
        <f>RANK(R175, R$175:R$211)</f>
        <v>18</v>
      </c>
      <c r="T175" s="587">
        <f>AVERAGE(R175:R211)</f>
        <v>785.0867686047726</v>
      </c>
      <c r="U175" s="187">
        <v>4</v>
      </c>
      <c r="V175" s="187">
        <v>3031.8088221011376</v>
      </c>
      <c r="W175" s="184">
        <f t="shared" ref="W175:W208" si="68">IFERROR(V175/U175,"")</f>
        <v>757.9522055252844</v>
      </c>
      <c r="X175" s="181">
        <f>RANK(W175, W$175:W$211)</f>
        <v>18</v>
      </c>
      <c r="Y175" s="587">
        <f>AVERAGE(W175:W211)</f>
        <v>785.77829449974558</v>
      </c>
      <c r="Z175" s="187">
        <v>4</v>
      </c>
      <c r="AA175" s="187">
        <v>3033.6448216625099</v>
      </c>
      <c r="AB175" s="184">
        <f>IFERROR(AA175/Z175,"")</f>
        <v>758.41120541562748</v>
      </c>
      <c r="AC175" s="181">
        <f>RANK(AB175, AB$175:AB$211)</f>
        <v>18</v>
      </c>
      <c r="AD175" s="587">
        <f>AVERAGE(AB175:AB211)</f>
        <v>786.97526564215229</v>
      </c>
      <c r="AE175" s="187">
        <v>4</v>
      </c>
      <c r="AF175" s="187">
        <v>3034.9648216625096</v>
      </c>
      <c r="AG175" s="184">
        <f>IFERROR(AF175/AE175,"")</f>
        <v>758.74120541562741</v>
      </c>
      <c r="AH175" s="181">
        <f>RANK(AG175, AG$175:AG$211)</f>
        <v>17</v>
      </c>
      <c r="AI175" s="587">
        <f>AVERAGE(AG175:AG211)</f>
        <v>787.92942568172577</v>
      </c>
      <c r="AJ175" s="187">
        <v>4</v>
      </c>
      <c r="AK175" s="187">
        <v>3035.6248216625095</v>
      </c>
      <c r="AL175" s="184">
        <f>IFERROR(AK175/AJ175,"")</f>
        <v>758.90620541562737</v>
      </c>
      <c r="AM175" s="181">
        <f>RANK(AL175, AL$175:AL$211)</f>
        <v>18</v>
      </c>
      <c r="AN175" s="587">
        <f>AVERAGE(AL175:AL211)</f>
        <v>788.66489331240632</v>
      </c>
      <c r="AO175" s="187">
        <v>4</v>
      </c>
      <c r="AP175" s="187">
        <v>3036.2848216625093</v>
      </c>
      <c r="AQ175" s="184">
        <f>IFERROR(AP175/AO175,"")</f>
        <v>759.07120541562733</v>
      </c>
      <c r="AR175" s="181">
        <f>RANK(AQ175, AQ$175:AQ$211)</f>
        <v>18</v>
      </c>
      <c r="AS175" s="587">
        <f>AVERAGE(AQ175:AQ211)</f>
        <v>800.81406348730457</v>
      </c>
      <c r="AT175" s="187">
        <v>4</v>
      </c>
      <c r="AU175" s="187">
        <v>3036.6148216625093</v>
      </c>
      <c r="AV175" s="184">
        <f>IFERROR(AU175/AT175,"")</f>
        <v>759.15370541562731</v>
      </c>
      <c r="AW175" s="181">
        <f>RANK(AV175, AV$175:AV$211)</f>
        <v>17</v>
      </c>
      <c r="AX175" s="587">
        <f>AVERAGE(AV175:AV211)</f>
        <v>797.45768766429569</v>
      </c>
    </row>
    <row r="176" spans="1:50" ht="14.25" customHeight="1">
      <c r="B176" s="586"/>
      <c r="C176" s="179">
        <v>2</v>
      </c>
      <c r="D176" s="182" t="s">
        <v>369</v>
      </c>
      <c r="E176" s="183">
        <v>3</v>
      </c>
      <c r="F176" s="179">
        <v>3600</v>
      </c>
      <c r="G176" s="184">
        <f t="shared" ref="G176:G210" si="69">IFERROR(F176/E176,"")</f>
        <v>1200</v>
      </c>
      <c r="H176" s="588"/>
      <c r="I176" s="185">
        <f t="shared" ref="I176:K205" si="70">AVERAGE(P176,U176,Z176,AE176,AJ176,AO176,AT176)</f>
        <v>3</v>
      </c>
      <c r="J176" s="185">
        <f t="shared" si="70"/>
        <v>3238.5680940334023</v>
      </c>
      <c r="K176" s="186">
        <f t="shared" si="70"/>
        <v>1079.5226980111343</v>
      </c>
      <c r="L176" s="589"/>
      <c r="M176" s="185">
        <f>RANK(K176, K$175:$K$211)</f>
        <v>4</v>
      </c>
      <c r="N176" s="600"/>
      <c r="O176" s="590"/>
      <c r="P176" s="187">
        <v>3</v>
      </c>
      <c r="Q176" s="187">
        <v>3238.4652368905454</v>
      </c>
      <c r="R176" s="184">
        <f t="shared" ref="R176:R208" si="71">IFERROR(Q176/P176,"")</f>
        <v>1079.4884122968485</v>
      </c>
      <c r="S176" s="181">
        <f t="shared" ref="S176:S208" si="72">RANK(R176, R$175:R$211)</f>
        <v>1</v>
      </c>
      <c r="T176" s="587"/>
      <c r="U176" s="187">
        <v>3</v>
      </c>
      <c r="V176" s="187">
        <v>3238.825236890546</v>
      </c>
      <c r="W176" s="184">
        <f t="shared" si="68"/>
        <v>1079.6084122968487</v>
      </c>
      <c r="X176" s="181">
        <f t="shared" ref="X176:X208" si="73">RANK(W176, W$175:W$211)</f>
        <v>1</v>
      </c>
      <c r="Y176" s="587"/>
      <c r="Z176" s="187">
        <v>3</v>
      </c>
      <c r="AA176" s="187">
        <v>3239.5452368905453</v>
      </c>
      <c r="AB176" s="184">
        <f t="shared" ref="AB176:AB208" si="74">IFERROR(AA176/Z176,"")</f>
        <v>1079.8484122968484</v>
      </c>
      <c r="AC176" s="181">
        <f t="shared" ref="AC176:AC208" si="75">RANK(AB176, AB$175:AB$211)</f>
        <v>2</v>
      </c>
      <c r="AD176" s="587"/>
      <c r="AE176" s="187">
        <v>3</v>
      </c>
      <c r="AF176" s="187">
        <v>3238.4652368905449</v>
      </c>
      <c r="AG176" s="184">
        <f t="shared" ref="AG176:AG208" si="76">IFERROR(AF176/AE176,"")</f>
        <v>1079.4884122968483</v>
      </c>
      <c r="AH176" s="181">
        <f t="shared" ref="AH176:AH208" si="77">RANK(AG176, AG$175:AG$211)</f>
        <v>6</v>
      </c>
      <c r="AI176" s="587"/>
      <c r="AJ176" s="187">
        <v>3</v>
      </c>
      <c r="AK176" s="187">
        <v>3237.3852368905455</v>
      </c>
      <c r="AL176" s="184">
        <f t="shared" ref="AL176:AL208" si="78">IFERROR(AK176/AJ176,"")</f>
        <v>1079.1284122968484</v>
      </c>
      <c r="AM176" s="181">
        <f t="shared" ref="AM176:AM208" si="79">RANK(AL176, AL$175:AL$211)</f>
        <v>7</v>
      </c>
      <c r="AN176" s="587"/>
      <c r="AO176" s="187">
        <v>3</v>
      </c>
      <c r="AP176" s="187">
        <v>3238.4652368905454</v>
      </c>
      <c r="AQ176" s="184">
        <f t="shared" ref="AQ176:AQ208" si="80">IFERROR(AP176/AO176,"")</f>
        <v>1079.4884122968485</v>
      </c>
      <c r="AR176" s="181">
        <f t="shared" ref="AR176:AR208" si="81">RANK(AQ176, AQ$175:AQ$211)</f>
        <v>7</v>
      </c>
      <c r="AS176" s="587"/>
      <c r="AT176" s="187">
        <v>3</v>
      </c>
      <c r="AU176" s="187">
        <v>3238.8252368905455</v>
      </c>
      <c r="AV176" s="184">
        <f t="shared" ref="AV176:AV210" si="82">IFERROR(AU176/AT176,"")</f>
        <v>1079.6084122968484</v>
      </c>
      <c r="AW176" s="181">
        <f t="shared" ref="AW176:AW201" si="83">RANK(AV176, AV$175:AV$211)</f>
        <v>8</v>
      </c>
      <c r="AX176" s="587"/>
    </row>
    <row r="177" spans="2:50" ht="14.25" customHeight="1">
      <c r="B177" s="586"/>
      <c r="C177" s="179">
        <v>3</v>
      </c>
      <c r="D177" s="182" t="s">
        <v>370</v>
      </c>
      <c r="E177" s="183">
        <v>5</v>
      </c>
      <c r="F177" s="179">
        <v>3600</v>
      </c>
      <c r="G177" s="184">
        <f t="shared" si="69"/>
        <v>720</v>
      </c>
      <c r="H177" s="588"/>
      <c r="I177" s="185">
        <f t="shared" si="70"/>
        <v>5</v>
      </c>
      <c r="J177" s="185">
        <f t="shared" si="70"/>
        <v>3239.1224323369825</v>
      </c>
      <c r="K177" s="186">
        <f t="shared" si="70"/>
        <v>647.82448646739647</v>
      </c>
      <c r="L177" s="589"/>
      <c r="M177" s="185">
        <f>RANK(K177, K$175:$K$211)</f>
        <v>26</v>
      </c>
      <c r="N177" s="600"/>
      <c r="O177" s="590"/>
      <c r="P177" s="187">
        <v>5</v>
      </c>
      <c r="Q177" s="187">
        <v>3238.556718051268</v>
      </c>
      <c r="R177" s="184">
        <f t="shared" si="71"/>
        <v>647.71134361025361</v>
      </c>
      <c r="S177" s="181">
        <f t="shared" si="72"/>
        <v>23</v>
      </c>
      <c r="T177" s="587"/>
      <c r="U177" s="187">
        <v>5</v>
      </c>
      <c r="V177" s="187">
        <v>3239.636718051268</v>
      </c>
      <c r="W177" s="184">
        <f t="shared" si="68"/>
        <v>647.92734361025362</v>
      </c>
      <c r="X177" s="181">
        <f t="shared" si="73"/>
        <v>23</v>
      </c>
      <c r="Y177" s="587"/>
      <c r="Z177" s="187">
        <v>5</v>
      </c>
      <c r="AA177" s="187">
        <v>3239.9967180512685</v>
      </c>
      <c r="AB177" s="184">
        <f t="shared" si="74"/>
        <v>647.99934361025373</v>
      </c>
      <c r="AC177" s="181">
        <f t="shared" si="75"/>
        <v>23</v>
      </c>
      <c r="AD177" s="587"/>
      <c r="AE177" s="187">
        <v>5</v>
      </c>
      <c r="AF177" s="187">
        <v>3239.6367180512689</v>
      </c>
      <c r="AG177" s="184">
        <f t="shared" si="76"/>
        <v>647.92734361025373</v>
      </c>
      <c r="AH177" s="181">
        <f t="shared" si="77"/>
        <v>24</v>
      </c>
      <c r="AI177" s="587"/>
      <c r="AJ177" s="187">
        <v>5</v>
      </c>
      <c r="AK177" s="187">
        <v>3238.1967180512684</v>
      </c>
      <c r="AL177" s="184">
        <f t="shared" si="78"/>
        <v>647.63934361025372</v>
      </c>
      <c r="AM177" s="181">
        <f t="shared" si="79"/>
        <v>25</v>
      </c>
      <c r="AN177" s="587"/>
      <c r="AO177" s="187">
        <v>5</v>
      </c>
      <c r="AP177" s="187">
        <v>3238.9167180512682</v>
      </c>
      <c r="AQ177" s="184">
        <f t="shared" si="80"/>
        <v>647.78334361025361</v>
      </c>
      <c r="AR177" s="181">
        <f t="shared" si="81"/>
        <v>24</v>
      </c>
      <c r="AS177" s="587"/>
      <c r="AT177" s="187">
        <v>5</v>
      </c>
      <c r="AU177" s="187">
        <v>3238.9167180512686</v>
      </c>
      <c r="AV177" s="184">
        <f t="shared" si="82"/>
        <v>647.78334361025372</v>
      </c>
      <c r="AW177" s="181">
        <f t="shared" si="83"/>
        <v>27</v>
      </c>
      <c r="AX177" s="587"/>
    </row>
    <row r="178" spans="2:50" ht="14.25" customHeight="1">
      <c r="B178" s="586"/>
      <c r="C178" s="179">
        <v>4</v>
      </c>
      <c r="D178" s="182" t="s">
        <v>366</v>
      </c>
      <c r="E178" s="183">
        <v>3</v>
      </c>
      <c r="F178" s="179">
        <v>3600</v>
      </c>
      <c r="G178" s="184">
        <f t="shared" si="69"/>
        <v>1200</v>
      </c>
      <c r="H178" s="588"/>
      <c r="I178" s="185">
        <f t="shared" si="70"/>
        <v>3</v>
      </c>
      <c r="J178" s="185">
        <f t="shared" si="70"/>
        <v>3238.7213453576337</v>
      </c>
      <c r="K178" s="186">
        <f t="shared" si="70"/>
        <v>1079.5737817858778</v>
      </c>
      <c r="L178" s="589"/>
      <c r="M178" s="185">
        <f>RANK(K178, K$175:$K$211)</f>
        <v>3</v>
      </c>
      <c r="N178" s="600"/>
      <c r="O178" s="590"/>
      <c r="P178" s="187">
        <v>3</v>
      </c>
      <c r="Q178" s="187">
        <v>3235.2756310719201</v>
      </c>
      <c r="R178" s="184">
        <f t="shared" si="71"/>
        <v>1078.4252103573067</v>
      </c>
      <c r="S178" s="181">
        <f t="shared" si="72"/>
        <v>4</v>
      </c>
      <c r="T178" s="587"/>
      <c r="U178" s="187">
        <v>3</v>
      </c>
      <c r="V178" s="187">
        <v>3236.7156310719197</v>
      </c>
      <c r="W178" s="184">
        <f t="shared" si="68"/>
        <v>1078.9052103573065</v>
      </c>
      <c r="X178" s="181">
        <f t="shared" si="73"/>
        <v>4</v>
      </c>
      <c r="Y178" s="587"/>
      <c r="Z178" s="187">
        <v>3</v>
      </c>
      <c r="AA178" s="187">
        <v>3237.0756310719194</v>
      </c>
      <c r="AB178" s="184">
        <f t="shared" si="74"/>
        <v>1079.0252103573064</v>
      </c>
      <c r="AC178" s="181">
        <f t="shared" si="75"/>
        <v>5</v>
      </c>
      <c r="AD178" s="587"/>
      <c r="AE178" s="187">
        <v>3</v>
      </c>
      <c r="AF178" s="187">
        <v>3238.5156310719194</v>
      </c>
      <c r="AG178" s="184">
        <f t="shared" si="76"/>
        <v>1079.5052103573064</v>
      </c>
      <c r="AH178" s="181">
        <f t="shared" si="77"/>
        <v>5</v>
      </c>
      <c r="AI178" s="587"/>
      <c r="AJ178" s="187">
        <v>3</v>
      </c>
      <c r="AK178" s="187">
        <v>3240.3156310719191</v>
      </c>
      <c r="AL178" s="184">
        <f t="shared" si="78"/>
        <v>1080.1052103573063</v>
      </c>
      <c r="AM178" s="181">
        <f t="shared" si="79"/>
        <v>3</v>
      </c>
      <c r="AN178" s="587"/>
      <c r="AO178" s="187">
        <v>3</v>
      </c>
      <c r="AP178" s="187">
        <v>3241.0356310719189</v>
      </c>
      <c r="AQ178" s="184">
        <f t="shared" si="80"/>
        <v>1080.3452103573063</v>
      </c>
      <c r="AR178" s="181">
        <f t="shared" si="81"/>
        <v>2</v>
      </c>
      <c r="AS178" s="587"/>
      <c r="AT178" s="187">
        <v>3</v>
      </c>
      <c r="AU178" s="187">
        <v>3242.1156310719189</v>
      </c>
      <c r="AV178" s="184">
        <f t="shared" si="82"/>
        <v>1080.7052103573062</v>
      </c>
      <c r="AW178" s="181">
        <f t="shared" si="83"/>
        <v>2</v>
      </c>
      <c r="AX178" s="587"/>
    </row>
    <row r="179" spans="2:50" ht="14.25" customHeight="1">
      <c r="B179" s="586"/>
      <c r="C179" s="179">
        <v>5</v>
      </c>
      <c r="D179" s="182" t="s">
        <v>318</v>
      </c>
      <c r="E179" s="183">
        <v>4</v>
      </c>
      <c r="F179" s="179">
        <v>3600</v>
      </c>
      <c r="G179" s="184">
        <f t="shared" si="69"/>
        <v>900</v>
      </c>
      <c r="H179" s="588"/>
      <c r="I179" s="185">
        <f t="shared" si="70"/>
        <v>4</v>
      </c>
      <c r="J179" s="185">
        <f t="shared" si="70"/>
        <v>3236.6459758107449</v>
      </c>
      <c r="K179" s="186">
        <f t="shared" si="70"/>
        <v>809.16149395268621</v>
      </c>
      <c r="L179" s="589"/>
      <c r="M179" s="185">
        <f>RANK(K179, K$175:$K$211)</f>
        <v>15</v>
      </c>
      <c r="N179" s="600"/>
      <c r="O179" s="590"/>
      <c r="P179" s="187">
        <v>4</v>
      </c>
      <c r="Q179" s="187">
        <v>3235.4706743701645</v>
      </c>
      <c r="R179" s="184">
        <f t="shared" si="71"/>
        <v>808.86766859254112</v>
      </c>
      <c r="S179" s="181">
        <f t="shared" si="72"/>
        <v>15</v>
      </c>
      <c r="T179" s="587"/>
      <c r="U179" s="187">
        <v>4</v>
      </c>
      <c r="V179" s="187">
        <v>3234.390674370165</v>
      </c>
      <c r="W179" s="184">
        <f t="shared" si="68"/>
        <v>808.59766859254125</v>
      </c>
      <c r="X179" s="181">
        <f t="shared" si="73"/>
        <v>15</v>
      </c>
      <c r="Y179" s="587"/>
      <c r="Z179" s="187">
        <v>4</v>
      </c>
      <c r="AA179" s="187">
        <v>3235.4706743701649</v>
      </c>
      <c r="AB179" s="184">
        <f t="shared" si="74"/>
        <v>808.86766859254124</v>
      </c>
      <c r="AC179" s="181">
        <f t="shared" si="75"/>
        <v>15</v>
      </c>
      <c r="AD179" s="587"/>
      <c r="AE179" s="187">
        <v>4</v>
      </c>
      <c r="AF179" s="187">
        <v>3236.5506743701649</v>
      </c>
      <c r="AG179" s="184">
        <f t="shared" si="76"/>
        <v>809.13766859254122</v>
      </c>
      <c r="AH179" s="181">
        <f t="shared" si="77"/>
        <v>15</v>
      </c>
      <c r="AI179" s="587"/>
      <c r="AJ179" s="187">
        <v>4</v>
      </c>
      <c r="AK179" s="187">
        <v>3236.5506743701649</v>
      </c>
      <c r="AL179" s="184">
        <f t="shared" si="78"/>
        <v>809.13766859254122</v>
      </c>
      <c r="AM179" s="181">
        <f t="shared" si="79"/>
        <v>15</v>
      </c>
      <c r="AN179" s="587"/>
      <c r="AO179" s="187">
        <v>4</v>
      </c>
      <c r="AP179" s="187">
        <v>3237.6306743701648</v>
      </c>
      <c r="AQ179" s="184">
        <f t="shared" si="80"/>
        <v>809.4076685925412</v>
      </c>
      <c r="AR179" s="181">
        <f t="shared" si="81"/>
        <v>15</v>
      </c>
      <c r="AS179" s="587"/>
      <c r="AT179" s="187">
        <v>4</v>
      </c>
      <c r="AU179" s="187">
        <v>3240.4577844542237</v>
      </c>
      <c r="AV179" s="184">
        <f t="shared" si="82"/>
        <v>810.11444611355591</v>
      </c>
      <c r="AW179" s="181">
        <f t="shared" si="83"/>
        <v>15</v>
      </c>
      <c r="AX179" s="587"/>
    </row>
    <row r="180" spans="2:50" ht="14.25" customHeight="1">
      <c r="B180" s="586"/>
      <c r="C180" s="179">
        <v>6</v>
      </c>
      <c r="D180" s="182" t="s">
        <v>368</v>
      </c>
      <c r="E180" s="183">
        <v>3</v>
      </c>
      <c r="F180" s="179">
        <v>3600</v>
      </c>
      <c r="G180" s="184">
        <f t="shared" si="69"/>
        <v>1200</v>
      </c>
      <c r="H180" s="588"/>
      <c r="I180" s="185">
        <f t="shared" si="70"/>
        <v>3</v>
      </c>
      <c r="J180" s="185">
        <f t="shared" si="70"/>
        <v>3238.9114017172592</v>
      </c>
      <c r="K180" s="186">
        <f t="shared" si="70"/>
        <v>1079.6371339057532</v>
      </c>
      <c r="L180" s="589"/>
      <c r="M180" s="185">
        <f>RANK(K180, K$175:$K$211)</f>
        <v>2</v>
      </c>
      <c r="N180" s="600"/>
      <c r="O180" s="590"/>
      <c r="P180" s="187">
        <v>3</v>
      </c>
      <c r="Q180" s="187">
        <v>3233.6418073801169</v>
      </c>
      <c r="R180" s="184">
        <f t="shared" si="71"/>
        <v>1077.880602460039</v>
      </c>
      <c r="S180" s="181">
        <f t="shared" si="72"/>
        <v>6</v>
      </c>
      <c r="T180" s="587"/>
      <c r="U180" s="187">
        <v>3</v>
      </c>
      <c r="V180" s="187">
        <v>3232.561807380117</v>
      </c>
      <c r="W180" s="184">
        <f t="shared" si="68"/>
        <v>1077.5206024600391</v>
      </c>
      <c r="X180" s="181">
        <f t="shared" si="73"/>
        <v>6</v>
      </c>
      <c r="Y180" s="587"/>
      <c r="Z180" s="187">
        <v>3</v>
      </c>
      <c r="AA180" s="187">
        <v>3240.4432394521164</v>
      </c>
      <c r="AB180" s="184">
        <f t="shared" si="74"/>
        <v>1080.1477464840389</v>
      </c>
      <c r="AC180" s="181">
        <f t="shared" si="75"/>
        <v>1</v>
      </c>
      <c r="AD180" s="587"/>
      <c r="AE180" s="187">
        <v>3</v>
      </c>
      <c r="AF180" s="187">
        <v>3242.2432394521161</v>
      </c>
      <c r="AG180" s="184">
        <f t="shared" si="76"/>
        <v>1080.7477464840388</v>
      </c>
      <c r="AH180" s="181">
        <f t="shared" si="77"/>
        <v>1</v>
      </c>
      <c r="AI180" s="587"/>
      <c r="AJ180" s="187">
        <v>3</v>
      </c>
      <c r="AK180" s="187">
        <v>3240.8032394521165</v>
      </c>
      <c r="AL180" s="184">
        <f t="shared" si="78"/>
        <v>1080.2677464840388</v>
      </c>
      <c r="AM180" s="181">
        <f t="shared" si="79"/>
        <v>2</v>
      </c>
      <c r="AN180" s="587"/>
      <c r="AO180" s="187">
        <v>3</v>
      </c>
      <c r="AP180" s="187">
        <v>3240.8032394521165</v>
      </c>
      <c r="AQ180" s="184">
        <f t="shared" si="80"/>
        <v>1080.2677464840388</v>
      </c>
      <c r="AR180" s="181">
        <f t="shared" si="81"/>
        <v>3</v>
      </c>
      <c r="AS180" s="587"/>
      <c r="AT180" s="187">
        <v>3</v>
      </c>
      <c r="AU180" s="187">
        <v>3241.8832394521164</v>
      </c>
      <c r="AV180" s="184">
        <f t="shared" si="82"/>
        <v>1080.6277464840389</v>
      </c>
      <c r="AW180" s="181">
        <f t="shared" si="83"/>
        <v>3</v>
      </c>
      <c r="AX180" s="587"/>
    </row>
    <row r="181" spans="2:50" ht="14.25" customHeight="1">
      <c r="B181" s="586"/>
      <c r="C181" s="179">
        <v>7</v>
      </c>
      <c r="D181" s="182" t="s">
        <v>367</v>
      </c>
      <c r="E181" s="183">
        <v>5</v>
      </c>
      <c r="F181" s="179">
        <v>3600</v>
      </c>
      <c r="G181" s="184">
        <f t="shared" si="69"/>
        <v>720</v>
      </c>
      <c r="H181" s="588"/>
      <c r="I181" s="185">
        <f t="shared" si="70"/>
        <v>5</v>
      </c>
      <c r="J181" s="185">
        <f t="shared" si="70"/>
        <v>3237.8813783854298</v>
      </c>
      <c r="K181" s="186">
        <f t="shared" si="70"/>
        <v>647.57627567708607</v>
      </c>
      <c r="L181" s="589"/>
      <c r="M181" s="185">
        <f>RANK(K181, K$175:$K$211)</f>
        <v>27</v>
      </c>
      <c r="N181" s="600"/>
      <c r="O181" s="590"/>
      <c r="P181" s="187">
        <v>5</v>
      </c>
      <c r="Q181" s="187">
        <v>3234.0261454594452</v>
      </c>
      <c r="R181" s="184">
        <f t="shared" si="71"/>
        <v>646.80522909188903</v>
      </c>
      <c r="S181" s="181">
        <f t="shared" si="72"/>
        <v>28</v>
      </c>
      <c r="T181" s="587"/>
      <c r="U181" s="187">
        <v>5</v>
      </c>
      <c r="V181" s="187">
        <v>3233.6661454594446</v>
      </c>
      <c r="W181" s="184">
        <f t="shared" si="68"/>
        <v>646.73322909188892</v>
      </c>
      <c r="X181" s="181">
        <f t="shared" si="73"/>
        <v>28</v>
      </c>
      <c r="Y181" s="587"/>
      <c r="Z181" s="187">
        <v>5</v>
      </c>
      <c r="AA181" s="187">
        <v>3234.7461454594445</v>
      </c>
      <c r="AB181" s="184">
        <f t="shared" si="74"/>
        <v>646.94922909188892</v>
      </c>
      <c r="AC181" s="181">
        <f t="shared" si="75"/>
        <v>28</v>
      </c>
      <c r="AD181" s="587"/>
      <c r="AE181" s="187">
        <v>5</v>
      </c>
      <c r="AF181" s="187">
        <v>3239.206996159809</v>
      </c>
      <c r="AG181" s="184">
        <f t="shared" si="76"/>
        <v>647.84139923196176</v>
      </c>
      <c r="AH181" s="181">
        <f t="shared" si="77"/>
        <v>25</v>
      </c>
      <c r="AI181" s="587"/>
      <c r="AJ181" s="187">
        <v>5</v>
      </c>
      <c r="AK181" s="187">
        <v>3239.2069961598086</v>
      </c>
      <c r="AL181" s="184">
        <f t="shared" si="78"/>
        <v>647.84139923196176</v>
      </c>
      <c r="AM181" s="181">
        <f t="shared" si="79"/>
        <v>24</v>
      </c>
      <c r="AN181" s="587"/>
      <c r="AO181" s="187">
        <v>5</v>
      </c>
      <c r="AP181" s="187">
        <v>3239.5669961598087</v>
      </c>
      <c r="AQ181" s="184">
        <f t="shared" si="80"/>
        <v>647.91339923196176</v>
      </c>
      <c r="AR181" s="181">
        <f t="shared" si="81"/>
        <v>23</v>
      </c>
      <c r="AS181" s="587"/>
      <c r="AT181" s="187">
        <v>5</v>
      </c>
      <c r="AU181" s="187">
        <v>3244.7502238402471</v>
      </c>
      <c r="AV181" s="184">
        <f t="shared" si="82"/>
        <v>648.95004476804945</v>
      </c>
      <c r="AW181" s="181">
        <f t="shared" si="83"/>
        <v>25</v>
      </c>
      <c r="AX181" s="587"/>
    </row>
    <row r="182" spans="2:50" ht="14.25" customHeight="1">
      <c r="B182" s="586"/>
      <c r="C182" s="179">
        <v>8</v>
      </c>
      <c r="D182" s="182" t="s">
        <v>365</v>
      </c>
      <c r="E182" s="183">
        <v>5</v>
      </c>
      <c r="F182" s="179">
        <v>3600</v>
      </c>
      <c r="G182" s="184">
        <f t="shared" si="69"/>
        <v>720</v>
      </c>
      <c r="H182" s="588"/>
      <c r="I182" s="185">
        <f t="shared" si="70"/>
        <v>5</v>
      </c>
      <c r="J182" s="185">
        <f t="shared" si="70"/>
        <v>3241.3289865355373</v>
      </c>
      <c r="K182" s="186">
        <f t="shared" si="70"/>
        <v>648.26579730710739</v>
      </c>
      <c r="L182" s="589"/>
      <c r="M182" s="185">
        <f>RANK(K182, K$175:$K$211)</f>
        <v>25</v>
      </c>
      <c r="N182" s="600"/>
      <c r="O182" s="590"/>
      <c r="P182" s="187">
        <v>5</v>
      </c>
      <c r="Q182" s="187">
        <v>3236.2001595422798</v>
      </c>
      <c r="R182" s="184">
        <f t="shared" si="71"/>
        <v>647.24003190845599</v>
      </c>
      <c r="S182" s="181">
        <f t="shared" si="72"/>
        <v>26</v>
      </c>
      <c r="T182" s="587"/>
      <c r="U182" s="187">
        <v>5</v>
      </c>
      <c r="V182" s="187">
        <v>3236.5601595422795</v>
      </c>
      <c r="W182" s="184">
        <f t="shared" si="68"/>
        <v>647.31203190845588</v>
      </c>
      <c r="X182" s="181">
        <f t="shared" si="73"/>
        <v>25</v>
      </c>
      <c r="Y182" s="587"/>
      <c r="Z182" s="187">
        <v>5</v>
      </c>
      <c r="AA182" s="187">
        <v>3238.0001595422791</v>
      </c>
      <c r="AB182" s="184">
        <f t="shared" si="74"/>
        <v>647.60003190845578</v>
      </c>
      <c r="AC182" s="181">
        <f t="shared" si="75"/>
        <v>24</v>
      </c>
      <c r="AD182" s="587"/>
      <c r="AE182" s="187">
        <v>5</v>
      </c>
      <c r="AF182" s="187">
        <v>3244.9056067804804</v>
      </c>
      <c r="AG182" s="184">
        <f t="shared" si="76"/>
        <v>648.98112135609608</v>
      </c>
      <c r="AH182" s="181">
        <f t="shared" si="77"/>
        <v>23</v>
      </c>
      <c r="AI182" s="587"/>
      <c r="AJ182" s="187">
        <v>5</v>
      </c>
      <c r="AK182" s="187">
        <v>3244.1856067804806</v>
      </c>
      <c r="AL182" s="184">
        <f t="shared" si="78"/>
        <v>648.83712135609608</v>
      </c>
      <c r="AM182" s="181">
        <f t="shared" si="79"/>
        <v>23</v>
      </c>
      <c r="AN182" s="587"/>
      <c r="AO182" s="187">
        <v>5</v>
      </c>
      <c r="AP182" s="187">
        <v>3244.5456067804807</v>
      </c>
      <c r="AQ182" s="184">
        <f t="shared" si="80"/>
        <v>648.90912135609619</v>
      </c>
      <c r="AR182" s="181">
        <f t="shared" si="81"/>
        <v>22</v>
      </c>
      <c r="AS182" s="587"/>
      <c r="AT182" s="187">
        <v>5</v>
      </c>
      <c r="AU182" s="187">
        <v>3244.9056067804809</v>
      </c>
      <c r="AV182" s="184">
        <f t="shared" si="82"/>
        <v>648.9811213560962</v>
      </c>
      <c r="AW182" s="181">
        <f t="shared" si="83"/>
        <v>24</v>
      </c>
      <c r="AX182" s="587"/>
    </row>
    <row r="183" spans="2:50" ht="14.25" customHeight="1">
      <c r="B183" s="586"/>
      <c r="C183" s="179">
        <v>9</v>
      </c>
      <c r="D183" s="182" t="s">
        <v>211</v>
      </c>
      <c r="E183" s="183">
        <v>3</v>
      </c>
      <c r="F183" s="179">
        <v>3000</v>
      </c>
      <c r="G183" s="184">
        <f t="shared" si="69"/>
        <v>1000</v>
      </c>
      <c r="H183" s="588"/>
      <c r="I183" s="185">
        <f t="shared" si="70"/>
        <v>3</v>
      </c>
      <c r="J183" s="185">
        <f t="shared" si="70"/>
        <v>2760.9658831115662</v>
      </c>
      <c r="K183" s="186">
        <f t="shared" si="70"/>
        <v>920.32196103718888</v>
      </c>
      <c r="L183" s="589"/>
      <c r="M183" s="185">
        <f>RANK(K183, K$175:$K$211)</f>
        <v>11</v>
      </c>
      <c r="N183" s="600"/>
      <c r="O183" s="590"/>
      <c r="P183" s="187">
        <v>3</v>
      </c>
      <c r="Q183" s="187">
        <v>2760.8161146167427</v>
      </c>
      <c r="R183" s="184">
        <f t="shared" si="71"/>
        <v>920.27203820558088</v>
      </c>
      <c r="S183" s="181">
        <f t="shared" si="72"/>
        <v>12</v>
      </c>
      <c r="T183" s="587"/>
      <c r="U183" s="187">
        <v>3</v>
      </c>
      <c r="V183" s="187">
        <v>2760.2161146167423</v>
      </c>
      <c r="W183" s="184">
        <f t="shared" si="68"/>
        <v>920.07203820558072</v>
      </c>
      <c r="X183" s="181">
        <f t="shared" si="73"/>
        <v>12</v>
      </c>
      <c r="Y183" s="587"/>
      <c r="Z183" s="187">
        <v>3</v>
      </c>
      <c r="AA183" s="187">
        <v>2760.8161146167417</v>
      </c>
      <c r="AB183" s="184">
        <f t="shared" si="74"/>
        <v>920.27203820558054</v>
      </c>
      <c r="AC183" s="181">
        <f t="shared" si="75"/>
        <v>12</v>
      </c>
      <c r="AD183" s="587"/>
      <c r="AE183" s="187">
        <v>3</v>
      </c>
      <c r="AF183" s="187">
        <v>2760.5161146167416</v>
      </c>
      <c r="AG183" s="184">
        <f t="shared" si="76"/>
        <v>920.17203820558052</v>
      </c>
      <c r="AH183" s="181">
        <f t="shared" si="77"/>
        <v>12</v>
      </c>
      <c r="AI183" s="587"/>
      <c r="AJ183" s="187">
        <v>3</v>
      </c>
      <c r="AK183" s="187">
        <v>2759.6161146167415</v>
      </c>
      <c r="AL183" s="184">
        <f t="shared" si="78"/>
        <v>919.87203820558045</v>
      </c>
      <c r="AM183" s="181">
        <f t="shared" si="79"/>
        <v>12</v>
      </c>
      <c r="AN183" s="587"/>
      <c r="AO183" s="187">
        <v>3</v>
      </c>
      <c r="AP183" s="187">
        <v>2762.0903043486278</v>
      </c>
      <c r="AQ183" s="184">
        <f t="shared" si="80"/>
        <v>920.69676811620923</v>
      </c>
      <c r="AR183" s="181">
        <f t="shared" si="81"/>
        <v>12</v>
      </c>
      <c r="AS183" s="587"/>
      <c r="AT183" s="187">
        <v>3</v>
      </c>
      <c r="AU183" s="187">
        <v>2762.6903043486282</v>
      </c>
      <c r="AV183" s="184">
        <f t="shared" si="82"/>
        <v>920.89676811620939</v>
      </c>
      <c r="AW183" s="181">
        <f t="shared" si="83"/>
        <v>11</v>
      </c>
      <c r="AX183" s="587"/>
    </row>
    <row r="184" spans="2:50" ht="14.25" customHeight="1">
      <c r="B184" s="586"/>
      <c r="C184" s="179">
        <v>10</v>
      </c>
      <c r="D184" s="182" t="s">
        <v>416</v>
      </c>
      <c r="E184" s="183">
        <v>12</v>
      </c>
      <c r="F184" s="179">
        <v>3600</v>
      </c>
      <c r="G184" s="184">
        <f t="shared" si="69"/>
        <v>300</v>
      </c>
      <c r="H184" s="588"/>
      <c r="I184" s="185">
        <f t="shared" si="70"/>
        <v>12</v>
      </c>
      <c r="J184" s="185">
        <f t="shared" si="70"/>
        <v>3120.0818231356911</v>
      </c>
      <c r="K184" s="186">
        <f t="shared" si="70"/>
        <v>260.006818594641</v>
      </c>
      <c r="L184" s="589"/>
      <c r="M184" s="185">
        <f>RANK(K184, K$175:$K$211)</f>
        <v>36</v>
      </c>
      <c r="N184" s="600"/>
      <c r="O184" s="590"/>
      <c r="P184" s="187">
        <v>12</v>
      </c>
      <c r="Q184" s="187">
        <v>3120.2629777392676</v>
      </c>
      <c r="R184" s="184">
        <f t="shared" si="71"/>
        <v>260.02191481160565</v>
      </c>
      <c r="S184" s="181">
        <f t="shared" si="72"/>
        <v>33</v>
      </c>
      <c r="T184" s="587"/>
      <c r="U184" s="187">
        <v>12</v>
      </c>
      <c r="V184" s="187">
        <v>3119.5429777392683</v>
      </c>
      <c r="W184" s="184">
        <f t="shared" si="68"/>
        <v>259.96191481160571</v>
      </c>
      <c r="X184" s="181">
        <f t="shared" si="73"/>
        <v>34</v>
      </c>
      <c r="Y184" s="587"/>
      <c r="Z184" s="187">
        <v>12</v>
      </c>
      <c r="AA184" s="187">
        <v>3118.8229777392694</v>
      </c>
      <c r="AB184" s="184">
        <f t="shared" si="74"/>
        <v>259.90191481160576</v>
      </c>
      <c r="AC184" s="181">
        <f t="shared" si="75"/>
        <v>34</v>
      </c>
      <c r="AD184" s="587"/>
      <c r="AE184" s="187">
        <v>12</v>
      </c>
      <c r="AF184" s="187">
        <v>3118.4629777392693</v>
      </c>
      <c r="AG184" s="184">
        <f t="shared" si="76"/>
        <v>259.87191481160579</v>
      </c>
      <c r="AH184" s="181">
        <f t="shared" si="77"/>
        <v>34</v>
      </c>
      <c r="AI184" s="587"/>
      <c r="AJ184" s="187">
        <v>12</v>
      </c>
      <c r="AK184" s="187">
        <v>3120.0802836642565</v>
      </c>
      <c r="AL184" s="184">
        <f t="shared" si="78"/>
        <v>260.00669030535471</v>
      </c>
      <c r="AM184" s="181">
        <f t="shared" si="79"/>
        <v>34</v>
      </c>
      <c r="AN184" s="587"/>
      <c r="AO184" s="187">
        <v>12</v>
      </c>
      <c r="AP184" s="187">
        <v>3121.1602836642555</v>
      </c>
      <c r="AQ184" s="184">
        <f t="shared" si="80"/>
        <v>260.09669030535463</v>
      </c>
      <c r="AR184" s="181">
        <f t="shared" si="81"/>
        <v>31</v>
      </c>
      <c r="AS184" s="587"/>
      <c r="AT184" s="187">
        <v>12</v>
      </c>
      <c r="AU184" s="187">
        <v>3122.2402836642555</v>
      </c>
      <c r="AV184" s="184">
        <f t="shared" si="82"/>
        <v>260.1866903053546</v>
      </c>
      <c r="AW184" s="181">
        <f t="shared" si="83"/>
        <v>33</v>
      </c>
      <c r="AX184" s="587"/>
    </row>
    <row r="185" spans="2:50" ht="14.25" customHeight="1">
      <c r="B185" s="586"/>
      <c r="C185" s="179">
        <v>11</v>
      </c>
      <c r="D185" s="182" t="s">
        <v>432</v>
      </c>
      <c r="E185" s="183">
        <v>3</v>
      </c>
      <c r="F185" s="179">
        <v>3300</v>
      </c>
      <c r="G185" s="184">
        <f t="shared" si="69"/>
        <v>1100</v>
      </c>
      <c r="H185" s="588"/>
      <c r="I185" s="185">
        <f t="shared" si="70"/>
        <v>3</v>
      </c>
      <c r="J185" s="185">
        <f t="shared" si="70"/>
        <v>3034.2258313557436</v>
      </c>
      <c r="K185" s="186">
        <f t="shared" si="70"/>
        <v>1011.4086104519146</v>
      </c>
      <c r="L185" s="589"/>
      <c r="M185" s="185">
        <f>RANK(K185, K$175:$K$211)</f>
        <v>10</v>
      </c>
      <c r="N185" s="600"/>
      <c r="O185" s="590"/>
      <c r="P185" s="187">
        <v>3</v>
      </c>
      <c r="Q185" s="187">
        <v>3031.2414935015804</v>
      </c>
      <c r="R185" s="184">
        <f t="shared" si="71"/>
        <v>1010.4138311671935</v>
      </c>
      <c r="S185" s="181">
        <f t="shared" si="72"/>
        <v>10</v>
      </c>
      <c r="T185" s="587"/>
      <c r="U185" s="187">
        <v>3</v>
      </c>
      <c r="V185" s="187">
        <v>3032.2314935015806</v>
      </c>
      <c r="W185" s="184">
        <f t="shared" si="68"/>
        <v>1010.7438311671935</v>
      </c>
      <c r="X185" s="181">
        <f t="shared" si="73"/>
        <v>10</v>
      </c>
      <c r="Y185" s="587"/>
      <c r="Z185" s="187">
        <v>3</v>
      </c>
      <c r="AA185" s="187">
        <v>3034.9124737574189</v>
      </c>
      <c r="AB185" s="184">
        <f t="shared" si="74"/>
        <v>1011.637491252473</v>
      </c>
      <c r="AC185" s="181">
        <f t="shared" si="75"/>
        <v>10</v>
      </c>
      <c r="AD185" s="587"/>
      <c r="AE185" s="187">
        <v>3</v>
      </c>
      <c r="AF185" s="187">
        <v>3034.9124737574184</v>
      </c>
      <c r="AG185" s="184">
        <f t="shared" si="76"/>
        <v>1011.6374912524728</v>
      </c>
      <c r="AH185" s="181">
        <f t="shared" si="77"/>
        <v>10</v>
      </c>
      <c r="AI185" s="587"/>
      <c r="AJ185" s="187">
        <v>3</v>
      </c>
      <c r="AK185" s="187">
        <v>3033.2624737574188</v>
      </c>
      <c r="AL185" s="184">
        <f t="shared" si="78"/>
        <v>1011.0874912524729</v>
      </c>
      <c r="AM185" s="181">
        <f t="shared" si="79"/>
        <v>10</v>
      </c>
      <c r="AN185" s="587"/>
      <c r="AO185" s="187">
        <v>3</v>
      </c>
      <c r="AP185" s="187">
        <v>3036.0152056073935</v>
      </c>
      <c r="AQ185" s="184">
        <f t="shared" si="80"/>
        <v>1012.0050685357978</v>
      </c>
      <c r="AR185" s="181">
        <f t="shared" si="81"/>
        <v>10</v>
      </c>
      <c r="AS185" s="587"/>
      <c r="AT185" s="187">
        <v>3</v>
      </c>
      <c r="AU185" s="187">
        <v>3037.0052056073937</v>
      </c>
      <c r="AV185" s="184">
        <f t="shared" si="82"/>
        <v>1012.3350685357979</v>
      </c>
      <c r="AW185" s="181">
        <f t="shared" si="83"/>
        <v>10</v>
      </c>
      <c r="AX185" s="587"/>
    </row>
    <row r="186" spans="2:50" ht="14.25" customHeight="1">
      <c r="B186" s="586"/>
      <c r="C186" s="179">
        <v>12</v>
      </c>
      <c r="D186" s="182" t="s">
        <v>528</v>
      </c>
      <c r="E186" s="183">
        <v>3</v>
      </c>
      <c r="F186" s="179">
        <v>3600</v>
      </c>
      <c r="G186" s="184">
        <f t="shared" si="69"/>
        <v>1200</v>
      </c>
      <c r="H186" s="588"/>
      <c r="I186" s="185">
        <f t="shared" si="70"/>
        <v>3</v>
      </c>
      <c r="J186" s="185">
        <f t="shared" si="70"/>
        <v>3237.1376379801554</v>
      </c>
      <c r="K186" s="186">
        <f t="shared" si="70"/>
        <v>1079.0458793267185</v>
      </c>
      <c r="L186" s="589"/>
      <c r="M186" s="185">
        <f>RANK(K186, K$175:$K$211)</f>
        <v>6</v>
      </c>
      <c r="N186" s="600"/>
      <c r="O186" s="590"/>
      <c r="P186" s="187">
        <v>3</v>
      </c>
      <c r="Q186" s="187">
        <v>3232.0383578594528</v>
      </c>
      <c r="R186" s="184">
        <f t="shared" si="71"/>
        <v>1077.3461192864843</v>
      </c>
      <c r="S186" s="181">
        <f t="shared" si="72"/>
        <v>8</v>
      </c>
      <c r="T186" s="587"/>
      <c r="U186" s="187">
        <v>3</v>
      </c>
      <c r="V186" s="187">
        <v>3230.9583578594529</v>
      </c>
      <c r="W186" s="184">
        <f t="shared" si="68"/>
        <v>1076.9861192864844</v>
      </c>
      <c r="X186" s="181">
        <f t="shared" si="73"/>
        <v>8</v>
      </c>
      <c r="Y186" s="587"/>
      <c r="Z186" s="187">
        <v>3</v>
      </c>
      <c r="AA186" s="187">
        <v>3236.3021788779201</v>
      </c>
      <c r="AB186" s="184">
        <f t="shared" si="74"/>
        <v>1078.7673929593068</v>
      </c>
      <c r="AC186" s="181">
        <f t="shared" si="75"/>
        <v>8</v>
      </c>
      <c r="AD186" s="587"/>
      <c r="AE186" s="187">
        <v>3</v>
      </c>
      <c r="AF186" s="187">
        <v>3238.9961428160659</v>
      </c>
      <c r="AG186" s="184">
        <f t="shared" si="76"/>
        <v>1079.6653809386887</v>
      </c>
      <c r="AH186" s="181">
        <f t="shared" si="77"/>
        <v>4</v>
      </c>
      <c r="AI186" s="587"/>
      <c r="AJ186" s="187">
        <v>3</v>
      </c>
      <c r="AK186" s="187">
        <v>3240.0761428160658</v>
      </c>
      <c r="AL186" s="184">
        <f t="shared" si="78"/>
        <v>1080.0253809386886</v>
      </c>
      <c r="AM186" s="181">
        <f t="shared" si="79"/>
        <v>4</v>
      </c>
      <c r="AN186" s="587"/>
      <c r="AO186" s="187">
        <v>3</v>
      </c>
      <c r="AP186" s="187">
        <v>3240.4361428160655</v>
      </c>
      <c r="AQ186" s="184">
        <f t="shared" si="80"/>
        <v>1080.1453809386885</v>
      </c>
      <c r="AR186" s="181">
        <f t="shared" si="81"/>
        <v>4</v>
      </c>
      <c r="AS186" s="587"/>
      <c r="AT186" s="187">
        <v>3</v>
      </c>
      <c r="AU186" s="187">
        <v>3241.1561428160653</v>
      </c>
      <c r="AV186" s="184">
        <f t="shared" si="82"/>
        <v>1080.3853809386885</v>
      </c>
      <c r="AW186" s="181">
        <f t="shared" si="83"/>
        <v>4</v>
      </c>
      <c r="AX186" s="587"/>
    </row>
    <row r="187" spans="2:50" ht="14.25" customHeight="1">
      <c r="B187" s="586"/>
      <c r="C187" s="179">
        <v>13</v>
      </c>
      <c r="D187" s="182" t="s">
        <v>521</v>
      </c>
      <c r="E187" s="183">
        <v>3</v>
      </c>
      <c r="F187" s="179">
        <v>3300</v>
      </c>
      <c r="G187" s="184">
        <f t="shared" si="69"/>
        <v>1100</v>
      </c>
      <c r="H187" s="588"/>
      <c r="I187" s="185">
        <f t="shared" si="70"/>
        <v>3</v>
      </c>
      <c r="J187" s="185">
        <f t="shared" si="70"/>
        <v>3036.7393180378326</v>
      </c>
      <c r="K187" s="186">
        <f t="shared" si="70"/>
        <v>1012.2464393459442</v>
      </c>
      <c r="L187" s="589"/>
      <c r="M187" s="185">
        <f>RANK(K187, K$175:$K$211)</f>
        <v>9</v>
      </c>
      <c r="N187" s="600"/>
      <c r="O187" s="590"/>
      <c r="P187" s="187">
        <v>3</v>
      </c>
      <c r="Q187" s="187">
        <v>3034.7193734666616</v>
      </c>
      <c r="R187" s="184">
        <f t="shared" si="71"/>
        <v>1011.5731244888872</v>
      </c>
      <c r="S187" s="181">
        <f t="shared" si="72"/>
        <v>9</v>
      </c>
      <c r="T187" s="587"/>
      <c r="U187" s="187">
        <v>3</v>
      </c>
      <c r="V187" s="187">
        <v>3033.7293734666614</v>
      </c>
      <c r="W187" s="184">
        <f t="shared" si="68"/>
        <v>1011.2431244888871</v>
      </c>
      <c r="X187" s="181">
        <f t="shared" si="73"/>
        <v>9</v>
      </c>
      <c r="Y187" s="587"/>
      <c r="Z187" s="187">
        <v>3</v>
      </c>
      <c r="AA187" s="187">
        <v>3035.0493734666616</v>
      </c>
      <c r="AB187" s="184">
        <f t="shared" si="74"/>
        <v>1011.6831244888872</v>
      </c>
      <c r="AC187" s="181">
        <f t="shared" si="75"/>
        <v>9</v>
      </c>
      <c r="AD187" s="587"/>
      <c r="AE187" s="187">
        <v>3</v>
      </c>
      <c r="AF187" s="187">
        <v>3035.4384861052422</v>
      </c>
      <c r="AG187" s="184">
        <f t="shared" si="76"/>
        <v>1011.8128287017474</v>
      </c>
      <c r="AH187" s="181">
        <f t="shared" si="77"/>
        <v>9</v>
      </c>
      <c r="AI187" s="587"/>
      <c r="AJ187" s="187">
        <v>3</v>
      </c>
      <c r="AK187" s="187">
        <v>3036.7584861052419</v>
      </c>
      <c r="AL187" s="184">
        <f t="shared" si="78"/>
        <v>1012.2528287017473</v>
      </c>
      <c r="AM187" s="181">
        <f t="shared" si="79"/>
        <v>9</v>
      </c>
      <c r="AN187" s="587"/>
      <c r="AO187" s="187">
        <v>3</v>
      </c>
      <c r="AP187" s="187">
        <v>3040.4100668271803</v>
      </c>
      <c r="AQ187" s="184">
        <f t="shared" si="80"/>
        <v>1013.4700222757268</v>
      </c>
      <c r="AR187" s="181">
        <f t="shared" si="81"/>
        <v>9</v>
      </c>
      <c r="AS187" s="587"/>
      <c r="AT187" s="187">
        <v>3</v>
      </c>
      <c r="AU187" s="187">
        <v>3041.0700668271802</v>
      </c>
      <c r="AV187" s="184">
        <f t="shared" si="82"/>
        <v>1013.6900222757267</v>
      </c>
      <c r="AW187" s="181">
        <f t="shared" si="83"/>
        <v>9</v>
      </c>
      <c r="AX187" s="587"/>
    </row>
    <row r="188" spans="2:50" ht="14.25" customHeight="1">
      <c r="B188" s="586"/>
      <c r="C188" s="179">
        <v>14</v>
      </c>
      <c r="D188" s="182" t="s">
        <v>593</v>
      </c>
      <c r="E188" s="183">
        <v>4</v>
      </c>
      <c r="F188" s="179">
        <v>3300</v>
      </c>
      <c r="G188" s="184">
        <f t="shared" si="69"/>
        <v>825</v>
      </c>
      <c r="H188" s="588"/>
      <c r="I188" s="185">
        <f t="shared" si="70"/>
        <v>4</v>
      </c>
      <c r="J188" s="185">
        <f t="shared" si="70"/>
        <v>3035.9002244408307</v>
      </c>
      <c r="K188" s="186">
        <f t="shared" si="70"/>
        <v>758.97505611020767</v>
      </c>
      <c r="L188" s="589"/>
      <c r="M188" s="185">
        <f>RANK(K188, K$175:$K$211)</f>
        <v>16</v>
      </c>
      <c r="N188" s="600"/>
      <c r="O188" s="590"/>
      <c r="P188" s="187">
        <v>4</v>
      </c>
      <c r="Q188" s="187">
        <v>3034.2809859573131</v>
      </c>
      <c r="R188" s="184">
        <f t="shared" si="71"/>
        <v>758.57024648932827</v>
      </c>
      <c r="S188" s="181">
        <f t="shared" si="72"/>
        <v>16</v>
      </c>
      <c r="T188" s="587"/>
      <c r="U188" s="187">
        <v>4</v>
      </c>
      <c r="V188" s="187">
        <v>3033.2909859573138</v>
      </c>
      <c r="W188" s="184">
        <f t="shared" si="68"/>
        <v>758.32274648932844</v>
      </c>
      <c r="X188" s="181">
        <f t="shared" si="73"/>
        <v>16</v>
      </c>
      <c r="Y188" s="587"/>
      <c r="Z188" s="187">
        <v>4</v>
      </c>
      <c r="AA188" s="187">
        <v>3035.2279198342385</v>
      </c>
      <c r="AB188" s="184">
        <f t="shared" si="74"/>
        <v>758.80697995855962</v>
      </c>
      <c r="AC188" s="181">
        <f t="shared" si="75"/>
        <v>16</v>
      </c>
      <c r="AD188" s="587"/>
      <c r="AE188" s="187">
        <v>4</v>
      </c>
      <c r="AF188" s="187">
        <v>3036.8779198342377</v>
      </c>
      <c r="AG188" s="184">
        <f t="shared" si="76"/>
        <v>759.21947995855942</v>
      </c>
      <c r="AH188" s="181">
        <f t="shared" si="77"/>
        <v>16</v>
      </c>
      <c r="AI188" s="587"/>
      <c r="AJ188" s="187">
        <v>4</v>
      </c>
      <c r="AK188" s="187">
        <v>3036.5479198342377</v>
      </c>
      <c r="AL188" s="184">
        <f t="shared" si="78"/>
        <v>759.13697995855944</v>
      </c>
      <c r="AM188" s="181">
        <f t="shared" si="79"/>
        <v>16</v>
      </c>
      <c r="AN188" s="587"/>
      <c r="AO188" s="187">
        <v>4</v>
      </c>
      <c r="AP188" s="187">
        <v>3037.2079198342371</v>
      </c>
      <c r="AQ188" s="184">
        <f t="shared" si="80"/>
        <v>759.30197995855929</v>
      </c>
      <c r="AR188" s="181">
        <f t="shared" si="81"/>
        <v>16</v>
      </c>
      <c r="AS188" s="587"/>
      <c r="AT188" s="187">
        <v>4</v>
      </c>
      <c r="AU188" s="187">
        <v>3037.8679198342375</v>
      </c>
      <c r="AV188" s="184">
        <f t="shared" si="82"/>
        <v>759.46697995855936</v>
      </c>
      <c r="AW188" s="181">
        <f t="shared" si="83"/>
        <v>16</v>
      </c>
      <c r="AX188" s="587"/>
    </row>
    <row r="189" spans="2:50" ht="14.25" customHeight="1">
      <c r="B189" s="586"/>
      <c r="C189" s="179">
        <v>15</v>
      </c>
      <c r="D189" s="182" t="s">
        <v>608</v>
      </c>
      <c r="E189" s="183">
        <v>5</v>
      </c>
      <c r="F189" s="179">
        <v>3600</v>
      </c>
      <c r="G189" s="184">
        <f t="shared" si="69"/>
        <v>720</v>
      </c>
      <c r="H189" s="588"/>
      <c r="I189" s="185">
        <f t="shared" si="70"/>
        <v>5</v>
      </c>
      <c r="J189" s="185">
        <f t="shared" si="70"/>
        <v>3236.3666499441206</v>
      </c>
      <c r="K189" s="186">
        <f t="shared" si="70"/>
        <v>647.27332998882412</v>
      </c>
      <c r="L189" s="589"/>
      <c r="M189" s="185">
        <f>RANK(K189, K$175:$K$211)</f>
        <v>30</v>
      </c>
      <c r="N189" s="600"/>
      <c r="O189" s="590"/>
      <c r="P189" s="187">
        <v>5</v>
      </c>
      <c r="Q189" s="187">
        <v>3236.7658765915885</v>
      </c>
      <c r="R189" s="184">
        <f t="shared" si="71"/>
        <v>647.35317531831765</v>
      </c>
      <c r="S189" s="181">
        <f t="shared" si="72"/>
        <v>25</v>
      </c>
      <c r="T189" s="587"/>
      <c r="U189" s="187">
        <v>5</v>
      </c>
      <c r="V189" s="187">
        <v>3236.0458765915878</v>
      </c>
      <c r="W189" s="184">
        <f t="shared" si="68"/>
        <v>647.20917531831753</v>
      </c>
      <c r="X189" s="181">
        <f t="shared" si="73"/>
        <v>26</v>
      </c>
      <c r="Y189" s="587"/>
      <c r="Z189" s="187">
        <v>5</v>
      </c>
      <c r="AA189" s="187">
        <v>3235.6858765915877</v>
      </c>
      <c r="AB189" s="184">
        <f t="shared" si="74"/>
        <v>647.13717531831753</v>
      </c>
      <c r="AC189" s="181">
        <f t="shared" si="75"/>
        <v>26</v>
      </c>
      <c r="AD189" s="587"/>
      <c r="AE189" s="187">
        <v>5</v>
      </c>
      <c r="AF189" s="187">
        <v>3236.7658765915876</v>
      </c>
      <c r="AG189" s="184">
        <f t="shared" si="76"/>
        <v>647.35317531831754</v>
      </c>
      <c r="AH189" s="181">
        <f t="shared" si="77"/>
        <v>28</v>
      </c>
      <c r="AI189" s="587"/>
      <c r="AJ189" s="187">
        <v>5</v>
      </c>
      <c r="AK189" s="187">
        <v>3234.9658765915879</v>
      </c>
      <c r="AL189" s="184">
        <f t="shared" si="78"/>
        <v>646.99317531831753</v>
      </c>
      <c r="AM189" s="181">
        <f t="shared" si="79"/>
        <v>29</v>
      </c>
      <c r="AN189" s="587"/>
      <c r="AO189" s="187">
        <v>5</v>
      </c>
      <c r="AP189" s="187">
        <v>3235.6858765915877</v>
      </c>
      <c r="AQ189" s="184">
        <f t="shared" si="80"/>
        <v>647.13717531831753</v>
      </c>
      <c r="AR189" s="181">
        <f t="shared" si="81"/>
        <v>28</v>
      </c>
      <c r="AS189" s="587"/>
      <c r="AT189" s="187">
        <v>5</v>
      </c>
      <c r="AU189" s="187">
        <v>3238.6512900593175</v>
      </c>
      <c r="AV189" s="184">
        <f t="shared" si="82"/>
        <v>647.7302580118635</v>
      </c>
      <c r="AW189" s="181">
        <f t="shared" si="83"/>
        <v>28</v>
      </c>
      <c r="AX189" s="587"/>
    </row>
    <row r="190" spans="2:50" ht="14.25" customHeight="1">
      <c r="B190" s="586"/>
      <c r="C190" s="179">
        <v>16</v>
      </c>
      <c r="D190" s="182" t="s">
        <v>769</v>
      </c>
      <c r="E190" s="183">
        <v>5</v>
      </c>
      <c r="F190" s="179">
        <v>3300</v>
      </c>
      <c r="G190" s="184">
        <f t="shared" si="69"/>
        <v>660</v>
      </c>
      <c r="H190" s="588"/>
      <c r="I190" s="185">
        <f t="shared" si="70"/>
        <v>5</v>
      </c>
      <c r="J190" s="185">
        <f t="shared" si="70"/>
        <v>2918.0113150274597</v>
      </c>
      <c r="K190" s="186">
        <f t="shared" si="70"/>
        <v>583.60226300549198</v>
      </c>
      <c r="L190" s="589"/>
      <c r="M190" s="185">
        <f>RANK(K190, K$175:$K$211)</f>
        <v>33</v>
      </c>
      <c r="N190" s="600"/>
      <c r="O190" s="590"/>
      <c r="P190" s="187">
        <v>5</v>
      </c>
      <c r="Q190" s="187">
        <v>2741.9999999999995</v>
      </c>
      <c r="R190" s="184">
        <f t="shared" si="71"/>
        <v>548.39999999999986</v>
      </c>
      <c r="S190" s="181">
        <f t="shared" si="72"/>
        <v>32</v>
      </c>
      <c r="T190" s="587"/>
      <c r="U190" s="187">
        <v>5</v>
      </c>
      <c r="V190" s="187">
        <v>2802.3239999999996</v>
      </c>
      <c r="W190" s="184">
        <f t="shared" si="68"/>
        <v>560.46479999999997</v>
      </c>
      <c r="X190" s="181">
        <f t="shared" si="73"/>
        <v>31</v>
      </c>
      <c r="Y190" s="587"/>
      <c r="Z190" s="187">
        <v>5</v>
      </c>
      <c r="AA190" s="187">
        <v>2867.5725738341312</v>
      </c>
      <c r="AB190" s="184">
        <f t="shared" si="74"/>
        <v>573.51451476682621</v>
      </c>
      <c r="AC190" s="181">
        <f t="shared" si="75"/>
        <v>31</v>
      </c>
      <c r="AD190" s="587"/>
      <c r="AE190" s="187">
        <v>5</v>
      </c>
      <c r="AF190" s="187">
        <v>2937.9151255187803</v>
      </c>
      <c r="AG190" s="184">
        <f t="shared" si="76"/>
        <v>587.58302510375609</v>
      </c>
      <c r="AH190" s="181">
        <f t="shared" si="77"/>
        <v>31</v>
      </c>
      <c r="AI190" s="587"/>
      <c r="AJ190" s="187">
        <v>5</v>
      </c>
      <c r="AK190" s="187">
        <v>3000.8629582801946</v>
      </c>
      <c r="AL190" s="184">
        <f t="shared" si="78"/>
        <v>600.17259165603889</v>
      </c>
      <c r="AM190" s="181">
        <f t="shared" si="79"/>
        <v>31</v>
      </c>
      <c r="AN190" s="587"/>
      <c r="AO190" s="187">
        <v>5</v>
      </c>
      <c r="AP190" s="187">
        <v>3037.2072737795565</v>
      </c>
      <c r="AQ190" s="184">
        <f t="shared" si="80"/>
        <v>607.44145475591131</v>
      </c>
      <c r="AR190" s="181">
        <f t="shared" si="81"/>
        <v>30</v>
      </c>
      <c r="AS190" s="587"/>
      <c r="AT190" s="187">
        <v>5</v>
      </c>
      <c r="AU190" s="187">
        <v>3038.1972737795568</v>
      </c>
      <c r="AV190" s="184">
        <f t="shared" si="82"/>
        <v>607.6394547559114</v>
      </c>
      <c r="AW190" s="181">
        <f t="shared" si="83"/>
        <v>32</v>
      </c>
      <c r="AX190" s="587"/>
    </row>
    <row r="191" spans="2:50" ht="14.25" customHeight="1">
      <c r="B191" s="586"/>
      <c r="C191" s="179">
        <v>17</v>
      </c>
      <c r="D191" s="182" t="s">
        <v>378</v>
      </c>
      <c r="E191" s="183">
        <v>5</v>
      </c>
      <c r="F191" s="179">
        <v>3600</v>
      </c>
      <c r="G191" s="184">
        <f t="shared" si="69"/>
        <v>720</v>
      </c>
      <c r="H191" s="588"/>
      <c r="I191" s="185">
        <f t="shared" si="70"/>
        <v>5</v>
      </c>
      <c r="J191" s="185">
        <f t="shared" si="70"/>
        <v>3235.9918620668241</v>
      </c>
      <c r="K191" s="186">
        <f t="shared" si="70"/>
        <v>647.19837241336484</v>
      </c>
      <c r="L191" s="589"/>
      <c r="M191" s="185">
        <f>RANK(K191, K$175:$K$211)</f>
        <v>31</v>
      </c>
      <c r="N191" s="600"/>
      <c r="O191" s="590"/>
      <c r="P191" s="187">
        <v>5</v>
      </c>
      <c r="Q191" s="187">
        <v>3233.6278723519918</v>
      </c>
      <c r="R191" s="184">
        <f t="shared" si="71"/>
        <v>646.72557447039833</v>
      </c>
      <c r="S191" s="181">
        <f t="shared" si="72"/>
        <v>29</v>
      </c>
      <c r="T191" s="587"/>
      <c r="U191" s="187">
        <v>5</v>
      </c>
      <c r="V191" s="187">
        <v>3235.0678723519914</v>
      </c>
      <c r="W191" s="184">
        <f t="shared" si="68"/>
        <v>647.01357447039823</v>
      </c>
      <c r="X191" s="181">
        <f t="shared" si="73"/>
        <v>27</v>
      </c>
      <c r="Y191" s="587"/>
      <c r="Z191" s="187">
        <v>5</v>
      </c>
      <c r="AA191" s="187">
        <v>3234.7078723519912</v>
      </c>
      <c r="AB191" s="184">
        <f t="shared" si="74"/>
        <v>646.94157447039822</v>
      </c>
      <c r="AC191" s="181">
        <f t="shared" si="75"/>
        <v>29</v>
      </c>
      <c r="AD191" s="587"/>
      <c r="AE191" s="187">
        <v>5</v>
      </c>
      <c r="AF191" s="187">
        <v>3237.3659728818147</v>
      </c>
      <c r="AG191" s="184">
        <f t="shared" si="76"/>
        <v>647.47319457636297</v>
      </c>
      <c r="AH191" s="181">
        <f t="shared" si="77"/>
        <v>27</v>
      </c>
      <c r="AI191" s="587"/>
      <c r="AJ191" s="187">
        <v>5</v>
      </c>
      <c r="AK191" s="187">
        <v>3236.5078723519919</v>
      </c>
      <c r="AL191" s="184">
        <f t="shared" si="78"/>
        <v>647.30157447039835</v>
      </c>
      <c r="AM191" s="181">
        <f t="shared" si="79"/>
        <v>28</v>
      </c>
      <c r="AN191" s="587"/>
      <c r="AO191" s="187">
        <v>5</v>
      </c>
      <c r="AP191" s="187">
        <v>3236.5078723519919</v>
      </c>
      <c r="AQ191" s="184">
        <f t="shared" si="80"/>
        <v>647.30157447039835</v>
      </c>
      <c r="AR191" s="181">
        <f t="shared" si="81"/>
        <v>27</v>
      </c>
      <c r="AS191" s="587"/>
      <c r="AT191" s="187">
        <v>5</v>
      </c>
      <c r="AU191" s="187">
        <v>3238.1576998259961</v>
      </c>
      <c r="AV191" s="184">
        <f t="shared" si="82"/>
        <v>647.63153996519918</v>
      </c>
      <c r="AW191" s="181">
        <f t="shared" si="83"/>
        <v>30</v>
      </c>
      <c r="AX191" s="587"/>
    </row>
    <row r="192" spans="2:50" ht="14.25" customHeight="1">
      <c r="B192" s="586"/>
      <c r="C192" s="179">
        <v>18</v>
      </c>
      <c r="D192" s="182" t="s">
        <v>377</v>
      </c>
      <c r="E192" s="183">
        <v>3</v>
      </c>
      <c r="F192" s="179">
        <v>3600</v>
      </c>
      <c r="G192" s="184">
        <f t="shared" si="69"/>
        <v>1200</v>
      </c>
      <c r="H192" s="588"/>
      <c r="I192" s="185">
        <f t="shared" si="70"/>
        <v>3</v>
      </c>
      <c r="J192" s="185">
        <f t="shared" si="70"/>
        <v>3237.9647202012648</v>
      </c>
      <c r="K192" s="186">
        <f t="shared" si="70"/>
        <v>1079.3215734004218</v>
      </c>
      <c r="L192" s="589"/>
      <c r="M192" s="185">
        <f>RANK(K192, K$175:$K$211)</f>
        <v>5</v>
      </c>
      <c r="N192" s="600"/>
      <c r="O192" s="590"/>
      <c r="P192" s="187">
        <v>3</v>
      </c>
      <c r="Q192" s="187">
        <v>3237.560330829685</v>
      </c>
      <c r="R192" s="184">
        <f t="shared" si="71"/>
        <v>1079.1867769432283</v>
      </c>
      <c r="S192" s="181">
        <f t="shared" si="72"/>
        <v>3</v>
      </c>
      <c r="T192" s="587"/>
      <c r="U192" s="187">
        <v>3</v>
      </c>
      <c r="V192" s="187">
        <v>3238.640330829684</v>
      </c>
      <c r="W192" s="184">
        <f t="shared" si="68"/>
        <v>1079.546776943228</v>
      </c>
      <c r="X192" s="181">
        <f t="shared" si="73"/>
        <v>2</v>
      </c>
      <c r="Y192" s="587"/>
      <c r="Z192" s="187">
        <v>3</v>
      </c>
      <c r="AA192" s="187">
        <v>3236.8403308296843</v>
      </c>
      <c r="AB192" s="184">
        <f t="shared" si="74"/>
        <v>1078.9467769432281</v>
      </c>
      <c r="AC192" s="181">
        <f t="shared" si="75"/>
        <v>6</v>
      </c>
      <c r="AD192" s="587"/>
      <c r="AE192" s="187">
        <v>3</v>
      </c>
      <c r="AF192" s="187">
        <v>3237.5603308296841</v>
      </c>
      <c r="AG192" s="184">
        <f t="shared" si="76"/>
        <v>1079.1867769432281</v>
      </c>
      <c r="AH192" s="181">
        <f t="shared" si="77"/>
        <v>7</v>
      </c>
      <c r="AI192" s="587"/>
      <c r="AJ192" s="187">
        <v>3</v>
      </c>
      <c r="AK192" s="187">
        <v>3236.1203308296845</v>
      </c>
      <c r="AL192" s="184">
        <f t="shared" si="78"/>
        <v>1078.7067769432281</v>
      </c>
      <c r="AM192" s="181">
        <f t="shared" si="79"/>
        <v>8</v>
      </c>
      <c r="AN192" s="587"/>
      <c r="AO192" s="187">
        <v>3</v>
      </c>
      <c r="AP192" s="187">
        <v>3239.4575832262035</v>
      </c>
      <c r="AQ192" s="184">
        <f t="shared" si="80"/>
        <v>1079.8191944087346</v>
      </c>
      <c r="AR192" s="181">
        <f t="shared" si="81"/>
        <v>5</v>
      </c>
      <c r="AS192" s="587"/>
      <c r="AT192" s="187">
        <v>3</v>
      </c>
      <c r="AU192" s="187">
        <v>3239.5738040342303</v>
      </c>
      <c r="AV192" s="184">
        <f t="shared" si="82"/>
        <v>1079.8579346780768</v>
      </c>
      <c r="AW192" s="181">
        <f t="shared" si="83"/>
        <v>5</v>
      </c>
      <c r="AX192" s="587"/>
    </row>
    <row r="193" spans="2:50" ht="14.25" customHeight="1">
      <c r="B193" s="586"/>
      <c r="C193" s="179">
        <v>19</v>
      </c>
      <c r="D193" s="182" t="s">
        <v>379</v>
      </c>
      <c r="E193" s="183">
        <v>4</v>
      </c>
      <c r="F193" s="179">
        <v>3300</v>
      </c>
      <c r="G193" s="184">
        <f t="shared" si="69"/>
        <v>825</v>
      </c>
      <c r="H193" s="588"/>
      <c r="I193" s="185">
        <f t="shared" si="70"/>
        <v>4</v>
      </c>
      <c r="J193" s="185">
        <f t="shared" si="70"/>
        <v>3034.220675984353</v>
      </c>
      <c r="K193" s="186">
        <f t="shared" si="70"/>
        <v>758.55516899608824</v>
      </c>
      <c r="L193" s="589"/>
      <c r="M193" s="185">
        <f>RANK(K193, K$175:$K$211)</f>
        <v>17</v>
      </c>
      <c r="N193" s="600"/>
      <c r="O193" s="590"/>
      <c r="P193" s="187">
        <v>4</v>
      </c>
      <c r="Q193" s="187">
        <v>3031.6775217481882</v>
      </c>
      <c r="R193" s="184">
        <f t="shared" si="71"/>
        <v>757.91938043704704</v>
      </c>
      <c r="S193" s="181">
        <f t="shared" si="72"/>
        <v>17</v>
      </c>
      <c r="T193" s="587"/>
      <c r="U193" s="187">
        <v>4</v>
      </c>
      <c r="V193" s="187">
        <v>3032.0045350237142</v>
      </c>
      <c r="W193" s="184">
        <f t="shared" si="68"/>
        <v>758.00113375592855</v>
      </c>
      <c r="X193" s="181">
        <f t="shared" si="73"/>
        <v>17</v>
      </c>
      <c r="Y193" s="587"/>
      <c r="Z193" s="187">
        <v>4</v>
      </c>
      <c r="AA193" s="187">
        <v>3033.6545350237138</v>
      </c>
      <c r="AB193" s="184">
        <f t="shared" si="74"/>
        <v>758.41363375592846</v>
      </c>
      <c r="AC193" s="181">
        <f t="shared" si="75"/>
        <v>17</v>
      </c>
      <c r="AD193" s="587"/>
      <c r="AE193" s="187">
        <v>4</v>
      </c>
      <c r="AF193" s="187">
        <v>3033.9845350237138</v>
      </c>
      <c r="AG193" s="184">
        <f t="shared" si="76"/>
        <v>758.49613375592844</v>
      </c>
      <c r="AH193" s="181">
        <f t="shared" si="77"/>
        <v>18</v>
      </c>
      <c r="AI193" s="587"/>
      <c r="AJ193" s="187">
        <v>4</v>
      </c>
      <c r="AK193" s="187">
        <v>3035.6345350237139</v>
      </c>
      <c r="AL193" s="184">
        <f t="shared" si="78"/>
        <v>758.90863375592846</v>
      </c>
      <c r="AM193" s="181">
        <f t="shared" si="79"/>
        <v>17</v>
      </c>
      <c r="AN193" s="587"/>
      <c r="AO193" s="187">
        <v>4</v>
      </c>
      <c r="AP193" s="187">
        <v>3036.2945350237133</v>
      </c>
      <c r="AQ193" s="184">
        <f t="shared" si="80"/>
        <v>759.07363375592831</v>
      </c>
      <c r="AR193" s="181">
        <f t="shared" si="81"/>
        <v>17</v>
      </c>
      <c r="AS193" s="587"/>
      <c r="AT193" s="187">
        <v>4</v>
      </c>
      <c r="AU193" s="187">
        <v>3036.2945350237133</v>
      </c>
      <c r="AV193" s="184">
        <f t="shared" si="82"/>
        <v>759.07363375592831</v>
      </c>
      <c r="AW193" s="181">
        <f t="shared" si="83"/>
        <v>18</v>
      </c>
      <c r="AX193" s="587"/>
    </row>
    <row r="194" spans="2:50" ht="14.25" customHeight="1">
      <c r="B194" s="586"/>
      <c r="C194" s="179">
        <v>20</v>
      </c>
      <c r="D194" s="182" t="s">
        <v>373</v>
      </c>
      <c r="E194" s="183">
        <v>3</v>
      </c>
      <c r="F194" s="179">
        <v>3600</v>
      </c>
      <c r="G194" s="184">
        <f t="shared" si="69"/>
        <v>1200</v>
      </c>
      <c r="H194" s="588"/>
      <c r="I194" s="185">
        <f t="shared" si="70"/>
        <v>3</v>
      </c>
      <c r="J194" s="185">
        <f t="shared" si="70"/>
        <v>3240.3576971533703</v>
      </c>
      <c r="K194" s="186">
        <f t="shared" si="70"/>
        <v>1080.1192323844568</v>
      </c>
      <c r="L194" s="589"/>
      <c r="M194" s="185">
        <f>RANK(K194, K$175:$K$211)</f>
        <v>1</v>
      </c>
      <c r="N194" s="600"/>
      <c r="O194" s="590"/>
      <c r="P194" s="187">
        <v>3</v>
      </c>
      <c r="Q194" s="187">
        <v>3237.6834114390854</v>
      </c>
      <c r="R194" s="184">
        <f t="shared" si="71"/>
        <v>1079.2278038130285</v>
      </c>
      <c r="S194" s="181">
        <f t="shared" si="72"/>
        <v>2</v>
      </c>
      <c r="T194" s="587"/>
      <c r="U194" s="187">
        <v>3</v>
      </c>
      <c r="V194" s="187">
        <v>3237.3234114390852</v>
      </c>
      <c r="W194" s="184">
        <f t="shared" si="68"/>
        <v>1079.1078038130283</v>
      </c>
      <c r="X194" s="181">
        <f t="shared" si="73"/>
        <v>3</v>
      </c>
      <c r="Y194" s="587"/>
      <c r="Z194" s="187">
        <v>3</v>
      </c>
      <c r="AA194" s="187">
        <v>3239.1234114390854</v>
      </c>
      <c r="AB194" s="184">
        <f t="shared" si="74"/>
        <v>1079.7078038130285</v>
      </c>
      <c r="AC194" s="181">
        <f t="shared" si="75"/>
        <v>3</v>
      </c>
      <c r="AD194" s="587"/>
      <c r="AE194" s="187">
        <v>3</v>
      </c>
      <c r="AF194" s="187">
        <v>3240.2034114390854</v>
      </c>
      <c r="AG194" s="184">
        <f t="shared" si="76"/>
        <v>1080.0678038130284</v>
      </c>
      <c r="AH194" s="181">
        <f t="shared" si="77"/>
        <v>2</v>
      </c>
      <c r="AI194" s="587"/>
      <c r="AJ194" s="187">
        <v>3</v>
      </c>
      <c r="AK194" s="187">
        <v>3242.0034114390846</v>
      </c>
      <c r="AL194" s="184">
        <f t="shared" si="78"/>
        <v>1080.6678038130283</v>
      </c>
      <c r="AM194" s="181">
        <f t="shared" si="79"/>
        <v>1</v>
      </c>
      <c r="AN194" s="587"/>
      <c r="AO194" s="187">
        <v>3</v>
      </c>
      <c r="AP194" s="187">
        <v>3242.7234114390849</v>
      </c>
      <c r="AQ194" s="184">
        <f t="shared" si="80"/>
        <v>1080.9078038130283</v>
      </c>
      <c r="AR194" s="181">
        <f t="shared" si="81"/>
        <v>1</v>
      </c>
      <c r="AS194" s="587"/>
      <c r="AT194" s="187">
        <v>3</v>
      </c>
      <c r="AU194" s="187">
        <v>3243.4434114390842</v>
      </c>
      <c r="AV194" s="184">
        <f t="shared" si="82"/>
        <v>1081.1478038130281</v>
      </c>
      <c r="AW194" s="181">
        <f t="shared" si="83"/>
        <v>1</v>
      </c>
      <c r="AX194" s="587"/>
    </row>
    <row r="195" spans="2:50" ht="14.25" customHeight="1">
      <c r="B195" s="586"/>
      <c r="C195" s="179">
        <v>21</v>
      </c>
      <c r="D195" s="182" t="s">
        <v>482</v>
      </c>
      <c r="E195" s="183">
        <v>4</v>
      </c>
      <c r="F195" s="179">
        <v>3600</v>
      </c>
      <c r="G195" s="184">
        <f t="shared" si="69"/>
        <v>900</v>
      </c>
      <c r="H195" s="588"/>
      <c r="I195" s="185">
        <f t="shared" si="70"/>
        <v>4</v>
      </c>
      <c r="J195" s="185">
        <f t="shared" si="70"/>
        <v>3242.2284165778169</v>
      </c>
      <c r="K195" s="186">
        <f t="shared" si="70"/>
        <v>810.55710414445423</v>
      </c>
      <c r="L195" s="589"/>
      <c r="M195" s="185">
        <f>RANK(K195, K$175:$K$211)</f>
        <v>14</v>
      </c>
      <c r="N195" s="600"/>
      <c r="O195" s="590"/>
      <c r="P195" s="187">
        <v>4</v>
      </c>
      <c r="Q195" s="187">
        <v>3239.8627022921028</v>
      </c>
      <c r="R195" s="184">
        <f t="shared" si="71"/>
        <v>809.96567557302569</v>
      </c>
      <c r="S195" s="181">
        <f t="shared" si="72"/>
        <v>14</v>
      </c>
      <c r="T195" s="587"/>
      <c r="U195" s="187">
        <v>4</v>
      </c>
      <c r="V195" s="187">
        <v>3240.9427022921018</v>
      </c>
      <c r="W195" s="184">
        <f t="shared" si="68"/>
        <v>810.23567557302545</v>
      </c>
      <c r="X195" s="181">
        <f t="shared" si="73"/>
        <v>14</v>
      </c>
      <c r="Y195" s="587"/>
      <c r="Z195" s="187">
        <v>4</v>
      </c>
      <c r="AA195" s="187">
        <v>3242.742702292102</v>
      </c>
      <c r="AB195" s="184">
        <f t="shared" si="74"/>
        <v>810.68567557302549</v>
      </c>
      <c r="AC195" s="181">
        <f t="shared" si="75"/>
        <v>14</v>
      </c>
      <c r="AD195" s="587"/>
      <c r="AE195" s="187">
        <v>4</v>
      </c>
      <c r="AF195" s="187">
        <v>3241.3027022921024</v>
      </c>
      <c r="AG195" s="184">
        <f t="shared" si="76"/>
        <v>810.32567557302559</v>
      </c>
      <c r="AH195" s="181">
        <f t="shared" si="77"/>
        <v>14</v>
      </c>
      <c r="AI195" s="587"/>
      <c r="AJ195" s="187">
        <v>4</v>
      </c>
      <c r="AK195" s="187">
        <v>3242.742702292102</v>
      </c>
      <c r="AL195" s="184">
        <f t="shared" si="78"/>
        <v>810.68567557302549</v>
      </c>
      <c r="AM195" s="181">
        <f t="shared" si="79"/>
        <v>14</v>
      </c>
      <c r="AN195" s="587"/>
      <c r="AO195" s="187">
        <v>4</v>
      </c>
      <c r="AP195" s="187">
        <v>3243.8227022921019</v>
      </c>
      <c r="AQ195" s="184">
        <f t="shared" si="80"/>
        <v>810.95567557302547</v>
      </c>
      <c r="AR195" s="181">
        <f t="shared" si="81"/>
        <v>14</v>
      </c>
      <c r="AS195" s="587"/>
      <c r="AT195" s="187">
        <v>4</v>
      </c>
      <c r="AU195" s="187">
        <v>3244.1827022921025</v>
      </c>
      <c r="AV195" s="184">
        <f t="shared" si="82"/>
        <v>811.04567557302562</v>
      </c>
      <c r="AW195" s="181">
        <f t="shared" si="83"/>
        <v>14</v>
      </c>
      <c r="AX195" s="587"/>
    </row>
    <row r="196" spans="2:50" ht="14.25" customHeight="1">
      <c r="B196" s="586"/>
      <c r="C196" s="179">
        <v>22</v>
      </c>
      <c r="D196" s="182" t="s">
        <v>376</v>
      </c>
      <c r="E196" s="183">
        <v>3</v>
      </c>
      <c r="F196" s="179">
        <v>3600</v>
      </c>
      <c r="G196" s="184">
        <f t="shared" si="69"/>
        <v>1200</v>
      </c>
      <c r="H196" s="588"/>
      <c r="I196" s="185">
        <f t="shared" si="70"/>
        <v>3</v>
      </c>
      <c r="J196" s="185">
        <f t="shared" si="70"/>
        <v>3237.0378330670937</v>
      </c>
      <c r="K196" s="186">
        <f t="shared" si="70"/>
        <v>1079.0126110223644</v>
      </c>
      <c r="L196" s="589"/>
      <c r="M196" s="185">
        <f>RANK(K196, K$175:$K$211)</f>
        <v>7</v>
      </c>
      <c r="N196" s="600"/>
      <c r="O196" s="590"/>
      <c r="P196" s="187">
        <v>3</v>
      </c>
      <c r="Q196" s="187">
        <v>3234.5246169944908</v>
      </c>
      <c r="R196" s="184">
        <f t="shared" si="71"/>
        <v>1078.174872331497</v>
      </c>
      <c r="S196" s="181">
        <f t="shared" si="72"/>
        <v>5</v>
      </c>
      <c r="T196" s="587"/>
      <c r="U196" s="187">
        <v>3</v>
      </c>
      <c r="V196" s="187">
        <v>3233.804616994491</v>
      </c>
      <c r="W196" s="184">
        <f t="shared" si="68"/>
        <v>1077.934872331497</v>
      </c>
      <c r="X196" s="181">
        <f t="shared" si="73"/>
        <v>5</v>
      </c>
      <c r="Y196" s="587"/>
      <c r="Z196" s="187">
        <v>3</v>
      </c>
      <c r="AA196" s="187">
        <v>3237.9711194961355</v>
      </c>
      <c r="AB196" s="184">
        <f t="shared" si="74"/>
        <v>1079.3237064987118</v>
      </c>
      <c r="AC196" s="181">
        <f t="shared" si="75"/>
        <v>4</v>
      </c>
      <c r="AD196" s="587"/>
      <c r="AE196" s="187">
        <v>3</v>
      </c>
      <c r="AF196" s="187">
        <v>3236.8911194961356</v>
      </c>
      <c r="AG196" s="184">
        <f t="shared" si="76"/>
        <v>1078.9637064987119</v>
      </c>
      <c r="AH196" s="181">
        <f t="shared" si="77"/>
        <v>8</v>
      </c>
      <c r="AI196" s="587"/>
      <c r="AJ196" s="187">
        <v>3</v>
      </c>
      <c r="AK196" s="187">
        <v>3238.3311194961357</v>
      </c>
      <c r="AL196" s="184">
        <f t="shared" si="78"/>
        <v>1079.4437064987119</v>
      </c>
      <c r="AM196" s="181">
        <f t="shared" si="79"/>
        <v>5</v>
      </c>
      <c r="AN196" s="587"/>
      <c r="AO196" s="187">
        <v>3</v>
      </c>
      <c r="AP196" s="187">
        <v>3238.3311194961352</v>
      </c>
      <c r="AQ196" s="184">
        <f t="shared" si="80"/>
        <v>1079.4437064987117</v>
      </c>
      <c r="AR196" s="181">
        <f t="shared" si="81"/>
        <v>8</v>
      </c>
      <c r="AS196" s="587"/>
      <c r="AT196" s="187">
        <v>3</v>
      </c>
      <c r="AU196" s="187">
        <v>3239.4111194961342</v>
      </c>
      <c r="AV196" s="184">
        <f t="shared" si="82"/>
        <v>1079.8037064987113</v>
      </c>
      <c r="AW196" s="181">
        <f t="shared" si="83"/>
        <v>6</v>
      </c>
      <c r="AX196" s="587"/>
    </row>
    <row r="197" spans="2:50" ht="14.25" customHeight="1">
      <c r="B197" s="586"/>
      <c r="C197" s="179">
        <v>23</v>
      </c>
      <c r="D197" s="182" t="s">
        <v>375</v>
      </c>
      <c r="E197" s="183">
        <v>5</v>
      </c>
      <c r="F197" s="179">
        <v>3600</v>
      </c>
      <c r="G197" s="184">
        <f t="shared" si="69"/>
        <v>720</v>
      </c>
      <c r="H197" s="588"/>
      <c r="I197" s="185">
        <f t="shared" si="70"/>
        <v>5</v>
      </c>
      <c r="J197" s="185">
        <f t="shared" si="70"/>
        <v>3237.6916008428161</v>
      </c>
      <c r="K197" s="186">
        <f t="shared" si="70"/>
        <v>647.53832016856302</v>
      </c>
      <c r="L197" s="589"/>
      <c r="M197" s="185">
        <f>RANK(K197, K$175:$K$211)</f>
        <v>28</v>
      </c>
      <c r="N197" s="600"/>
      <c r="O197" s="590"/>
      <c r="P197" s="187">
        <v>5</v>
      </c>
      <c r="Q197" s="187">
        <v>3236.868743699958</v>
      </c>
      <c r="R197" s="184">
        <f t="shared" si="71"/>
        <v>647.37374873999158</v>
      </c>
      <c r="S197" s="181">
        <f t="shared" si="72"/>
        <v>24</v>
      </c>
      <c r="T197" s="587"/>
      <c r="U197" s="187">
        <v>5</v>
      </c>
      <c r="V197" s="187">
        <v>3237.5887436999587</v>
      </c>
      <c r="W197" s="184">
        <f t="shared" si="68"/>
        <v>647.5177487399917</v>
      </c>
      <c r="X197" s="181">
        <f t="shared" si="73"/>
        <v>24</v>
      </c>
      <c r="Y197" s="587"/>
      <c r="Z197" s="187">
        <v>5</v>
      </c>
      <c r="AA197" s="187">
        <v>3237.9487436999589</v>
      </c>
      <c r="AB197" s="184">
        <f t="shared" si="74"/>
        <v>647.58974873999182</v>
      </c>
      <c r="AC197" s="181">
        <f t="shared" si="75"/>
        <v>25</v>
      </c>
      <c r="AD197" s="587"/>
      <c r="AE197" s="187">
        <v>5</v>
      </c>
      <c r="AF197" s="187">
        <v>3237.9487436999589</v>
      </c>
      <c r="AG197" s="184">
        <f t="shared" si="76"/>
        <v>647.58974873999182</v>
      </c>
      <c r="AH197" s="181">
        <f t="shared" si="77"/>
        <v>26</v>
      </c>
      <c r="AI197" s="587"/>
      <c r="AJ197" s="187">
        <v>5</v>
      </c>
      <c r="AK197" s="187">
        <v>3237.2287436999586</v>
      </c>
      <c r="AL197" s="184">
        <f t="shared" si="78"/>
        <v>647.4457487399917</v>
      </c>
      <c r="AM197" s="181">
        <f t="shared" si="79"/>
        <v>26</v>
      </c>
      <c r="AN197" s="587"/>
      <c r="AO197" s="187">
        <v>5</v>
      </c>
      <c r="AP197" s="187">
        <v>3237.9487436999584</v>
      </c>
      <c r="AQ197" s="184">
        <f t="shared" si="80"/>
        <v>647.58974873999171</v>
      </c>
      <c r="AR197" s="181">
        <f t="shared" si="81"/>
        <v>25</v>
      </c>
      <c r="AS197" s="587"/>
      <c r="AT197" s="187">
        <v>5</v>
      </c>
      <c r="AU197" s="187">
        <v>3238.3087436999585</v>
      </c>
      <c r="AV197" s="184">
        <f t="shared" si="82"/>
        <v>647.66174873999171</v>
      </c>
      <c r="AW197" s="181">
        <f t="shared" si="83"/>
        <v>29</v>
      </c>
      <c r="AX197" s="587"/>
    </row>
    <row r="198" spans="2:50" ht="14.25" customHeight="1">
      <c r="B198" s="586"/>
      <c r="C198" s="179">
        <v>24</v>
      </c>
      <c r="D198" s="182" t="s">
        <v>372</v>
      </c>
      <c r="E198" s="183">
        <v>5</v>
      </c>
      <c r="F198" s="179">
        <v>3600</v>
      </c>
      <c r="G198" s="184">
        <f t="shared" si="69"/>
        <v>720</v>
      </c>
      <c r="H198" s="588"/>
      <c r="I198" s="185">
        <f t="shared" si="70"/>
        <v>5</v>
      </c>
      <c r="J198" s="185">
        <f t="shared" si="70"/>
        <v>3236.3970615642679</v>
      </c>
      <c r="K198" s="186">
        <f t="shared" si="70"/>
        <v>647.27941231285342</v>
      </c>
      <c r="L198" s="589"/>
      <c r="M198" s="185">
        <f>RANK(K198, K$175:$K$211)</f>
        <v>29</v>
      </c>
      <c r="N198" s="600"/>
      <c r="O198" s="590"/>
      <c r="P198" s="187">
        <v>5</v>
      </c>
      <c r="Q198" s="187">
        <v>3234.6331506730567</v>
      </c>
      <c r="R198" s="184">
        <f t="shared" si="71"/>
        <v>646.92663013461129</v>
      </c>
      <c r="S198" s="181">
        <f t="shared" si="72"/>
        <v>27</v>
      </c>
      <c r="T198" s="587"/>
      <c r="U198" s="187">
        <v>5</v>
      </c>
      <c r="V198" s="187">
        <v>3233.5531506730567</v>
      </c>
      <c r="W198" s="184">
        <f t="shared" si="68"/>
        <v>646.71063013461139</v>
      </c>
      <c r="X198" s="181">
        <f t="shared" si="73"/>
        <v>29</v>
      </c>
      <c r="Y198" s="587"/>
      <c r="Z198" s="187">
        <v>5</v>
      </c>
      <c r="AA198" s="187">
        <v>3235.5678044925585</v>
      </c>
      <c r="AB198" s="184">
        <f t="shared" si="74"/>
        <v>647.11356089851165</v>
      </c>
      <c r="AC198" s="181">
        <f t="shared" si="75"/>
        <v>27</v>
      </c>
      <c r="AD198" s="587"/>
      <c r="AE198" s="187">
        <v>5</v>
      </c>
      <c r="AF198" s="187">
        <v>3235.5678044925585</v>
      </c>
      <c r="AG198" s="184">
        <f t="shared" si="76"/>
        <v>647.11356089851165</v>
      </c>
      <c r="AH198" s="181">
        <f t="shared" si="77"/>
        <v>29</v>
      </c>
      <c r="AI198" s="587"/>
      <c r="AJ198" s="187">
        <v>5</v>
      </c>
      <c r="AK198" s="187">
        <v>3236.647804492558</v>
      </c>
      <c r="AL198" s="184">
        <f t="shared" si="78"/>
        <v>647.32956089851155</v>
      </c>
      <c r="AM198" s="181">
        <f t="shared" si="79"/>
        <v>27</v>
      </c>
      <c r="AN198" s="587"/>
      <c r="AO198" s="187">
        <v>5</v>
      </c>
      <c r="AP198" s="187">
        <v>3237.3678044925573</v>
      </c>
      <c r="AQ198" s="184">
        <f t="shared" si="80"/>
        <v>647.47356089851144</v>
      </c>
      <c r="AR198" s="181">
        <f t="shared" si="81"/>
        <v>26</v>
      </c>
      <c r="AS198" s="587"/>
      <c r="AT198" s="187">
        <v>5</v>
      </c>
      <c r="AU198" s="187">
        <v>3241.4419116335275</v>
      </c>
      <c r="AV198" s="184">
        <f t="shared" si="82"/>
        <v>648.28838232670546</v>
      </c>
      <c r="AW198" s="181">
        <f t="shared" si="83"/>
        <v>26</v>
      </c>
      <c r="AX198" s="587"/>
    </row>
    <row r="199" spans="2:50" ht="14.25" customHeight="1">
      <c r="B199" s="586"/>
      <c r="C199" s="179">
        <v>25</v>
      </c>
      <c r="D199" s="182" t="s">
        <v>374</v>
      </c>
      <c r="E199" s="183">
        <v>3</v>
      </c>
      <c r="F199" s="179">
        <v>3000</v>
      </c>
      <c r="G199" s="184">
        <f t="shared" si="69"/>
        <v>1000</v>
      </c>
      <c r="H199" s="588"/>
      <c r="I199" s="185">
        <f t="shared" si="70"/>
        <v>3</v>
      </c>
      <c r="J199" s="185">
        <f t="shared" si="70"/>
        <v>2760.4234741957785</v>
      </c>
      <c r="K199" s="186">
        <f t="shared" si="70"/>
        <v>920.14115806525967</v>
      </c>
      <c r="L199" s="589"/>
      <c r="M199" s="185">
        <f>RANK(K199, K$175:$K$211)</f>
        <v>12</v>
      </c>
      <c r="N199" s="600"/>
      <c r="O199" s="590"/>
      <c r="P199" s="187">
        <v>3</v>
      </c>
      <c r="Q199" s="187">
        <v>2757.7036266088435</v>
      </c>
      <c r="R199" s="184">
        <f t="shared" si="71"/>
        <v>919.23454220294786</v>
      </c>
      <c r="S199" s="181">
        <f t="shared" si="72"/>
        <v>13</v>
      </c>
      <c r="T199" s="587"/>
      <c r="U199" s="187">
        <v>3</v>
      </c>
      <c r="V199" s="187">
        <v>2757.1036266088436</v>
      </c>
      <c r="W199" s="184">
        <f t="shared" si="68"/>
        <v>919.03454220294782</v>
      </c>
      <c r="X199" s="181">
        <f t="shared" si="73"/>
        <v>13</v>
      </c>
      <c r="Y199" s="587"/>
      <c r="Z199" s="187">
        <v>3</v>
      </c>
      <c r="AA199" s="187">
        <v>2760.2514132305532</v>
      </c>
      <c r="AB199" s="184">
        <f t="shared" si="74"/>
        <v>920.08380441018437</v>
      </c>
      <c r="AC199" s="181">
        <f t="shared" si="75"/>
        <v>13</v>
      </c>
      <c r="AD199" s="587"/>
      <c r="AE199" s="187">
        <v>3</v>
      </c>
      <c r="AF199" s="187">
        <v>2761.1514132305529</v>
      </c>
      <c r="AG199" s="184">
        <f t="shared" si="76"/>
        <v>920.38380441018433</v>
      </c>
      <c r="AH199" s="181">
        <f t="shared" si="77"/>
        <v>11</v>
      </c>
      <c r="AI199" s="587"/>
      <c r="AJ199" s="187">
        <v>3</v>
      </c>
      <c r="AK199" s="187">
        <v>2762.051413230553</v>
      </c>
      <c r="AL199" s="184">
        <f t="shared" si="78"/>
        <v>920.68380441018428</v>
      </c>
      <c r="AM199" s="181">
        <f t="shared" si="79"/>
        <v>11</v>
      </c>
      <c r="AN199" s="587"/>
      <c r="AO199" s="187">
        <v>3</v>
      </c>
      <c r="AP199" s="187">
        <v>2762.3514132305527</v>
      </c>
      <c r="AQ199" s="184">
        <f t="shared" si="80"/>
        <v>920.78380441018419</v>
      </c>
      <c r="AR199" s="181">
        <f t="shared" si="81"/>
        <v>11</v>
      </c>
      <c r="AS199" s="587"/>
      <c r="AT199" s="187">
        <v>3</v>
      </c>
      <c r="AU199" s="187">
        <v>2762.3514132305527</v>
      </c>
      <c r="AV199" s="184">
        <f t="shared" si="82"/>
        <v>920.78380441018419</v>
      </c>
      <c r="AW199" s="181">
        <f t="shared" si="83"/>
        <v>12</v>
      </c>
      <c r="AX199" s="587"/>
    </row>
    <row r="200" spans="2:50" ht="14.25" customHeight="1">
      <c r="B200" s="586"/>
      <c r="C200" s="179">
        <v>26</v>
      </c>
      <c r="D200" s="182" t="s">
        <v>412</v>
      </c>
      <c r="E200" s="183">
        <v>3</v>
      </c>
      <c r="F200" s="179">
        <v>3600</v>
      </c>
      <c r="G200" s="184">
        <f t="shared" si="69"/>
        <v>1200</v>
      </c>
      <c r="H200" s="588"/>
      <c r="I200" s="185">
        <f t="shared" si="70"/>
        <v>3</v>
      </c>
      <c r="J200" s="185">
        <f t="shared" si="70"/>
        <v>3236.7250083687118</v>
      </c>
      <c r="K200" s="186">
        <f t="shared" si="70"/>
        <v>1078.9083361229041</v>
      </c>
      <c r="L200" s="589"/>
      <c r="M200" s="185">
        <f>RANK(K200, K$175:$K$211)</f>
        <v>8</v>
      </c>
      <c r="N200" s="600"/>
      <c r="O200" s="590"/>
      <c r="P200" s="187">
        <v>3</v>
      </c>
      <c r="Q200" s="187">
        <v>3232.763885427828</v>
      </c>
      <c r="R200" s="184">
        <f t="shared" si="71"/>
        <v>1077.5879618092761</v>
      </c>
      <c r="S200" s="181">
        <f t="shared" si="72"/>
        <v>7</v>
      </c>
      <c r="T200" s="587"/>
      <c r="U200" s="187">
        <v>3</v>
      </c>
      <c r="V200" s="187">
        <v>3231.683885427828</v>
      </c>
      <c r="W200" s="184">
        <f t="shared" si="68"/>
        <v>1077.2279618092759</v>
      </c>
      <c r="X200" s="181">
        <f t="shared" si="73"/>
        <v>7</v>
      </c>
      <c r="Y200" s="587"/>
      <c r="Z200" s="187">
        <v>3</v>
      </c>
      <c r="AA200" s="187">
        <v>3236.4845375775703</v>
      </c>
      <c r="AB200" s="184">
        <f t="shared" si="74"/>
        <v>1078.8281791925235</v>
      </c>
      <c r="AC200" s="181">
        <f t="shared" si="75"/>
        <v>7</v>
      </c>
      <c r="AD200" s="587"/>
      <c r="AE200" s="187">
        <v>3</v>
      </c>
      <c r="AF200" s="187">
        <v>3239.7556875369396</v>
      </c>
      <c r="AG200" s="184">
        <f t="shared" si="76"/>
        <v>1079.9185625123132</v>
      </c>
      <c r="AH200" s="181">
        <f t="shared" si="77"/>
        <v>3</v>
      </c>
      <c r="AI200" s="587"/>
      <c r="AJ200" s="187">
        <v>3</v>
      </c>
      <c r="AK200" s="187">
        <v>3238.3156875369395</v>
      </c>
      <c r="AL200" s="184">
        <f t="shared" si="78"/>
        <v>1079.4385625123132</v>
      </c>
      <c r="AM200" s="181">
        <f t="shared" si="79"/>
        <v>6</v>
      </c>
      <c r="AN200" s="587"/>
      <c r="AO200" s="187">
        <v>3</v>
      </c>
      <c r="AP200" s="187">
        <v>3238.6756875369397</v>
      </c>
      <c r="AQ200" s="184">
        <f t="shared" si="80"/>
        <v>1079.5585625123133</v>
      </c>
      <c r="AR200" s="181">
        <f t="shared" si="81"/>
        <v>6</v>
      </c>
      <c r="AS200" s="587"/>
      <c r="AT200" s="187">
        <v>3</v>
      </c>
      <c r="AU200" s="187">
        <v>3239.3956875369404</v>
      </c>
      <c r="AV200" s="184">
        <f t="shared" si="82"/>
        <v>1079.7985625123135</v>
      </c>
      <c r="AW200" s="181">
        <f t="shared" si="83"/>
        <v>7</v>
      </c>
      <c r="AX200" s="587"/>
    </row>
    <row r="201" spans="2:50" ht="14.25" customHeight="1">
      <c r="B201" s="586"/>
      <c r="C201" s="179">
        <v>27</v>
      </c>
      <c r="D201" s="182" t="s">
        <v>417</v>
      </c>
      <c r="E201" s="183">
        <v>4</v>
      </c>
      <c r="F201" s="179">
        <v>3000</v>
      </c>
      <c r="G201" s="184">
        <f t="shared" si="69"/>
        <v>750</v>
      </c>
      <c r="H201" s="588"/>
      <c r="I201" s="185">
        <f t="shared" si="70"/>
        <v>4</v>
      </c>
      <c r="J201" s="185">
        <f t="shared" si="70"/>
        <v>2759.7457525527693</v>
      </c>
      <c r="K201" s="186">
        <f t="shared" si="70"/>
        <v>689.93643813819233</v>
      </c>
      <c r="L201" s="589"/>
      <c r="M201" s="185">
        <f>RANK(K201, K$175:$K$211)</f>
        <v>21</v>
      </c>
      <c r="N201" s="600"/>
      <c r="O201" s="590"/>
      <c r="P201" s="187">
        <v>4</v>
      </c>
      <c r="Q201" s="187">
        <v>2757.726255044216</v>
      </c>
      <c r="R201" s="184">
        <f t="shared" si="71"/>
        <v>689.43156376105401</v>
      </c>
      <c r="S201" s="181">
        <f t="shared" si="72"/>
        <v>20</v>
      </c>
      <c r="T201" s="587"/>
      <c r="U201" s="187">
        <v>4</v>
      </c>
      <c r="V201" s="187">
        <v>2756.5262550442162</v>
      </c>
      <c r="W201" s="184">
        <f t="shared" si="68"/>
        <v>689.13156376105405</v>
      </c>
      <c r="X201" s="181">
        <f t="shared" si="73"/>
        <v>20</v>
      </c>
      <c r="Y201" s="587"/>
      <c r="Z201" s="187">
        <v>4</v>
      </c>
      <c r="AA201" s="187">
        <v>2759.9535515561906</v>
      </c>
      <c r="AB201" s="184">
        <f t="shared" si="74"/>
        <v>689.98838788904766</v>
      </c>
      <c r="AC201" s="181">
        <f t="shared" si="75"/>
        <v>20</v>
      </c>
      <c r="AD201" s="587"/>
      <c r="AE201" s="187">
        <v>4</v>
      </c>
      <c r="AF201" s="187">
        <v>2759.3535515561907</v>
      </c>
      <c r="AG201" s="184">
        <f t="shared" si="76"/>
        <v>689.83838788904768</v>
      </c>
      <c r="AH201" s="181">
        <f t="shared" si="77"/>
        <v>20</v>
      </c>
      <c r="AI201" s="587"/>
      <c r="AJ201" s="187">
        <v>4</v>
      </c>
      <c r="AK201" s="187">
        <v>2760.8535515561907</v>
      </c>
      <c r="AL201" s="184">
        <f t="shared" si="78"/>
        <v>690.21338788904768</v>
      </c>
      <c r="AM201" s="181">
        <f t="shared" si="79"/>
        <v>19</v>
      </c>
      <c r="AN201" s="587"/>
      <c r="AO201" s="187">
        <v>4</v>
      </c>
      <c r="AP201" s="187">
        <v>2761.7535515561908</v>
      </c>
      <c r="AQ201" s="184">
        <f t="shared" si="80"/>
        <v>690.4383878890477</v>
      </c>
      <c r="AR201" s="181">
        <f t="shared" si="81"/>
        <v>19</v>
      </c>
      <c r="AS201" s="587"/>
      <c r="AT201" s="187">
        <v>4</v>
      </c>
      <c r="AU201" s="187">
        <v>2762.0535515561905</v>
      </c>
      <c r="AV201" s="184">
        <f t="shared" si="82"/>
        <v>690.51338788904764</v>
      </c>
      <c r="AW201" s="181">
        <f t="shared" si="83"/>
        <v>21</v>
      </c>
      <c r="AX201" s="587"/>
    </row>
    <row r="202" spans="2:50" ht="14.25" customHeight="1">
      <c r="B202" s="586"/>
      <c r="C202" s="179">
        <v>28</v>
      </c>
      <c r="D202" s="182" t="s">
        <v>470</v>
      </c>
      <c r="E202" s="183">
        <v>5</v>
      </c>
      <c r="F202" s="179">
        <v>3000</v>
      </c>
      <c r="G202" s="184">
        <f t="shared" si="69"/>
        <v>600</v>
      </c>
      <c r="H202" s="588"/>
      <c r="I202" s="185">
        <f t="shared" si="70"/>
        <v>5</v>
      </c>
      <c r="J202" s="185">
        <f t="shared" si="70"/>
        <v>2759.636828541365</v>
      </c>
      <c r="K202" s="186">
        <f t="shared" si="70"/>
        <v>551.92736570827287</v>
      </c>
      <c r="L202" s="589"/>
      <c r="M202" s="185">
        <f>RANK(K202, K$175:$K$211)</f>
        <v>34</v>
      </c>
      <c r="N202" s="600"/>
      <c r="O202" s="590"/>
      <c r="P202" s="187">
        <v>5</v>
      </c>
      <c r="Q202" s="187">
        <v>2756.4677700017501</v>
      </c>
      <c r="R202" s="184">
        <f t="shared" si="71"/>
        <v>551.29355400035001</v>
      </c>
      <c r="S202" s="181">
        <f t="shared" si="72"/>
        <v>31</v>
      </c>
      <c r="T202" s="587"/>
      <c r="U202" s="187">
        <v>5</v>
      </c>
      <c r="V202" s="187">
        <v>2757.3677700017492</v>
      </c>
      <c r="W202" s="184">
        <f t="shared" si="68"/>
        <v>551.47355400034985</v>
      </c>
      <c r="X202" s="181">
        <f t="shared" si="73"/>
        <v>32</v>
      </c>
      <c r="Y202" s="587"/>
      <c r="Z202" s="187">
        <v>5</v>
      </c>
      <c r="AA202" s="187">
        <v>2761.4495342344417</v>
      </c>
      <c r="AB202" s="184">
        <f t="shared" si="74"/>
        <v>552.28990684688836</v>
      </c>
      <c r="AC202" s="181">
        <f t="shared" si="75"/>
        <v>32</v>
      </c>
      <c r="AD202" s="587"/>
      <c r="AE202" s="187">
        <v>5</v>
      </c>
      <c r="AF202" s="187">
        <v>2761.7495342344419</v>
      </c>
      <c r="AG202" s="184">
        <f t="shared" si="76"/>
        <v>552.34990684688842</v>
      </c>
      <c r="AH202" s="181">
        <f t="shared" si="77"/>
        <v>32</v>
      </c>
      <c r="AI202" s="587"/>
      <c r="AJ202" s="187">
        <v>5</v>
      </c>
      <c r="AK202" s="187">
        <v>2761.1495342344424</v>
      </c>
      <c r="AL202" s="184">
        <f t="shared" si="78"/>
        <v>552.22990684688853</v>
      </c>
      <c r="AM202" s="181">
        <f t="shared" si="79"/>
        <v>32</v>
      </c>
      <c r="AN202" s="587"/>
      <c r="AO202" s="187"/>
      <c r="AP202" s="187"/>
      <c r="AQ202" s="184"/>
      <c r="AR202" s="181"/>
      <c r="AS202" s="587"/>
      <c r="AT202" s="187"/>
      <c r="AU202" s="187"/>
      <c r="AV202" s="184"/>
      <c r="AW202" s="181"/>
      <c r="AX202" s="587"/>
    </row>
    <row r="203" spans="2:50" ht="14.25" customHeight="1">
      <c r="B203" s="586"/>
      <c r="C203" s="179">
        <v>29</v>
      </c>
      <c r="D203" s="182" t="s">
        <v>551</v>
      </c>
      <c r="E203" s="183">
        <v>5</v>
      </c>
      <c r="F203" s="179">
        <v>3600</v>
      </c>
      <c r="G203" s="184">
        <f t="shared" si="69"/>
        <v>720</v>
      </c>
      <c r="H203" s="588"/>
      <c r="I203" s="185">
        <f t="shared" si="70"/>
        <v>5</v>
      </c>
      <c r="J203" s="185">
        <f t="shared" si="70"/>
        <v>3261.843593699542</v>
      </c>
      <c r="K203" s="186">
        <f t="shared" si="70"/>
        <v>652.36871873990833</v>
      </c>
      <c r="L203" s="589"/>
      <c r="M203" s="185">
        <f>RANK(K203, K$175:$K$211)</f>
        <v>23</v>
      </c>
      <c r="N203" s="600"/>
      <c r="O203" s="590"/>
      <c r="P203" s="187">
        <v>5</v>
      </c>
      <c r="Q203" s="187">
        <v>3262.7793184168859</v>
      </c>
      <c r="R203" s="184">
        <f t="shared" si="71"/>
        <v>652.5558636833772</v>
      </c>
      <c r="S203" s="181">
        <f t="shared" si="72"/>
        <v>22</v>
      </c>
      <c r="T203" s="587"/>
      <c r="U203" s="187">
        <v>5</v>
      </c>
      <c r="V203" s="187">
        <v>3263.139318416886</v>
      </c>
      <c r="W203" s="184">
        <f t="shared" si="68"/>
        <v>652.6278636833772</v>
      </c>
      <c r="X203" s="181">
        <f t="shared" si="73"/>
        <v>21</v>
      </c>
      <c r="Y203" s="587"/>
      <c r="Z203" s="187">
        <v>5</v>
      </c>
      <c r="AA203" s="187">
        <v>3262.0593184168865</v>
      </c>
      <c r="AB203" s="184">
        <f t="shared" si="74"/>
        <v>652.41186368337731</v>
      </c>
      <c r="AC203" s="181">
        <f t="shared" si="75"/>
        <v>21</v>
      </c>
      <c r="AD203" s="587"/>
      <c r="AE203" s="187">
        <v>5</v>
      </c>
      <c r="AF203" s="187">
        <v>3260.2593184168863</v>
      </c>
      <c r="AG203" s="184">
        <f t="shared" si="76"/>
        <v>652.05186368337729</v>
      </c>
      <c r="AH203" s="181">
        <f t="shared" si="77"/>
        <v>22</v>
      </c>
      <c r="AI203" s="587"/>
      <c r="AJ203" s="187">
        <v>5</v>
      </c>
      <c r="AK203" s="187">
        <v>3260.9806948301634</v>
      </c>
      <c r="AL203" s="184">
        <f t="shared" si="78"/>
        <v>652.19613896603266</v>
      </c>
      <c r="AM203" s="181">
        <f t="shared" si="79"/>
        <v>21</v>
      </c>
      <c r="AN203" s="587"/>
      <c r="AO203" s="187"/>
      <c r="AP203" s="187"/>
      <c r="AQ203" s="184"/>
      <c r="AR203" s="181"/>
      <c r="AS203" s="587"/>
      <c r="AT203" s="187"/>
      <c r="AU203" s="187"/>
      <c r="AV203" s="184"/>
      <c r="AW203" s="181"/>
      <c r="AX203" s="587"/>
    </row>
    <row r="204" spans="2:50" ht="14.25" customHeight="1">
      <c r="B204" s="586"/>
      <c r="C204" s="179">
        <v>30</v>
      </c>
      <c r="D204" s="182" t="s">
        <v>557</v>
      </c>
      <c r="E204" s="183">
        <v>4</v>
      </c>
      <c r="F204" s="179">
        <v>3000</v>
      </c>
      <c r="G204" s="184">
        <f t="shared" si="69"/>
        <v>750</v>
      </c>
      <c r="H204" s="588"/>
      <c r="I204" s="185">
        <f t="shared" si="70"/>
        <v>4</v>
      </c>
      <c r="J204" s="185">
        <f t="shared" si="70"/>
        <v>2759.6522154277081</v>
      </c>
      <c r="K204" s="186">
        <f t="shared" si="70"/>
        <v>689.91305385692704</v>
      </c>
      <c r="L204" s="589"/>
      <c r="M204" s="185">
        <f>RANK(K204, K$175:$K$211)</f>
        <v>22</v>
      </c>
      <c r="N204" s="600"/>
      <c r="O204" s="590"/>
      <c r="P204" s="187">
        <v>4</v>
      </c>
      <c r="Q204" s="187">
        <v>2759.3950725705663</v>
      </c>
      <c r="R204" s="184">
        <f t="shared" si="71"/>
        <v>689.84876814264157</v>
      </c>
      <c r="S204" s="181">
        <f t="shared" si="72"/>
        <v>19</v>
      </c>
      <c r="T204" s="587"/>
      <c r="U204" s="187">
        <v>4</v>
      </c>
      <c r="V204" s="187">
        <v>2759.695072570566</v>
      </c>
      <c r="W204" s="184">
        <f t="shared" si="68"/>
        <v>689.92376814264151</v>
      </c>
      <c r="X204" s="181">
        <f t="shared" si="73"/>
        <v>19</v>
      </c>
      <c r="Y204" s="587"/>
      <c r="Z204" s="187">
        <v>4</v>
      </c>
      <c r="AA204" s="187">
        <v>2760.2950725705655</v>
      </c>
      <c r="AB204" s="184">
        <f t="shared" si="74"/>
        <v>690.07376814264137</v>
      </c>
      <c r="AC204" s="181">
        <f t="shared" si="75"/>
        <v>19</v>
      </c>
      <c r="AD204" s="587"/>
      <c r="AE204" s="187">
        <v>4</v>
      </c>
      <c r="AF204" s="187">
        <v>2759.9950725705658</v>
      </c>
      <c r="AG204" s="184">
        <f t="shared" si="76"/>
        <v>689.99876814264144</v>
      </c>
      <c r="AH204" s="181">
        <f t="shared" si="77"/>
        <v>19</v>
      </c>
      <c r="AI204" s="587"/>
      <c r="AJ204" s="187">
        <v>4</v>
      </c>
      <c r="AK204" s="187">
        <v>2758.7950725705659</v>
      </c>
      <c r="AL204" s="184">
        <f t="shared" si="78"/>
        <v>689.69876814264148</v>
      </c>
      <c r="AM204" s="181">
        <f t="shared" si="79"/>
        <v>20</v>
      </c>
      <c r="AN204" s="587"/>
      <c r="AO204" s="187">
        <v>4</v>
      </c>
      <c r="AP204" s="187">
        <v>2759.3950725705654</v>
      </c>
      <c r="AQ204" s="184">
        <f t="shared" si="80"/>
        <v>689.84876814264135</v>
      </c>
      <c r="AR204" s="181">
        <f t="shared" si="81"/>
        <v>20</v>
      </c>
      <c r="AS204" s="587"/>
      <c r="AT204" s="187">
        <v>4</v>
      </c>
      <c r="AU204" s="187">
        <v>2759.9950725705653</v>
      </c>
      <c r="AV204" s="184">
        <f t="shared" si="82"/>
        <v>689.99876814264132</v>
      </c>
      <c r="AW204" s="181">
        <f t="shared" ref="AW204:AW210" si="84">RANK(AV204, AV$175:AV$211)</f>
        <v>22</v>
      </c>
      <c r="AX204" s="587"/>
    </row>
    <row r="205" spans="2:50" ht="14.25" customHeight="1">
      <c r="B205" s="586"/>
      <c r="C205" s="179">
        <v>31</v>
      </c>
      <c r="D205" s="182" t="s">
        <v>558</v>
      </c>
      <c r="E205" s="179">
        <v>5</v>
      </c>
      <c r="F205" s="179">
        <v>3600</v>
      </c>
      <c r="G205" s="184">
        <f t="shared" si="69"/>
        <v>720</v>
      </c>
      <c r="H205" s="588"/>
      <c r="I205" s="185">
        <f t="shared" si="70"/>
        <v>5</v>
      </c>
      <c r="J205" s="185">
        <f t="shared" si="70"/>
        <v>3261.0941270258077</v>
      </c>
      <c r="K205" s="186">
        <f t="shared" si="70"/>
        <v>652.21882540516162</v>
      </c>
      <c r="L205" s="589"/>
      <c r="M205" s="185">
        <f>RANK(K205, K$175:$K$211)</f>
        <v>24</v>
      </c>
      <c r="N205" s="600"/>
      <c r="O205" s="590"/>
      <c r="P205" s="187">
        <v>5</v>
      </c>
      <c r="Q205" s="187">
        <v>3264.1284127400922</v>
      </c>
      <c r="R205" s="184">
        <f t="shared" si="71"/>
        <v>652.82568254801845</v>
      </c>
      <c r="S205" s="181">
        <f t="shared" si="72"/>
        <v>21</v>
      </c>
      <c r="T205" s="587"/>
      <c r="U205" s="187">
        <v>5</v>
      </c>
      <c r="V205" s="187">
        <v>3262.3284127400925</v>
      </c>
      <c r="W205" s="184">
        <f t="shared" si="68"/>
        <v>652.46568254801855</v>
      </c>
      <c r="X205" s="181">
        <f t="shared" si="73"/>
        <v>22</v>
      </c>
      <c r="Y205" s="587"/>
      <c r="Z205" s="187">
        <v>5</v>
      </c>
      <c r="AA205" s="187">
        <v>3261.6084127400927</v>
      </c>
      <c r="AB205" s="184">
        <f t="shared" si="74"/>
        <v>652.32168254801854</v>
      </c>
      <c r="AC205" s="181">
        <f t="shared" si="75"/>
        <v>22</v>
      </c>
      <c r="AD205" s="587"/>
      <c r="AE205" s="187">
        <v>5</v>
      </c>
      <c r="AF205" s="187">
        <v>3261.6084127400932</v>
      </c>
      <c r="AG205" s="184">
        <f t="shared" si="76"/>
        <v>652.32168254801866</v>
      </c>
      <c r="AH205" s="181">
        <f t="shared" si="77"/>
        <v>21</v>
      </c>
      <c r="AI205" s="587"/>
      <c r="AJ205" s="187">
        <v>5</v>
      </c>
      <c r="AK205" s="187">
        <v>3260.168412740094</v>
      </c>
      <c r="AL205" s="184">
        <f t="shared" si="78"/>
        <v>652.03368254801876</v>
      </c>
      <c r="AM205" s="181">
        <f t="shared" si="79"/>
        <v>22</v>
      </c>
      <c r="AN205" s="587"/>
      <c r="AO205" s="187">
        <v>5</v>
      </c>
      <c r="AP205" s="187">
        <v>3258.3684127400938</v>
      </c>
      <c r="AQ205" s="184">
        <f t="shared" si="80"/>
        <v>651.67368254801875</v>
      </c>
      <c r="AR205" s="181">
        <f t="shared" si="81"/>
        <v>21</v>
      </c>
      <c r="AS205" s="587"/>
      <c r="AT205" s="187">
        <v>5</v>
      </c>
      <c r="AU205" s="187">
        <v>3259.4484127400938</v>
      </c>
      <c r="AV205" s="184">
        <f t="shared" si="82"/>
        <v>651.88968254801875</v>
      </c>
      <c r="AW205" s="181">
        <f t="shared" si="84"/>
        <v>23</v>
      </c>
      <c r="AX205" s="587"/>
    </row>
    <row r="206" spans="2:50" ht="14.25" customHeight="1">
      <c r="B206" s="586"/>
      <c r="C206" s="179">
        <v>32</v>
      </c>
      <c r="D206" s="182" t="s">
        <v>324</v>
      </c>
      <c r="E206" s="179">
        <v>3</v>
      </c>
      <c r="F206" s="179">
        <v>3000</v>
      </c>
      <c r="G206" s="184">
        <f t="shared" si="69"/>
        <v>1000</v>
      </c>
      <c r="H206" s="588"/>
      <c r="I206" s="185">
        <f t="shared" ref="I206:K210" si="85">AVERAGE(P206,U206,Z206,AE206,AJ206,AO206,AT206)</f>
        <v>3</v>
      </c>
      <c r="J206" s="185">
        <f t="shared" si="85"/>
        <v>2760.3810609678535</v>
      </c>
      <c r="K206" s="186">
        <f t="shared" si="85"/>
        <v>920.12702032261791</v>
      </c>
      <c r="L206" s="589"/>
      <c r="M206" s="185">
        <f>RANK(K206, K$175:$K$211)</f>
        <v>13</v>
      </c>
      <c r="N206" s="600"/>
      <c r="O206" s="590"/>
      <c r="P206" s="187">
        <v>3</v>
      </c>
      <c r="Q206" s="187">
        <v>2761.0401003867801</v>
      </c>
      <c r="R206" s="184">
        <f t="shared" si="71"/>
        <v>920.34670012892673</v>
      </c>
      <c r="S206" s="181">
        <f t="shared" si="72"/>
        <v>11</v>
      </c>
      <c r="T206" s="587"/>
      <c r="U206" s="187">
        <v>3</v>
      </c>
      <c r="V206" s="187">
        <v>2760.4401003867806</v>
      </c>
      <c r="W206" s="184">
        <f t="shared" si="68"/>
        <v>920.14670012892691</v>
      </c>
      <c r="X206" s="181">
        <f t="shared" si="73"/>
        <v>11</v>
      </c>
      <c r="Y206" s="587"/>
      <c r="Z206" s="187">
        <v>3</v>
      </c>
      <c r="AA206" s="187">
        <v>2761.3774452002826</v>
      </c>
      <c r="AB206" s="184">
        <f t="shared" si="74"/>
        <v>920.45914840009425</v>
      </c>
      <c r="AC206" s="181">
        <f t="shared" si="75"/>
        <v>11</v>
      </c>
      <c r="AD206" s="587"/>
      <c r="AE206" s="187">
        <v>3</v>
      </c>
      <c r="AF206" s="187">
        <v>2760.477445200283</v>
      </c>
      <c r="AG206" s="184">
        <f t="shared" si="76"/>
        <v>920.1591484000943</v>
      </c>
      <c r="AH206" s="181">
        <f t="shared" si="77"/>
        <v>13</v>
      </c>
      <c r="AI206" s="587"/>
      <c r="AJ206" s="187">
        <v>3</v>
      </c>
      <c r="AK206" s="187">
        <v>2758.977445200283</v>
      </c>
      <c r="AL206" s="184">
        <f t="shared" si="78"/>
        <v>919.6591484000943</v>
      </c>
      <c r="AM206" s="181">
        <f t="shared" si="79"/>
        <v>13</v>
      </c>
      <c r="AN206" s="587"/>
      <c r="AO206" s="187">
        <v>3</v>
      </c>
      <c r="AP206" s="187">
        <v>2759.8774452002831</v>
      </c>
      <c r="AQ206" s="184">
        <f t="shared" si="80"/>
        <v>919.95914840009436</v>
      </c>
      <c r="AR206" s="181">
        <f t="shared" si="81"/>
        <v>13</v>
      </c>
      <c r="AS206" s="587"/>
      <c r="AT206" s="187">
        <v>3</v>
      </c>
      <c r="AU206" s="187">
        <v>2760.477445200283</v>
      </c>
      <c r="AV206" s="184">
        <f t="shared" si="82"/>
        <v>920.1591484000943</v>
      </c>
      <c r="AW206" s="181">
        <f t="shared" si="84"/>
        <v>13</v>
      </c>
      <c r="AX206" s="587"/>
    </row>
    <row r="207" spans="2:50" ht="14.25" customHeight="1">
      <c r="B207" s="586"/>
      <c r="C207" s="179">
        <v>33</v>
      </c>
      <c r="D207" s="182" t="s">
        <v>414</v>
      </c>
      <c r="E207" s="179">
        <v>12</v>
      </c>
      <c r="F207" s="179">
        <v>3600</v>
      </c>
      <c r="G207" s="184">
        <f t="shared" si="69"/>
        <v>300</v>
      </c>
      <c r="H207" s="588"/>
      <c r="I207" s="185">
        <f t="shared" si="85"/>
        <v>12</v>
      </c>
      <c r="J207" s="185">
        <f t="shared" si="85"/>
        <v>3121.4275861178721</v>
      </c>
      <c r="K207" s="186">
        <f t="shared" si="85"/>
        <v>260.11896550982266</v>
      </c>
      <c r="L207" s="589"/>
      <c r="M207" s="185">
        <f>RANK(K207, K$175:$K$211)</f>
        <v>35</v>
      </c>
      <c r="N207" s="600"/>
      <c r="O207" s="590"/>
      <c r="P207" s="187">
        <v>12</v>
      </c>
      <c r="Q207" s="187">
        <v>3119.689664544806</v>
      </c>
      <c r="R207" s="184">
        <f t="shared" si="71"/>
        <v>259.97413871206714</v>
      </c>
      <c r="S207" s="181">
        <f t="shared" si="72"/>
        <v>34</v>
      </c>
      <c r="T207" s="587"/>
      <c r="U207" s="187">
        <v>12</v>
      </c>
      <c r="V207" s="187">
        <v>3121.3453066443635</v>
      </c>
      <c r="W207" s="184">
        <f t="shared" si="68"/>
        <v>260.11210888703027</v>
      </c>
      <c r="X207" s="181">
        <f t="shared" si="73"/>
        <v>33</v>
      </c>
      <c r="Y207" s="587"/>
      <c r="Z207" s="187">
        <v>12</v>
      </c>
      <c r="AA207" s="187">
        <v>3121.7053066443632</v>
      </c>
      <c r="AB207" s="184">
        <f t="shared" si="74"/>
        <v>260.14210888703025</v>
      </c>
      <c r="AC207" s="181">
        <f t="shared" si="75"/>
        <v>33</v>
      </c>
      <c r="AD207" s="587"/>
      <c r="AE207" s="187">
        <v>12</v>
      </c>
      <c r="AF207" s="187">
        <v>3122.4253066443625</v>
      </c>
      <c r="AG207" s="184">
        <f t="shared" si="76"/>
        <v>260.20210888703019</v>
      </c>
      <c r="AH207" s="181">
        <f t="shared" si="77"/>
        <v>33</v>
      </c>
      <c r="AI207" s="587"/>
      <c r="AJ207" s="187">
        <v>12</v>
      </c>
      <c r="AK207" s="187">
        <v>3121.8897931692659</v>
      </c>
      <c r="AL207" s="184">
        <f t="shared" si="78"/>
        <v>260.15748276410551</v>
      </c>
      <c r="AM207" s="181">
        <f t="shared" si="79"/>
        <v>33</v>
      </c>
      <c r="AN207" s="587"/>
      <c r="AO207" s="187">
        <v>12</v>
      </c>
      <c r="AP207" s="187">
        <v>3120.809793169266</v>
      </c>
      <c r="AQ207" s="184">
        <f t="shared" si="80"/>
        <v>260.06748276410548</v>
      </c>
      <c r="AR207" s="181">
        <f t="shared" si="81"/>
        <v>32</v>
      </c>
      <c r="AS207" s="587"/>
      <c r="AT207" s="187">
        <v>12</v>
      </c>
      <c r="AU207" s="187">
        <v>3122.1279320086787</v>
      </c>
      <c r="AV207" s="184">
        <f t="shared" si="82"/>
        <v>260.17732766738987</v>
      </c>
      <c r="AW207" s="181">
        <f t="shared" si="84"/>
        <v>34</v>
      </c>
      <c r="AX207" s="587"/>
    </row>
    <row r="208" spans="2:50" ht="14.25" customHeight="1">
      <c r="B208" s="586"/>
      <c r="C208" s="179">
        <v>34</v>
      </c>
      <c r="D208" s="182" t="s">
        <v>715</v>
      </c>
      <c r="E208" s="179">
        <v>5</v>
      </c>
      <c r="F208" s="179">
        <v>3300</v>
      </c>
      <c r="G208" s="184">
        <f t="shared" si="69"/>
        <v>660</v>
      </c>
      <c r="H208" s="588"/>
      <c r="I208" s="185">
        <f t="shared" si="85"/>
        <v>5</v>
      </c>
      <c r="J208" s="185">
        <f t="shared" si="85"/>
        <v>2944.0648497933521</v>
      </c>
      <c r="K208" s="186">
        <f t="shared" si="85"/>
        <v>588.81296995867058</v>
      </c>
      <c r="L208" s="589"/>
      <c r="M208" s="185">
        <f>RANK(K208, K$175:$K$211)</f>
        <v>32</v>
      </c>
      <c r="N208" s="600"/>
      <c r="O208" s="590"/>
      <c r="P208" s="187">
        <v>5</v>
      </c>
      <c r="Q208" s="187">
        <v>2782.5687400000011</v>
      </c>
      <c r="R208" s="184">
        <f t="shared" si="71"/>
        <v>556.51374800000019</v>
      </c>
      <c r="S208" s="181">
        <f t="shared" si="72"/>
        <v>30</v>
      </c>
      <c r="T208" s="587"/>
      <c r="U208" s="187">
        <v>5</v>
      </c>
      <c r="V208" s="187">
        <v>2843.447992280001</v>
      </c>
      <c r="W208" s="184">
        <f t="shared" si="68"/>
        <v>568.68959845600023</v>
      </c>
      <c r="X208" s="181">
        <f t="shared" si="73"/>
        <v>30</v>
      </c>
      <c r="Y208" s="587"/>
      <c r="Z208" s="187">
        <v>5</v>
      </c>
      <c r="AA208" s="187">
        <v>2906.3411081101608</v>
      </c>
      <c r="AB208" s="184">
        <f t="shared" si="74"/>
        <v>581.26822162203212</v>
      </c>
      <c r="AC208" s="181">
        <f t="shared" si="75"/>
        <v>30</v>
      </c>
      <c r="AD208" s="587"/>
      <c r="AE208" s="187">
        <v>5</v>
      </c>
      <c r="AF208" s="187">
        <v>2967.3709871244318</v>
      </c>
      <c r="AG208" s="184">
        <f t="shared" si="76"/>
        <v>593.47419742488637</v>
      </c>
      <c r="AH208" s="181">
        <f t="shared" si="77"/>
        <v>30</v>
      </c>
      <c r="AI208" s="587"/>
      <c r="AJ208" s="187">
        <v>5</v>
      </c>
      <c r="AK208" s="187">
        <v>3031.9786288411697</v>
      </c>
      <c r="AL208" s="184">
        <f t="shared" si="78"/>
        <v>606.39572576823389</v>
      </c>
      <c r="AM208" s="181">
        <f t="shared" si="79"/>
        <v>30</v>
      </c>
      <c r="AN208" s="587"/>
      <c r="AO208" s="187">
        <v>5</v>
      </c>
      <c r="AP208" s="187">
        <v>3038.3732460988517</v>
      </c>
      <c r="AQ208" s="184">
        <f t="shared" si="80"/>
        <v>607.67464921977034</v>
      </c>
      <c r="AR208" s="181">
        <f t="shared" si="81"/>
        <v>29</v>
      </c>
      <c r="AS208" s="587"/>
      <c r="AT208" s="187">
        <v>5</v>
      </c>
      <c r="AU208" s="187">
        <v>3038.3732460988517</v>
      </c>
      <c r="AV208" s="184">
        <f t="shared" si="82"/>
        <v>607.67464921977034</v>
      </c>
      <c r="AW208" s="181">
        <f t="shared" si="84"/>
        <v>31</v>
      </c>
      <c r="AX208" s="587"/>
    </row>
    <row r="209" spans="2:50" ht="14.25" customHeight="1">
      <c r="B209" s="586"/>
      <c r="C209" s="179">
        <v>35</v>
      </c>
      <c r="D209" s="182" t="s">
        <v>770</v>
      </c>
      <c r="E209" s="179">
        <v>4</v>
      </c>
      <c r="F209" s="179">
        <v>3600</v>
      </c>
      <c r="G209" s="184">
        <f t="shared" si="69"/>
        <v>900</v>
      </c>
      <c r="H209" s="588"/>
      <c r="I209" s="185">
        <f t="shared" si="85"/>
        <v>4</v>
      </c>
      <c r="J209" s="185">
        <f t="shared" si="85"/>
        <v>2958.6606009465468</v>
      </c>
      <c r="K209" s="186">
        <f t="shared" si="85"/>
        <v>739.66515023663669</v>
      </c>
      <c r="L209" s="589"/>
      <c r="M209" s="185">
        <f>RANK(K209, K$175:$K$211)</f>
        <v>20</v>
      </c>
      <c r="N209" s="600"/>
      <c r="O209" s="590"/>
      <c r="P209" s="187"/>
      <c r="Q209" s="187"/>
      <c r="R209" s="184"/>
      <c r="S209" s="181"/>
      <c r="T209" s="587"/>
      <c r="U209" s="187"/>
      <c r="V209" s="187"/>
      <c r="W209" s="184"/>
      <c r="X209" s="181"/>
      <c r="Y209" s="587"/>
      <c r="Z209" s="187"/>
      <c r="AA209" s="187"/>
      <c r="AB209" s="184"/>
      <c r="AC209" s="181"/>
      <c r="AD209" s="587"/>
      <c r="AE209" s="187"/>
      <c r="AF209" s="187"/>
      <c r="AG209" s="184"/>
      <c r="AH209" s="181"/>
      <c r="AI209" s="587"/>
      <c r="AJ209" s="187"/>
      <c r="AK209" s="187"/>
      <c r="AL209" s="184"/>
      <c r="AM209" s="181"/>
      <c r="AN209" s="587"/>
      <c r="AO209" s="187"/>
      <c r="AP209" s="187"/>
      <c r="AQ209" s="184"/>
      <c r="AR209" s="181"/>
      <c r="AS209" s="587"/>
      <c r="AT209" s="187">
        <v>4</v>
      </c>
      <c r="AU209" s="187">
        <v>2958.6606009465468</v>
      </c>
      <c r="AV209" s="184">
        <f t="shared" si="82"/>
        <v>739.66515023663669</v>
      </c>
      <c r="AW209" s="181">
        <f t="shared" si="84"/>
        <v>20</v>
      </c>
      <c r="AX209" s="587"/>
    </row>
    <row r="210" spans="2:50" ht="14.25" customHeight="1">
      <c r="B210" s="586"/>
      <c r="C210" s="179">
        <v>36</v>
      </c>
      <c r="D210" s="182" t="s">
        <v>771</v>
      </c>
      <c r="E210" s="179">
        <v>4</v>
      </c>
      <c r="F210" s="179">
        <v>3600</v>
      </c>
      <c r="G210" s="184">
        <f t="shared" si="69"/>
        <v>900</v>
      </c>
      <c r="H210" s="588"/>
      <c r="I210" s="185">
        <f t="shared" si="85"/>
        <v>4</v>
      </c>
      <c r="J210" s="185">
        <f t="shared" si="85"/>
        <v>2960.5432836376012</v>
      </c>
      <c r="K210" s="186">
        <f t="shared" si="85"/>
        <v>740.13582090940031</v>
      </c>
      <c r="L210" s="589"/>
      <c r="M210" s="185">
        <f>RANK(K210, K$175:$K$211)</f>
        <v>19</v>
      </c>
      <c r="N210" s="600"/>
      <c r="O210" s="590"/>
      <c r="P210" s="187"/>
      <c r="Q210" s="187"/>
      <c r="R210" s="184"/>
      <c r="S210" s="181"/>
      <c r="T210" s="587"/>
      <c r="U210" s="187"/>
      <c r="V210" s="187"/>
      <c r="W210" s="184"/>
      <c r="X210" s="181"/>
      <c r="Y210" s="587"/>
      <c r="Z210" s="187"/>
      <c r="AA210" s="187"/>
      <c r="AB210" s="184"/>
      <c r="AC210" s="181"/>
      <c r="AD210" s="587"/>
      <c r="AE210" s="187"/>
      <c r="AF210" s="187"/>
      <c r="AG210" s="184"/>
      <c r="AH210" s="181"/>
      <c r="AI210" s="587"/>
      <c r="AJ210" s="187"/>
      <c r="AK210" s="187"/>
      <c r="AL210" s="184"/>
      <c r="AM210" s="181"/>
      <c r="AN210" s="587"/>
      <c r="AO210" s="187"/>
      <c r="AP210" s="187"/>
      <c r="AQ210" s="184"/>
      <c r="AR210" s="181"/>
      <c r="AS210" s="587"/>
      <c r="AT210" s="187">
        <v>4</v>
      </c>
      <c r="AU210" s="187">
        <v>2960.5432836376012</v>
      </c>
      <c r="AV210" s="184">
        <f t="shared" si="82"/>
        <v>740.13582090940031</v>
      </c>
      <c r="AW210" s="181">
        <f t="shared" si="84"/>
        <v>19</v>
      </c>
      <c r="AX210" s="587"/>
    </row>
    <row r="211" spans="2:50" ht="14.25" customHeight="1">
      <c r="B211" s="586"/>
      <c r="C211" s="179">
        <v>37</v>
      </c>
      <c r="D211" s="182"/>
      <c r="E211" s="179"/>
      <c r="F211" s="179"/>
      <c r="G211" s="184"/>
      <c r="H211" s="588"/>
      <c r="I211" s="185"/>
      <c r="J211" s="185"/>
      <c r="K211" s="186"/>
      <c r="L211" s="589"/>
      <c r="M211" s="185"/>
      <c r="N211" s="600"/>
      <c r="O211" s="590"/>
      <c r="P211" s="187"/>
      <c r="Q211" s="187"/>
      <c r="R211" s="184"/>
      <c r="S211" s="181"/>
      <c r="T211" s="587"/>
      <c r="U211" s="187"/>
      <c r="V211" s="187"/>
      <c r="W211" s="184"/>
      <c r="X211" s="181"/>
      <c r="Y211" s="587"/>
      <c r="Z211" s="187"/>
      <c r="AA211" s="187"/>
      <c r="AB211" s="184"/>
      <c r="AC211" s="181"/>
      <c r="AD211" s="587"/>
      <c r="AE211" s="187"/>
      <c r="AF211" s="187"/>
      <c r="AG211" s="184"/>
      <c r="AH211" s="181"/>
      <c r="AI211" s="587"/>
      <c r="AJ211" s="187"/>
      <c r="AK211" s="187"/>
      <c r="AL211" s="184"/>
      <c r="AM211" s="181"/>
      <c r="AN211" s="587"/>
      <c r="AO211" s="187"/>
      <c r="AP211" s="187"/>
      <c r="AQ211" s="184"/>
      <c r="AR211" s="181"/>
      <c r="AS211" s="587"/>
      <c r="AT211" s="187"/>
      <c r="AU211" s="187"/>
      <c r="AV211" s="184"/>
      <c r="AW211" s="181"/>
      <c r="AX211" s="587"/>
    </row>
  </sheetData>
  <mergeCells count="295">
    <mergeCell ref="AX133:AX169"/>
    <mergeCell ref="B133:B169"/>
    <mergeCell ref="H133:H169"/>
    <mergeCell ref="L133:L169"/>
    <mergeCell ref="T133:T169"/>
    <mergeCell ref="Y133:Y169"/>
    <mergeCell ref="AD133:AD169"/>
    <mergeCell ref="AI133:AI169"/>
    <mergeCell ref="AN133:AN169"/>
    <mergeCell ref="AS133:AS169"/>
    <mergeCell ref="AI130:AI132"/>
    <mergeCell ref="AJ130:AM130"/>
    <mergeCell ref="AN130:AN132"/>
    <mergeCell ref="AO130:AR130"/>
    <mergeCell ref="AS130:AS132"/>
    <mergeCell ref="AT130:AW130"/>
    <mergeCell ref="AX130:AX132"/>
    <mergeCell ref="E131:G131"/>
    <mergeCell ref="I131:K131"/>
    <mergeCell ref="P131:S131"/>
    <mergeCell ref="U131:X131"/>
    <mergeCell ref="Z131:AC131"/>
    <mergeCell ref="AE131:AH131"/>
    <mergeCell ref="AJ131:AM131"/>
    <mergeCell ref="AO131:AR131"/>
    <mergeCell ref="AT131:AW131"/>
    <mergeCell ref="AT128:AX128"/>
    <mergeCell ref="P129:T129"/>
    <mergeCell ref="U129:Y129"/>
    <mergeCell ref="Z129:AD129"/>
    <mergeCell ref="AE129:AI129"/>
    <mergeCell ref="AJ129:AN129"/>
    <mergeCell ref="AO129:AS129"/>
    <mergeCell ref="AT129:AX129"/>
    <mergeCell ref="B130:B132"/>
    <mergeCell ref="C130:D132"/>
    <mergeCell ref="E130:G130"/>
    <mergeCell ref="H130:H132"/>
    <mergeCell ref="I130:K130"/>
    <mergeCell ref="L130:L132"/>
    <mergeCell ref="M130:M132"/>
    <mergeCell ref="N130:N169"/>
    <mergeCell ref="O130:O169"/>
    <mergeCell ref="P130:S130"/>
    <mergeCell ref="T130:T132"/>
    <mergeCell ref="U130:X130"/>
    <mergeCell ref="Y130:Y132"/>
    <mergeCell ref="Z130:AC130"/>
    <mergeCell ref="AD130:AD132"/>
    <mergeCell ref="AE130:AH130"/>
    <mergeCell ref="B128:M129"/>
    <mergeCell ref="N128:N129"/>
    <mergeCell ref="O128:O129"/>
    <mergeCell ref="P128:T128"/>
    <mergeCell ref="U128:Y128"/>
    <mergeCell ref="Z128:AD128"/>
    <mergeCell ref="AE128:AI128"/>
    <mergeCell ref="AJ128:AN128"/>
    <mergeCell ref="AO128:AS128"/>
    <mergeCell ref="AX91:AX127"/>
    <mergeCell ref="B91:B127"/>
    <mergeCell ref="H91:H127"/>
    <mergeCell ref="L91:L127"/>
    <mergeCell ref="T91:T127"/>
    <mergeCell ref="Y91:Y127"/>
    <mergeCell ref="AD91:AD127"/>
    <mergeCell ref="AI91:AI127"/>
    <mergeCell ref="AN91:AN127"/>
    <mergeCell ref="AS91:AS127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27"/>
    <mergeCell ref="O88:O127"/>
    <mergeCell ref="P88:S88"/>
    <mergeCell ref="T88:T90"/>
    <mergeCell ref="U88:X88"/>
    <mergeCell ref="Y88:Y90"/>
    <mergeCell ref="Z88:AC88"/>
    <mergeCell ref="AD88:AD90"/>
    <mergeCell ref="AE88:AH88"/>
    <mergeCell ref="B86:M87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44:AX44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43"/>
    <mergeCell ref="O4:O43"/>
    <mergeCell ref="U46:X46"/>
    <mergeCell ref="Y46:Y48"/>
    <mergeCell ref="Z46:AC46"/>
    <mergeCell ref="AD46:AD48"/>
    <mergeCell ref="L46:L48"/>
    <mergeCell ref="M46:M48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B4:B6"/>
    <mergeCell ref="C4:D6"/>
    <mergeCell ref="E4:G4"/>
    <mergeCell ref="H4:H6"/>
    <mergeCell ref="AE5:AH5"/>
    <mergeCell ref="I4:K4"/>
    <mergeCell ref="T46:T48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AJ47:AM47"/>
    <mergeCell ref="AO47:AR47"/>
    <mergeCell ref="AT47:AW47"/>
    <mergeCell ref="AE46:AH46"/>
    <mergeCell ref="B170:M171"/>
    <mergeCell ref="N170:N171"/>
    <mergeCell ref="O170:O171"/>
    <mergeCell ref="P170:T170"/>
    <mergeCell ref="U170:Y170"/>
    <mergeCell ref="Z170:AD170"/>
    <mergeCell ref="AE170:AI170"/>
    <mergeCell ref="AJ170:AN170"/>
    <mergeCell ref="AO170:AS170"/>
    <mergeCell ref="AT170:AX170"/>
    <mergeCell ref="P171:T171"/>
    <mergeCell ref="U171:Y171"/>
    <mergeCell ref="Z171:AD171"/>
    <mergeCell ref="AE171:AI171"/>
    <mergeCell ref="AJ171:AN171"/>
    <mergeCell ref="AO171:AS171"/>
    <mergeCell ref="AT171:AX171"/>
    <mergeCell ref="B172:B174"/>
    <mergeCell ref="C172:D174"/>
    <mergeCell ref="E172:G172"/>
    <mergeCell ref="H172:H174"/>
    <mergeCell ref="I172:K172"/>
    <mergeCell ref="L172:L174"/>
    <mergeCell ref="M172:M174"/>
    <mergeCell ref="N172:N211"/>
    <mergeCell ref="O172:O211"/>
    <mergeCell ref="P172:S172"/>
    <mergeCell ref="T172:T174"/>
    <mergeCell ref="U172:X172"/>
    <mergeCell ref="Y172:Y174"/>
    <mergeCell ref="Z172:AC172"/>
    <mergeCell ref="AD172:AD174"/>
    <mergeCell ref="AE172:AH172"/>
    <mergeCell ref="AI172:AI174"/>
    <mergeCell ref="AJ172:AM172"/>
    <mergeCell ref="AN172:AN174"/>
    <mergeCell ref="AO172:AR172"/>
    <mergeCell ref="AS172:AS174"/>
    <mergeCell ref="AT172:AW172"/>
    <mergeCell ref="AX172:AX174"/>
    <mergeCell ref="E173:G173"/>
    <mergeCell ref="I173:K173"/>
    <mergeCell ref="P173:S173"/>
    <mergeCell ref="U173:X173"/>
    <mergeCell ref="Z173:AC173"/>
    <mergeCell ref="AE173:AH173"/>
    <mergeCell ref="AJ173:AM173"/>
    <mergeCell ref="AO173:AR173"/>
    <mergeCell ref="AT173:AW173"/>
    <mergeCell ref="AX175:AX211"/>
    <mergeCell ref="B175:B211"/>
    <mergeCell ref="H175:H211"/>
    <mergeCell ref="L175:L211"/>
    <mergeCell ref="T175:T211"/>
    <mergeCell ref="Y175:Y211"/>
    <mergeCell ref="AD175:AD211"/>
    <mergeCell ref="AI175:AI211"/>
    <mergeCell ref="AN175:AN211"/>
    <mergeCell ref="AS175:AS21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101"/>
  <sheetViews>
    <sheetView zoomScaleNormal="100" workbookViewId="0">
      <pane xSplit="13" ySplit="1" topLeftCell="N74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0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49" t="s">
        <v>641</v>
      </c>
      <c r="C1" s="174">
        <f>AVERAGE(L27,L47,L67,L87)</f>
        <v>295.72183077104819</v>
      </c>
    </row>
    <row r="2" spans="1:50" ht="14.25" customHeight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347</v>
      </c>
      <c r="C7" s="179">
        <v>1</v>
      </c>
      <c r="D7" s="182" t="s">
        <v>325</v>
      </c>
      <c r="E7" s="183">
        <v>10</v>
      </c>
      <c r="F7" s="179">
        <v>3600</v>
      </c>
      <c r="G7" s="184">
        <f t="shared" ref="G7:G10" si="0">IFERROR(F7/E7,"")</f>
        <v>360</v>
      </c>
      <c r="H7" s="588">
        <f>AVERAGE(G7:G21)</f>
        <v>335.45454545454544</v>
      </c>
      <c r="I7" s="185">
        <f>AVERAGE(P7,U7,Z7,AE7,AJ7,AO7,AT7)</f>
        <v>10</v>
      </c>
      <c r="J7" s="185">
        <f>AVERAGE(Q7,V7,AA7,AF7,AK7,AP7,AU7)</f>
        <v>3217.1466940103287</v>
      </c>
      <c r="K7" s="186">
        <f>AVERAGE(R7,W7,AB7,AG7,AL7,AQ7,AV7)</f>
        <v>321.71466940103295</v>
      </c>
      <c r="L7" s="589">
        <f>IFERROR(AVERAGE(K7:K21),"-")</f>
        <v>295.72171351408798</v>
      </c>
      <c r="M7" s="185">
        <f>RANK(K7, K$7:$K$21)</f>
        <v>1</v>
      </c>
      <c r="N7" s="586"/>
      <c r="O7" s="586"/>
      <c r="P7" s="187">
        <v>10</v>
      </c>
      <c r="Q7" s="187">
        <v>3217.2495511531861</v>
      </c>
      <c r="R7" s="184">
        <f>IFERROR(Q7/P7,"")</f>
        <v>321.72495511531861</v>
      </c>
      <c r="S7" s="181">
        <f>RANK(R7, R$7:R$21)</f>
        <v>1</v>
      </c>
      <c r="T7" s="588">
        <f>AVERAGE(R7:R21)</f>
        <v>295.75474708584306</v>
      </c>
      <c r="U7" s="187">
        <v>10</v>
      </c>
      <c r="V7" s="187">
        <v>3216.5295511531867</v>
      </c>
      <c r="W7" s="184">
        <f t="shared" ref="W7:W10" si="1">IFERROR(V7/U7,"")</f>
        <v>321.65295511531866</v>
      </c>
      <c r="X7" s="181">
        <f>RANK(W7, W$7:W$21)</f>
        <v>1</v>
      </c>
      <c r="Y7" s="588">
        <f>AVERAGE(W7:W21)</f>
        <v>295.72856526766128</v>
      </c>
      <c r="Z7" s="187">
        <v>10</v>
      </c>
      <c r="AA7" s="187">
        <v>3216.5295511531863</v>
      </c>
      <c r="AB7" s="184">
        <f>IFERROR(AA7/Z7,"")</f>
        <v>321.6529551153186</v>
      </c>
      <c r="AC7" s="181">
        <f>RANK(AB7, AB$7:AB$21)</f>
        <v>1</v>
      </c>
      <c r="AD7" s="588">
        <f>AVERAGE(AB7:AB21)</f>
        <v>295.68428190356769</v>
      </c>
      <c r="AE7" s="187">
        <v>10</v>
      </c>
      <c r="AF7" s="187">
        <v>3217.6095511531857</v>
      </c>
      <c r="AG7" s="184">
        <f>IFERROR(AF7/AE7,"")</f>
        <v>321.76095511531855</v>
      </c>
      <c r="AH7" s="181">
        <f>RANK(AG7, AG$7:AG$21)</f>
        <v>1</v>
      </c>
      <c r="AI7" s="588">
        <f>AVERAGE(AG7:AG21)</f>
        <v>295.74400917629504</v>
      </c>
      <c r="AJ7" s="187">
        <v>10</v>
      </c>
      <c r="AK7" s="187">
        <v>3216.5295511531858</v>
      </c>
      <c r="AL7" s="184">
        <f>IFERROR(AK7/AJ7,"")</f>
        <v>321.6529551153186</v>
      </c>
      <c r="AM7" s="181">
        <f>RANK(AL7, AL$7:AL$21)</f>
        <v>1</v>
      </c>
      <c r="AN7" s="588">
        <f>AVERAGE(AL7:AL21)</f>
        <v>295.676100085386</v>
      </c>
      <c r="AO7" s="187">
        <v>10</v>
      </c>
      <c r="AP7" s="187">
        <v>3217.9695511531859</v>
      </c>
      <c r="AQ7" s="184">
        <f>IFERROR(AP7/AO7,"")</f>
        <v>321.79695511531861</v>
      </c>
      <c r="AR7" s="181">
        <f>RANK(AQ7, AQ$7:AQ$21)</f>
        <v>1</v>
      </c>
      <c r="AS7" s="588">
        <f>AVERAGE(AQ7:AQ21)</f>
        <v>295.68755463084057</v>
      </c>
      <c r="AT7" s="187">
        <v>10</v>
      </c>
      <c r="AU7" s="187">
        <v>3217.6095511531857</v>
      </c>
      <c r="AV7" s="184">
        <f>IFERROR(AU7/AT7,"")</f>
        <v>321.76095511531855</v>
      </c>
      <c r="AW7" s="181">
        <f>RANK(AV7, AV$7:AV$21)</f>
        <v>1</v>
      </c>
      <c r="AX7" s="588">
        <f>AVERAGE(AV7:AV21)</f>
        <v>295.77673644902234</v>
      </c>
    </row>
    <row r="8" spans="1:50" ht="14.25" customHeight="1">
      <c r="B8" s="586"/>
      <c r="C8" s="179">
        <v>2</v>
      </c>
      <c r="D8" s="182" t="s">
        <v>483</v>
      </c>
      <c r="E8" s="179">
        <v>11</v>
      </c>
      <c r="F8" s="179">
        <v>3600</v>
      </c>
      <c r="G8" s="184">
        <f t="shared" si="0"/>
        <v>327.27272727272725</v>
      </c>
      <c r="H8" s="588"/>
      <c r="I8" s="185">
        <f t="shared" ref="I8:K10" si="2">AVERAGE(P8,U8,Z8,AE8,AJ8,AO8,AT8)</f>
        <v>11</v>
      </c>
      <c r="J8" s="185">
        <f t="shared" si="2"/>
        <v>3156.928454195679</v>
      </c>
      <c r="K8" s="186">
        <f t="shared" si="2"/>
        <v>286.99349583597075</v>
      </c>
      <c r="L8" s="589"/>
      <c r="M8" s="185">
        <f>RANK(K8, K$7:$K$21)</f>
        <v>4</v>
      </c>
      <c r="N8" s="586"/>
      <c r="O8" s="586"/>
      <c r="P8" s="187">
        <v>11</v>
      </c>
      <c r="Q8" s="187">
        <v>3157.8027399099628</v>
      </c>
      <c r="R8" s="184">
        <f t="shared" ref="R8:R10" si="3">IFERROR(Q8/P8,"")</f>
        <v>287.07297635545115</v>
      </c>
      <c r="S8" s="181">
        <f t="shared" ref="S8:S10" si="4">RANK(R8, R$7:R$21)</f>
        <v>4</v>
      </c>
      <c r="T8" s="588"/>
      <c r="U8" s="187">
        <v>11</v>
      </c>
      <c r="V8" s="187">
        <v>3157.4427399099627</v>
      </c>
      <c r="W8" s="184">
        <f t="shared" si="1"/>
        <v>287.0402490827239</v>
      </c>
      <c r="X8" s="181">
        <f t="shared" ref="X8:X10" si="5">RANK(W8, W$7:W$21)</f>
        <v>4</v>
      </c>
      <c r="Y8" s="588"/>
      <c r="Z8" s="187">
        <v>11</v>
      </c>
      <c r="AA8" s="187">
        <v>3156.0027399099636</v>
      </c>
      <c r="AB8" s="184">
        <f t="shared" ref="AB8:AB10" si="6">IFERROR(AA8/Z8,"")</f>
        <v>286.90933999181487</v>
      </c>
      <c r="AC8" s="181">
        <f t="shared" ref="AC8:AC10" si="7">RANK(AB8, AB$7:AB$21)</f>
        <v>4</v>
      </c>
      <c r="AD8" s="588"/>
      <c r="AE8" s="187">
        <v>11</v>
      </c>
      <c r="AF8" s="187">
        <v>3157.0827399099644</v>
      </c>
      <c r="AG8" s="184">
        <f t="shared" ref="AG8:AG10" si="8">IFERROR(AF8/AE8,"")</f>
        <v>287.00752180999677</v>
      </c>
      <c r="AH8" s="181">
        <f t="shared" ref="AH8:AH10" si="9">RANK(AG8, AG$7:AG$21)</f>
        <v>4</v>
      </c>
      <c r="AI8" s="588"/>
      <c r="AJ8" s="187">
        <v>11</v>
      </c>
      <c r="AK8" s="187">
        <v>3155.6427399099653</v>
      </c>
      <c r="AL8" s="184">
        <f t="shared" ref="AL8:AL10" si="10">IFERROR(AK8/AJ8,"")</f>
        <v>286.87661271908775</v>
      </c>
      <c r="AM8" s="181">
        <f t="shared" ref="AM8:AM10" si="11">RANK(AL8, AL$7:AL$21)</f>
        <v>4</v>
      </c>
      <c r="AN8" s="588"/>
      <c r="AO8" s="187">
        <v>11</v>
      </c>
      <c r="AP8" s="187">
        <v>3156.3627399099655</v>
      </c>
      <c r="AQ8" s="184">
        <f t="shared" ref="AQ8:AQ10" si="12">IFERROR(AP8/AO8,"")</f>
        <v>286.94206726454235</v>
      </c>
      <c r="AR8" s="181">
        <f t="shared" ref="AR8:AR10" si="13">RANK(AQ8, AQ$7:AQ$21)</f>
        <v>3</v>
      </c>
      <c r="AS8" s="588"/>
      <c r="AT8" s="187">
        <v>11</v>
      </c>
      <c r="AU8" s="187">
        <v>3158.1627399099657</v>
      </c>
      <c r="AV8" s="184">
        <f t="shared" ref="AV8:AV10" si="14">IFERROR(AU8/AT8,"")</f>
        <v>287.10570362817867</v>
      </c>
      <c r="AW8" s="181">
        <f t="shared" ref="AW8:AW10" si="15">RANK(AV8, AV$7:AV$21)</f>
        <v>3</v>
      </c>
      <c r="AX8" s="588"/>
    </row>
    <row r="9" spans="1:50" ht="14.25" customHeight="1">
      <c r="B9" s="586"/>
      <c r="C9" s="179">
        <v>3</v>
      </c>
      <c r="D9" s="182" t="s">
        <v>484</v>
      </c>
      <c r="E9" s="179">
        <v>11</v>
      </c>
      <c r="F9" s="179">
        <v>3600</v>
      </c>
      <c r="G9" s="184">
        <f t="shared" si="0"/>
        <v>327.27272727272725</v>
      </c>
      <c r="H9" s="588"/>
      <c r="I9" s="185">
        <f t="shared" si="2"/>
        <v>11</v>
      </c>
      <c r="J9" s="185">
        <f t="shared" si="2"/>
        <v>3157.7971817291823</v>
      </c>
      <c r="K9" s="186">
        <f t="shared" si="2"/>
        <v>287.07247106628927</v>
      </c>
      <c r="L9" s="589"/>
      <c r="M9" s="185">
        <f>RANK(K9, K$7:$K$21)</f>
        <v>3</v>
      </c>
      <c r="N9" s="586"/>
      <c r="O9" s="586"/>
      <c r="P9" s="187">
        <v>11</v>
      </c>
      <c r="Q9" s="187">
        <v>3158.5203731721199</v>
      </c>
      <c r="R9" s="184">
        <f t="shared" si="3"/>
        <v>287.13821574292001</v>
      </c>
      <c r="S9" s="181">
        <f t="shared" si="4"/>
        <v>2</v>
      </c>
      <c r="T9" s="588"/>
      <c r="U9" s="187">
        <v>11</v>
      </c>
      <c r="V9" s="187">
        <v>3158.1603731721202</v>
      </c>
      <c r="W9" s="184">
        <f t="shared" si="1"/>
        <v>287.10548847019277</v>
      </c>
      <c r="X9" s="181">
        <f t="shared" si="5"/>
        <v>3</v>
      </c>
      <c r="Y9" s="588"/>
      <c r="Z9" s="187">
        <v>11</v>
      </c>
      <c r="AA9" s="187">
        <v>3158.7319051520058</v>
      </c>
      <c r="AB9" s="184">
        <f t="shared" si="6"/>
        <v>287.15744592290963</v>
      </c>
      <c r="AC9" s="181">
        <f t="shared" si="7"/>
        <v>2</v>
      </c>
      <c r="AD9" s="588"/>
      <c r="AE9" s="187">
        <v>11</v>
      </c>
      <c r="AF9" s="187">
        <v>3157.6519051520067</v>
      </c>
      <c r="AG9" s="184">
        <f t="shared" si="8"/>
        <v>287.0592641047279</v>
      </c>
      <c r="AH9" s="181">
        <f t="shared" si="9"/>
        <v>3</v>
      </c>
      <c r="AI9" s="588"/>
      <c r="AJ9" s="187">
        <v>11</v>
      </c>
      <c r="AK9" s="187">
        <v>3157.6519051520072</v>
      </c>
      <c r="AL9" s="184">
        <f t="shared" si="10"/>
        <v>287.0592641047279</v>
      </c>
      <c r="AM9" s="181">
        <f t="shared" si="11"/>
        <v>3</v>
      </c>
      <c r="AN9" s="588"/>
      <c r="AO9" s="187">
        <v>11</v>
      </c>
      <c r="AP9" s="187">
        <v>3156.2119051520071</v>
      </c>
      <c r="AQ9" s="184">
        <f t="shared" si="12"/>
        <v>286.92835501381882</v>
      </c>
      <c r="AR9" s="181">
        <f t="shared" si="13"/>
        <v>4</v>
      </c>
      <c r="AS9" s="588"/>
      <c r="AT9" s="187">
        <v>11</v>
      </c>
      <c r="AU9" s="187">
        <v>3157.6519051520072</v>
      </c>
      <c r="AV9" s="184">
        <f t="shared" si="14"/>
        <v>287.0592641047279</v>
      </c>
      <c r="AW9" s="181">
        <f t="shared" si="15"/>
        <v>4</v>
      </c>
      <c r="AX9" s="588"/>
    </row>
    <row r="10" spans="1:50" ht="14.25" customHeight="1">
      <c r="B10" s="586"/>
      <c r="C10" s="179">
        <v>4</v>
      </c>
      <c r="D10" s="182" t="s">
        <v>609</v>
      </c>
      <c r="E10" s="179">
        <v>11</v>
      </c>
      <c r="F10" s="179">
        <v>3600</v>
      </c>
      <c r="G10" s="184">
        <f t="shared" si="0"/>
        <v>327.27272727272725</v>
      </c>
      <c r="H10" s="588"/>
      <c r="I10" s="185">
        <f t="shared" si="2"/>
        <v>11</v>
      </c>
      <c r="J10" s="185">
        <f t="shared" si="2"/>
        <v>3158.1683952836493</v>
      </c>
      <c r="K10" s="186">
        <f t="shared" si="2"/>
        <v>287.10621775305901</v>
      </c>
      <c r="L10" s="589"/>
      <c r="M10" s="185">
        <f>RANK(K10, K$7:$K$21)</f>
        <v>2</v>
      </c>
      <c r="N10" s="586"/>
      <c r="O10" s="586"/>
      <c r="P10" s="187">
        <v>11</v>
      </c>
      <c r="Q10" s="187">
        <v>3157.9112524265061</v>
      </c>
      <c r="R10" s="184">
        <f t="shared" si="3"/>
        <v>287.08284112968238</v>
      </c>
      <c r="S10" s="181">
        <f t="shared" si="4"/>
        <v>3</v>
      </c>
      <c r="T10" s="588"/>
      <c r="U10" s="187">
        <v>11</v>
      </c>
      <c r="V10" s="187">
        <v>3158.2712524265062</v>
      </c>
      <c r="W10" s="184">
        <f t="shared" si="1"/>
        <v>287.11556840240968</v>
      </c>
      <c r="X10" s="181">
        <f t="shared" si="5"/>
        <v>2</v>
      </c>
      <c r="Y10" s="588"/>
      <c r="Z10" s="187">
        <v>11</v>
      </c>
      <c r="AA10" s="187">
        <v>3157.1912524265067</v>
      </c>
      <c r="AB10" s="184">
        <f t="shared" si="6"/>
        <v>287.01738658422789</v>
      </c>
      <c r="AC10" s="181">
        <f t="shared" si="7"/>
        <v>3</v>
      </c>
      <c r="AD10" s="588"/>
      <c r="AE10" s="187">
        <v>11</v>
      </c>
      <c r="AF10" s="187">
        <v>3158.6312524265063</v>
      </c>
      <c r="AG10" s="184">
        <f t="shared" si="8"/>
        <v>287.14829567513692</v>
      </c>
      <c r="AH10" s="181">
        <f t="shared" si="9"/>
        <v>2</v>
      </c>
      <c r="AI10" s="588"/>
      <c r="AJ10" s="187">
        <v>11</v>
      </c>
      <c r="AK10" s="187">
        <v>3158.2712524265062</v>
      </c>
      <c r="AL10" s="184">
        <f t="shared" si="10"/>
        <v>287.11556840240968</v>
      </c>
      <c r="AM10" s="181">
        <f t="shared" si="11"/>
        <v>2</v>
      </c>
      <c r="AN10" s="588"/>
      <c r="AO10" s="187">
        <v>11</v>
      </c>
      <c r="AP10" s="187">
        <v>3157.9112524265074</v>
      </c>
      <c r="AQ10" s="184">
        <f t="shared" si="12"/>
        <v>287.08284112968249</v>
      </c>
      <c r="AR10" s="181">
        <f t="shared" si="13"/>
        <v>2</v>
      </c>
      <c r="AS10" s="588"/>
      <c r="AT10" s="187">
        <v>11</v>
      </c>
      <c r="AU10" s="187">
        <v>3158.9912524265069</v>
      </c>
      <c r="AV10" s="184">
        <f t="shared" si="14"/>
        <v>287.18102294786428</v>
      </c>
      <c r="AW10" s="181">
        <f t="shared" si="15"/>
        <v>2</v>
      </c>
      <c r="AX10" s="588"/>
    </row>
    <row r="11" spans="1:50" ht="14.25" customHeight="1">
      <c r="B11" s="586"/>
      <c r="C11" s="179">
        <v>5</v>
      </c>
      <c r="D11" s="182"/>
      <c r="E11" s="179"/>
      <c r="F11" s="179"/>
      <c r="G11" s="184"/>
      <c r="H11" s="588"/>
      <c r="I11" s="185"/>
      <c r="J11" s="185"/>
      <c r="K11" s="186"/>
      <c r="L11" s="589"/>
      <c r="M11" s="185"/>
      <c r="N11" s="586"/>
      <c r="O11" s="586"/>
      <c r="P11" s="187"/>
      <c r="Q11" s="187"/>
      <c r="R11" s="184"/>
      <c r="S11" s="181"/>
      <c r="T11" s="588"/>
      <c r="U11" s="187"/>
      <c r="V11" s="187"/>
      <c r="W11" s="184"/>
      <c r="X11" s="181"/>
      <c r="Y11" s="588"/>
      <c r="Z11" s="187"/>
      <c r="AA11" s="187"/>
      <c r="AB11" s="184"/>
      <c r="AC11" s="181"/>
      <c r="AD11" s="588"/>
      <c r="AE11" s="187"/>
      <c r="AF11" s="187"/>
      <c r="AG11" s="184"/>
      <c r="AH11" s="181"/>
      <c r="AI11" s="588"/>
      <c r="AJ11" s="187"/>
      <c r="AK11" s="187"/>
      <c r="AL11" s="184"/>
      <c r="AM11" s="181"/>
      <c r="AN11" s="588"/>
      <c r="AO11" s="187"/>
      <c r="AP11" s="187"/>
      <c r="AQ11" s="184"/>
      <c r="AR11" s="181"/>
      <c r="AS11" s="588"/>
      <c r="AT11" s="187"/>
      <c r="AU11" s="187"/>
      <c r="AV11" s="184"/>
      <c r="AW11" s="181"/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347</v>
      </c>
      <c r="C27" s="179">
        <v>1</v>
      </c>
      <c r="D27" s="182" t="s">
        <v>325</v>
      </c>
      <c r="E27" s="183">
        <v>10</v>
      </c>
      <c r="F27" s="179">
        <v>3600</v>
      </c>
      <c r="G27" s="184">
        <f t="shared" ref="G27:G30" si="16">IFERROR(F27/E27,"")</f>
        <v>360</v>
      </c>
      <c r="H27" s="588">
        <f>AVERAGE(G27:G41)</f>
        <v>335.45454545454544</v>
      </c>
      <c r="I27" s="185">
        <f>AVERAGE(P27,U27,Z27,AE27,AJ27,AO27,AT27)</f>
        <v>10</v>
      </c>
      <c r="J27" s="185">
        <f>AVERAGE(Q27,V27,AA27,AF27,AK27,AP27,AU27)</f>
        <v>3217.6609797246133</v>
      </c>
      <c r="K27" s="186">
        <f>AVERAGE(R27,W27,AB27,AG27,AL27,AQ27,AV27)</f>
        <v>321.76609797246135</v>
      </c>
      <c r="L27" s="589">
        <f>IFERROR(AVERAGE(K27:K41),"-")</f>
        <v>295.72143484122262</v>
      </c>
      <c r="M27" s="185">
        <f>RANK(K27, K$27:$K$41)</f>
        <v>1</v>
      </c>
      <c r="N27" s="586"/>
      <c r="O27" s="586"/>
      <c r="P27" s="187">
        <v>10</v>
      </c>
      <c r="Q27" s="187">
        <v>3217.969551153185</v>
      </c>
      <c r="R27" s="184">
        <f>IFERROR(Q27/P27,"")</f>
        <v>321.7969551153185</v>
      </c>
      <c r="S27" s="181">
        <f>RANK(R27, R$27:R$41)</f>
        <v>1</v>
      </c>
      <c r="T27" s="588">
        <f>AVERAGE(R27:R41)</f>
        <v>295.80210008538597</v>
      </c>
      <c r="U27" s="187">
        <v>10</v>
      </c>
      <c r="V27" s="187">
        <v>3219.0495511531849</v>
      </c>
      <c r="W27" s="184">
        <f t="shared" ref="W27:W30" si="17">IFERROR(V27/U27,"")</f>
        <v>321.9049551153185</v>
      </c>
      <c r="X27" s="181">
        <f>RANK(W27, W$27:W$41)</f>
        <v>1</v>
      </c>
      <c r="Y27" s="588">
        <f>AVERAGE(W27:W41)</f>
        <v>295.81774828486346</v>
      </c>
      <c r="Z27" s="187">
        <v>10</v>
      </c>
      <c r="AA27" s="187">
        <v>3219.0495511531844</v>
      </c>
      <c r="AB27" s="184">
        <f>IFERROR(AA27/Z27,"")</f>
        <v>321.90495511531844</v>
      </c>
      <c r="AC27" s="181">
        <f>RANK(AB27, AB$27:AB$41)</f>
        <v>1</v>
      </c>
      <c r="AD27" s="588">
        <f>AVERAGE(AB27:AB41)</f>
        <v>295.73593010304529</v>
      </c>
      <c r="AE27" s="187">
        <v>10</v>
      </c>
      <c r="AF27" s="187">
        <v>3217.9695511531841</v>
      </c>
      <c r="AG27" s="184">
        <f>IFERROR(AF27/AE27,"")</f>
        <v>321.79695511531838</v>
      </c>
      <c r="AH27" s="181">
        <f>RANK(AG27, AG$27:AG$41)</f>
        <v>1</v>
      </c>
      <c r="AI27" s="588">
        <f>AVERAGE(AG27:AG41)</f>
        <v>295.71711192122712</v>
      </c>
      <c r="AJ27" s="187">
        <v>10</v>
      </c>
      <c r="AK27" s="187">
        <v>3216.8895511531841</v>
      </c>
      <c r="AL27" s="184">
        <f>IFERROR(AK27/AJ27,"")</f>
        <v>321.68895511531844</v>
      </c>
      <c r="AM27" s="181">
        <f>RANK(AL27, AL$27:AL$41)</f>
        <v>1</v>
      </c>
      <c r="AN27" s="588">
        <f>AVERAGE(AL27:AL41)</f>
        <v>295.67374828486356</v>
      </c>
      <c r="AO27" s="187">
        <v>10</v>
      </c>
      <c r="AP27" s="187">
        <v>3216.1695511531843</v>
      </c>
      <c r="AQ27" s="184">
        <f>IFERROR(AP27/AO27,"")</f>
        <v>321.61695511531843</v>
      </c>
      <c r="AR27" s="181">
        <f>RANK(AQ27, AQ$27:AQ$41)</f>
        <v>1</v>
      </c>
      <c r="AS27" s="588">
        <f>AVERAGE(AQ27:AQ41)</f>
        <v>295.62674805913196</v>
      </c>
      <c r="AT27" s="187">
        <v>10</v>
      </c>
      <c r="AU27" s="187">
        <v>3216.5295511531845</v>
      </c>
      <c r="AV27" s="184">
        <f>IFERROR(AU27/AT27,"")</f>
        <v>321.65295511531843</v>
      </c>
      <c r="AW27" s="181">
        <f>RANK(AV27, AV$27:AV$41)</f>
        <v>1</v>
      </c>
      <c r="AX27" s="588">
        <f>AVERAGE(AV27:AV41)</f>
        <v>295.67665715004108</v>
      </c>
    </row>
    <row r="28" spans="2:50" ht="14.25" customHeight="1">
      <c r="B28" s="586"/>
      <c r="C28" s="179">
        <v>2</v>
      </c>
      <c r="D28" s="182" t="s">
        <v>483</v>
      </c>
      <c r="E28" s="179">
        <v>11</v>
      </c>
      <c r="F28" s="179">
        <v>3600</v>
      </c>
      <c r="G28" s="184">
        <f t="shared" si="16"/>
        <v>327.27272727272725</v>
      </c>
      <c r="H28" s="588"/>
      <c r="I28" s="185">
        <f t="shared" ref="I28:K30" si="18">AVERAGE(P28,U28,Z28,AE28,AJ28,AO28,AT28)</f>
        <v>11</v>
      </c>
      <c r="J28" s="185">
        <f t="shared" si="18"/>
        <v>3157.7861122766117</v>
      </c>
      <c r="K28" s="186">
        <f t="shared" si="18"/>
        <v>287.07146475241927</v>
      </c>
      <c r="L28" s="589"/>
      <c r="M28" s="185">
        <f>RANK(K28, K$27:$K$41)</f>
        <v>2</v>
      </c>
      <c r="N28" s="586"/>
      <c r="O28" s="586"/>
      <c r="P28" s="187">
        <v>11</v>
      </c>
      <c r="Q28" s="187">
        <v>3159.9627399099654</v>
      </c>
      <c r="R28" s="184">
        <f t="shared" ref="R28:R30" si="19">IFERROR(Q28/P28,"")</f>
        <v>287.26933999181506</v>
      </c>
      <c r="S28" s="181">
        <f t="shared" ref="S28:S30" si="20">RANK(R28, R$27:R$41)</f>
        <v>2</v>
      </c>
      <c r="T28" s="588"/>
      <c r="U28" s="187">
        <v>11</v>
      </c>
      <c r="V28" s="187">
        <v>3158.6233410043842</v>
      </c>
      <c r="W28" s="184">
        <f t="shared" si="17"/>
        <v>287.14757645494404</v>
      </c>
      <c r="X28" s="181">
        <f t="shared" ref="X28:X30" si="21">RANK(W28, W$27:W$41)</f>
        <v>3</v>
      </c>
      <c r="Y28" s="588"/>
      <c r="Z28" s="187">
        <v>11</v>
      </c>
      <c r="AA28" s="187">
        <v>3157.5433410043852</v>
      </c>
      <c r="AB28" s="184">
        <f t="shared" ref="AB28:AB30" si="22">IFERROR(AA28/Z28,"")</f>
        <v>287.04939463676232</v>
      </c>
      <c r="AC28" s="181">
        <f t="shared" ref="AC28:AC30" si="23">RANK(AB28, AB$27:AB$41)</f>
        <v>2</v>
      </c>
      <c r="AD28" s="588"/>
      <c r="AE28" s="187">
        <v>11</v>
      </c>
      <c r="AF28" s="187">
        <v>3157.9033410043858</v>
      </c>
      <c r="AG28" s="184">
        <f t="shared" ref="AG28:AG30" si="24">IFERROR(AF28/AE28,"")</f>
        <v>287.08212190948962</v>
      </c>
      <c r="AH28" s="181">
        <f t="shared" ref="AH28:AH30" si="25">RANK(AG28, AG$27:AG$41)</f>
        <v>2</v>
      </c>
      <c r="AI28" s="588"/>
      <c r="AJ28" s="187">
        <v>11</v>
      </c>
      <c r="AK28" s="187">
        <v>3157.1833410043864</v>
      </c>
      <c r="AL28" s="184">
        <f t="shared" ref="AL28:AL30" si="26">IFERROR(AK28/AJ28,"")</f>
        <v>287.01666736403513</v>
      </c>
      <c r="AM28" s="181">
        <f t="shared" ref="AM28:AM30" si="27">RANK(AL28, AL$27:AL$41)</f>
        <v>3</v>
      </c>
      <c r="AN28" s="588"/>
      <c r="AO28" s="187">
        <v>11</v>
      </c>
      <c r="AP28" s="187">
        <v>3156.4633410043862</v>
      </c>
      <c r="AQ28" s="184">
        <f t="shared" ref="AQ28:AQ30" si="28">IFERROR(AP28/AO28,"")</f>
        <v>286.95121281858059</v>
      </c>
      <c r="AR28" s="181">
        <f t="shared" ref="AR28:AR30" si="29">RANK(AQ28, AQ$27:AQ$41)</f>
        <v>3</v>
      </c>
      <c r="AS28" s="588"/>
      <c r="AT28" s="187">
        <v>11</v>
      </c>
      <c r="AU28" s="187">
        <v>3156.8233410043867</v>
      </c>
      <c r="AV28" s="184">
        <f t="shared" ref="AV28:AV30" si="30">IFERROR(AU28/AT28,"")</f>
        <v>286.98394009130789</v>
      </c>
      <c r="AW28" s="181">
        <f t="shared" ref="AW28:AW30" si="31">RANK(AV28, AV$27:AV$41)</f>
        <v>3</v>
      </c>
      <c r="AX28" s="588"/>
    </row>
    <row r="29" spans="2:50" ht="14.25" customHeight="1">
      <c r="B29" s="586"/>
      <c r="C29" s="179">
        <v>3</v>
      </c>
      <c r="D29" s="182" t="s">
        <v>484</v>
      </c>
      <c r="E29" s="179">
        <v>11</v>
      </c>
      <c r="F29" s="179">
        <v>3600</v>
      </c>
      <c r="G29" s="184">
        <f t="shared" si="16"/>
        <v>327.27272727272725</v>
      </c>
      <c r="H29" s="588"/>
      <c r="I29" s="185">
        <f t="shared" si="18"/>
        <v>11</v>
      </c>
      <c r="J29" s="185">
        <f t="shared" si="18"/>
        <v>3157.2404765805791</v>
      </c>
      <c r="K29" s="186">
        <f t="shared" si="18"/>
        <v>287.0218615073253</v>
      </c>
      <c r="L29" s="589"/>
      <c r="M29" s="185">
        <f>RANK(K29, K$27:$K$41)</f>
        <v>4</v>
      </c>
      <c r="N29" s="586"/>
      <c r="O29" s="586"/>
      <c r="P29" s="187">
        <v>11</v>
      </c>
      <c r="Q29" s="187">
        <v>3156.2119051520076</v>
      </c>
      <c r="R29" s="184">
        <f t="shared" si="19"/>
        <v>286.92835501381887</v>
      </c>
      <c r="S29" s="181">
        <f t="shared" si="20"/>
        <v>4</v>
      </c>
      <c r="T29" s="588"/>
      <c r="U29" s="187">
        <v>11</v>
      </c>
      <c r="V29" s="187">
        <v>3157.6519051520072</v>
      </c>
      <c r="W29" s="184">
        <f t="shared" si="17"/>
        <v>287.0592641047279</v>
      </c>
      <c r="X29" s="181">
        <f t="shared" si="21"/>
        <v>4</v>
      </c>
      <c r="Y29" s="588"/>
      <c r="Z29" s="187">
        <v>11</v>
      </c>
      <c r="AA29" s="187">
        <v>3156.5719051520073</v>
      </c>
      <c r="AB29" s="184">
        <f t="shared" si="22"/>
        <v>286.96108228654612</v>
      </c>
      <c r="AC29" s="181">
        <f t="shared" si="23"/>
        <v>4</v>
      </c>
      <c r="AD29" s="588"/>
      <c r="AE29" s="187">
        <v>11</v>
      </c>
      <c r="AF29" s="187">
        <v>3156.9319051520074</v>
      </c>
      <c r="AG29" s="184">
        <f t="shared" si="24"/>
        <v>286.99380955927342</v>
      </c>
      <c r="AH29" s="181">
        <f t="shared" si="25"/>
        <v>4</v>
      </c>
      <c r="AI29" s="588"/>
      <c r="AJ29" s="187">
        <v>11</v>
      </c>
      <c r="AK29" s="187">
        <v>3157.291905152008</v>
      </c>
      <c r="AL29" s="184">
        <f t="shared" si="26"/>
        <v>287.02653683200072</v>
      </c>
      <c r="AM29" s="181">
        <f t="shared" si="27"/>
        <v>2</v>
      </c>
      <c r="AN29" s="588"/>
      <c r="AO29" s="187">
        <v>11</v>
      </c>
      <c r="AP29" s="187">
        <v>3157.6519051520077</v>
      </c>
      <c r="AQ29" s="184">
        <f t="shared" si="28"/>
        <v>287.05926410472796</v>
      </c>
      <c r="AR29" s="181">
        <f t="shared" si="29"/>
        <v>2</v>
      </c>
      <c r="AS29" s="588"/>
      <c r="AT29" s="187">
        <v>11</v>
      </c>
      <c r="AU29" s="187">
        <v>3158.3719051520084</v>
      </c>
      <c r="AV29" s="184">
        <f t="shared" si="30"/>
        <v>287.12471865018256</v>
      </c>
      <c r="AW29" s="181">
        <f t="shared" si="31"/>
        <v>2</v>
      </c>
      <c r="AX29" s="588"/>
    </row>
    <row r="30" spans="2:50" ht="14.25" customHeight="1">
      <c r="B30" s="586"/>
      <c r="C30" s="179">
        <v>4</v>
      </c>
      <c r="D30" s="182" t="s">
        <v>609</v>
      </c>
      <c r="E30" s="179">
        <v>11</v>
      </c>
      <c r="F30" s="179">
        <v>3600</v>
      </c>
      <c r="G30" s="184">
        <f t="shared" si="16"/>
        <v>327.27272727272725</v>
      </c>
      <c r="H30" s="588"/>
      <c r="I30" s="185">
        <f t="shared" si="18"/>
        <v>11</v>
      </c>
      <c r="J30" s="185">
        <f t="shared" si="18"/>
        <v>3157.2894664595306</v>
      </c>
      <c r="K30" s="186">
        <f t="shared" si="18"/>
        <v>287.0263151326846</v>
      </c>
      <c r="L30" s="589"/>
      <c r="M30" s="185">
        <f>RANK(K30, K$27:$K$41)</f>
        <v>3</v>
      </c>
      <c r="N30" s="586"/>
      <c r="O30" s="586"/>
      <c r="P30" s="187">
        <v>11</v>
      </c>
      <c r="Q30" s="187">
        <v>3159.3512524265075</v>
      </c>
      <c r="R30" s="184">
        <f t="shared" si="19"/>
        <v>287.21375022059158</v>
      </c>
      <c r="S30" s="181">
        <f t="shared" si="20"/>
        <v>3</v>
      </c>
      <c r="T30" s="588"/>
      <c r="U30" s="187">
        <v>11</v>
      </c>
      <c r="V30" s="187">
        <v>3158.7511721090973</v>
      </c>
      <c r="W30" s="184">
        <f t="shared" si="17"/>
        <v>287.15919746446338</v>
      </c>
      <c r="X30" s="181">
        <f t="shared" si="21"/>
        <v>2</v>
      </c>
      <c r="Y30" s="588"/>
      <c r="Z30" s="187">
        <v>11</v>
      </c>
      <c r="AA30" s="187">
        <v>3157.3111721090972</v>
      </c>
      <c r="AB30" s="184">
        <f t="shared" si="22"/>
        <v>287.02828837355429</v>
      </c>
      <c r="AC30" s="181">
        <f t="shared" si="23"/>
        <v>3</v>
      </c>
      <c r="AD30" s="588"/>
      <c r="AE30" s="187">
        <v>11</v>
      </c>
      <c r="AF30" s="187">
        <v>3156.9511721090976</v>
      </c>
      <c r="AG30" s="184">
        <f t="shared" si="24"/>
        <v>286.99556110082705</v>
      </c>
      <c r="AH30" s="181">
        <f t="shared" si="25"/>
        <v>3</v>
      </c>
      <c r="AI30" s="588"/>
      <c r="AJ30" s="187">
        <v>11</v>
      </c>
      <c r="AK30" s="187">
        <v>3156.5911721090984</v>
      </c>
      <c r="AL30" s="184">
        <f t="shared" si="26"/>
        <v>286.96283382809986</v>
      </c>
      <c r="AM30" s="181">
        <f t="shared" si="27"/>
        <v>4</v>
      </c>
      <c r="AN30" s="588"/>
      <c r="AO30" s="187">
        <v>11</v>
      </c>
      <c r="AP30" s="187">
        <v>3155.6751621769085</v>
      </c>
      <c r="AQ30" s="184">
        <f t="shared" si="28"/>
        <v>286.87956019790079</v>
      </c>
      <c r="AR30" s="181">
        <f t="shared" si="29"/>
        <v>4</v>
      </c>
      <c r="AS30" s="588"/>
      <c r="AT30" s="187">
        <v>11</v>
      </c>
      <c r="AU30" s="187">
        <v>3156.3951621769088</v>
      </c>
      <c r="AV30" s="184">
        <f t="shared" si="30"/>
        <v>286.94501474335533</v>
      </c>
      <c r="AW30" s="181">
        <f t="shared" si="31"/>
        <v>4</v>
      </c>
      <c r="AX30" s="588"/>
    </row>
    <row r="31" spans="2:50" ht="14.25" customHeight="1">
      <c r="B31" s="586"/>
      <c r="C31" s="179">
        <v>5</v>
      </c>
      <c r="D31" s="182"/>
      <c r="E31" s="179"/>
      <c r="F31" s="179"/>
      <c r="G31" s="184"/>
      <c r="H31" s="588"/>
      <c r="I31" s="185"/>
      <c r="J31" s="185"/>
      <c r="K31" s="186"/>
      <c r="L31" s="589"/>
      <c r="M31" s="185"/>
      <c r="N31" s="586"/>
      <c r="O31" s="586"/>
      <c r="P31" s="187"/>
      <c r="Q31" s="187"/>
      <c r="R31" s="184"/>
      <c r="S31" s="181"/>
      <c r="T31" s="588"/>
      <c r="U31" s="187"/>
      <c r="V31" s="187"/>
      <c r="W31" s="184"/>
      <c r="X31" s="181"/>
      <c r="Y31" s="588"/>
      <c r="Z31" s="187"/>
      <c r="AA31" s="187"/>
      <c r="AB31" s="184"/>
      <c r="AC31" s="181"/>
      <c r="AD31" s="588"/>
      <c r="AE31" s="187"/>
      <c r="AF31" s="187"/>
      <c r="AG31" s="184"/>
      <c r="AH31" s="181"/>
      <c r="AI31" s="588"/>
      <c r="AJ31" s="187"/>
      <c r="AK31" s="187"/>
      <c r="AL31" s="184"/>
      <c r="AM31" s="181"/>
      <c r="AN31" s="588"/>
      <c r="AO31" s="187"/>
      <c r="AP31" s="187"/>
      <c r="AQ31" s="184"/>
      <c r="AR31" s="181"/>
      <c r="AS31" s="588"/>
      <c r="AT31" s="187"/>
      <c r="AU31" s="187"/>
      <c r="AV31" s="184"/>
      <c r="AW31" s="181"/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01" t="s">
        <v>679</v>
      </c>
      <c r="C42" s="602"/>
      <c r="D42" s="602"/>
      <c r="E42" s="602"/>
      <c r="F42" s="602"/>
      <c r="G42" s="602"/>
      <c r="H42" s="602"/>
      <c r="I42" s="602"/>
      <c r="J42" s="602"/>
      <c r="K42" s="602"/>
      <c r="L42" s="602"/>
      <c r="M42" s="603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04"/>
      <c r="C43" s="604"/>
      <c r="D43" s="604"/>
      <c r="E43" s="604"/>
      <c r="F43" s="604"/>
      <c r="G43" s="604"/>
      <c r="H43" s="604"/>
      <c r="I43" s="604"/>
      <c r="J43" s="604"/>
      <c r="K43" s="604"/>
      <c r="L43" s="604"/>
      <c r="M43" s="605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347</v>
      </c>
      <c r="C47" s="179">
        <v>1</v>
      </c>
      <c r="D47" s="182" t="s">
        <v>325</v>
      </c>
      <c r="E47" s="183">
        <v>10</v>
      </c>
      <c r="F47" s="179">
        <v>3600</v>
      </c>
      <c r="G47" s="184">
        <f t="shared" ref="G47:G50" si="32">IFERROR(F47/E47,"")</f>
        <v>360</v>
      </c>
      <c r="H47" s="588">
        <f>AVERAGE(G47:G61)</f>
        <v>335.45454545454544</v>
      </c>
      <c r="I47" s="185">
        <f>AVERAGE(P47,U47,Z47,AE47,AJ47,AO47,AT47)</f>
        <v>10</v>
      </c>
      <c r="J47" s="185">
        <f>AVERAGE(Q47,V47,AA47,AF47,AK47,AP47,AU47)</f>
        <v>3216.6838368674703</v>
      </c>
      <c r="K47" s="186">
        <f>AVERAGE(R47,W47,AB47,AG47,AL47,AQ47,AV47)</f>
        <v>321.66838368674701</v>
      </c>
      <c r="L47" s="589">
        <f>IFERROR(AVERAGE(K47:K61),"-")</f>
        <v>295.68444055268674</v>
      </c>
      <c r="M47" s="185">
        <f>RANK(K47, K$47:$K$61)</f>
        <v>1</v>
      </c>
      <c r="N47" s="586"/>
      <c r="O47" s="586"/>
      <c r="P47" s="187">
        <v>10</v>
      </c>
      <c r="Q47" s="187">
        <v>3216.5295511531845</v>
      </c>
      <c r="R47" s="184">
        <f>IFERROR(Q47/P47,"")</f>
        <v>321.65295511531843</v>
      </c>
      <c r="S47" s="181">
        <f>RANK(R47, R$47:R$61)</f>
        <v>1</v>
      </c>
      <c r="T47" s="588">
        <f>AVERAGE(R47:R61)</f>
        <v>295.68393312352555</v>
      </c>
      <c r="U47" s="187">
        <v>10</v>
      </c>
      <c r="V47" s="187">
        <v>3216.1695511531843</v>
      </c>
      <c r="W47" s="184">
        <f t="shared" ref="W47:W50" si="33">IFERROR(V47/U47,"")</f>
        <v>321.61695511531843</v>
      </c>
      <c r="X47" s="181">
        <f>RANK(W47, W$47:W$61)</f>
        <v>1</v>
      </c>
      <c r="Y47" s="588">
        <f>AVERAGE(W47:W61)</f>
        <v>295.69947857807097</v>
      </c>
      <c r="Z47" s="187">
        <v>10</v>
      </c>
      <c r="AA47" s="187">
        <v>3215.449551153185</v>
      </c>
      <c r="AB47" s="184">
        <f>IFERROR(AA47/Z47,"")</f>
        <v>321.54495511531849</v>
      </c>
      <c r="AC47" s="181">
        <f>RANK(AB47, AB$47:AB$61)</f>
        <v>1</v>
      </c>
      <c r="AD47" s="588">
        <f>AVERAGE(AB47:AB61)</f>
        <v>295.61602403261645</v>
      </c>
      <c r="AE47" s="187">
        <v>10</v>
      </c>
      <c r="AF47" s="187">
        <v>3215.8095511531851</v>
      </c>
      <c r="AG47" s="184">
        <f>IFERROR(AF47/AE47,"")</f>
        <v>321.58095511531849</v>
      </c>
      <c r="AH47" s="181">
        <f>RANK(AG47, AG$47:AG$61)</f>
        <v>1</v>
      </c>
      <c r="AI47" s="588">
        <f>AVERAGE(AG47:AG61)</f>
        <v>295.61684221443466</v>
      </c>
      <c r="AJ47" s="187">
        <v>10</v>
      </c>
      <c r="AK47" s="187">
        <v>3217.6095511531848</v>
      </c>
      <c r="AL47" s="184">
        <f>IFERROR(AK47/AJ47,"")</f>
        <v>321.7609551153185</v>
      </c>
      <c r="AM47" s="181">
        <f>RANK(AL47, AL$47:AL$61)</f>
        <v>1</v>
      </c>
      <c r="AN47" s="588">
        <f>AVERAGE(AL47:AL61)</f>
        <v>295.7191149417074</v>
      </c>
      <c r="AO47" s="187">
        <v>10</v>
      </c>
      <c r="AP47" s="187">
        <v>3217.2495511531852</v>
      </c>
      <c r="AQ47" s="184">
        <f>IFERROR(AP47/AO47,"")</f>
        <v>321.72495511531849</v>
      </c>
      <c r="AR47" s="181">
        <f>RANK(AQ47, AQ$47:AQ$61)</f>
        <v>1</v>
      </c>
      <c r="AS47" s="588">
        <f>AVERAGE(AQ47:AQ61)</f>
        <v>295.7191044084737</v>
      </c>
      <c r="AT47" s="187">
        <v>10</v>
      </c>
      <c r="AU47" s="187">
        <v>3217.9695511531845</v>
      </c>
      <c r="AV47" s="184">
        <f>IFERROR(AU47/AT47,"")</f>
        <v>321.79695511531844</v>
      </c>
      <c r="AW47" s="181">
        <f>RANK(AV47, AV$47:AV$61)</f>
        <v>1</v>
      </c>
      <c r="AX47" s="588">
        <f>AVERAGE(AV47:AV61)</f>
        <v>295.73658656997833</v>
      </c>
    </row>
    <row r="48" spans="2:50" ht="14.25" customHeight="1">
      <c r="B48" s="586"/>
      <c r="C48" s="179">
        <v>2</v>
      </c>
      <c r="D48" s="182" t="s">
        <v>483</v>
      </c>
      <c r="E48" s="179">
        <v>11</v>
      </c>
      <c r="F48" s="179">
        <v>3600</v>
      </c>
      <c r="G48" s="184">
        <f t="shared" si="32"/>
        <v>327.27272727272725</v>
      </c>
      <c r="H48" s="588"/>
      <c r="I48" s="185">
        <f t="shared" ref="I48:K50" si="34">AVERAGE(P48,U48,Z48,AE48,AJ48,AO48,AT48)</f>
        <v>11</v>
      </c>
      <c r="J48" s="185">
        <f t="shared" si="34"/>
        <v>3157.8486392007062</v>
      </c>
      <c r="K48" s="186">
        <f t="shared" si="34"/>
        <v>287.07714901824608</v>
      </c>
      <c r="L48" s="589"/>
      <c r="M48" s="185">
        <f>RANK(K48, K$47:$K$61)</f>
        <v>2</v>
      </c>
      <c r="N48" s="586"/>
      <c r="O48" s="586"/>
      <c r="P48" s="187">
        <v>11</v>
      </c>
      <c r="Q48" s="187">
        <v>3157.1833410043869</v>
      </c>
      <c r="R48" s="184">
        <f t="shared" ref="R48:R50" si="35">IFERROR(Q48/P48,"")</f>
        <v>287.01666736403519</v>
      </c>
      <c r="S48" s="181">
        <f t="shared" ref="S48:S50" si="36">RANK(R48, R$47:R$61)</f>
        <v>3</v>
      </c>
      <c r="T48" s="588"/>
      <c r="U48" s="187">
        <v>11</v>
      </c>
      <c r="V48" s="187">
        <v>3157.543341004387</v>
      </c>
      <c r="W48" s="184">
        <f t="shared" si="33"/>
        <v>287.04939463676243</v>
      </c>
      <c r="X48" s="181">
        <f t="shared" ref="X48:X50" si="37">RANK(W48, W$47:W$61)</f>
        <v>4</v>
      </c>
      <c r="Y48" s="588"/>
      <c r="Z48" s="187">
        <v>11</v>
      </c>
      <c r="AA48" s="187">
        <v>3156.8233410043872</v>
      </c>
      <c r="AB48" s="184">
        <f t="shared" ref="AB48:AB50" si="38">IFERROR(AA48/Z48,"")</f>
        <v>286.98394009130794</v>
      </c>
      <c r="AC48" s="181">
        <f t="shared" ref="AC48:AC50" si="39">RANK(AB48, AB$47:AB$61)</f>
        <v>3</v>
      </c>
      <c r="AD48" s="588"/>
      <c r="AE48" s="187">
        <v>11</v>
      </c>
      <c r="AF48" s="187">
        <v>3157.5433410043875</v>
      </c>
      <c r="AG48" s="184">
        <f t="shared" ref="AG48:AG50" si="40">IFERROR(AF48/AE48,"")</f>
        <v>287.04939463676249</v>
      </c>
      <c r="AH48" s="181">
        <f t="shared" ref="AH48:AH50" si="41">RANK(AG48, AG$47:AG$61)</f>
        <v>2</v>
      </c>
      <c r="AI48" s="588"/>
      <c r="AJ48" s="187">
        <v>11</v>
      </c>
      <c r="AK48" s="187">
        <v>3159.3433410043872</v>
      </c>
      <c r="AL48" s="184">
        <f t="shared" ref="AL48:AL50" si="42">IFERROR(AK48/AJ48,"")</f>
        <v>287.21303100039881</v>
      </c>
      <c r="AM48" s="181">
        <f t="shared" ref="AM48:AM50" si="43">RANK(AL48, AL$47:AL$61)</f>
        <v>2</v>
      </c>
      <c r="AN48" s="588"/>
      <c r="AO48" s="187">
        <v>11</v>
      </c>
      <c r="AP48" s="187">
        <v>3158.6118846915037</v>
      </c>
      <c r="AQ48" s="184">
        <f t="shared" ref="AQ48:AQ50" si="44">IFERROR(AP48/AO48,"")</f>
        <v>287.14653497195491</v>
      </c>
      <c r="AR48" s="181">
        <f t="shared" ref="AR48:AR50" si="45">RANK(AQ48, AQ$47:AQ$61)</f>
        <v>2</v>
      </c>
      <c r="AS48" s="588"/>
      <c r="AT48" s="187">
        <v>11</v>
      </c>
      <c r="AU48" s="187">
        <v>3157.8918846915044</v>
      </c>
      <c r="AV48" s="184">
        <f t="shared" ref="AV48:AV50" si="46">IFERROR(AU48/AT48,"")</f>
        <v>287.08108042650042</v>
      </c>
      <c r="AW48" s="181">
        <f t="shared" ref="AW48:AW50" si="47">RANK(AV48, AV$47:AV$61)</f>
        <v>3</v>
      </c>
      <c r="AX48" s="588"/>
    </row>
    <row r="49" spans="2:50" ht="14.25" customHeight="1">
      <c r="B49" s="586"/>
      <c r="C49" s="179">
        <v>3</v>
      </c>
      <c r="D49" s="182" t="s">
        <v>484</v>
      </c>
      <c r="E49" s="179">
        <v>11</v>
      </c>
      <c r="F49" s="179">
        <v>3600</v>
      </c>
      <c r="G49" s="184">
        <f t="shared" si="32"/>
        <v>327.27272727272725</v>
      </c>
      <c r="H49" s="588"/>
      <c r="I49" s="185">
        <f t="shared" si="34"/>
        <v>11</v>
      </c>
      <c r="J49" s="185">
        <f t="shared" si="34"/>
        <v>3156.3249338387805</v>
      </c>
      <c r="K49" s="186">
        <f t="shared" si="34"/>
        <v>286.93863034897998</v>
      </c>
      <c r="L49" s="589"/>
      <c r="M49" s="185">
        <f>RANK(K49, K$47:$K$61)</f>
        <v>4</v>
      </c>
      <c r="N49" s="586"/>
      <c r="O49" s="586"/>
      <c r="P49" s="187">
        <v>11</v>
      </c>
      <c r="Q49" s="187">
        <v>3157.6519051520077</v>
      </c>
      <c r="R49" s="184">
        <f t="shared" si="35"/>
        <v>287.05926410472796</v>
      </c>
      <c r="S49" s="181">
        <f t="shared" si="36"/>
        <v>2</v>
      </c>
      <c r="T49" s="588"/>
      <c r="U49" s="187">
        <v>11</v>
      </c>
      <c r="V49" s="187">
        <v>3157.6519051520081</v>
      </c>
      <c r="W49" s="184">
        <f t="shared" si="33"/>
        <v>287.05926410472802</v>
      </c>
      <c r="X49" s="181">
        <f t="shared" si="37"/>
        <v>3</v>
      </c>
      <c r="Y49" s="588"/>
      <c r="Z49" s="187">
        <v>11</v>
      </c>
      <c r="AA49" s="187">
        <v>3156.2119051520085</v>
      </c>
      <c r="AB49" s="184">
        <f t="shared" si="38"/>
        <v>286.92835501381893</v>
      </c>
      <c r="AC49" s="181">
        <f t="shared" si="39"/>
        <v>4</v>
      </c>
      <c r="AD49" s="588"/>
      <c r="AE49" s="187">
        <v>11</v>
      </c>
      <c r="AF49" s="187">
        <v>3155.8519051520084</v>
      </c>
      <c r="AG49" s="184">
        <f t="shared" si="40"/>
        <v>286.89562774109169</v>
      </c>
      <c r="AH49" s="181">
        <f t="shared" si="41"/>
        <v>4</v>
      </c>
      <c r="AI49" s="588"/>
      <c r="AJ49" s="187">
        <v>11</v>
      </c>
      <c r="AK49" s="187">
        <v>3155.131905152009</v>
      </c>
      <c r="AL49" s="184">
        <f t="shared" si="42"/>
        <v>286.8301731956372</v>
      </c>
      <c r="AM49" s="181">
        <f t="shared" si="43"/>
        <v>4</v>
      </c>
      <c r="AN49" s="588"/>
      <c r="AO49" s="187">
        <v>11</v>
      </c>
      <c r="AP49" s="187">
        <v>3155.5388980026078</v>
      </c>
      <c r="AQ49" s="184">
        <f t="shared" si="44"/>
        <v>286.86717254569163</v>
      </c>
      <c r="AR49" s="181">
        <f t="shared" si="45"/>
        <v>4</v>
      </c>
      <c r="AS49" s="588"/>
      <c r="AT49" s="187">
        <v>11</v>
      </c>
      <c r="AU49" s="187">
        <v>3156.2361131088114</v>
      </c>
      <c r="AV49" s="184">
        <f t="shared" si="46"/>
        <v>286.9305557371647</v>
      </c>
      <c r="AW49" s="181">
        <f t="shared" si="47"/>
        <v>4</v>
      </c>
      <c r="AX49" s="588"/>
    </row>
    <row r="50" spans="2:50" ht="14.25" customHeight="1">
      <c r="B50" s="586"/>
      <c r="C50" s="179">
        <v>4</v>
      </c>
      <c r="D50" s="182" t="s">
        <v>609</v>
      </c>
      <c r="E50" s="179">
        <v>11</v>
      </c>
      <c r="F50" s="179">
        <v>3600</v>
      </c>
      <c r="G50" s="184">
        <f t="shared" si="32"/>
        <v>327.27272727272725</v>
      </c>
      <c r="H50" s="588"/>
      <c r="I50" s="185">
        <f t="shared" si="34"/>
        <v>11</v>
      </c>
      <c r="J50" s="185">
        <f t="shared" si="34"/>
        <v>3157.5895907245117</v>
      </c>
      <c r="K50" s="186">
        <f t="shared" si="34"/>
        <v>287.05359915677383</v>
      </c>
      <c r="L50" s="589"/>
      <c r="M50" s="185">
        <f>RANK(K50, K$47:$K$61)</f>
        <v>3</v>
      </c>
      <c r="N50" s="586"/>
      <c r="O50" s="586"/>
      <c r="P50" s="187">
        <v>11</v>
      </c>
      <c r="Q50" s="187">
        <v>3157.0753050102253</v>
      </c>
      <c r="R50" s="184">
        <f t="shared" si="35"/>
        <v>287.0068459100205</v>
      </c>
      <c r="S50" s="181">
        <f t="shared" si="36"/>
        <v>4</v>
      </c>
      <c r="T50" s="588"/>
      <c r="U50" s="187">
        <v>11</v>
      </c>
      <c r="V50" s="187">
        <v>3157.795305010226</v>
      </c>
      <c r="W50" s="184">
        <f t="shared" si="33"/>
        <v>287.0723004554751</v>
      </c>
      <c r="X50" s="181">
        <f t="shared" si="37"/>
        <v>2</v>
      </c>
      <c r="Y50" s="588"/>
      <c r="Z50" s="187">
        <v>11</v>
      </c>
      <c r="AA50" s="187">
        <v>3157.0753050102257</v>
      </c>
      <c r="AB50" s="184">
        <f t="shared" si="38"/>
        <v>287.0068459100205</v>
      </c>
      <c r="AC50" s="181">
        <f t="shared" si="39"/>
        <v>2</v>
      </c>
      <c r="AD50" s="588"/>
      <c r="AE50" s="187">
        <v>11</v>
      </c>
      <c r="AF50" s="187">
        <v>3156.3553050102264</v>
      </c>
      <c r="AG50" s="184">
        <f t="shared" si="40"/>
        <v>286.94139136456602</v>
      </c>
      <c r="AH50" s="181">
        <f t="shared" si="41"/>
        <v>3</v>
      </c>
      <c r="AI50" s="588"/>
      <c r="AJ50" s="187">
        <v>11</v>
      </c>
      <c r="AK50" s="187">
        <v>3157.7953050102265</v>
      </c>
      <c r="AL50" s="184">
        <f t="shared" si="42"/>
        <v>287.07230045547516</v>
      </c>
      <c r="AM50" s="181">
        <f t="shared" si="43"/>
        <v>3</v>
      </c>
      <c r="AN50" s="588"/>
      <c r="AO50" s="187">
        <v>11</v>
      </c>
      <c r="AP50" s="187">
        <v>3158.5153050102263</v>
      </c>
      <c r="AQ50" s="184">
        <f t="shared" si="44"/>
        <v>287.13775500092964</v>
      </c>
      <c r="AR50" s="181">
        <f t="shared" si="45"/>
        <v>3</v>
      </c>
      <c r="AS50" s="588"/>
      <c r="AT50" s="187">
        <v>11</v>
      </c>
      <c r="AU50" s="187">
        <v>3158.5153050102263</v>
      </c>
      <c r="AV50" s="184">
        <f t="shared" si="46"/>
        <v>287.13775500092964</v>
      </c>
      <c r="AW50" s="181">
        <f t="shared" si="47"/>
        <v>2</v>
      </c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347</v>
      </c>
      <c r="C67" s="179">
        <v>1</v>
      </c>
      <c r="D67" s="182" t="s">
        <v>325</v>
      </c>
      <c r="E67" s="183">
        <v>10</v>
      </c>
      <c r="F67" s="179">
        <v>3600</v>
      </c>
      <c r="G67" s="184">
        <f t="shared" ref="G67:G70" si="48">IFERROR(F67/E67,"")</f>
        <v>360</v>
      </c>
      <c r="H67" s="588">
        <f>AVERAGE(G67:G81)</f>
        <v>335.45454545454544</v>
      </c>
      <c r="I67" s="185">
        <f>AVERAGE(P67,U67,Z67,AE67,AJ67,AO67,AT67)</f>
        <v>10</v>
      </c>
      <c r="J67" s="185">
        <f>AVERAGE(Q67,V67,AA67,AF67,AK67,AP67,AU67)</f>
        <v>3218.8952654388972</v>
      </c>
      <c r="K67" s="186">
        <f>AVERAGE(R67,W67,AB67,AG67,AL67,AQ67,AV67)</f>
        <v>321.8895265438897</v>
      </c>
      <c r="L67" s="589">
        <f>IFERROR(AVERAGE(K67:K81),"-")</f>
        <v>295.7399973498712</v>
      </c>
      <c r="M67" s="185">
        <f>RANK(K67, K$67:$K$81)</f>
        <v>1</v>
      </c>
      <c r="N67" s="586"/>
      <c r="O67" s="586"/>
      <c r="P67" s="187">
        <v>10</v>
      </c>
      <c r="Q67" s="187">
        <v>3219.0495511531835</v>
      </c>
      <c r="R67" s="184">
        <f>IFERROR(Q67/P67,"")</f>
        <v>321.90495511531833</v>
      </c>
      <c r="S67" s="181">
        <f>RANK(R67, R$67:R$81)</f>
        <v>1</v>
      </c>
      <c r="T67" s="588">
        <f>AVERAGE(R67:R81)</f>
        <v>295.74068608483287</v>
      </c>
      <c r="U67" s="187">
        <v>10</v>
      </c>
      <c r="V67" s="187">
        <v>3217.6095511531835</v>
      </c>
      <c r="W67" s="184">
        <f t="shared" ref="W67:W70" si="49">IFERROR(V67/U67,"")</f>
        <v>321.76095511531832</v>
      </c>
      <c r="X67" s="181">
        <f>RANK(W67, W$67:W$81)</f>
        <v>1</v>
      </c>
      <c r="Y67" s="588">
        <f>AVERAGE(W67:W81)</f>
        <v>295.69650426665106</v>
      </c>
      <c r="Z67" s="187">
        <v>10</v>
      </c>
      <c r="AA67" s="187">
        <v>3219.4095511531827</v>
      </c>
      <c r="AB67" s="184">
        <f>IFERROR(AA67/Z67,"")</f>
        <v>321.94095511531827</v>
      </c>
      <c r="AC67" s="181">
        <f>RANK(AB67, AB$67:AB$81)</f>
        <v>1</v>
      </c>
      <c r="AD67" s="588">
        <f>AVERAGE(AB67:AB81)</f>
        <v>295.790595175742</v>
      </c>
      <c r="AE67" s="187">
        <v>10</v>
      </c>
      <c r="AF67" s="187">
        <v>3219.0495511531831</v>
      </c>
      <c r="AG67" s="184">
        <f>IFERROR(AF67/AE67,"")</f>
        <v>321.90495511531833</v>
      </c>
      <c r="AH67" s="181">
        <f>RANK(AG67, AG$67:AG$81)</f>
        <v>1</v>
      </c>
      <c r="AI67" s="588">
        <f>AVERAGE(AG67:AG81)</f>
        <v>295.76523153937836</v>
      </c>
      <c r="AJ67" s="187">
        <v>10</v>
      </c>
      <c r="AK67" s="187">
        <v>3219.7695511531833</v>
      </c>
      <c r="AL67" s="184">
        <f>IFERROR(AK67/AJ67,"")</f>
        <v>321.97695511531833</v>
      </c>
      <c r="AM67" s="181">
        <f>RANK(AL67, AL$67:AL$81)</f>
        <v>1</v>
      </c>
      <c r="AN67" s="588">
        <f>AVERAGE(AL67:AL81)</f>
        <v>295.71777699392385</v>
      </c>
      <c r="AO67" s="187">
        <v>10</v>
      </c>
      <c r="AP67" s="187">
        <v>3219.4095511531827</v>
      </c>
      <c r="AQ67" s="184">
        <f>IFERROR(AP67/AO67,"")</f>
        <v>321.94095511531827</v>
      </c>
      <c r="AR67" s="181">
        <f>RANK(AQ67, AQ$67:AQ$81)</f>
        <v>1</v>
      </c>
      <c r="AS67" s="588">
        <f>AVERAGE(AQ67:AQ81)</f>
        <v>295.72559464242062</v>
      </c>
      <c r="AT67" s="187">
        <v>10</v>
      </c>
      <c r="AU67" s="187">
        <v>3217.9695511531827</v>
      </c>
      <c r="AV67" s="184">
        <f>IFERROR(AU67/AT67,"")</f>
        <v>321.79695511531827</v>
      </c>
      <c r="AW67" s="181">
        <f>RANK(AV67, AV$67:AV$81)</f>
        <v>1</v>
      </c>
      <c r="AX67" s="588">
        <f>AVERAGE(AV67:AV81)</f>
        <v>295.74359274614972</v>
      </c>
    </row>
    <row r="68" spans="2:50" ht="14.25" customHeight="1">
      <c r="B68" s="586"/>
      <c r="C68" s="179">
        <v>2</v>
      </c>
      <c r="D68" s="182" t="s">
        <v>483</v>
      </c>
      <c r="E68" s="179">
        <v>11</v>
      </c>
      <c r="F68" s="179">
        <v>3600</v>
      </c>
      <c r="G68" s="184">
        <f t="shared" si="48"/>
        <v>327.27272727272725</v>
      </c>
      <c r="H68" s="588"/>
      <c r="I68" s="185">
        <f t="shared" ref="I68:K70" si="50">AVERAGE(P68,U68,Z68,AE68,AJ68,AO68,AT68)</f>
        <v>11</v>
      </c>
      <c r="J68" s="185">
        <f t="shared" si="50"/>
        <v>3158.2968065706782</v>
      </c>
      <c r="K68" s="186">
        <f t="shared" si="50"/>
        <v>287.11789150642528</v>
      </c>
      <c r="L68" s="589"/>
      <c r="M68" s="185">
        <f>RANK(K68, K$67:$K$81)</f>
        <v>2</v>
      </c>
      <c r="N68" s="586"/>
      <c r="O68" s="586"/>
      <c r="P68" s="187">
        <v>11</v>
      </c>
      <c r="Q68" s="187">
        <v>3158.6118846915051</v>
      </c>
      <c r="R68" s="184">
        <f t="shared" ref="R68:R70" si="51">IFERROR(Q68/P68,"")</f>
        <v>287.14653497195502</v>
      </c>
      <c r="S68" s="181">
        <f t="shared" ref="S68:S70" si="52">RANK(R68, R$67:R$81)</f>
        <v>2</v>
      </c>
      <c r="T68" s="588"/>
      <c r="U68" s="187">
        <v>11</v>
      </c>
      <c r="V68" s="187">
        <v>3157.8918846915053</v>
      </c>
      <c r="W68" s="184">
        <f t="shared" si="49"/>
        <v>287.08108042650048</v>
      </c>
      <c r="X68" s="181">
        <f t="shared" ref="X68:X70" si="53">RANK(W68, W$67:W$81)</f>
        <v>2</v>
      </c>
      <c r="Y68" s="588"/>
      <c r="Z68" s="187">
        <v>11</v>
      </c>
      <c r="AA68" s="187">
        <v>3157.5318846915056</v>
      </c>
      <c r="AB68" s="184">
        <f t="shared" ref="AB68:AB70" si="54">IFERROR(AA68/Z68,"")</f>
        <v>287.04835315377323</v>
      </c>
      <c r="AC68" s="181">
        <f t="shared" ref="AC68:AC70" si="55">RANK(AB68, AB$67:AB$81)</f>
        <v>3</v>
      </c>
      <c r="AD68" s="588"/>
      <c r="AE68" s="187">
        <v>11</v>
      </c>
      <c r="AF68" s="187">
        <v>3158.2518846915063</v>
      </c>
      <c r="AG68" s="184">
        <f t="shared" ref="AG68:AG70" si="56">IFERROR(AF68/AE68,"")</f>
        <v>287.11380769922783</v>
      </c>
      <c r="AH68" s="181">
        <f t="shared" ref="AH68:AH70" si="57">RANK(AG68, AG$67:AG$81)</f>
        <v>2</v>
      </c>
      <c r="AI68" s="588"/>
      <c r="AJ68" s="187">
        <v>11</v>
      </c>
      <c r="AK68" s="187">
        <v>3158.6118846915065</v>
      </c>
      <c r="AL68" s="184">
        <f t="shared" ref="AL68:AL70" si="58">IFERROR(AK68/AJ68,"")</f>
        <v>287.14653497195513</v>
      </c>
      <c r="AM68" s="181">
        <f t="shared" ref="AM68:AM70" si="59">RANK(AL68, AL$67:AL$81)</f>
        <v>2</v>
      </c>
      <c r="AN68" s="588"/>
      <c r="AO68" s="187">
        <v>11</v>
      </c>
      <c r="AP68" s="187">
        <v>3158.2291112686098</v>
      </c>
      <c r="AQ68" s="184">
        <f t="shared" ref="AQ68:AQ70" si="60">IFERROR(AP68/AO68,"")</f>
        <v>287.11173738805542</v>
      </c>
      <c r="AR68" s="181">
        <f t="shared" ref="AR68:AR70" si="61">RANK(AQ68, AQ$67:AQ$81)</f>
        <v>2</v>
      </c>
      <c r="AS68" s="588"/>
      <c r="AT68" s="187">
        <v>11</v>
      </c>
      <c r="AU68" s="187">
        <v>3158.9491112686096</v>
      </c>
      <c r="AV68" s="184">
        <f t="shared" ref="AV68:AV70" si="62">IFERROR(AU68/AT68,"")</f>
        <v>287.17719193350996</v>
      </c>
      <c r="AW68" s="181">
        <f t="shared" ref="AW68:AW70" si="63">RANK(AV68, AV$67:AV$81)</f>
        <v>2</v>
      </c>
      <c r="AX68" s="588"/>
    </row>
    <row r="69" spans="2:50" ht="14.25" customHeight="1">
      <c r="B69" s="586"/>
      <c r="C69" s="179">
        <v>3</v>
      </c>
      <c r="D69" s="182" t="s">
        <v>484</v>
      </c>
      <c r="E69" s="179">
        <v>11</v>
      </c>
      <c r="F69" s="179">
        <v>3600</v>
      </c>
      <c r="G69" s="184">
        <f t="shared" si="48"/>
        <v>327.27272727272725</v>
      </c>
      <c r="H69" s="588"/>
      <c r="I69" s="185">
        <f t="shared" si="50"/>
        <v>11</v>
      </c>
      <c r="J69" s="185">
        <f t="shared" si="50"/>
        <v>3156.9349767223007</v>
      </c>
      <c r="K69" s="186">
        <f t="shared" si="50"/>
        <v>286.99408879293645</v>
      </c>
      <c r="L69" s="589"/>
      <c r="M69" s="185">
        <f>RANK(K69, K$67:$K$81)</f>
        <v>3</v>
      </c>
      <c r="N69" s="586"/>
      <c r="O69" s="586"/>
      <c r="P69" s="187">
        <v>11</v>
      </c>
      <c r="Q69" s="187">
        <v>3156.3084917624128</v>
      </c>
      <c r="R69" s="184">
        <f t="shared" si="51"/>
        <v>286.93713561476483</v>
      </c>
      <c r="S69" s="181">
        <f t="shared" si="52"/>
        <v>4</v>
      </c>
      <c r="T69" s="588"/>
      <c r="U69" s="187">
        <v>11</v>
      </c>
      <c r="V69" s="187">
        <v>3157.0284917624131</v>
      </c>
      <c r="W69" s="184">
        <f t="shared" si="49"/>
        <v>287.00259016021937</v>
      </c>
      <c r="X69" s="181">
        <f t="shared" si="53"/>
        <v>3</v>
      </c>
      <c r="Y69" s="588"/>
      <c r="Z69" s="187">
        <v>11</v>
      </c>
      <c r="AA69" s="187">
        <v>3158.4684917624136</v>
      </c>
      <c r="AB69" s="184">
        <f t="shared" si="54"/>
        <v>287.13349925112851</v>
      </c>
      <c r="AC69" s="181">
        <f t="shared" si="55"/>
        <v>2</v>
      </c>
      <c r="AD69" s="588"/>
      <c r="AE69" s="187">
        <v>11</v>
      </c>
      <c r="AF69" s="187">
        <v>3157.028491762414</v>
      </c>
      <c r="AG69" s="184">
        <f t="shared" si="56"/>
        <v>287.00259016021943</v>
      </c>
      <c r="AH69" s="181">
        <f t="shared" si="57"/>
        <v>4</v>
      </c>
      <c r="AI69" s="588"/>
      <c r="AJ69" s="187">
        <v>11</v>
      </c>
      <c r="AK69" s="187">
        <v>3155.5884917624139</v>
      </c>
      <c r="AL69" s="184">
        <f t="shared" si="58"/>
        <v>286.87168106931034</v>
      </c>
      <c r="AM69" s="181">
        <f t="shared" si="59"/>
        <v>4</v>
      </c>
      <c r="AN69" s="588"/>
      <c r="AO69" s="187">
        <v>11</v>
      </c>
      <c r="AP69" s="187">
        <v>3156.1611891220182</v>
      </c>
      <c r="AQ69" s="184">
        <f t="shared" si="60"/>
        <v>286.92374446563804</v>
      </c>
      <c r="AR69" s="181">
        <f t="shared" si="61"/>
        <v>4</v>
      </c>
      <c r="AS69" s="588"/>
      <c r="AT69" s="187">
        <v>11</v>
      </c>
      <c r="AU69" s="187">
        <v>3157.9611891220188</v>
      </c>
      <c r="AV69" s="184">
        <f t="shared" si="62"/>
        <v>287.08738082927442</v>
      </c>
      <c r="AW69" s="181">
        <f t="shared" si="63"/>
        <v>3</v>
      </c>
      <c r="AX69" s="588"/>
    </row>
    <row r="70" spans="2:50" ht="14.25" customHeight="1">
      <c r="B70" s="586"/>
      <c r="C70" s="179">
        <v>4</v>
      </c>
      <c r="D70" s="182" t="s">
        <v>609</v>
      </c>
      <c r="E70" s="179">
        <v>11</v>
      </c>
      <c r="F70" s="179">
        <v>3600</v>
      </c>
      <c r="G70" s="184">
        <f t="shared" si="48"/>
        <v>327.27272727272725</v>
      </c>
      <c r="H70" s="588"/>
      <c r="I70" s="185">
        <f t="shared" si="50"/>
        <v>11</v>
      </c>
      <c r="J70" s="185">
        <f t="shared" si="50"/>
        <v>3156.5433081185665</v>
      </c>
      <c r="K70" s="186">
        <f t="shared" si="50"/>
        <v>286.95848255623338</v>
      </c>
      <c r="L70" s="589"/>
      <c r="M70" s="185">
        <f>RANK(K70, K$67:$K$81)</f>
        <v>4</v>
      </c>
      <c r="N70" s="586"/>
      <c r="O70" s="586"/>
      <c r="P70" s="187">
        <v>11</v>
      </c>
      <c r="Q70" s="187">
        <v>3156.7153050102261</v>
      </c>
      <c r="R70" s="184">
        <f t="shared" si="51"/>
        <v>286.97411863729326</v>
      </c>
      <c r="S70" s="181">
        <f t="shared" si="52"/>
        <v>3</v>
      </c>
      <c r="T70" s="588"/>
      <c r="U70" s="187">
        <v>11</v>
      </c>
      <c r="V70" s="187">
        <v>3156.3553050102259</v>
      </c>
      <c r="W70" s="184">
        <f t="shared" si="49"/>
        <v>286.94139136456602</v>
      </c>
      <c r="X70" s="181">
        <f t="shared" si="53"/>
        <v>4</v>
      </c>
      <c r="Y70" s="588"/>
      <c r="Z70" s="187">
        <v>11</v>
      </c>
      <c r="AA70" s="187">
        <v>3157.4353050102268</v>
      </c>
      <c r="AB70" s="184">
        <f t="shared" si="54"/>
        <v>287.03957318274792</v>
      </c>
      <c r="AC70" s="181">
        <f t="shared" si="55"/>
        <v>4</v>
      </c>
      <c r="AD70" s="588"/>
      <c r="AE70" s="187">
        <v>11</v>
      </c>
      <c r="AF70" s="187">
        <v>3157.4353050102272</v>
      </c>
      <c r="AG70" s="184">
        <f t="shared" si="56"/>
        <v>287.03957318274792</v>
      </c>
      <c r="AH70" s="181">
        <f t="shared" si="57"/>
        <v>3</v>
      </c>
      <c r="AI70" s="588"/>
      <c r="AJ70" s="187">
        <v>11</v>
      </c>
      <c r="AK70" s="187">
        <v>3155.6353050102275</v>
      </c>
      <c r="AL70" s="184">
        <f t="shared" si="58"/>
        <v>286.87593681911159</v>
      </c>
      <c r="AM70" s="181">
        <f t="shared" si="59"/>
        <v>3</v>
      </c>
      <c r="AN70" s="588"/>
      <c r="AO70" s="187">
        <v>11</v>
      </c>
      <c r="AP70" s="187">
        <v>3156.1853576073772</v>
      </c>
      <c r="AQ70" s="184">
        <f t="shared" si="60"/>
        <v>286.92594160067068</v>
      </c>
      <c r="AR70" s="181">
        <f t="shared" si="61"/>
        <v>3</v>
      </c>
      <c r="AS70" s="588"/>
      <c r="AT70" s="187">
        <v>11</v>
      </c>
      <c r="AU70" s="187">
        <v>3156.0412741714581</v>
      </c>
      <c r="AV70" s="184">
        <f t="shared" si="62"/>
        <v>286.91284310649621</v>
      </c>
      <c r="AW70" s="181">
        <f t="shared" si="63"/>
        <v>4</v>
      </c>
      <c r="AX70" s="588"/>
    </row>
    <row r="71" spans="2:50" ht="14.25" customHeight="1">
      <c r="B71" s="586"/>
      <c r="C71" s="179">
        <v>5</v>
      </c>
      <c r="D71" s="182"/>
      <c r="E71" s="179"/>
      <c r="F71" s="179"/>
      <c r="G71" s="184"/>
      <c r="H71" s="588"/>
      <c r="I71" s="185"/>
      <c r="J71" s="185"/>
      <c r="K71" s="186"/>
      <c r="L71" s="589"/>
      <c r="M71" s="185"/>
      <c r="N71" s="586"/>
      <c r="O71" s="586"/>
      <c r="P71" s="187"/>
      <c r="Q71" s="187"/>
      <c r="R71" s="184"/>
      <c r="S71" s="181"/>
      <c r="T71" s="588"/>
      <c r="U71" s="187"/>
      <c r="V71" s="187"/>
      <c r="W71" s="184"/>
      <c r="X71" s="181"/>
      <c r="Y71" s="588"/>
      <c r="Z71" s="187"/>
      <c r="AA71" s="187"/>
      <c r="AB71" s="184"/>
      <c r="AC71" s="181"/>
      <c r="AD71" s="588"/>
      <c r="AE71" s="187"/>
      <c r="AF71" s="187"/>
      <c r="AG71" s="184"/>
      <c r="AH71" s="181"/>
      <c r="AI71" s="588"/>
      <c r="AJ71" s="187"/>
      <c r="AK71" s="187"/>
      <c r="AL71" s="184"/>
      <c r="AM71" s="181"/>
      <c r="AN71" s="588"/>
      <c r="AO71" s="187"/>
      <c r="AP71" s="187"/>
      <c r="AQ71" s="184"/>
      <c r="AR71" s="181"/>
      <c r="AS71" s="588"/>
      <c r="AT71" s="187"/>
      <c r="AU71" s="187"/>
      <c r="AV71" s="184"/>
      <c r="AW71" s="181"/>
      <c r="AX71" s="588"/>
    </row>
    <row r="72" spans="2:50" ht="14.25" customHeight="1">
      <c r="B72" s="586"/>
      <c r="C72" s="179">
        <v>6</v>
      </c>
      <c r="D72" s="182"/>
      <c r="E72" s="179"/>
      <c r="F72" s="179"/>
      <c r="G72" s="184"/>
      <c r="H72" s="588"/>
      <c r="I72" s="185"/>
      <c r="J72" s="185"/>
      <c r="K72" s="186"/>
      <c r="L72" s="589"/>
      <c r="M72" s="185"/>
      <c r="N72" s="586"/>
      <c r="O72" s="586"/>
      <c r="P72" s="187"/>
      <c r="Q72" s="187"/>
      <c r="R72" s="184"/>
      <c r="S72" s="181"/>
      <c r="T72" s="588"/>
      <c r="U72" s="187"/>
      <c r="V72" s="187"/>
      <c r="W72" s="184"/>
      <c r="X72" s="181"/>
      <c r="Y72" s="588"/>
      <c r="Z72" s="187"/>
      <c r="AA72" s="187"/>
      <c r="AB72" s="184"/>
      <c r="AC72" s="181"/>
      <c r="AD72" s="588"/>
      <c r="AE72" s="187"/>
      <c r="AF72" s="187"/>
      <c r="AG72" s="184"/>
      <c r="AH72" s="181"/>
      <c r="AI72" s="588"/>
      <c r="AJ72" s="187"/>
      <c r="AK72" s="187"/>
      <c r="AL72" s="184"/>
      <c r="AM72" s="181"/>
      <c r="AN72" s="588"/>
      <c r="AO72" s="187"/>
      <c r="AP72" s="187"/>
      <c r="AQ72" s="184"/>
      <c r="AR72" s="181"/>
      <c r="AS72" s="588"/>
      <c r="AT72" s="187"/>
      <c r="AU72" s="187"/>
      <c r="AV72" s="184"/>
      <c r="AW72" s="181"/>
      <c r="AX72" s="588"/>
    </row>
    <row r="73" spans="2:50" ht="14.25" customHeight="1">
      <c r="B73" s="586"/>
      <c r="C73" s="179">
        <v>7</v>
      </c>
      <c r="D73" s="182"/>
      <c r="E73" s="179"/>
      <c r="F73" s="179"/>
      <c r="G73" s="184"/>
      <c r="H73" s="588"/>
      <c r="I73" s="185"/>
      <c r="J73" s="185"/>
      <c r="K73" s="186"/>
      <c r="L73" s="589"/>
      <c r="M73" s="185"/>
      <c r="N73" s="586"/>
      <c r="O73" s="586"/>
      <c r="P73" s="187"/>
      <c r="Q73" s="187"/>
      <c r="R73" s="184"/>
      <c r="S73" s="181"/>
      <c r="T73" s="588"/>
      <c r="U73" s="187"/>
      <c r="V73" s="187"/>
      <c r="W73" s="184"/>
      <c r="X73" s="181"/>
      <c r="Y73" s="588"/>
      <c r="Z73" s="187"/>
      <c r="AA73" s="187"/>
      <c r="AB73" s="184"/>
      <c r="AC73" s="181"/>
      <c r="AD73" s="588"/>
      <c r="AE73" s="187"/>
      <c r="AF73" s="187"/>
      <c r="AG73" s="184"/>
      <c r="AH73" s="181"/>
      <c r="AI73" s="588"/>
      <c r="AJ73" s="187"/>
      <c r="AK73" s="187"/>
      <c r="AL73" s="184"/>
      <c r="AM73" s="181"/>
      <c r="AN73" s="588"/>
      <c r="AO73" s="187"/>
      <c r="AP73" s="187"/>
      <c r="AQ73" s="184"/>
      <c r="AR73" s="181"/>
      <c r="AS73" s="588"/>
      <c r="AT73" s="187"/>
      <c r="AU73" s="187"/>
      <c r="AV73" s="184"/>
      <c r="AW73" s="181"/>
      <c r="AX73" s="588"/>
    </row>
    <row r="74" spans="2:50" ht="14.25" customHeight="1">
      <c r="B74" s="586"/>
      <c r="C74" s="179">
        <v>8</v>
      </c>
      <c r="D74" s="182"/>
      <c r="E74" s="179"/>
      <c r="F74" s="179"/>
      <c r="G74" s="184"/>
      <c r="H74" s="588"/>
      <c r="I74" s="185"/>
      <c r="J74" s="185"/>
      <c r="K74" s="186"/>
      <c r="L74" s="589"/>
      <c r="M74" s="185"/>
      <c r="N74" s="586"/>
      <c r="O74" s="586"/>
      <c r="P74" s="187"/>
      <c r="Q74" s="187"/>
      <c r="R74" s="184"/>
      <c r="S74" s="181"/>
      <c r="T74" s="588"/>
      <c r="U74" s="187"/>
      <c r="V74" s="187"/>
      <c r="W74" s="184"/>
      <c r="X74" s="181"/>
      <c r="Y74" s="588"/>
      <c r="Z74" s="187"/>
      <c r="AA74" s="187"/>
      <c r="AB74" s="184"/>
      <c r="AC74" s="181"/>
      <c r="AD74" s="588"/>
      <c r="AE74" s="187"/>
      <c r="AF74" s="187"/>
      <c r="AG74" s="184"/>
      <c r="AH74" s="181"/>
      <c r="AI74" s="588"/>
      <c r="AJ74" s="187"/>
      <c r="AK74" s="187"/>
      <c r="AL74" s="184"/>
      <c r="AM74" s="181"/>
      <c r="AN74" s="588"/>
      <c r="AO74" s="187"/>
      <c r="AP74" s="187"/>
      <c r="AQ74" s="184"/>
      <c r="AR74" s="181"/>
      <c r="AS74" s="588"/>
      <c r="AT74" s="187"/>
      <c r="AU74" s="187"/>
      <c r="AV74" s="184"/>
      <c r="AW74" s="181"/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347</v>
      </c>
      <c r="C87" s="179">
        <v>1</v>
      </c>
      <c r="D87" s="182" t="s">
        <v>325</v>
      </c>
      <c r="E87" s="183">
        <v>10</v>
      </c>
      <c r="F87" s="179">
        <v>3600</v>
      </c>
      <c r="G87" s="184">
        <f t="shared" ref="G87:G90" si="64">IFERROR(F87/E87,"")</f>
        <v>360</v>
      </c>
      <c r="H87" s="588">
        <f>AVERAGE(G87:G101)</f>
        <v>335.45454545454544</v>
      </c>
      <c r="I87" s="185">
        <f>AVERAGE(P87,U87,Z87,AE87,AJ87,AO87,AT87)</f>
        <v>10</v>
      </c>
      <c r="J87" s="185">
        <f>AVERAGE(Q87,V87,AA87,AF87,AK87,AP87,AU87)</f>
        <v>3216.7866940103254</v>
      </c>
      <c r="K87" s="186">
        <f>AVERAGE(R87,W87,AB87,AG87,AL87,AQ87,AV87)</f>
        <v>321.67866940103249</v>
      </c>
      <c r="L87" s="589">
        <f>IFERROR(AVERAGE(K87:K101),"-")</f>
        <v>295.74145034041237</v>
      </c>
      <c r="M87" s="185">
        <f>RANK(K87, K$87:$K$101)</f>
        <v>1</v>
      </c>
      <c r="N87" s="586"/>
      <c r="O87" s="586"/>
      <c r="P87" s="187">
        <v>10</v>
      </c>
      <c r="Q87" s="187">
        <v>3216.5295511531826</v>
      </c>
      <c r="R87" s="184">
        <f>IFERROR(Q87/P87,"")</f>
        <v>321.65295511531826</v>
      </c>
      <c r="S87" s="181">
        <f>RANK(R87, R$87:R$101)</f>
        <v>1</v>
      </c>
      <c r="T87" s="588">
        <f>AVERAGE(R87:R101)</f>
        <v>295.79759274614969</v>
      </c>
      <c r="U87" s="187">
        <v>10</v>
      </c>
      <c r="V87" s="187">
        <v>3215.8095511531828</v>
      </c>
      <c r="W87" s="184">
        <f t="shared" ref="W87:W90" si="65">IFERROR(V87/U87,"")</f>
        <v>321.58095511531826</v>
      </c>
      <c r="X87" s="181">
        <f>RANK(W87, W$87:W$101)</f>
        <v>1</v>
      </c>
      <c r="Y87" s="588">
        <f>AVERAGE(W87:W101)</f>
        <v>295.72576161891493</v>
      </c>
      <c r="Z87" s="187">
        <v>10</v>
      </c>
      <c r="AA87" s="187">
        <v>3216.8895511531823</v>
      </c>
      <c r="AB87" s="184">
        <f>IFERROR(AA87/Z87,"")</f>
        <v>321.68895511531821</v>
      </c>
      <c r="AC87" s="181">
        <f>RANK(AB87, AB$87:AB$101)</f>
        <v>1</v>
      </c>
      <c r="AD87" s="588">
        <f>AVERAGE(AB87:AB101)</f>
        <v>295.75276161891497</v>
      </c>
      <c r="AE87" s="187">
        <v>10</v>
      </c>
      <c r="AF87" s="187">
        <v>3217.6095511531821</v>
      </c>
      <c r="AG87" s="184">
        <f>IFERROR(AF87/AE87,"")</f>
        <v>321.76095511531821</v>
      </c>
      <c r="AH87" s="181">
        <f>RANK(AG87, AG$87:AG$101)</f>
        <v>1</v>
      </c>
      <c r="AI87" s="588">
        <f>AVERAGE(AG87:AG101)</f>
        <v>295.81155455427222</v>
      </c>
      <c r="AJ87" s="187">
        <v>10</v>
      </c>
      <c r="AK87" s="187">
        <v>3215.8095511531824</v>
      </c>
      <c r="AL87" s="184">
        <f>IFERROR(AK87/AJ87,"")</f>
        <v>321.58095511531826</v>
      </c>
      <c r="AM87" s="181">
        <f>RANK(AL87, AL$87:AL$101)</f>
        <v>1</v>
      </c>
      <c r="AN87" s="588">
        <f>AVERAGE(AL87:AL101)</f>
        <v>295.72564546336315</v>
      </c>
      <c r="AO87" s="187">
        <v>10</v>
      </c>
      <c r="AP87" s="187">
        <v>3217.249551153182</v>
      </c>
      <c r="AQ87" s="184">
        <f>IFERROR(AP87/AO87,"")</f>
        <v>321.72495511531821</v>
      </c>
      <c r="AR87" s="181">
        <f>RANK(AQ87, AQ$87:AQ$101)</f>
        <v>1</v>
      </c>
      <c r="AS87" s="588">
        <f>AVERAGE(AQ87:AQ101)</f>
        <v>295.70437273609042</v>
      </c>
      <c r="AT87" s="187">
        <v>10</v>
      </c>
      <c r="AU87" s="187">
        <v>3217.6095511531821</v>
      </c>
      <c r="AV87" s="184">
        <f>IFERROR(AU87/AT87,"")</f>
        <v>321.76095511531821</v>
      </c>
      <c r="AW87" s="181">
        <f>RANK(AV87, AV$87:AV$101)</f>
        <v>1</v>
      </c>
      <c r="AX87" s="588">
        <f>AVERAGE(AV87:AV101)</f>
        <v>295.67246364518138</v>
      </c>
    </row>
    <row r="88" spans="2:50" ht="14.25" customHeight="1">
      <c r="B88" s="586"/>
      <c r="C88" s="179">
        <v>2</v>
      </c>
      <c r="D88" s="182" t="s">
        <v>483</v>
      </c>
      <c r="E88" s="179">
        <v>11</v>
      </c>
      <c r="F88" s="179">
        <v>3600</v>
      </c>
      <c r="G88" s="184">
        <f t="shared" si="64"/>
        <v>327.27272727272725</v>
      </c>
      <c r="H88" s="588"/>
      <c r="I88" s="185">
        <f t="shared" ref="I88:K90" si="66">AVERAGE(P88,U88,Z88,AE88,AJ88,AO88,AT88)</f>
        <v>11</v>
      </c>
      <c r="J88" s="185">
        <f t="shared" si="66"/>
        <v>3158.5392519653301</v>
      </c>
      <c r="K88" s="186">
        <f t="shared" si="66"/>
        <v>287.13993199684825</v>
      </c>
      <c r="L88" s="589"/>
      <c r="M88" s="185">
        <f>RANK(K88, K$87:$K$101)</f>
        <v>2</v>
      </c>
      <c r="N88" s="586"/>
      <c r="O88" s="586"/>
      <c r="P88" s="187">
        <v>11</v>
      </c>
      <c r="Q88" s="187">
        <v>3160.7491112686098</v>
      </c>
      <c r="R88" s="184">
        <f t="shared" ref="R88:R90" si="67">IFERROR(Q88/P88,"")</f>
        <v>287.34082829714634</v>
      </c>
      <c r="S88" s="181">
        <f t="shared" ref="S88:S90" si="68">RANK(R88, R$87:R$101)</f>
        <v>2</v>
      </c>
      <c r="T88" s="588"/>
      <c r="U88" s="187">
        <v>11</v>
      </c>
      <c r="V88" s="187">
        <v>3158.6509420814496</v>
      </c>
      <c r="W88" s="184">
        <f t="shared" si="65"/>
        <v>287.15008564376814</v>
      </c>
      <c r="X88" s="181">
        <f t="shared" ref="X88:X90" si="69">RANK(W88, W$87:W$101)</f>
        <v>3</v>
      </c>
      <c r="Y88" s="588"/>
      <c r="Z88" s="187">
        <v>11</v>
      </c>
      <c r="AA88" s="187">
        <v>3160.0909420814501</v>
      </c>
      <c r="AB88" s="184">
        <f t="shared" ref="AB88:AB90" si="70">IFERROR(AA88/Z88,"")</f>
        <v>287.28099473467728</v>
      </c>
      <c r="AC88" s="181">
        <f t="shared" ref="AC88:AC90" si="71">RANK(AB88, AB$87:AB$101)</f>
        <v>2</v>
      </c>
      <c r="AD88" s="588"/>
      <c r="AE88" s="187">
        <v>11</v>
      </c>
      <c r="AF88" s="187">
        <v>3159.0109420814501</v>
      </c>
      <c r="AG88" s="184">
        <f t="shared" ref="AG88:AG90" si="72">IFERROR(AF88/AE88,"")</f>
        <v>287.18281291649549</v>
      </c>
      <c r="AH88" s="181">
        <f t="shared" ref="AH88:AH90" si="73">RANK(AG88, AG$87:AG$101)</f>
        <v>3</v>
      </c>
      <c r="AI88" s="588"/>
      <c r="AJ88" s="187">
        <v>11</v>
      </c>
      <c r="AK88" s="187">
        <v>3158.2909420814508</v>
      </c>
      <c r="AL88" s="184">
        <f t="shared" ref="AL88:AL90" si="74">IFERROR(AK88/AJ88,"")</f>
        <v>287.11735837104101</v>
      </c>
      <c r="AM88" s="181">
        <f t="shared" ref="AM88:AM90" si="75">RANK(AL88, AL$87:AL$101)</f>
        <v>2</v>
      </c>
      <c r="AN88" s="588"/>
      <c r="AO88" s="187">
        <v>11</v>
      </c>
      <c r="AP88" s="187">
        <v>3156.8509420814507</v>
      </c>
      <c r="AQ88" s="184">
        <f t="shared" ref="AQ88:AQ90" si="76">IFERROR(AP88/AO88,"")</f>
        <v>286.98644928013186</v>
      </c>
      <c r="AR88" s="181">
        <f t="shared" ref="AR88:AR90" si="77">RANK(AQ88, AQ$87:AQ$101)</f>
        <v>3</v>
      </c>
      <c r="AS88" s="588"/>
      <c r="AT88" s="187">
        <v>11</v>
      </c>
      <c r="AU88" s="187">
        <v>3156.1309420814505</v>
      </c>
      <c r="AV88" s="184">
        <f t="shared" ref="AV88:AV90" si="78">IFERROR(AU88/AT88,"")</f>
        <v>286.92099473467732</v>
      </c>
      <c r="AW88" s="181">
        <f t="shared" ref="AW88:AW90" si="79">RANK(AV88, AV$87:AV$101)</f>
        <v>4</v>
      </c>
      <c r="AX88" s="588"/>
    </row>
    <row r="89" spans="2:50" ht="14.25" customHeight="1">
      <c r="B89" s="586"/>
      <c r="C89" s="179">
        <v>3</v>
      </c>
      <c r="D89" s="182" t="s">
        <v>484</v>
      </c>
      <c r="E89" s="179">
        <v>11</v>
      </c>
      <c r="F89" s="179">
        <v>3600</v>
      </c>
      <c r="G89" s="184">
        <f t="shared" si="64"/>
        <v>327.27272727272725</v>
      </c>
      <c r="H89" s="588"/>
      <c r="I89" s="185">
        <f t="shared" si="66"/>
        <v>11</v>
      </c>
      <c r="J89" s="185">
        <f t="shared" si="66"/>
        <v>3157.7808459124449</v>
      </c>
      <c r="K89" s="186">
        <f t="shared" si="66"/>
        <v>287.07098599204045</v>
      </c>
      <c r="L89" s="589"/>
      <c r="M89" s="185">
        <f>RANK(K89, K$87:$K$101)</f>
        <v>4</v>
      </c>
      <c r="N89" s="586"/>
      <c r="O89" s="586"/>
      <c r="P89" s="187">
        <v>11</v>
      </c>
      <c r="Q89" s="187">
        <v>3158.6811891220186</v>
      </c>
      <c r="R89" s="184">
        <f t="shared" si="67"/>
        <v>287.15283537472897</v>
      </c>
      <c r="S89" s="181">
        <f t="shared" si="68"/>
        <v>3</v>
      </c>
      <c r="T89" s="588"/>
      <c r="U89" s="187">
        <v>11</v>
      </c>
      <c r="V89" s="187">
        <v>3159.1307887108487</v>
      </c>
      <c r="W89" s="184">
        <f t="shared" si="65"/>
        <v>287.19370806462263</v>
      </c>
      <c r="X89" s="181">
        <f t="shared" si="69"/>
        <v>2</v>
      </c>
      <c r="Y89" s="588"/>
      <c r="Z89" s="187">
        <v>11</v>
      </c>
      <c r="AA89" s="187">
        <v>3157.6907887108487</v>
      </c>
      <c r="AB89" s="184">
        <f t="shared" si="70"/>
        <v>287.06279897371354</v>
      </c>
      <c r="AC89" s="181">
        <f t="shared" si="71"/>
        <v>3</v>
      </c>
      <c r="AD89" s="588"/>
      <c r="AE89" s="187">
        <v>11</v>
      </c>
      <c r="AF89" s="187">
        <v>3158.0507887108492</v>
      </c>
      <c r="AG89" s="184">
        <f t="shared" si="72"/>
        <v>287.09552624644084</v>
      </c>
      <c r="AH89" s="181">
        <f t="shared" si="73"/>
        <v>4</v>
      </c>
      <c r="AI89" s="588"/>
      <c r="AJ89" s="187">
        <v>11</v>
      </c>
      <c r="AK89" s="187">
        <v>3158.0507887108497</v>
      </c>
      <c r="AL89" s="184">
        <f t="shared" si="74"/>
        <v>287.0955262464409</v>
      </c>
      <c r="AM89" s="181">
        <f t="shared" si="75"/>
        <v>4</v>
      </c>
      <c r="AN89" s="588"/>
      <c r="AO89" s="187">
        <v>11</v>
      </c>
      <c r="AP89" s="187">
        <v>3156.6107887108501</v>
      </c>
      <c r="AQ89" s="184">
        <f t="shared" si="76"/>
        <v>286.96461715553181</v>
      </c>
      <c r="AR89" s="181">
        <f t="shared" si="77"/>
        <v>4</v>
      </c>
      <c r="AS89" s="588"/>
      <c r="AT89" s="187">
        <v>11</v>
      </c>
      <c r="AU89" s="187">
        <v>3156.2507887108495</v>
      </c>
      <c r="AV89" s="184">
        <f t="shared" si="78"/>
        <v>286.93188988280451</v>
      </c>
      <c r="AW89" s="181">
        <f t="shared" si="79"/>
        <v>3</v>
      </c>
      <c r="AX89" s="588"/>
    </row>
    <row r="90" spans="2:50" ht="14.25" customHeight="1">
      <c r="B90" s="586"/>
      <c r="C90" s="179">
        <v>4</v>
      </c>
      <c r="D90" s="182" t="s">
        <v>609</v>
      </c>
      <c r="E90" s="179">
        <v>11</v>
      </c>
      <c r="F90" s="179">
        <v>3600</v>
      </c>
      <c r="G90" s="184">
        <f t="shared" si="64"/>
        <v>327.27272727272725</v>
      </c>
      <c r="H90" s="588"/>
      <c r="I90" s="185">
        <f t="shared" si="66"/>
        <v>11</v>
      </c>
      <c r="J90" s="185">
        <f t="shared" si="66"/>
        <v>3157.8383536890128</v>
      </c>
      <c r="K90" s="186">
        <f t="shared" si="66"/>
        <v>287.07621397172841</v>
      </c>
      <c r="L90" s="589"/>
      <c r="M90" s="185">
        <f>RANK(K90, K$87:$K$101)</f>
        <v>3</v>
      </c>
      <c r="N90" s="586"/>
      <c r="O90" s="586"/>
      <c r="P90" s="187">
        <v>11</v>
      </c>
      <c r="Q90" s="187">
        <v>3157.4812741714577</v>
      </c>
      <c r="R90" s="184">
        <f t="shared" si="67"/>
        <v>287.04375219740524</v>
      </c>
      <c r="S90" s="181">
        <f t="shared" si="68"/>
        <v>4</v>
      </c>
      <c r="T90" s="588"/>
      <c r="U90" s="187">
        <v>11</v>
      </c>
      <c r="V90" s="187">
        <v>3156.7612741714584</v>
      </c>
      <c r="W90" s="184">
        <f t="shared" si="65"/>
        <v>286.97829765195075</v>
      </c>
      <c r="X90" s="181">
        <f t="shared" si="69"/>
        <v>4</v>
      </c>
      <c r="Y90" s="588"/>
      <c r="Z90" s="187">
        <v>11</v>
      </c>
      <c r="AA90" s="187">
        <v>3156.7612741714593</v>
      </c>
      <c r="AB90" s="184">
        <f t="shared" si="70"/>
        <v>286.97829765195087</v>
      </c>
      <c r="AC90" s="181">
        <f t="shared" si="71"/>
        <v>4</v>
      </c>
      <c r="AD90" s="588"/>
      <c r="AE90" s="187">
        <v>11</v>
      </c>
      <c r="AF90" s="187">
        <v>3159.2761633271775</v>
      </c>
      <c r="AG90" s="184">
        <f t="shared" si="72"/>
        <v>287.20692393883434</v>
      </c>
      <c r="AH90" s="181">
        <f t="shared" si="73"/>
        <v>2</v>
      </c>
      <c r="AI90" s="588"/>
      <c r="AJ90" s="187">
        <v>11</v>
      </c>
      <c r="AK90" s="187">
        <v>3158.1961633271781</v>
      </c>
      <c r="AL90" s="184">
        <f t="shared" si="74"/>
        <v>287.10874212065255</v>
      </c>
      <c r="AM90" s="181">
        <f t="shared" si="75"/>
        <v>3</v>
      </c>
      <c r="AN90" s="588"/>
      <c r="AO90" s="187">
        <v>11</v>
      </c>
      <c r="AP90" s="187">
        <v>3158.5561633271786</v>
      </c>
      <c r="AQ90" s="184">
        <f t="shared" si="76"/>
        <v>287.14146939337985</v>
      </c>
      <c r="AR90" s="181">
        <f t="shared" si="77"/>
        <v>2</v>
      </c>
      <c r="AS90" s="588"/>
      <c r="AT90" s="187">
        <v>11</v>
      </c>
      <c r="AU90" s="187">
        <v>3157.8361633271793</v>
      </c>
      <c r="AV90" s="184">
        <f t="shared" si="78"/>
        <v>287.07601484792536</v>
      </c>
      <c r="AW90" s="181">
        <f t="shared" si="79"/>
        <v>2</v>
      </c>
      <c r="AX90" s="588"/>
    </row>
    <row r="91" spans="2:50" ht="14.25" customHeight="1">
      <c r="B91" s="586"/>
      <c r="C91" s="179">
        <v>5</v>
      </c>
      <c r="D91" s="182"/>
      <c r="E91" s="179"/>
      <c r="F91" s="179"/>
      <c r="G91" s="184"/>
      <c r="H91" s="588"/>
      <c r="I91" s="185"/>
      <c r="J91" s="185"/>
      <c r="K91" s="186"/>
      <c r="L91" s="589"/>
      <c r="M91" s="185"/>
      <c r="N91" s="586"/>
      <c r="O91" s="586"/>
      <c r="P91" s="187"/>
      <c r="Q91" s="187"/>
      <c r="R91" s="184"/>
      <c r="S91" s="181"/>
      <c r="T91" s="588"/>
      <c r="U91" s="187"/>
      <c r="V91" s="187"/>
      <c r="W91" s="184"/>
      <c r="X91" s="181"/>
      <c r="Y91" s="588"/>
      <c r="Z91" s="187"/>
      <c r="AA91" s="187"/>
      <c r="AB91" s="184"/>
      <c r="AC91" s="181"/>
      <c r="AD91" s="588"/>
      <c r="AE91" s="187"/>
      <c r="AF91" s="187"/>
      <c r="AG91" s="184"/>
      <c r="AH91" s="181"/>
      <c r="AI91" s="588"/>
      <c r="AJ91" s="187"/>
      <c r="AK91" s="187"/>
      <c r="AL91" s="184"/>
      <c r="AM91" s="181"/>
      <c r="AN91" s="588"/>
      <c r="AO91" s="187"/>
      <c r="AP91" s="187"/>
      <c r="AQ91" s="184"/>
      <c r="AR91" s="181"/>
      <c r="AS91" s="588"/>
      <c r="AT91" s="187"/>
      <c r="AU91" s="187"/>
      <c r="AV91" s="184"/>
      <c r="AW91" s="181"/>
      <c r="AX91" s="588"/>
    </row>
    <row r="92" spans="2:50" ht="14.25" customHeight="1">
      <c r="B92" s="586"/>
      <c r="C92" s="179">
        <v>6</v>
      </c>
      <c r="D92" s="182"/>
      <c r="E92" s="179"/>
      <c r="F92" s="179"/>
      <c r="G92" s="184"/>
      <c r="H92" s="588"/>
      <c r="I92" s="185"/>
      <c r="J92" s="185"/>
      <c r="K92" s="186"/>
      <c r="L92" s="589"/>
      <c r="M92" s="185"/>
      <c r="N92" s="586"/>
      <c r="O92" s="586"/>
      <c r="P92" s="187"/>
      <c r="Q92" s="187"/>
      <c r="R92" s="184"/>
      <c r="S92" s="181"/>
      <c r="T92" s="588"/>
      <c r="U92" s="187"/>
      <c r="V92" s="187"/>
      <c r="W92" s="184"/>
      <c r="X92" s="181"/>
      <c r="Y92" s="588"/>
      <c r="Z92" s="187"/>
      <c r="AA92" s="187"/>
      <c r="AB92" s="184"/>
      <c r="AC92" s="181"/>
      <c r="AD92" s="588"/>
      <c r="AE92" s="187"/>
      <c r="AF92" s="187"/>
      <c r="AG92" s="184"/>
      <c r="AH92" s="181"/>
      <c r="AI92" s="588"/>
      <c r="AJ92" s="187"/>
      <c r="AK92" s="187"/>
      <c r="AL92" s="184"/>
      <c r="AM92" s="181"/>
      <c r="AN92" s="588"/>
      <c r="AO92" s="187"/>
      <c r="AP92" s="187"/>
      <c r="AQ92" s="184"/>
      <c r="AR92" s="181"/>
      <c r="AS92" s="588"/>
      <c r="AT92" s="187"/>
      <c r="AU92" s="187"/>
      <c r="AV92" s="184"/>
      <c r="AW92" s="181"/>
      <c r="AX92" s="588"/>
    </row>
    <row r="93" spans="2:50" ht="14.25" customHeight="1">
      <c r="B93" s="586"/>
      <c r="C93" s="179">
        <v>7</v>
      </c>
      <c r="D93" s="182"/>
      <c r="E93" s="179"/>
      <c r="F93" s="179"/>
      <c r="G93" s="184"/>
      <c r="H93" s="588"/>
      <c r="I93" s="185"/>
      <c r="J93" s="185"/>
      <c r="K93" s="186"/>
      <c r="L93" s="589"/>
      <c r="M93" s="185"/>
      <c r="N93" s="586"/>
      <c r="O93" s="586"/>
      <c r="P93" s="187"/>
      <c r="Q93" s="187"/>
      <c r="R93" s="184"/>
      <c r="S93" s="181"/>
      <c r="T93" s="588"/>
      <c r="U93" s="187"/>
      <c r="V93" s="187"/>
      <c r="W93" s="184"/>
      <c r="X93" s="181"/>
      <c r="Y93" s="588"/>
      <c r="Z93" s="187"/>
      <c r="AA93" s="187"/>
      <c r="AB93" s="184"/>
      <c r="AC93" s="181"/>
      <c r="AD93" s="588"/>
      <c r="AE93" s="187"/>
      <c r="AF93" s="187"/>
      <c r="AG93" s="184"/>
      <c r="AH93" s="181"/>
      <c r="AI93" s="588"/>
      <c r="AJ93" s="187"/>
      <c r="AK93" s="187"/>
      <c r="AL93" s="184"/>
      <c r="AM93" s="181"/>
      <c r="AN93" s="588"/>
      <c r="AO93" s="187"/>
      <c r="AP93" s="187"/>
      <c r="AQ93" s="184"/>
      <c r="AR93" s="181"/>
      <c r="AS93" s="588"/>
      <c r="AT93" s="187"/>
      <c r="AU93" s="187"/>
      <c r="AV93" s="184"/>
      <c r="AW93" s="181"/>
      <c r="AX93" s="588"/>
    </row>
    <row r="94" spans="2:50" ht="14.25" customHeight="1">
      <c r="B94" s="586"/>
      <c r="C94" s="179">
        <v>8</v>
      </c>
      <c r="D94" s="182"/>
      <c r="E94" s="179"/>
      <c r="F94" s="179"/>
      <c r="G94" s="184"/>
      <c r="H94" s="588"/>
      <c r="I94" s="185"/>
      <c r="J94" s="185"/>
      <c r="K94" s="186"/>
      <c r="L94" s="589"/>
      <c r="M94" s="185"/>
      <c r="N94" s="586"/>
      <c r="O94" s="586"/>
      <c r="P94" s="187"/>
      <c r="Q94" s="187"/>
      <c r="R94" s="184"/>
      <c r="S94" s="181"/>
      <c r="T94" s="588"/>
      <c r="U94" s="187"/>
      <c r="V94" s="187"/>
      <c r="W94" s="184"/>
      <c r="X94" s="181"/>
      <c r="Y94" s="588"/>
      <c r="Z94" s="187"/>
      <c r="AA94" s="187"/>
      <c r="AB94" s="184"/>
      <c r="AC94" s="181"/>
      <c r="AD94" s="588"/>
      <c r="AE94" s="187"/>
      <c r="AF94" s="187"/>
      <c r="AG94" s="184"/>
      <c r="AH94" s="181"/>
      <c r="AI94" s="588"/>
      <c r="AJ94" s="187"/>
      <c r="AK94" s="187"/>
      <c r="AL94" s="184"/>
      <c r="AM94" s="181"/>
      <c r="AN94" s="588"/>
      <c r="AO94" s="187"/>
      <c r="AP94" s="187"/>
      <c r="AQ94" s="184"/>
      <c r="AR94" s="181"/>
      <c r="AS94" s="588"/>
      <c r="AT94" s="187"/>
      <c r="AU94" s="187"/>
      <c r="AV94" s="184"/>
      <c r="AW94" s="181"/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101"/>
  <sheetViews>
    <sheetView zoomScaleNormal="100" workbookViewId="0">
      <pane xSplit="13" ySplit="1" topLeftCell="N68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49" t="s">
        <v>641</v>
      </c>
      <c r="C1" s="174">
        <f>AVERAGE(L27,L47,L67,L87)</f>
        <v>119.39248251748248</v>
      </c>
    </row>
    <row r="2" spans="1:50" ht="14.25" customHeight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619" t="s">
        <v>403</v>
      </c>
      <c r="C7" s="179">
        <v>1</v>
      </c>
      <c r="D7" s="182" t="s">
        <v>326</v>
      </c>
      <c r="E7" s="183">
        <v>21</v>
      </c>
      <c r="F7" s="179">
        <v>2790</v>
      </c>
      <c r="G7" s="184">
        <f t="shared" ref="G7" si="0">IFERROR(F7/E7,"")</f>
        <v>132.85714285714286</v>
      </c>
      <c r="H7" s="588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89">
        <f>IFERROR(AVERAGE(K7:K21),"-")</f>
        <v>119.39248251748248</v>
      </c>
      <c r="M7" s="185">
        <f>RANK(K7, K$7:$K$21)</f>
        <v>1</v>
      </c>
      <c r="N7" s="586"/>
      <c r="O7" s="586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88">
        <f>AVERAGE(R7:R21)</f>
        <v>119.39248251748251</v>
      </c>
      <c r="U7" s="187">
        <v>22</v>
      </c>
      <c r="V7" s="187">
        <v>2626.6346153846152</v>
      </c>
      <c r="W7" s="184">
        <f t="shared" ref="W7" si="1">IFERROR(V7/U7,"")</f>
        <v>119.39248251748251</v>
      </c>
      <c r="X7" s="181">
        <f>RANK(W7, W$7:W$21)</f>
        <v>1</v>
      </c>
      <c r="Y7" s="588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88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88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88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88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88">
        <f>AVERAGE(AV7:AV21)</f>
        <v>119.39248251748251</v>
      </c>
    </row>
    <row r="8" spans="1:50" ht="14.25" customHeight="1">
      <c r="B8" s="586"/>
      <c r="C8" s="179">
        <v>2</v>
      </c>
      <c r="D8" s="182"/>
      <c r="E8" s="179"/>
      <c r="F8" s="179"/>
      <c r="G8" s="184"/>
      <c r="H8" s="588"/>
      <c r="I8" s="185"/>
      <c r="J8" s="185"/>
      <c r="K8" s="186"/>
      <c r="L8" s="589"/>
      <c r="M8" s="185"/>
      <c r="N8" s="586"/>
      <c r="O8" s="586"/>
      <c r="P8" s="187"/>
      <c r="Q8" s="187"/>
      <c r="R8" s="184"/>
      <c r="S8" s="181"/>
      <c r="T8" s="588"/>
      <c r="U8" s="187"/>
      <c r="V8" s="187"/>
      <c r="W8" s="184"/>
      <c r="X8" s="181"/>
      <c r="Y8" s="588"/>
      <c r="Z8" s="187"/>
      <c r="AA8" s="187"/>
      <c r="AB8" s="184"/>
      <c r="AC8" s="181"/>
      <c r="AD8" s="588"/>
      <c r="AE8" s="187"/>
      <c r="AF8" s="187"/>
      <c r="AG8" s="184"/>
      <c r="AH8" s="181"/>
      <c r="AI8" s="588"/>
      <c r="AJ8" s="187"/>
      <c r="AK8" s="187"/>
      <c r="AL8" s="184"/>
      <c r="AM8" s="181"/>
      <c r="AN8" s="588"/>
      <c r="AO8" s="187"/>
      <c r="AP8" s="187"/>
      <c r="AQ8" s="184"/>
      <c r="AR8" s="181"/>
      <c r="AS8" s="588"/>
      <c r="AT8" s="187"/>
      <c r="AU8" s="187"/>
      <c r="AV8" s="184"/>
      <c r="AW8" s="181"/>
      <c r="AX8" s="588"/>
    </row>
    <row r="9" spans="1:50" ht="14.25" customHeight="1">
      <c r="B9" s="586"/>
      <c r="C9" s="179">
        <v>3</v>
      </c>
      <c r="D9" s="182"/>
      <c r="E9" s="179"/>
      <c r="F9" s="179"/>
      <c r="G9" s="184"/>
      <c r="H9" s="588"/>
      <c r="I9" s="185"/>
      <c r="J9" s="185"/>
      <c r="K9" s="186"/>
      <c r="L9" s="589"/>
      <c r="M9" s="185"/>
      <c r="N9" s="586"/>
      <c r="O9" s="586"/>
      <c r="P9" s="187"/>
      <c r="Q9" s="187"/>
      <c r="R9" s="184"/>
      <c r="S9" s="181"/>
      <c r="T9" s="588"/>
      <c r="U9" s="187"/>
      <c r="V9" s="187"/>
      <c r="W9" s="184"/>
      <c r="X9" s="181"/>
      <c r="Y9" s="588"/>
      <c r="Z9" s="187"/>
      <c r="AA9" s="187"/>
      <c r="AB9" s="184"/>
      <c r="AC9" s="181"/>
      <c r="AD9" s="588"/>
      <c r="AE9" s="187"/>
      <c r="AF9" s="187"/>
      <c r="AG9" s="184"/>
      <c r="AH9" s="181"/>
      <c r="AI9" s="588"/>
      <c r="AJ9" s="187"/>
      <c r="AK9" s="187"/>
      <c r="AL9" s="184"/>
      <c r="AM9" s="181"/>
      <c r="AN9" s="588"/>
      <c r="AO9" s="187"/>
      <c r="AP9" s="187"/>
      <c r="AQ9" s="184"/>
      <c r="AR9" s="181"/>
      <c r="AS9" s="588"/>
      <c r="AT9" s="187"/>
      <c r="AU9" s="187"/>
      <c r="AV9" s="184"/>
      <c r="AW9" s="181"/>
      <c r="AX9" s="588"/>
    </row>
    <row r="10" spans="1:50" ht="14.25" customHeight="1">
      <c r="B10" s="586"/>
      <c r="C10" s="179">
        <v>4</v>
      </c>
      <c r="D10" s="182"/>
      <c r="E10" s="179"/>
      <c r="F10" s="179"/>
      <c r="G10" s="184"/>
      <c r="H10" s="588"/>
      <c r="I10" s="185"/>
      <c r="J10" s="185"/>
      <c r="K10" s="186"/>
      <c r="L10" s="589"/>
      <c r="M10" s="185"/>
      <c r="N10" s="586"/>
      <c r="O10" s="586"/>
      <c r="P10" s="187"/>
      <c r="Q10" s="187"/>
      <c r="R10" s="184"/>
      <c r="S10" s="181"/>
      <c r="T10" s="588"/>
      <c r="U10" s="187"/>
      <c r="V10" s="187"/>
      <c r="W10" s="184"/>
      <c r="X10" s="181"/>
      <c r="Y10" s="588"/>
      <c r="Z10" s="187"/>
      <c r="AA10" s="187"/>
      <c r="AB10" s="184"/>
      <c r="AC10" s="181"/>
      <c r="AD10" s="588"/>
      <c r="AE10" s="187"/>
      <c r="AF10" s="187"/>
      <c r="AG10" s="184"/>
      <c r="AH10" s="181"/>
      <c r="AI10" s="588"/>
      <c r="AJ10" s="187"/>
      <c r="AK10" s="187"/>
      <c r="AL10" s="184"/>
      <c r="AM10" s="181"/>
      <c r="AN10" s="588"/>
      <c r="AO10" s="187"/>
      <c r="AP10" s="187"/>
      <c r="AQ10" s="184"/>
      <c r="AR10" s="181"/>
      <c r="AS10" s="588"/>
      <c r="AT10" s="187"/>
      <c r="AU10" s="187"/>
      <c r="AV10" s="184"/>
      <c r="AW10" s="181"/>
      <c r="AX10" s="588"/>
    </row>
    <row r="11" spans="1:50" ht="14.25" customHeight="1">
      <c r="B11" s="586"/>
      <c r="C11" s="179">
        <v>5</v>
      </c>
      <c r="D11" s="182"/>
      <c r="E11" s="179"/>
      <c r="F11" s="179"/>
      <c r="G11" s="184"/>
      <c r="H11" s="588"/>
      <c r="I11" s="185"/>
      <c r="J11" s="185"/>
      <c r="K11" s="186"/>
      <c r="L11" s="589"/>
      <c r="M11" s="185"/>
      <c r="N11" s="586"/>
      <c r="O11" s="586"/>
      <c r="P11" s="187"/>
      <c r="Q11" s="187"/>
      <c r="R11" s="184"/>
      <c r="S11" s="181"/>
      <c r="T11" s="588"/>
      <c r="U11" s="187"/>
      <c r="V11" s="187"/>
      <c r="W11" s="184"/>
      <c r="X11" s="181"/>
      <c r="Y11" s="588"/>
      <c r="Z11" s="187"/>
      <c r="AA11" s="187"/>
      <c r="AB11" s="184"/>
      <c r="AC11" s="181"/>
      <c r="AD11" s="588"/>
      <c r="AE11" s="187"/>
      <c r="AF11" s="187"/>
      <c r="AG11" s="184"/>
      <c r="AH11" s="181"/>
      <c r="AI11" s="588"/>
      <c r="AJ11" s="187"/>
      <c r="AK11" s="187"/>
      <c r="AL11" s="184"/>
      <c r="AM11" s="181"/>
      <c r="AN11" s="588"/>
      <c r="AO11" s="187"/>
      <c r="AP11" s="187"/>
      <c r="AQ11" s="184"/>
      <c r="AR11" s="181"/>
      <c r="AS11" s="588"/>
      <c r="AT11" s="187"/>
      <c r="AU11" s="187"/>
      <c r="AV11" s="184"/>
      <c r="AW11" s="181"/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619" t="s">
        <v>403</v>
      </c>
      <c r="C27" s="179">
        <v>1</v>
      </c>
      <c r="D27" s="182" t="s">
        <v>326</v>
      </c>
      <c r="E27" s="183">
        <v>21</v>
      </c>
      <c r="F27" s="179">
        <v>2790</v>
      </c>
      <c r="G27" s="184">
        <f t="shared" ref="G27" si="2">IFERROR(F27/E27,"")</f>
        <v>132.85714285714286</v>
      </c>
      <c r="H27" s="588">
        <f>AVERAGE(G27:G41)</f>
        <v>132.85714285714286</v>
      </c>
      <c r="I27" s="185">
        <f>AVERAGE(P27,U27,Z27,AE27,AJ27,AO27,AT27)</f>
        <v>22</v>
      </c>
      <c r="J27" s="185">
        <f>AVERAGE(Q27,V27,AA27,AF27,AK27,AP27,AU27)</f>
        <v>2626.6346153846148</v>
      </c>
      <c r="K27" s="186">
        <f>AVERAGE(R27,W27,AB27,AG27,AL27,AQ27,AV27)</f>
        <v>119.39248251748248</v>
      </c>
      <c r="L27" s="589">
        <f>IFERROR(AVERAGE(K27:K41),"-")</f>
        <v>119.39248251748248</v>
      </c>
      <c r="M27" s="185">
        <f>RANK(K27, K$27:$K$41)</f>
        <v>1</v>
      </c>
      <c r="N27" s="586"/>
      <c r="O27" s="586"/>
      <c r="P27" s="187">
        <v>22</v>
      </c>
      <c r="Q27" s="187">
        <v>2626.6346153846152</v>
      </c>
      <c r="R27" s="184">
        <f>IFERROR(Q27/P27,"")</f>
        <v>119.39248251748251</v>
      </c>
      <c r="S27" s="181">
        <f>RANK(R27, R$27:R$41)</f>
        <v>1</v>
      </c>
      <c r="T27" s="588">
        <f>AVERAGE(R27:R41)</f>
        <v>119.39248251748251</v>
      </c>
      <c r="U27" s="187">
        <v>22</v>
      </c>
      <c r="V27" s="187">
        <v>2626.6346153846152</v>
      </c>
      <c r="W27" s="184">
        <f t="shared" ref="W27" si="3">IFERROR(V27/U27,"")</f>
        <v>119.39248251748251</v>
      </c>
      <c r="X27" s="181">
        <f>RANK(W27, W$27:W$41)</f>
        <v>1</v>
      </c>
      <c r="Y27" s="588">
        <f>AVERAGE(W27:W41)</f>
        <v>119.39248251748251</v>
      </c>
      <c r="Z27" s="187">
        <v>22</v>
      </c>
      <c r="AA27" s="187">
        <v>2626.6346153846152</v>
      </c>
      <c r="AB27" s="184">
        <f>IFERROR(AA27/Z27,"")</f>
        <v>119.39248251748251</v>
      </c>
      <c r="AC27" s="181">
        <f>RANK(AB27, AB$27:AB$41)</f>
        <v>1</v>
      </c>
      <c r="AD27" s="588">
        <f>AVERAGE(AB27:AB41)</f>
        <v>119.39248251748251</v>
      </c>
      <c r="AE27" s="187">
        <v>22</v>
      </c>
      <c r="AF27" s="187">
        <v>2626.6346153846152</v>
      </c>
      <c r="AG27" s="184">
        <f>IFERROR(AF27/AE27,"")</f>
        <v>119.39248251748251</v>
      </c>
      <c r="AH27" s="181">
        <f>RANK(AG27, AG$27:AG$41)</f>
        <v>1</v>
      </c>
      <c r="AI27" s="588">
        <f>AVERAGE(AG27:AG41)</f>
        <v>119.39248251748251</v>
      </c>
      <c r="AJ27" s="187">
        <v>22</v>
      </c>
      <c r="AK27" s="187">
        <v>2626.6346153846152</v>
      </c>
      <c r="AL27" s="184">
        <f>IFERROR(AK27/AJ27,"")</f>
        <v>119.39248251748251</v>
      </c>
      <c r="AM27" s="181">
        <f>RANK(AL27, AL$27:AL$41)</f>
        <v>1</v>
      </c>
      <c r="AN27" s="588">
        <f>AVERAGE(AL27:AL41)</f>
        <v>119.39248251748251</v>
      </c>
      <c r="AO27" s="187">
        <v>22</v>
      </c>
      <c r="AP27" s="187">
        <v>2626.6346153846152</v>
      </c>
      <c r="AQ27" s="184">
        <f>IFERROR(AP27/AO27,"")</f>
        <v>119.39248251748251</v>
      </c>
      <c r="AR27" s="181">
        <f>RANK(AQ27, AQ$27:AQ$41)</f>
        <v>1</v>
      </c>
      <c r="AS27" s="588">
        <f>AVERAGE(AQ27:AQ41)</f>
        <v>119.39248251748251</v>
      </c>
      <c r="AT27" s="187">
        <v>22</v>
      </c>
      <c r="AU27" s="187">
        <v>2626.6346153846152</v>
      </c>
      <c r="AV27" s="184">
        <f>IFERROR(AU27/AT27,"")</f>
        <v>119.39248251748251</v>
      </c>
      <c r="AW27" s="181">
        <f>RANK(AV27, AV$27:AV$41)</f>
        <v>1</v>
      </c>
      <c r="AX27" s="588">
        <f>AVERAGE(AV27:AV41)</f>
        <v>119.39248251748251</v>
      </c>
    </row>
    <row r="28" spans="2:50" ht="14.25" customHeight="1">
      <c r="B28" s="586"/>
      <c r="C28" s="179">
        <v>2</v>
      </c>
      <c r="D28" s="182"/>
      <c r="E28" s="179"/>
      <c r="F28" s="179"/>
      <c r="G28" s="184"/>
      <c r="H28" s="588"/>
      <c r="I28" s="185"/>
      <c r="J28" s="185"/>
      <c r="K28" s="186"/>
      <c r="L28" s="589"/>
      <c r="M28" s="185"/>
      <c r="N28" s="586"/>
      <c r="O28" s="586"/>
      <c r="P28" s="187"/>
      <c r="Q28" s="187"/>
      <c r="R28" s="184"/>
      <c r="S28" s="181"/>
      <c r="T28" s="588"/>
      <c r="U28" s="187"/>
      <c r="V28" s="187"/>
      <c r="W28" s="184"/>
      <c r="X28" s="181"/>
      <c r="Y28" s="588"/>
      <c r="Z28" s="187"/>
      <c r="AA28" s="187"/>
      <c r="AB28" s="184"/>
      <c r="AC28" s="181"/>
      <c r="AD28" s="588"/>
      <c r="AE28" s="187"/>
      <c r="AF28" s="187"/>
      <c r="AG28" s="184"/>
      <c r="AH28" s="181"/>
      <c r="AI28" s="588"/>
      <c r="AJ28" s="187"/>
      <c r="AK28" s="187"/>
      <c r="AL28" s="184"/>
      <c r="AM28" s="181"/>
      <c r="AN28" s="588"/>
      <c r="AO28" s="187"/>
      <c r="AP28" s="187"/>
      <c r="AQ28" s="184"/>
      <c r="AR28" s="181"/>
      <c r="AS28" s="588"/>
      <c r="AT28" s="187"/>
      <c r="AU28" s="187"/>
      <c r="AV28" s="184"/>
      <c r="AW28" s="181"/>
      <c r="AX28" s="588"/>
    </row>
    <row r="29" spans="2:50" ht="14.25" customHeight="1">
      <c r="B29" s="586"/>
      <c r="C29" s="179">
        <v>3</v>
      </c>
      <c r="D29" s="182"/>
      <c r="E29" s="179"/>
      <c r="F29" s="179"/>
      <c r="G29" s="184"/>
      <c r="H29" s="588"/>
      <c r="I29" s="185"/>
      <c r="J29" s="185"/>
      <c r="K29" s="186"/>
      <c r="L29" s="589"/>
      <c r="M29" s="185"/>
      <c r="N29" s="586"/>
      <c r="O29" s="586"/>
      <c r="P29" s="187"/>
      <c r="Q29" s="187"/>
      <c r="R29" s="184"/>
      <c r="S29" s="181"/>
      <c r="T29" s="588"/>
      <c r="U29" s="187"/>
      <c r="V29" s="187"/>
      <c r="W29" s="184"/>
      <c r="X29" s="181"/>
      <c r="Y29" s="588"/>
      <c r="Z29" s="187"/>
      <c r="AA29" s="187"/>
      <c r="AB29" s="184"/>
      <c r="AC29" s="181"/>
      <c r="AD29" s="588"/>
      <c r="AE29" s="187"/>
      <c r="AF29" s="187"/>
      <c r="AG29" s="184"/>
      <c r="AH29" s="181"/>
      <c r="AI29" s="588"/>
      <c r="AJ29" s="187"/>
      <c r="AK29" s="187"/>
      <c r="AL29" s="184"/>
      <c r="AM29" s="181"/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/>
      <c r="E30" s="179"/>
      <c r="F30" s="179"/>
      <c r="G30" s="184"/>
      <c r="H30" s="588"/>
      <c r="I30" s="185"/>
      <c r="J30" s="185"/>
      <c r="K30" s="186"/>
      <c r="L30" s="589"/>
      <c r="M30" s="185"/>
      <c r="N30" s="586"/>
      <c r="O30" s="586"/>
      <c r="P30" s="187"/>
      <c r="Q30" s="187"/>
      <c r="R30" s="184"/>
      <c r="S30" s="181"/>
      <c r="T30" s="588"/>
      <c r="U30" s="187"/>
      <c r="V30" s="187"/>
      <c r="W30" s="184"/>
      <c r="X30" s="181"/>
      <c r="Y30" s="588"/>
      <c r="Z30" s="187"/>
      <c r="AA30" s="187"/>
      <c r="AB30" s="184"/>
      <c r="AC30" s="181"/>
      <c r="AD30" s="588"/>
      <c r="AE30" s="187"/>
      <c r="AF30" s="187"/>
      <c r="AG30" s="184"/>
      <c r="AH30" s="181"/>
      <c r="AI30" s="588"/>
      <c r="AJ30" s="187"/>
      <c r="AK30" s="187"/>
      <c r="AL30" s="184"/>
      <c r="AM30" s="181"/>
      <c r="AN30" s="588"/>
      <c r="AO30" s="187"/>
      <c r="AP30" s="187"/>
      <c r="AQ30" s="184"/>
      <c r="AR30" s="181"/>
      <c r="AS30" s="588"/>
      <c r="AT30" s="187"/>
      <c r="AU30" s="187"/>
      <c r="AV30" s="184"/>
      <c r="AW30" s="181"/>
      <c r="AX30" s="588"/>
    </row>
    <row r="31" spans="2:50" ht="14.25" customHeight="1">
      <c r="B31" s="586"/>
      <c r="C31" s="179">
        <v>5</v>
      </c>
      <c r="D31" s="182"/>
      <c r="E31" s="179"/>
      <c r="F31" s="179"/>
      <c r="G31" s="184"/>
      <c r="H31" s="588"/>
      <c r="I31" s="185"/>
      <c r="J31" s="185"/>
      <c r="K31" s="186"/>
      <c r="L31" s="589"/>
      <c r="M31" s="185"/>
      <c r="N31" s="586"/>
      <c r="O31" s="586"/>
      <c r="P31" s="187"/>
      <c r="Q31" s="187"/>
      <c r="R31" s="184"/>
      <c r="S31" s="181"/>
      <c r="T31" s="588"/>
      <c r="U31" s="187"/>
      <c r="V31" s="187"/>
      <c r="W31" s="184"/>
      <c r="X31" s="181"/>
      <c r="Y31" s="588"/>
      <c r="Z31" s="187"/>
      <c r="AA31" s="187"/>
      <c r="AB31" s="184"/>
      <c r="AC31" s="181"/>
      <c r="AD31" s="588"/>
      <c r="AE31" s="187"/>
      <c r="AF31" s="187"/>
      <c r="AG31" s="184"/>
      <c r="AH31" s="181"/>
      <c r="AI31" s="588"/>
      <c r="AJ31" s="187"/>
      <c r="AK31" s="187"/>
      <c r="AL31" s="184"/>
      <c r="AM31" s="181"/>
      <c r="AN31" s="588"/>
      <c r="AO31" s="187"/>
      <c r="AP31" s="187"/>
      <c r="AQ31" s="184"/>
      <c r="AR31" s="181"/>
      <c r="AS31" s="588"/>
      <c r="AT31" s="187"/>
      <c r="AU31" s="187"/>
      <c r="AV31" s="184"/>
      <c r="AW31" s="181"/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619" t="s">
        <v>403</v>
      </c>
      <c r="C47" s="179">
        <v>1</v>
      </c>
      <c r="D47" s="182" t="s">
        <v>326</v>
      </c>
      <c r="E47" s="183">
        <v>21</v>
      </c>
      <c r="F47" s="179">
        <v>2790</v>
      </c>
      <c r="G47" s="184">
        <f t="shared" ref="G47" si="4">IFERROR(F47/E47,"")</f>
        <v>132.85714285714286</v>
      </c>
      <c r="H47" s="588">
        <f>AVERAGE(G47:G61)</f>
        <v>132.85714285714286</v>
      </c>
      <c r="I47" s="185">
        <f>AVERAGE(P47,U47,Z47,AE47,AJ47,AO47,AT47)</f>
        <v>22</v>
      </c>
      <c r="J47" s="185">
        <f>AVERAGE(Q47,V47,AA47,AF47,AK47,AP47,AU47)</f>
        <v>2626.6346153846148</v>
      </c>
      <c r="K47" s="186">
        <f>AVERAGE(R47,W47,AB47,AG47,AL47,AQ47,AV47)</f>
        <v>119.39248251748248</v>
      </c>
      <c r="L47" s="589">
        <f>IFERROR(AVERAGE(K47:K61),"-")</f>
        <v>119.39248251748248</v>
      </c>
      <c r="M47" s="185">
        <f>RANK(K47, K$47:$K$61)</f>
        <v>1</v>
      </c>
      <c r="N47" s="586"/>
      <c r="O47" s="586"/>
      <c r="P47" s="187">
        <v>22</v>
      </c>
      <c r="Q47" s="187">
        <v>2626.6346153846152</v>
      </c>
      <c r="R47" s="184">
        <f>IFERROR(Q47/P47,"")</f>
        <v>119.39248251748251</v>
      </c>
      <c r="S47" s="181">
        <f>RANK(R47, R$47:R$61)</f>
        <v>1</v>
      </c>
      <c r="T47" s="588">
        <f>AVERAGE(R47:R61)</f>
        <v>119.39248251748251</v>
      </c>
      <c r="U47" s="187">
        <v>22</v>
      </c>
      <c r="V47" s="187">
        <v>2626.6346153846152</v>
      </c>
      <c r="W47" s="184">
        <f t="shared" ref="W47" si="5">IFERROR(V47/U47,"")</f>
        <v>119.39248251748251</v>
      </c>
      <c r="X47" s="181">
        <f>RANK(W47, W$47:W$61)</f>
        <v>1</v>
      </c>
      <c r="Y47" s="588">
        <f>AVERAGE(W47:W61)</f>
        <v>119.39248251748251</v>
      </c>
      <c r="Z47" s="187">
        <v>22</v>
      </c>
      <c r="AA47" s="187">
        <v>2626.6346153846152</v>
      </c>
      <c r="AB47" s="184">
        <f>IFERROR(AA47/Z47,"")</f>
        <v>119.39248251748251</v>
      </c>
      <c r="AC47" s="181">
        <f>RANK(AB47, AB$47:AB$61)</f>
        <v>1</v>
      </c>
      <c r="AD47" s="588">
        <f>AVERAGE(AB47:AB61)</f>
        <v>119.39248251748251</v>
      </c>
      <c r="AE47" s="187">
        <v>22</v>
      </c>
      <c r="AF47" s="187">
        <v>2626.6346153846152</v>
      </c>
      <c r="AG47" s="184">
        <f>IFERROR(AF47/AE47,"")</f>
        <v>119.39248251748251</v>
      </c>
      <c r="AH47" s="181">
        <f>RANK(AG47, AG$47:AG$61)</f>
        <v>1</v>
      </c>
      <c r="AI47" s="588">
        <f>AVERAGE(AG47:AG61)</f>
        <v>119.39248251748251</v>
      </c>
      <c r="AJ47" s="187">
        <v>22</v>
      </c>
      <c r="AK47" s="187">
        <v>2626.6346153846152</v>
      </c>
      <c r="AL47" s="184">
        <f>IFERROR(AK47/AJ47,"")</f>
        <v>119.39248251748251</v>
      </c>
      <c r="AM47" s="181">
        <f>RANK(AL47, AL$47:AL$61)</f>
        <v>1</v>
      </c>
      <c r="AN47" s="588">
        <f>AVERAGE(AL47:AL61)</f>
        <v>119.39248251748251</v>
      </c>
      <c r="AO47" s="187">
        <v>22</v>
      </c>
      <c r="AP47" s="187">
        <v>2626.6346153846152</v>
      </c>
      <c r="AQ47" s="184">
        <f>IFERROR(AP47/AO47,"")</f>
        <v>119.39248251748251</v>
      </c>
      <c r="AR47" s="181">
        <f>RANK(AQ47, AQ$47:AQ$61)</f>
        <v>1</v>
      </c>
      <c r="AS47" s="588">
        <f>AVERAGE(AQ47:AQ61)</f>
        <v>119.39248251748251</v>
      </c>
      <c r="AT47" s="187">
        <v>22</v>
      </c>
      <c r="AU47" s="187">
        <v>2626.6346153846152</v>
      </c>
      <c r="AV47" s="184">
        <f>IFERROR(AU47/AT47,"")</f>
        <v>119.39248251748251</v>
      </c>
      <c r="AW47" s="181">
        <f>RANK(AV47, AV$47:AV$61)</f>
        <v>1</v>
      </c>
      <c r="AX47" s="588">
        <f>AVERAGE(AV47:AV61)</f>
        <v>119.39248251748251</v>
      </c>
    </row>
    <row r="48" spans="2:50" ht="14.25" customHeight="1">
      <c r="B48" s="586"/>
      <c r="C48" s="179">
        <v>2</v>
      </c>
      <c r="D48" s="182"/>
      <c r="E48" s="179"/>
      <c r="F48" s="179"/>
      <c r="G48" s="184"/>
      <c r="H48" s="588"/>
      <c r="I48" s="185"/>
      <c r="J48" s="185"/>
      <c r="K48" s="186"/>
      <c r="L48" s="589"/>
      <c r="M48" s="185"/>
      <c r="N48" s="586"/>
      <c r="O48" s="586"/>
      <c r="P48" s="187"/>
      <c r="Q48" s="187"/>
      <c r="R48" s="184"/>
      <c r="S48" s="181"/>
      <c r="T48" s="588"/>
      <c r="U48" s="187"/>
      <c r="V48" s="187"/>
      <c r="W48" s="184"/>
      <c r="X48" s="181"/>
      <c r="Y48" s="588"/>
      <c r="Z48" s="187"/>
      <c r="AA48" s="187"/>
      <c r="AB48" s="184"/>
      <c r="AC48" s="181"/>
      <c r="AD48" s="588"/>
      <c r="AE48" s="187"/>
      <c r="AF48" s="187"/>
      <c r="AG48" s="184"/>
      <c r="AH48" s="181"/>
      <c r="AI48" s="588"/>
      <c r="AJ48" s="187"/>
      <c r="AK48" s="187"/>
      <c r="AL48" s="184"/>
      <c r="AM48" s="181"/>
      <c r="AN48" s="588"/>
      <c r="AO48" s="187"/>
      <c r="AP48" s="187"/>
      <c r="AQ48" s="184"/>
      <c r="AR48" s="181"/>
      <c r="AS48" s="588"/>
      <c r="AT48" s="187"/>
      <c r="AU48" s="187"/>
      <c r="AV48" s="184"/>
      <c r="AW48" s="181"/>
      <c r="AX48" s="588"/>
    </row>
    <row r="49" spans="2:50" ht="14.25" customHeight="1">
      <c r="B49" s="586"/>
      <c r="C49" s="179">
        <v>3</v>
      </c>
      <c r="D49" s="182"/>
      <c r="E49" s="179"/>
      <c r="F49" s="179"/>
      <c r="G49" s="184"/>
      <c r="H49" s="588"/>
      <c r="I49" s="185"/>
      <c r="J49" s="185"/>
      <c r="K49" s="186"/>
      <c r="L49" s="589"/>
      <c r="M49" s="185"/>
      <c r="N49" s="586"/>
      <c r="O49" s="586"/>
      <c r="P49" s="187"/>
      <c r="Q49" s="187"/>
      <c r="R49" s="184"/>
      <c r="S49" s="181"/>
      <c r="T49" s="588"/>
      <c r="U49" s="187"/>
      <c r="V49" s="187"/>
      <c r="W49" s="184"/>
      <c r="X49" s="181"/>
      <c r="Y49" s="588"/>
      <c r="Z49" s="187"/>
      <c r="AA49" s="187"/>
      <c r="AB49" s="184"/>
      <c r="AC49" s="181"/>
      <c r="AD49" s="588"/>
      <c r="AE49" s="187"/>
      <c r="AF49" s="187"/>
      <c r="AG49" s="184"/>
      <c r="AH49" s="181"/>
      <c r="AI49" s="588"/>
      <c r="AJ49" s="187"/>
      <c r="AK49" s="187"/>
      <c r="AL49" s="184"/>
      <c r="AM49" s="181"/>
      <c r="AN49" s="588"/>
      <c r="AO49" s="187"/>
      <c r="AP49" s="187"/>
      <c r="AQ49" s="184"/>
      <c r="AR49" s="181"/>
      <c r="AS49" s="588"/>
      <c r="AT49" s="187"/>
      <c r="AU49" s="187"/>
      <c r="AV49" s="184"/>
      <c r="AW49" s="181"/>
      <c r="AX49" s="588"/>
    </row>
    <row r="50" spans="2:50" ht="14.25" customHeight="1">
      <c r="B50" s="586"/>
      <c r="C50" s="179">
        <v>4</v>
      </c>
      <c r="D50" s="182"/>
      <c r="E50" s="179"/>
      <c r="F50" s="179"/>
      <c r="G50" s="184"/>
      <c r="H50" s="588"/>
      <c r="I50" s="185"/>
      <c r="J50" s="185"/>
      <c r="K50" s="186"/>
      <c r="L50" s="589"/>
      <c r="M50" s="185"/>
      <c r="N50" s="586"/>
      <c r="O50" s="586"/>
      <c r="P50" s="187"/>
      <c r="Q50" s="187"/>
      <c r="R50" s="184"/>
      <c r="S50" s="181"/>
      <c r="T50" s="588"/>
      <c r="U50" s="187"/>
      <c r="V50" s="187"/>
      <c r="W50" s="184"/>
      <c r="X50" s="181"/>
      <c r="Y50" s="588"/>
      <c r="Z50" s="187"/>
      <c r="AA50" s="187"/>
      <c r="AB50" s="184"/>
      <c r="AC50" s="181"/>
      <c r="AD50" s="588"/>
      <c r="AE50" s="187"/>
      <c r="AF50" s="187"/>
      <c r="AG50" s="184"/>
      <c r="AH50" s="181"/>
      <c r="AI50" s="588"/>
      <c r="AJ50" s="187"/>
      <c r="AK50" s="187"/>
      <c r="AL50" s="184"/>
      <c r="AM50" s="181"/>
      <c r="AN50" s="588"/>
      <c r="AO50" s="187"/>
      <c r="AP50" s="187"/>
      <c r="AQ50" s="184"/>
      <c r="AR50" s="181"/>
      <c r="AS50" s="588"/>
      <c r="AT50" s="187"/>
      <c r="AU50" s="187"/>
      <c r="AV50" s="184"/>
      <c r="AW50" s="181"/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619" t="s">
        <v>403</v>
      </c>
      <c r="C67" s="179">
        <v>1</v>
      </c>
      <c r="D67" s="182" t="s">
        <v>326</v>
      </c>
      <c r="E67" s="183">
        <v>21</v>
      </c>
      <c r="F67" s="179">
        <v>2790</v>
      </c>
      <c r="G67" s="184">
        <f t="shared" ref="G67" si="6">IFERROR(F67/E67,"")</f>
        <v>132.85714285714286</v>
      </c>
      <c r="H67" s="588">
        <f>AVERAGE(G67:G81)</f>
        <v>132.85714285714286</v>
      </c>
      <c r="I67" s="185">
        <f>AVERAGE(P67,U67,Z67,AE67,AJ67,AO67,AT67)</f>
        <v>22</v>
      </c>
      <c r="J67" s="185">
        <f>AVERAGE(Q67,V67,AA67,AF67,AK67,AP67,AU67)</f>
        <v>2626.6346153846148</v>
      </c>
      <c r="K67" s="186">
        <f>AVERAGE(R67,W67,AB67,AG67,AL67,AQ67,AV67)</f>
        <v>119.39248251748248</v>
      </c>
      <c r="L67" s="589">
        <f>IFERROR(AVERAGE(K67:K81),"-")</f>
        <v>119.39248251748248</v>
      </c>
      <c r="M67" s="185">
        <f>RANK(K67, K$67:$K$81)</f>
        <v>1</v>
      </c>
      <c r="N67" s="586"/>
      <c r="O67" s="586"/>
      <c r="P67" s="187">
        <v>22</v>
      </c>
      <c r="Q67" s="187">
        <v>2626.6346153846152</v>
      </c>
      <c r="R67" s="184">
        <f>IFERROR(Q67/P67,"")</f>
        <v>119.39248251748251</v>
      </c>
      <c r="S67" s="181">
        <f>RANK(R67, R$67:R$81)</f>
        <v>1</v>
      </c>
      <c r="T67" s="588">
        <f>AVERAGE(R67:R81)</f>
        <v>119.39248251748251</v>
      </c>
      <c r="U67" s="187">
        <v>22</v>
      </c>
      <c r="V67" s="187">
        <v>2626.6346153846152</v>
      </c>
      <c r="W67" s="184">
        <f t="shared" ref="W67" si="7">IFERROR(V67/U67,"")</f>
        <v>119.39248251748251</v>
      </c>
      <c r="X67" s="181">
        <f>RANK(W67, W$67:W$81)</f>
        <v>1</v>
      </c>
      <c r="Y67" s="588">
        <f>AVERAGE(W67:W81)</f>
        <v>119.39248251748251</v>
      </c>
      <c r="Z67" s="187">
        <v>22</v>
      </c>
      <c r="AA67" s="187">
        <v>2626.6346153846152</v>
      </c>
      <c r="AB67" s="184">
        <f>IFERROR(AA67/Z67,"")</f>
        <v>119.39248251748251</v>
      </c>
      <c r="AC67" s="181">
        <f>RANK(AB67, AB$67:AB$81)</f>
        <v>1</v>
      </c>
      <c r="AD67" s="588">
        <f>AVERAGE(AB67:AB81)</f>
        <v>119.39248251748251</v>
      </c>
      <c r="AE67" s="187">
        <v>22</v>
      </c>
      <c r="AF67" s="187">
        <v>2626.6346153846152</v>
      </c>
      <c r="AG67" s="184">
        <f>IFERROR(AF67/AE67,"")</f>
        <v>119.39248251748251</v>
      </c>
      <c r="AH67" s="181">
        <f>RANK(AG67, AG$67:AG$81)</f>
        <v>1</v>
      </c>
      <c r="AI67" s="588">
        <f>AVERAGE(AG67:AG81)</f>
        <v>119.39248251748251</v>
      </c>
      <c r="AJ67" s="187">
        <v>22</v>
      </c>
      <c r="AK67" s="187">
        <v>2626.6346153846152</v>
      </c>
      <c r="AL67" s="184">
        <f>IFERROR(AK67/AJ67,"")</f>
        <v>119.39248251748251</v>
      </c>
      <c r="AM67" s="181">
        <f>RANK(AL67, AL$67:AL$81)</f>
        <v>1</v>
      </c>
      <c r="AN67" s="588">
        <f>AVERAGE(AL67:AL81)</f>
        <v>119.39248251748251</v>
      </c>
      <c r="AO67" s="187">
        <v>22</v>
      </c>
      <c r="AP67" s="187">
        <v>2626.6346153846152</v>
      </c>
      <c r="AQ67" s="184">
        <f>IFERROR(AP67/AO67,"")</f>
        <v>119.39248251748251</v>
      </c>
      <c r="AR67" s="181">
        <f>RANK(AQ67, AQ$67:AQ$81)</f>
        <v>1</v>
      </c>
      <c r="AS67" s="588">
        <f>AVERAGE(AQ67:AQ81)</f>
        <v>119.39248251748251</v>
      </c>
      <c r="AT67" s="187">
        <v>22</v>
      </c>
      <c r="AU67" s="187">
        <v>2626.6346153846152</v>
      </c>
      <c r="AV67" s="184">
        <f>IFERROR(AU67/AT67,"")</f>
        <v>119.39248251748251</v>
      </c>
      <c r="AW67" s="181">
        <f>RANK(AV67, AV$67:AV$81)</f>
        <v>1</v>
      </c>
      <c r="AX67" s="588">
        <f>AVERAGE(AV67:AV81)</f>
        <v>119.39248251748251</v>
      </c>
    </row>
    <row r="68" spans="2:50" ht="14.25" customHeight="1">
      <c r="B68" s="586"/>
      <c r="C68" s="179">
        <v>2</v>
      </c>
      <c r="D68" s="182"/>
      <c r="E68" s="179"/>
      <c r="F68" s="179"/>
      <c r="G68" s="184"/>
      <c r="H68" s="588"/>
      <c r="I68" s="185"/>
      <c r="J68" s="185"/>
      <c r="K68" s="186"/>
      <c r="L68" s="589"/>
      <c r="M68" s="185"/>
      <c r="N68" s="586"/>
      <c r="O68" s="586"/>
      <c r="P68" s="187"/>
      <c r="Q68" s="187"/>
      <c r="R68" s="184"/>
      <c r="S68" s="181"/>
      <c r="T68" s="588"/>
      <c r="U68" s="187"/>
      <c r="V68" s="187"/>
      <c r="W68" s="184"/>
      <c r="X68" s="181"/>
      <c r="Y68" s="588"/>
      <c r="Z68" s="187"/>
      <c r="AA68" s="187"/>
      <c r="AB68" s="184"/>
      <c r="AC68" s="181"/>
      <c r="AD68" s="588"/>
      <c r="AE68" s="187"/>
      <c r="AF68" s="187"/>
      <c r="AG68" s="184"/>
      <c r="AH68" s="181"/>
      <c r="AI68" s="588"/>
      <c r="AJ68" s="187"/>
      <c r="AK68" s="187"/>
      <c r="AL68" s="184"/>
      <c r="AM68" s="181"/>
      <c r="AN68" s="588"/>
      <c r="AO68" s="187"/>
      <c r="AP68" s="187"/>
      <c r="AQ68" s="184"/>
      <c r="AR68" s="181"/>
      <c r="AS68" s="588"/>
      <c r="AT68" s="187"/>
      <c r="AU68" s="187"/>
      <c r="AV68" s="184"/>
      <c r="AW68" s="181"/>
      <c r="AX68" s="588"/>
    </row>
    <row r="69" spans="2:50" ht="14.25" customHeight="1">
      <c r="B69" s="586"/>
      <c r="C69" s="179">
        <v>3</v>
      </c>
      <c r="D69" s="182"/>
      <c r="E69" s="179"/>
      <c r="F69" s="179"/>
      <c r="G69" s="184"/>
      <c r="H69" s="588"/>
      <c r="I69" s="185"/>
      <c r="J69" s="185"/>
      <c r="K69" s="186"/>
      <c r="L69" s="589"/>
      <c r="M69" s="185"/>
      <c r="N69" s="586"/>
      <c r="O69" s="586"/>
      <c r="P69" s="187"/>
      <c r="Q69" s="187"/>
      <c r="R69" s="184"/>
      <c r="S69" s="181"/>
      <c r="T69" s="588"/>
      <c r="U69" s="187"/>
      <c r="V69" s="187"/>
      <c r="W69" s="184"/>
      <c r="X69" s="181"/>
      <c r="Y69" s="588"/>
      <c r="Z69" s="187"/>
      <c r="AA69" s="187"/>
      <c r="AB69" s="184"/>
      <c r="AC69" s="181"/>
      <c r="AD69" s="588"/>
      <c r="AE69" s="187"/>
      <c r="AF69" s="187"/>
      <c r="AG69" s="184"/>
      <c r="AH69" s="181"/>
      <c r="AI69" s="588"/>
      <c r="AJ69" s="187"/>
      <c r="AK69" s="187"/>
      <c r="AL69" s="184"/>
      <c r="AM69" s="181"/>
      <c r="AN69" s="588"/>
      <c r="AO69" s="187"/>
      <c r="AP69" s="187"/>
      <c r="AQ69" s="184"/>
      <c r="AR69" s="181"/>
      <c r="AS69" s="588"/>
      <c r="AT69" s="187"/>
      <c r="AU69" s="187"/>
      <c r="AV69" s="184"/>
      <c r="AW69" s="181"/>
      <c r="AX69" s="588"/>
    </row>
    <row r="70" spans="2:50" ht="14.25" customHeight="1">
      <c r="B70" s="586"/>
      <c r="C70" s="179">
        <v>4</v>
      </c>
      <c r="D70" s="182"/>
      <c r="E70" s="179"/>
      <c r="F70" s="179"/>
      <c r="G70" s="184"/>
      <c r="H70" s="588"/>
      <c r="I70" s="185"/>
      <c r="J70" s="185"/>
      <c r="K70" s="186"/>
      <c r="L70" s="589"/>
      <c r="M70" s="185"/>
      <c r="N70" s="586"/>
      <c r="O70" s="586"/>
      <c r="P70" s="187"/>
      <c r="Q70" s="187"/>
      <c r="R70" s="184"/>
      <c r="S70" s="181"/>
      <c r="T70" s="588"/>
      <c r="U70" s="187"/>
      <c r="V70" s="187"/>
      <c r="W70" s="184"/>
      <c r="X70" s="181"/>
      <c r="Y70" s="588"/>
      <c r="Z70" s="187"/>
      <c r="AA70" s="187"/>
      <c r="AB70" s="184"/>
      <c r="AC70" s="181"/>
      <c r="AD70" s="588"/>
      <c r="AE70" s="187"/>
      <c r="AF70" s="187"/>
      <c r="AG70" s="184"/>
      <c r="AH70" s="181"/>
      <c r="AI70" s="588"/>
      <c r="AJ70" s="187"/>
      <c r="AK70" s="187"/>
      <c r="AL70" s="184"/>
      <c r="AM70" s="181"/>
      <c r="AN70" s="588"/>
      <c r="AO70" s="187"/>
      <c r="AP70" s="187"/>
      <c r="AQ70" s="184"/>
      <c r="AR70" s="181"/>
      <c r="AS70" s="588"/>
      <c r="AT70" s="187"/>
      <c r="AU70" s="187"/>
      <c r="AV70" s="184"/>
      <c r="AW70" s="181"/>
      <c r="AX70" s="588"/>
    </row>
    <row r="71" spans="2:50" ht="14.25" customHeight="1">
      <c r="B71" s="586"/>
      <c r="C71" s="179">
        <v>5</v>
      </c>
      <c r="D71" s="182"/>
      <c r="E71" s="179"/>
      <c r="F71" s="179"/>
      <c r="G71" s="184"/>
      <c r="H71" s="588"/>
      <c r="I71" s="185"/>
      <c r="J71" s="185"/>
      <c r="K71" s="186"/>
      <c r="L71" s="589"/>
      <c r="M71" s="185"/>
      <c r="N71" s="586"/>
      <c r="O71" s="586"/>
      <c r="P71" s="187"/>
      <c r="Q71" s="187"/>
      <c r="R71" s="184"/>
      <c r="S71" s="181"/>
      <c r="T71" s="588"/>
      <c r="U71" s="187"/>
      <c r="V71" s="187"/>
      <c r="W71" s="184"/>
      <c r="X71" s="181"/>
      <c r="Y71" s="588"/>
      <c r="Z71" s="187"/>
      <c r="AA71" s="187"/>
      <c r="AB71" s="184"/>
      <c r="AC71" s="181"/>
      <c r="AD71" s="588"/>
      <c r="AE71" s="187"/>
      <c r="AF71" s="187"/>
      <c r="AG71" s="184"/>
      <c r="AH71" s="181"/>
      <c r="AI71" s="588"/>
      <c r="AJ71" s="187"/>
      <c r="AK71" s="187"/>
      <c r="AL71" s="184"/>
      <c r="AM71" s="181"/>
      <c r="AN71" s="588"/>
      <c r="AO71" s="187"/>
      <c r="AP71" s="187"/>
      <c r="AQ71" s="184"/>
      <c r="AR71" s="181"/>
      <c r="AS71" s="588"/>
      <c r="AT71" s="187"/>
      <c r="AU71" s="187"/>
      <c r="AV71" s="184"/>
      <c r="AW71" s="181"/>
      <c r="AX71" s="588"/>
    </row>
    <row r="72" spans="2:50" ht="14.25" customHeight="1">
      <c r="B72" s="586"/>
      <c r="C72" s="179">
        <v>6</v>
      </c>
      <c r="D72" s="182"/>
      <c r="E72" s="179"/>
      <c r="F72" s="179"/>
      <c r="G72" s="184"/>
      <c r="H72" s="588"/>
      <c r="I72" s="185"/>
      <c r="J72" s="185"/>
      <c r="K72" s="186"/>
      <c r="L72" s="589"/>
      <c r="M72" s="185"/>
      <c r="N72" s="586"/>
      <c r="O72" s="586"/>
      <c r="P72" s="187"/>
      <c r="Q72" s="187"/>
      <c r="R72" s="184"/>
      <c r="S72" s="181"/>
      <c r="T72" s="588"/>
      <c r="U72" s="187"/>
      <c r="V72" s="187"/>
      <c r="W72" s="184"/>
      <c r="X72" s="181"/>
      <c r="Y72" s="588"/>
      <c r="Z72" s="187"/>
      <c r="AA72" s="187"/>
      <c r="AB72" s="184"/>
      <c r="AC72" s="181"/>
      <c r="AD72" s="588"/>
      <c r="AE72" s="187"/>
      <c r="AF72" s="187"/>
      <c r="AG72" s="184"/>
      <c r="AH72" s="181"/>
      <c r="AI72" s="588"/>
      <c r="AJ72" s="187"/>
      <c r="AK72" s="187"/>
      <c r="AL72" s="184"/>
      <c r="AM72" s="181"/>
      <c r="AN72" s="588"/>
      <c r="AO72" s="187"/>
      <c r="AP72" s="187"/>
      <c r="AQ72" s="184"/>
      <c r="AR72" s="181"/>
      <c r="AS72" s="588"/>
      <c r="AT72" s="187"/>
      <c r="AU72" s="187"/>
      <c r="AV72" s="184"/>
      <c r="AW72" s="181"/>
      <c r="AX72" s="588"/>
    </row>
    <row r="73" spans="2:50" ht="14.25" customHeight="1">
      <c r="B73" s="586"/>
      <c r="C73" s="179">
        <v>7</v>
      </c>
      <c r="D73" s="182"/>
      <c r="E73" s="179"/>
      <c r="F73" s="179"/>
      <c r="G73" s="184"/>
      <c r="H73" s="588"/>
      <c r="I73" s="185"/>
      <c r="J73" s="185"/>
      <c r="K73" s="186"/>
      <c r="L73" s="589"/>
      <c r="M73" s="185"/>
      <c r="N73" s="586"/>
      <c r="O73" s="586"/>
      <c r="P73" s="187"/>
      <c r="Q73" s="187"/>
      <c r="R73" s="184"/>
      <c r="S73" s="181"/>
      <c r="T73" s="588"/>
      <c r="U73" s="187"/>
      <c r="V73" s="187"/>
      <c r="W73" s="184"/>
      <c r="X73" s="181"/>
      <c r="Y73" s="588"/>
      <c r="Z73" s="187"/>
      <c r="AA73" s="187"/>
      <c r="AB73" s="184"/>
      <c r="AC73" s="181"/>
      <c r="AD73" s="588"/>
      <c r="AE73" s="187"/>
      <c r="AF73" s="187"/>
      <c r="AG73" s="184"/>
      <c r="AH73" s="181"/>
      <c r="AI73" s="588"/>
      <c r="AJ73" s="187"/>
      <c r="AK73" s="187"/>
      <c r="AL73" s="184"/>
      <c r="AM73" s="181"/>
      <c r="AN73" s="588"/>
      <c r="AO73" s="187"/>
      <c r="AP73" s="187"/>
      <c r="AQ73" s="184"/>
      <c r="AR73" s="181"/>
      <c r="AS73" s="588"/>
      <c r="AT73" s="187"/>
      <c r="AU73" s="187"/>
      <c r="AV73" s="184"/>
      <c r="AW73" s="181"/>
      <c r="AX73" s="588"/>
    </row>
    <row r="74" spans="2:50" ht="14.25" customHeight="1">
      <c r="B74" s="586"/>
      <c r="C74" s="179">
        <v>8</v>
      </c>
      <c r="D74" s="182"/>
      <c r="E74" s="179"/>
      <c r="F74" s="179"/>
      <c r="G74" s="184"/>
      <c r="H74" s="588"/>
      <c r="I74" s="185"/>
      <c r="J74" s="185"/>
      <c r="K74" s="186"/>
      <c r="L74" s="589"/>
      <c r="M74" s="185"/>
      <c r="N74" s="586"/>
      <c r="O74" s="586"/>
      <c r="P74" s="187"/>
      <c r="Q74" s="187"/>
      <c r="R74" s="184"/>
      <c r="S74" s="181"/>
      <c r="T74" s="588"/>
      <c r="U74" s="187"/>
      <c r="V74" s="187"/>
      <c r="W74" s="184"/>
      <c r="X74" s="181"/>
      <c r="Y74" s="588"/>
      <c r="Z74" s="187"/>
      <c r="AA74" s="187"/>
      <c r="AB74" s="184"/>
      <c r="AC74" s="181"/>
      <c r="AD74" s="588"/>
      <c r="AE74" s="187"/>
      <c r="AF74" s="187"/>
      <c r="AG74" s="184"/>
      <c r="AH74" s="181"/>
      <c r="AI74" s="588"/>
      <c r="AJ74" s="187"/>
      <c r="AK74" s="187"/>
      <c r="AL74" s="184"/>
      <c r="AM74" s="181"/>
      <c r="AN74" s="588"/>
      <c r="AO74" s="187"/>
      <c r="AP74" s="187"/>
      <c r="AQ74" s="184"/>
      <c r="AR74" s="181"/>
      <c r="AS74" s="588"/>
      <c r="AT74" s="187"/>
      <c r="AU74" s="187"/>
      <c r="AV74" s="184"/>
      <c r="AW74" s="181"/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619" t="s">
        <v>403</v>
      </c>
      <c r="C87" s="179">
        <v>1</v>
      </c>
      <c r="D87" s="182" t="s">
        <v>326</v>
      </c>
      <c r="E87" s="183">
        <v>21</v>
      </c>
      <c r="F87" s="179">
        <v>2790</v>
      </c>
      <c r="G87" s="184">
        <f t="shared" ref="G87" si="8">IFERROR(F87/E87,"")</f>
        <v>132.85714285714286</v>
      </c>
      <c r="H87" s="588">
        <f>AVERAGE(G87:G101)</f>
        <v>132.85714285714286</v>
      </c>
      <c r="I87" s="185">
        <f>AVERAGE(P87,U87,Z87,AE87,AJ87,AO87,AT87)</f>
        <v>22</v>
      </c>
      <c r="J87" s="185">
        <f>AVERAGE(Q87,V87,AA87,AF87,AK87,AP87,AU87)</f>
        <v>2626.6346153846148</v>
      </c>
      <c r="K87" s="186">
        <f>AVERAGE(R87,W87,AB87,AG87,AL87,AQ87,AV87)</f>
        <v>119.39248251748248</v>
      </c>
      <c r="L87" s="589">
        <f>IFERROR(AVERAGE(K87:K101),"-")</f>
        <v>119.39248251748248</v>
      </c>
      <c r="M87" s="185">
        <f>RANK(K87, K$87:$K$101)</f>
        <v>1</v>
      </c>
      <c r="N87" s="586"/>
      <c r="O87" s="586"/>
      <c r="P87" s="187">
        <v>22</v>
      </c>
      <c r="Q87" s="187">
        <v>2626.6346153846152</v>
      </c>
      <c r="R87" s="184">
        <f>IFERROR(Q87/P87,"")</f>
        <v>119.39248251748251</v>
      </c>
      <c r="S87" s="181">
        <f>RANK(R87, R$87:R$101)</f>
        <v>1</v>
      </c>
      <c r="T87" s="588">
        <f>AVERAGE(R87:R101)</f>
        <v>119.39248251748251</v>
      </c>
      <c r="U87" s="187">
        <v>22</v>
      </c>
      <c r="V87" s="187">
        <v>2626.6346153846152</v>
      </c>
      <c r="W87" s="184">
        <f t="shared" ref="W87" si="9">IFERROR(V87/U87,"")</f>
        <v>119.39248251748251</v>
      </c>
      <c r="X87" s="181">
        <f>RANK(W87, W$87:W$101)</f>
        <v>1</v>
      </c>
      <c r="Y87" s="588">
        <f>AVERAGE(W87:W101)</f>
        <v>119.39248251748251</v>
      </c>
      <c r="Z87" s="187">
        <v>22</v>
      </c>
      <c r="AA87" s="187">
        <v>2626.6346153846152</v>
      </c>
      <c r="AB87" s="184">
        <f>IFERROR(AA87/Z87,"")</f>
        <v>119.39248251748251</v>
      </c>
      <c r="AC87" s="181">
        <f>RANK(AB87, AB$87:AB$101)</f>
        <v>1</v>
      </c>
      <c r="AD87" s="588">
        <f>AVERAGE(AB87:AB101)</f>
        <v>119.39248251748251</v>
      </c>
      <c r="AE87" s="187">
        <v>22</v>
      </c>
      <c r="AF87" s="187">
        <v>2626.6346153846152</v>
      </c>
      <c r="AG87" s="184">
        <f>IFERROR(AF87/AE87,"")</f>
        <v>119.39248251748251</v>
      </c>
      <c r="AH87" s="181">
        <f>RANK(AG87, AG$87:AG$101)</f>
        <v>1</v>
      </c>
      <c r="AI87" s="588">
        <f>AVERAGE(AG87:AG101)</f>
        <v>119.39248251748251</v>
      </c>
      <c r="AJ87" s="187">
        <v>22</v>
      </c>
      <c r="AK87" s="187">
        <v>2626.6346153846152</v>
      </c>
      <c r="AL87" s="184">
        <f>IFERROR(AK87/AJ87,"")</f>
        <v>119.39248251748251</v>
      </c>
      <c r="AM87" s="181">
        <f>RANK(AL87, AL$87:AL$101)</f>
        <v>1</v>
      </c>
      <c r="AN87" s="588">
        <f>AVERAGE(AL87:AL101)</f>
        <v>119.39248251748251</v>
      </c>
      <c r="AO87" s="187">
        <v>22</v>
      </c>
      <c r="AP87" s="187">
        <v>2626.6346153846152</v>
      </c>
      <c r="AQ87" s="184">
        <f>IFERROR(AP87/AO87,"")</f>
        <v>119.39248251748251</v>
      </c>
      <c r="AR87" s="181">
        <f>RANK(AQ87, AQ$87:AQ$101)</f>
        <v>1</v>
      </c>
      <c r="AS87" s="588">
        <f>AVERAGE(AQ87:AQ101)</f>
        <v>119.39248251748251</v>
      </c>
      <c r="AT87" s="187">
        <v>22</v>
      </c>
      <c r="AU87" s="187">
        <v>2626.6346153846152</v>
      </c>
      <c r="AV87" s="184">
        <f>IFERROR(AU87/AT87,"")</f>
        <v>119.39248251748251</v>
      </c>
      <c r="AW87" s="181">
        <f>RANK(AV87, AV$87:AV$101)</f>
        <v>1</v>
      </c>
      <c r="AX87" s="588">
        <f>AVERAGE(AV87:AV101)</f>
        <v>119.39248251748251</v>
      </c>
    </row>
    <row r="88" spans="2:50" ht="14.25" customHeight="1">
      <c r="B88" s="586"/>
      <c r="C88" s="179">
        <v>2</v>
      </c>
      <c r="D88" s="182"/>
      <c r="E88" s="179"/>
      <c r="F88" s="179"/>
      <c r="G88" s="184"/>
      <c r="H88" s="588"/>
      <c r="I88" s="185"/>
      <c r="J88" s="185"/>
      <c r="K88" s="186"/>
      <c r="L88" s="589"/>
      <c r="M88" s="185"/>
      <c r="N88" s="586"/>
      <c r="O88" s="586"/>
      <c r="P88" s="187"/>
      <c r="Q88" s="187"/>
      <c r="R88" s="184"/>
      <c r="S88" s="181"/>
      <c r="T88" s="588"/>
      <c r="U88" s="187"/>
      <c r="V88" s="187"/>
      <c r="W88" s="184"/>
      <c r="X88" s="181"/>
      <c r="Y88" s="588"/>
      <c r="Z88" s="187"/>
      <c r="AA88" s="187"/>
      <c r="AB88" s="184"/>
      <c r="AC88" s="181"/>
      <c r="AD88" s="588"/>
      <c r="AE88" s="187"/>
      <c r="AF88" s="187"/>
      <c r="AG88" s="184"/>
      <c r="AH88" s="181"/>
      <c r="AI88" s="588"/>
      <c r="AJ88" s="187"/>
      <c r="AK88" s="187"/>
      <c r="AL88" s="184"/>
      <c r="AM88" s="181"/>
      <c r="AN88" s="588"/>
      <c r="AO88" s="187"/>
      <c r="AP88" s="187"/>
      <c r="AQ88" s="184"/>
      <c r="AR88" s="181"/>
      <c r="AS88" s="588"/>
      <c r="AT88" s="187"/>
      <c r="AU88" s="187"/>
      <c r="AV88" s="184"/>
      <c r="AW88" s="181"/>
      <c r="AX88" s="588"/>
    </row>
    <row r="89" spans="2:50" ht="14.25" customHeight="1">
      <c r="B89" s="586"/>
      <c r="C89" s="179">
        <v>3</v>
      </c>
      <c r="D89" s="182"/>
      <c r="E89" s="179"/>
      <c r="F89" s="179"/>
      <c r="G89" s="184"/>
      <c r="H89" s="588"/>
      <c r="I89" s="185"/>
      <c r="J89" s="185"/>
      <c r="K89" s="186"/>
      <c r="L89" s="589"/>
      <c r="M89" s="185"/>
      <c r="N89" s="586"/>
      <c r="O89" s="586"/>
      <c r="P89" s="187"/>
      <c r="Q89" s="187"/>
      <c r="R89" s="184"/>
      <c r="S89" s="181"/>
      <c r="T89" s="588"/>
      <c r="U89" s="187"/>
      <c r="V89" s="187"/>
      <c r="W89" s="184"/>
      <c r="X89" s="181"/>
      <c r="Y89" s="588"/>
      <c r="Z89" s="187"/>
      <c r="AA89" s="187"/>
      <c r="AB89" s="184"/>
      <c r="AC89" s="181"/>
      <c r="AD89" s="588"/>
      <c r="AE89" s="187"/>
      <c r="AF89" s="187"/>
      <c r="AG89" s="184"/>
      <c r="AH89" s="181"/>
      <c r="AI89" s="588"/>
      <c r="AJ89" s="187"/>
      <c r="AK89" s="187"/>
      <c r="AL89" s="184"/>
      <c r="AM89" s="181"/>
      <c r="AN89" s="588"/>
      <c r="AO89" s="187"/>
      <c r="AP89" s="187"/>
      <c r="AQ89" s="184"/>
      <c r="AR89" s="181"/>
      <c r="AS89" s="588"/>
      <c r="AT89" s="187"/>
      <c r="AU89" s="187"/>
      <c r="AV89" s="184"/>
      <c r="AW89" s="181"/>
      <c r="AX89" s="588"/>
    </row>
    <row r="90" spans="2:50" ht="14.25" customHeight="1">
      <c r="B90" s="586"/>
      <c r="C90" s="179">
        <v>4</v>
      </c>
      <c r="D90" s="182"/>
      <c r="E90" s="179"/>
      <c r="F90" s="179"/>
      <c r="G90" s="184"/>
      <c r="H90" s="588"/>
      <c r="I90" s="185"/>
      <c r="J90" s="185"/>
      <c r="K90" s="186"/>
      <c r="L90" s="589"/>
      <c r="M90" s="185"/>
      <c r="N90" s="586"/>
      <c r="O90" s="586"/>
      <c r="P90" s="187"/>
      <c r="Q90" s="187"/>
      <c r="R90" s="184"/>
      <c r="S90" s="181"/>
      <c r="T90" s="588"/>
      <c r="U90" s="187"/>
      <c r="V90" s="187"/>
      <c r="W90" s="184"/>
      <c r="X90" s="181"/>
      <c r="Y90" s="588"/>
      <c r="Z90" s="187"/>
      <c r="AA90" s="187"/>
      <c r="AB90" s="184"/>
      <c r="AC90" s="181"/>
      <c r="AD90" s="588"/>
      <c r="AE90" s="187"/>
      <c r="AF90" s="187"/>
      <c r="AG90" s="184"/>
      <c r="AH90" s="181"/>
      <c r="AI90" s="588"/>
      <c r="AJ90" s="187"/>
      <c r="AK90" s="187"/>
      <c r="AL90" s="184"/>
      <c r="AM90" s="181"/>
      <c r="AN90" s="588"/>
      <c r="AO90" s="187"/>
      <c r="AP90" s="187"/>
      <c r="AQ90" s="184"/>
      <c r="AR90" s="181"/>
      <c r="AS90" s="588"/>
      <c r="AT90" s="187"/>
      <c r="AU90" s="187"/>
      <c r="AV90" s="184"/>
      <c r="AW90" s="181"/>
      <c r="AX90" s="588"/>
    </row>
    <row r="91" spans="2:50" ht="14.25" customHeight="1">
      <c r="B91" s="586"/>
      <c r="C91" s="179">
        <v>5</v>
      </c>
      <c r="D91" s="182"/>
      <c r="E91" s="179"/>
      <c r="F91" s="179"/>
      <c r="G91" s="184"/>
      <c r="H91" s="588"/>
      <c r="I91" s="185"/>
      <c r="J91" s="185"/>
      <c r="K91" s="186"/>
      <c r="L91" s="589"/>
      <c r="M91" s="185"/>
      <c r="N91" s="586"/>
      <c r="O91" s="586"/>
      <c r="P91" s="187"/>
      <c r="Q91" s="187"/>
      <c r="R91" s="184"/>
      <c r="S91" s="181"/>
      <c r="T91" s="588"/>
      <c r="U91" s="187"/>
      <c r="V91" s="187"/>
      <c r="W91" s="184"/>
      <c r="X91" s="181"/>
      <c r="Y91" s="588"/>
      <c r="Z91" s="187"/>
      <c r="AA91" s="187"/>
      <c r="AB91" s="184"/>
      <c r="AC91" s="181"/>
      <c r="AD91" s="588"/>
      <c r="AE91" s="187"/>
      <c r="AF91" s="187"/>
      <c r="AG91" s="184"/>
      <c r="AH91" s="181"/>
      <c r="AI91" s="588"/>
      <c r="AJ91" s="187"/>
      <c r="AK91" s="187"/>
      <c r="AL91" s="184"/>
      <c r="AM91" s="181"/>
      <c r="AN91" s="588"/>
      <c r="AO91" s="187"/>
      <c r="AP91" s="187"/>
      <c r="AQ91" s="184"/>
      <c r="AR91" s="181"/>
      <c r="AS91" s="588"/>
      <c r="AT91" s="187"/>
      <c r="AU91" s="187"/>
      <c r="AV91" s="184"/>
      <c r="AW91" s="181"/>
      <c r="AX91" s="588"/>
    </row>
    <row r="92" spans="2:50" ht="14.25" customHeight="1">
      <c r="B92" s="586"/>
      <c r="C92" s="179">
        <v>6</v>
      </c>
      <c r="D92" s="182"/>
      <c r="E92" s="179"/>
      <c r="F92" s="179"/>
      <c r="G92" s="184"/>
      <c r="H92" s="588"/>
      <c r="I92" s="185"/>
      <c r="J92" s="185"/>
      <c r="K92" s="186"/>
      <c r="L92" s="589"/>
      <c r="M92" s="185"/>
      <c r="N92" s="586"/>
      <c r="O92" s="586"/>
      <c r="P92" s="187"/>
      <c r="Q92" s="187"/>
      <c r="R92" s="184"/>
      <c r="S92" s="181"/>
      <c r="T92" s="588"/>
      <c r="U92" s="187"/>
      <c r="V92" s="187"/>
      <c r="W92" s="184"/>
      <c r="X92" s="181"/>
      <c r="Y92" s="588"/>
      <c r="Z92" s="187"/>
      <c r="AA92" s="187"/>
      <c r="AB92" s="184"/>
      <c r="AC92" s="181"/>
      <c r="AD92" s="588"/>
      <c r="AE92" s="187"/>
      <c r="AF92" s="187"/>
      <c r="AG92" s="184"/>
      <c r="AH92" s="181"/>
      <c r="AI92" s="588"/>
      <c r="AJ92" s="187"/>
      <c r="AK92" s="187"/>
      <c r="AL92" s="184"/>
      <c r="AM92" s="181"/>
      <c r="AN92" s="588"/>
      <c r="AO92" s="187"/>
      <c r="AP92" s="187"/>
      <c r="AQ92" s="184"/>
      <c r="AR92" s="181"/>
      <c r="AS92" s="588"/>
      <c r="AT92" s="187"/>
      <c r="AU92" s="187"/>
      <c r="AV92" s="184"/>
      <c r="AW92" s="181"/>
      <c r="AX92" s="588"/>
    </row>
    <row r="93" spans="2:50" ht="14.25" customHeight="1">
      <c r="B93" s="586"/>
      <c r="C93" s="179">
        <v>7</v>
      </c>
      <c r="D93" s="182"/>
      <c r="E93" s="179"/>
      <c r="F93" s="179"/>
      <c r="G93" s="184"/>
      <c r="H93" s="588"/>
      <c r="I93" s="185"/>
      <c r="J93" s="185"/>
      <c r="K93" s="186"/>
      <c r="L93" s="589"/>
      <c r="M93" s="185"/>
      <c r="N93" s="586"/>
      <c r="O93" s="586"/>
      <c r="P93" s="187"/>
      <c r="Q93" s="187"/>
      <c r="R93" s="184"/>
      <c r="S93" s="181"/>
      <c r="T93" s="588"/>
      <c r="U93" s="187"/>
      <c r="V93" s="187"/>
      <c r="W93" s="184"/>
      <c r="X93" s="181"/>
      <c r="Y93" s="588"/>
      <c r="Z93" s="187"/>
      <c r="AA93" s="187"/>
      <c r="AB93" s="184"/>
      <c r="AC93" s="181"/>
      <c r="AD93" s="588"/>
      <c r="AE93" s="187"/>
      <c r="AF93" s="187"/>
      <c r="AG93" s="184"/>
      <c r="AH93" s="181"/>
      <c r="AI93" s="588"/>
      <c r="AJ93" s="187"/>
      <c r="AK93" s="187"/>
      <c r="AL93" s="184"/>
      <c r="AM93" s="181"/>
      <c r="AN93" s="588"/>
      <c r="AO93" s="187"/>
      <c r="AP93" s="187"/>
      <c r="AQ93" s="184"/>
      <c r="AR93" s="181"/>
      <c r="AS93" s="588"/>
      <c r="AT93" s="187"/>
      <c r="AU93" s="187"/>
      <c r="AV93" s="184"/>
      <c r="AW93" s="181"/>
      <c r="AX93" s="588"/>
    </row>
    <row r="94" spans="2:50" ht="14.25" customHeight="1">
      <c r="B94" s="586"/>
      <c r="C94" s="179">
        <v>8</v>
      </c>
      <c r="D94" s="182"/>
      <c r="E94" s="179"/>
      <c r="F94" s="179"/>
      <c r="G94" s="184"/>
      <c r="H94" s="588"/>
      <c r="I94" s="185"/>
      <c r="J94" s="185"/>
      <c r="K94" s="186"/>
      <c r="L94" s="589"/>
      <c r="M94" s="185"/>
      <c r="N94" s="586"/>
      <c r="O94" s="586"/>
      <c r="P94" s="187"/>
      <c r="Q94" s="187"/>
      <c r="R94" s="184"/>
      <c r="S94" s="181"/>
      <c r="T94" s="588"/>
      <c r="U94" s="187"/>
      <c r="V94" s="187"/>
      <c r="W94" s="184"/>
      <c r="X94" s="181"/>
      <c r="Y94" s="588"/>
      <c r="Z94" s="187"/>
      <c r="AA94" s="187"/>
      <c r="AB94" s="184"/>
      <c r="AC94" s="181"/>
      <c r="AD94" s="588"/>
      <c r="AE94" s="187"/>
      <c r="AF94" s="187"/>
      <c r="AG94" s="184"/>
      <c r="AH94" s="181"/>
      <c r="AI94" s="588"/>
      <c r="AJ94" s="187"/>
      <c r="AK94" s="187"/>
      <c r="AL94" s="184"/>
      <c r="AM94" s="181"/>
      <c r="AN94" s="588"/>
      <c r="AO94" s="187"/>
      <c r="AP94" s="187"/>
      <c r="AQ94" s="184"/>
      <c r="AR94" s="181"/>
      <c r="AS94" s="588"/>
      <c r="AT94" s="187"/>
      <c r="AU94" s="187"/>
      <c r="AV94" s="184"/>
      <c r="AW94" s="181"/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101"/>
  <sheetViews>
    <sheetView zoomScaleNormal="100" workbookViewId="0">
      <pane xSplit="13" ySplit="1" topLeftCell="N68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642</v>
      </c>
      <c r="C1" s="174">
        <f>AVERAGE(L27,L47,L67,L87)</f>
        <v>448.4207728009294</v>
      </c>
    </row>
    <row r="2" spans="1:50" ht="14.25" customHeight="1" collapsed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348</v>
      </c>
      <c r="C7" s="179">
        <v>1</v>
      </c>
      <c r="D7" s="182" t="s">
        <v>529</v>
      </c>
      <c r="E7" s="183">
        <v>5</v>
      </c>
      <c r="F7" s="179">
        <v>3273</v>
      </c>
      <c r="G7" s="184">
        <f t="shared" ref="G7:G12" si="0">IFERROR(F7/E7,"")</f>
        <v>654.6</v>
      </c>
      <c r="H7" s="588">
        <f>AVERAGE(G7:G21)</f>
        <v>505.14444444444439</v>
      </c>
      <c r="I7" s="185">
        <f>AVERAGE(P7,U7,Z7,AE7,AJ7,AO7,AT7)</f>
        <v>6</v>
      </c>
      <c r="J7" s="185">
        <f>AVERAGE(Q7,V7,AA7,AF7,AK7,AP7,AU7)</f>
        <v>2961.3145775921867</v>
      </c>
      <c r="K7" s="186">
        <f>AVERAGE(R7,W7,AB7,AG7,AL7,AQ7,AV7)</f>
        <v>493.55242959869776</v>
      </c>
      <c r="L7" s="589">
        <f>IFERROR(AVERAGE(K7:K21),"-")</f>
        <v>438.24248389844593</v>
      </c>
      <c r="M7" s="185">
        <f>RANK(K7, K$7:$K$21)</f>
        <v>4</v>
      </c>
      <c r="N7" s="586"/>
      <c r="O7" s="586"/>
      <c r="P7" s="187">
        <v>6</v>
      </c>
      <c r="Q7" s="187">
        <v>2961.6418775921866</v>
      </c>
      <c r="R7" s="184">
        <f>IFERROR(Q7/P7,"")</f>
        <v>493.60697959869776</v>
      </c>
      <c r="S7" s="181">
        <f>RANK(R7, R$7:R$21)</f>
        <v>4</v>
      </c>
      <c r="T7" s="588">
        <f>AVERAGE(R7:R21)</f>
        <v>434.80785179661899</v>
      </c>
      <c r="U7" s="187">
        <v>6</v>
      </c>
      <c r="V7" s="187">
        <v>2961.3145775921862</v>
      </c>
      <c r="W7" s="184">
        <f t="shared" ref="W7:W12" si="1">IFERROR(V7/U7,"")</f>
        <v>493.5524295986977</v>
      </c>
      <c r="X7" s="181">
        <f>RANK(W7, W$7:W$21)</f>
        <v>4</v>
      </c>
      <c r="Y7" s="588">
        <f>AVERAGE(W7:W21)</f>
        <v>436.0938672361433</v>
      </c>
      <c r="Z7" s="187">
        <v>6</v>
      </c>
      <c r="AA7" s="187">
        <v>2961.3145775921867</v>
      </c>
      <c r="AB7" s="184">
        <f>IFERROR(AA7/Z7,"")</f>
        <v>493.55242959869776</v>
      </c>
      <c r="AC7" s="181">
        <f>RANK(AB7, AB$7:AB$21)</f>
        <v>4</v>
      </c>
      <c r="AD7" s="588">
        <f>AVERAGE(AB7:AB21)</f>
        <v>437.55952110162434</v>
      </c>
      <c r="AE7" s="187">
        <v>6</v>
      </c>
      <c r="AF7" s="187">
        <v>2960.3326775921864</v>
      </c>
      <c r="AG7" s="184">
        <f>IFERROR(AF7/AE7,"")</f>
        <v>493.38877959869774</v>
      </c>
      <c r="AH7" s="181">
        <f>RANK(AG7, AG$7:AG$21)</f>
        <v>4</v>
      </c>
      <c r="AI7" s="588">
        <f>AVERAGE(AG7:AG21)</f>
        <v>438.77081353889542</v>
      </c>
      <c r="AJ7" s="187">
        <v>6</v>
      </c>
      <c r="AK7" s="187">
        <v>2960.005377592187</v>
      </c>
      <c r="AL7" s="184">
        <f>IFERROR(AK7/AJ7,"")</f>
        <v>493.33422959869785</v>
      </c>
      <c r="AM7" s="181">
        <f>RANK(AL7, AL$7:AL$21)</f>
        <v>4</v>
      </c>
      <c r="AN7" s="588">
        <f>AVERAGE(AL7:AL21)</f>
        <v>440.07796602009466</v>
      </c>
      <c r="AO7" s="187">
        <v>6</v>
      </c>
      <c r="AP7" s="187">
        <v>2962.6237775921859</v>
      </c>
      <c r="AQ7" s="184">
        <f>IFERROR(AP7/AO7,"")</f>
        <v>493.77062959869767</v>
      </c>
      <c r="AR7" s="181">
        <f>RANK(AQ7, AQ$7:AQ$21)</f>
        <v>4</v>
      </c>
      <c r="AS7" s="588">
        <f>AVERAGE(AQ7:AQ21)</f>
        <v>440.16985935342791</v>
      </c>
      <c r="AT7" s="187">
        <v>6</v>
      </c>
      <c r="AU7" s="187">
        <v>2961.9691775921865</v>
      </c>
      <c r="AV7" s="184">
        <f>IFERROR(AU7/AT7,"")</f>
        <v>493.66152959869777</v>
      </c>
      <c r="AW7" s="181">
        <f>RANK(AV7, AV$7:AV$21)</f>
        <v>4</v>
      </c>
      <c r="AX7" s="588">
        <f>AVERAGE(AV7:AV21)</f>
        <v>440.21750824231685</v>
      </c>
    </row>
    <row r="8" spans="1:50" ht="14.25" customHeight="1">
      <c r="B8" s="586"/>
      <c r="C8" s="179">
        <v>2</v>
      </c>
      <c r="D8" s="182" t="s">
        <v>522</v>
      </c>
      <c r="E8" s="179">
        <v>6</v>
      </c>
      <c r="F8" s="179">
        <v>3600</v>
      </c>
      <c r="G8" s="184">
        <f t="shared" si="0"/>
        <v>600</v>
      </c>
      <c r="H8" s="588"/>
      <c r="I8" s="185">
        <f t="shared" ref="I8:K12" si="2">AVERAGE(P8,U8,Z8,AE8,AJ8,AO8,AT8)</f>
        <v>6</v>
      </c>
      <c r="J8" s="185">
        <f t="shared" si="2"/>
        <v>3249.7200000000016</v>
      </c>
      <c r="K8" s="186">
        <f t="shared" si="2"/>
        <v>541.62000000000035</v>
      </c>
      <c r="L8" s="589"/>
      <c r="M8" s="185">
        <f>RANK(K8, K$7:$K$21)</f>
        <v>3</v>
      </c>
      <c r="N8" s="586"/>
      <c r="O8" s="586"/>
      <c r="P8" s="187">
        <v>6</v>
      </c>
      <c r="Q8" s="187">
        <v>3248.2800000000011</v>
      </c>
      <c r="R8" s="184">
        <f t="shared" ref="R8:R12" si="3">IFERROR(Q8/P8,"")</f>
        <v>541.38000000000022</v>
      </c>
      <c r="S8" s="181">
        <f t="shared" ref="S8:S12" si="4">RANK(R8, R$7:R$21)</f>
        <v>3</v>
      </c>
      <c r="T8" s="588"/>
      <c r="U8" s="187">
        <v>6</v>
      </c>
      <c r="V8" s="187">
        <v>3249.0000000000014</v>
      </c>
      <c r="W8" s="184">
        <f t="shared" si="1"/>
        <v>541.50000000000023</v>
      </c>
      <c r="X8" s="181">
        <f t="shared" ref="X8:X12" si="5">RANK(W8, W$7:W$21)</f>
        <v>3</v>
      </c>
      <c r="Y8" s="588"/>
      <c r="Z8" s="187">
        <v>6</v>
      </c>
      <c r="AA8" s="187">
        <v>3250.8000000000011</v>
      </c>
      <c r="AB8" s="184">
        <f t="shared" ref="AB8:AB12" si="6">IFERROR(AA8/Z8,"")</f>
        <v>541.80000000000018</v>
      </c>
      <c r="AC8" s="181">
        <f t="shared" ref="AC8:AC12" si="7">RANK(AB8, AB$7:AB$21)</f>
        <v>3</v>
      </c>
      <c r="AD8" s="588"/>
      <c r="AE8" s="187">
        <v>6</v>
      </c>
      <c r="AF8" s="187">
        <v>3249.3600000000015</v>
      </c>
      <c r="AG8" s="184">
        <f t="shared" ref="AG8:AG12" si="8">IFERROR(AF8/AE8,"")</f>
        <v>541.56000000000029</v>
      </c>
      <c r="AH8" s="181">
        <f t="shared" ref="AH8:AH12" si="9">RANK(AG8, AG$7:AG$21)</f>
        <v>3</v>
      </c>
      <c r="AI8" s="588"/>
      <c r="AJ8" s="187">
        <v>6</v>
      </c>
      <c r="AK8" s="187">
        <v>3248.6400000000021</v>
      </c>
      <c r="AL8" s="184">
        <f t="shared" ref="AL8:AL12" si="10">IFERROR(AK8/AJ8,"")</f>
        <v>541.4400000000004</v>
      </c>
      <c r="AM8" s="181">
        <f t="shared" ref="AM8:AM12" si="11">RANK(AL8, AL$7:AL$21)</f>
        <v>3</v>
      </c>
      <c r="AN8" s="588"/>
      <c r="AO8" s="187">
        <v>6</v>
      </c>
      <c r="AP8" s="187">
        <v>3250.0800000000027</v>
      </c>
      <c r="AQ8" s="184">
        <f t="shared" ref="AQ8:AQ12" si="12">IFERROR(AP8/AO8,"")</f>
        <v>541.6800000000004</v>
      </c>
      <c r="AR8" s="181">
        <f t="shared" ref="AR8:AR12" si="13">RANK(AQ8, AQ$7:AQ$21)</f>
        <v>2</v>
      </c>
      <c r="AS8" s="588"/>
      <c r="AT8" s="187">
        <v>6</v>
      </c>
      <c r="AU8" s="187">
        <v>3251.8800000000019</v>
      </c>
      <c r="AV8" s="184">
        <f t="shared" ref="AV8:AV12" si="14">IFERROR(AU8/AT8,"")</f>
        <v>541.98000000000036</v>
      </c>
      <c r="AW8" s="181">
        <f t="shared" ref="AW8:AW12" si="15">RANK(AV8, AV$7:AV$21)</f>
        <v>2</v>
      </c>
      <c r="AX8" s="588"/>
    </row>
    <row r="9" spans="1:50" ht="14.25" customHeight="1">
      <c r="B9" s="586"/>
      <c r="C9" s="179">
        <v>3</v>
      </c>
      <c r="D9" s="182" t="s">
        <v>523</v>
      </c>
      <c r="E9" s="179">
        <v>6</v>
      </c>
      <c r="F9" s="179">
        <v>3600</v>
      </c>
      <c r="G9" s="184">
        <f t="shared" si="0"/>
        <v>600</v>
      </c>
      <c r="H9" s="588"/>
      <c r="I9" s="185">
        <f t="shared" si="2"/>
        <v>6</v>
      </c>
      <c r="J9" s="185">
        <f t="shared" si="2"/>
        <v>3249.9253117770054</v>
      </c>
      <c r="K9" s="186">
        <f t="shared" si="2"/>
        <v>541.65421862950086</v>
      </c>
      <c r="L9" s="589"/>
      <c r="M9" s="185">
        <f>RANK(K9, K$7:$K$21)</f>
        <v>2</v>
      </c>
      <c r="N9" s="586"/>
      <c r="O9" s="586"/>
      <c r="P9" s="187">
        <v>6</v>
      </c>
      <c r="Q9" s="187">
        <v>3248.352934697295</v>
      </c>
      <c r="R9" s="184">
        <f t="shared" si="3"/>
        <v>541.39215578288247</v>
      </c>
      <c r="S9" s="181">
        <f t="shared" si="4"/>
        <v>2</v>
      </c>
      <c r="T9" s="588"/>
      <c r="U9" s="187">
        <v>6</v>
      </c>
      <c r="V9" s="187">
        <v>3252.0473746236225</v>
      </c>
      <c r="W9" s="184">
        <f t="shared" si="1"/>
        <v>542.0078957706038</v>
      </c>
      <c r="X9" s="181">
        <f t="shared" si="5"/>
        <v>2</v>
      </c>
      <c r="Y9" s="588"/>
      <c r="Z9" s="187">
        <v>6</v>
      </c>
      <c r="AA9" s="187">
        <v>3250.9673746236235</v>
      </c>
      <c r="AB9" s="184">
        <f t="shared" si="6"/>
        <v>541.82789577060396</v>
      </c>
      <c r="AC9" s="181">
        <f t="shared" si="7"/>
        <v>2</v>
      </c>
      <c r="AD9" s="588"/>
      <c r="AE9" s="187">
        <v>6</v>
      </c>
      <c r="AF9" s="187">
        <v>3249.5273746236239</v>
      </c>
      <c r="AG9" s="184">
        <f t="shared" si="8"/>
        <v>541.58789577060395</v>
      </c>
      <c r="AH9" s="181">
        <f t="shared" si="9"/>
        <v>2</v>
      </c>
      <c r="AI9" s="588"/>
      <c r="AJ9" s="187">
        <v>6</v>
      </c>
      <c r="AK9" s="187">
        <v>3249.8873746236236</v>
      </c>
      <c r="AL9" s="184">
        <f t="shared" si="10"/>
        <v>541.6478957706039</v>
      </c>
      <c r="AM9" s="181">
        <f t="shared" si="11"/>
        <v>2</v>
      </c>
      <c r="AN9" s="588"/>
      <c r="AO9" s="187">
        <v>6</v>
      </c>
      <c r="AP9" s="187">
        <v>3248.8073746236237</v>
      </c>
      <c r="AQ9" s="184">
        <f t="shared" si="12"/>
        <v>541.46789577060395</v>
      </c>
      <c r="AR9" s="181">
        <f t="shared" si="13"/>
        <v>3</v>
      </c>
      <c r="AS9" s="588"/>
      <c r="AT9" s="187">
        <v>6</v>
      </c>
      <c r="AU9" s="187">
        <v>3249.8873746236231</v>
      </c>
      <c r="AV9" s="184">
        <f t="shared" si="14"/>
        <v>541.6478957706039</v>
      </c>
      <c r="AW9" s="181">
        <f t="shared" si="15"/>
        <v>3</v>
      </c>
      <c r="AX9" s="588"/>
    </row>
    <row r="10" spans="1:50" ht="14.25" customHeight="1">
      <c r="B10" s="586"/>
      <c r="C10" s="179">
        <v>4</v>
      </c>
      <c r="D10" s="182" t="s">
        <v>534</v>
      </c>
      <c r="E10" s="179">
        <v>20</v>
      </c>
      <c r="F10" s="179">
        <v>2100</v>
      </c>
      <c r="G10" s="184">
        <f t="shared" si="0"/>
        <v>105</v>
      </c>
      <c r="H10" s="588"/>
      <c r="I10" s="185">
        <f t="shared" si="2"/>
        <v>20</v>
      </c>
      <c r="J10" s="185">
        <f t="shared" si="2"/>
        <v>1893.0983422374968</v>
      </c>
      <c r="K10" s="186">
        <f t="shared" si="2"/>
        <v>94.654917111874838</v>
      </c>
      <c r="L10" s="589"/>
      <c r="M10" s="185">
        <f>RANK(K10, K$7:$K$21)</f>
        <v>6</v>
      </c>
      <c r="N10" s="586"/>
      <c r="O10" s="586"/>
      <c r="P10" s="187">
        <v>20</v>
      </c>
      <c r="Q10" s="187">
        <v>1893.0683422374966</v>
      </c>
      <c r="R10" s="184">
        <f t="shared" si="3"/>
        <v>94.65341711187483</v>
      </c>
      <c r="S10" s="181">
        <f t="shared" si="4"/>
        <v>6</v>
      </c>
      <c r="T10" s="588"/>
      <c r="U10" s="187">
        <v>20</v>
      </c>
      <c r="V10" s="187">
        <v>1892.8583422374968</v>
      </c>
      <c r="W10" s="184">
        <f t="shared" si="1"/>
        <v>94.642917111874837</v>
      </c>
      <c r="X10" s="181">
        <f t="shared" si="5"/>
        <v>6</v>
      </c>
      <c r="Y10" s="588"/>
      <c r="Z10" s="187">
        <v>20</v>
      </c>
      <c r="AA10" s="187">
        <v>1893.0683422374968</v>
      </c>
      <c r="AB10" s="184">
        <f t="shared" si="6"/>
        <v>94.653417111874845</v>
      </c>
      <c r="AC10" s="181">
        <f t="shared" si="7"/>
        <v>6</v>
      </c>
      <c r="AD10" s="588"/>
      <c r="AE10" s="187">
        <v>20</v>
      </c>
      <c r="AF10" s="187">
        <v>1893.2783422374969</v>
      </c>
      <c r="AG10" s="184">
        <f t="shared" si="8"/>
        <v>94.663917111874838</v>
      </c>
      <c r="AH10" s="181">
        <f t="shared" si="9"/>
        <v>6</v>
      </c>
      <c r="AI10" s="588"/>
      <c r="AJ10" s="187">
        <v>20</v>
      </c>
      <c r="AK10" s="187">
        <v>1893.4883422374965</v>
      </c>
      <c r="AL10" s="184">
        <f t="shared" si="10"/>
        <v>94.674417111874817</v>
      </c>
      <c r="AM10" s="181">
        <f t="shared" si="11"/>
        <v>6</v>
      </c>
      <c r="AN10" s="588"/>
      <c r="AO10" s="187">
        <v>20</v>
      </c>
      <c r="AP10" s="187">
        <v>1893.2783422374964</v>
      </c>
      <c r="AQ10" s="184">
        <f t="shared" si="12"/>
        <v>94.663917111874824</v>
      </c>
      <c r="AR10" s="181">
        <f t="shared" si="13"/>
        <v>6</v>
      </c>
      <c r="AS10" s="588"/>
      <c r="AT10" s="187">
        <v>20</v>
      </c>
      <c r="AU10" s="187">
        <v>1892.6483422374965</v>
      </c>
      <c r="AV10" s="184">
        <f t="shared" si="14"/>
        <v>94.63241711187483</v>
      </c>
      <c r="AW10" s="181">
        <f t="shared" si="15"/>
        <v>6</v>
      </c>
      <c r="AX10" s="588"/>
    </row>
    <row r="11" spans="1:50" ht="14.25" customHeight="1">
      <c r="B11" s="586"/>
      <c r="C11" s="179">
        <v>5</v>
      </c>
      <c r="D11" s="182" t="s">
        <v>541</v>
      </c>
      <c r="E11" s="179">
        <v>5</v>
      </c>
      <c r="F11" s="179">
        <v>3273</v>
      </c>
      <c r="G11" s="184">
        <f t="shared" si="0"/>
        <v>654.6</v>
      </c>
      <c r="H11" s="588"/>
      <c r="I11" s="185">
        <f t="shared" si="2"/>
        <v>5</v>
      </c>
      <c r="J11" s="185">
        <f t="shared" si="2"/>
        <v>2965.9396671548334</v>
      </c>
      <c r="K11" s="186">
        <f t="shared" si="2"/>
        <v>593.18793343096661</v>
      </c>
      <c r="L11" s="589"/>
      <c r="M11" s="185">
        <f>RANK(K11, K$7:$K$21)</f>
        <v>1</v>
      </c>
      <c r="N11" s="586"/>
      <c r="O11" s="586"/>
      <c r="P11" s="187">
        <v>5</v>
      </c>
      <c r="Q11" s="187">
        <v>2967.2956242976898</v>
      </c>
      <c r="R11" s="184">
        <f t="shared" si="3"/>
        <v>593.45912485953795</v>
      </c>
      <c r="S11" s="181">
        <f t="shared" si="4"/>
        <v>1</v>
      </c>
      <c r="T11" s="588"/>
      <c r="U11" s="187">
        <v>5</v>
      </c>
      <c r="V11" s="187">
        <v>2966.9683242976889</v>
      </c>
      <c r="W11" s="184">
        <f t="shared" si="1"/>
        <v>593.39366485953781</v>
      </c>
      <c r="X11" s="181">
        <f t="shared" si="5"/>
        <v>1</v>
      </c>
      <c r="Y11" s="588"/>
      <c r="Z11" s="187">
        <v>5</v>
      </c>
      <c r="AA11" s="187">
        <v>2965.9864242976896</v>
      </c>
      <c r="AB11" s="184">
        <f t="shared" si="6"/>
        <v>593.19728485953794</v>
      </c>
      <c r="AC11" s="181">
        <f t="shared" si="7"/>
        <v>1</v>
      </c>
      <c r="AD11" s="588"/>
      <c r="AE11" s="187">
        <v>5</v>
      </c>
      <c r="AF11" s="187">
        <v>2965.9864242976901</v>
      </c>
      <c r="AG11" s="184">
        <f t="shared" si="8"/>
        <v>593.19728485953806</v>
      </c>
      <c r="AH11" s="181">
        <f t="shared" si="9"/>
        <v>1</v>
      </c>
      <c r="AI11" s="588"/>
      <c r="AJ11" s="187">
        <v>5</v>
      </c>
      <c r="AK11" s="187">
        <v>2965.3318242976907</v>
      </c>
      <c r="AL11" s="184">
        <f t="shared" si="10"/>
        <v>593.06636485953811</v>
      </c>
      <c r="AM11" s="181">
        <f t="shared" si="11"/>
        <v>1</v>
      </c>
      <c r="AN11" s="588"/>
      <c r="AO11" s="187">
        <v>5</v>
      </c>
      <c r="AP11" s="187">
        <v>2965.6591242976906</v>
      </c>
      <c r="AQ11" s="184">
        <f t="shared" si="12"/>
        <v>593.13182485953814</v>
      </c>
      <c r="AR11" s="181">
        <f t="shared" si="13"/>
        <v>1</v>
      </c>
      <c r="AS11" s="588"/>
      <c r="AT11" s="187">
        <v>5</v>
      </c>
      <c r="AU11" s="187">
        <v>2964.3499242976904</v>
      </c>
      <c r="AV11" s="184">
        <f t="shared" si="14"/>
        <v>592.86998485953814</v>
      </c>
      <c r="AW11" s="181">
        <f t="shared" si="15"/>
        <v>1</v>
      </c>
      <c r="AX11" s="588"/>
    </row>
    <row r="12" spans="1:50" ht="14.25" customHeight="1">
      <c r="B12" s="586"/>
      <c r="C12" s="179">
        <v>6</v>
      </c>
      <c r="D12" s="182" t="s">
        <v>625</v>
      </c>
      <c r="E12" s="179">
        <v>6</v>
      </c>
      <c r="F12" s="179">
        <v>2500</v>
      </c>
      <c r="G12" s="184">
        <f t="shared" si="0"/>
        <v>416.66666666666669</v>
      </c>
      <c r="H12" s="588"/>
      <c r="I12" s="185">
        <f t="shared" si="2"/>
        <v>6</v>
      </c>
      <c r="J12" s="185">
        <f t="shared" si="2"/>
        <v>2188.7124277178118</v>
      </c>
      <c r="K12" s="186">
        <f t="shared" si="2"/>
        <v>364.7854046196353</v>
      </c>
      <c r="L12" s="589"/>
      <c r="M12" s="185">
        <f>RANK(K12, K$7:$K$21)</f>
        <v>5</v>
      </c>
      <c r="N12" s="586"/>
      <c r="O12" s="586"/>
      <c r="P12" s="187">
        <v>6</v>
      </c>
      <c r="Q12" s="187">
        <v>2066.1326005603264</v>
      </c>
      <c r="R12" s="184">
        <f t="shared" si="3"/>
        <v>344.35543342672105</v>
      </c>
      <c r="S12" s="181">
        <f t="shared" si="4"/>
        <v>5</v>
      </c>
      <c r="T12" s="588"/>
      <c r="U12" s="187">
        <v>6</v>
      </c>
      <c r="V12" s="187">
        <v>2108.7977764568732</v>
      </c>
      <c r="W12" s="184">
        <f t="shared" si="1"/>
        <v>351.46629607614551</v>
      </c>
      <c r="X12" s="181">
        <f t="shared" si="5"/>
        <v>5</v>
      </c>
      <c r="Y12" s="588"/>
      <c r="Z12" s="187">
        <v>6</v>
      </c>
      <c r="AA12" s="187">
        <v>2161.9565956141864</v>
      </c>
      <c r="AB12" s="184">
        <f t="shared" si="6"/>
        <v>360.32609926903109</v>
      </c>
      <c r="AC12" s="181">
        <f t="shared" si="7"/>
        <v>5</v>
      </c>
      <c r="AD12" s="588"/>
      <c r="AE12" s="187">
        <v>6</v>
      </c>
      <c r="AF12" s="187">
        <v>2209.3620233559445</v>
      </c>
      <c r="AG12" s="184">
        <f t="shared" si="8"/>
        <v>368.22700389265742</v>
      </c>
      <c r="AH12" s="181">
        <f t="shared" si="9"/>
        <v>5</v>
      </c>
      <c r="AI12" s="588"/>
      <c r="AJ12" s="187">
        <v>6</v>
      </c>
      <c r="AK12" s="187">
        <v>2257.8293326791177</v>
      </c>
      <c r="AL12" s="184">
        <f t="shared" si="10"/>
        <v>376.30488877985294</v>
      </c>
      <c r="AM12" s="181">
        <f t="shared" si="11"/>
        <v>5</v>
      </c>
      <c r="AN12" s="588"/>
      <c r="AO12" s="187">
        <v>6</v>
      </c>
      <c r="AP12" s="187">
        <v>2257.8293326791177</v>
      </c>
      <c r="AQ12" s="184">
        <f t="shared" si="12"/>
        <v>376.30488877985294</v>
      </c>
      <c r="AR12" s="181">
        <f t="shared" si="13"/>
        <v>5</v>
      </c>
      <c r="AS12" s="588"/>
      <c r="AT12" s="187">
        <v>6</v>
      </c>
      <c r="AU12" s="187">
        <v>2259.0793326791177</v>
      </c>
      <c r="AV12" s="184">
        <f t="shared" si="14"/>
        <v>376.51322211318626</v>
      </c>
      <c r="AW12" s="181">
        <f t="shared" si="15"/>
        <v>5</v>
      </c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 collapsed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348</v>
      </c>
      <c r="C27" s="179">
        <v>1</v>
      </c>
      <c r="D27" s="182" t="s">
        <v>529</v>
      </c>
      <c r="E27" s="183">
        <v>5</v>
      </c>
      <c r="F27" s="179">
        <v>3273</v>
      </c>
      <c r="G27" s="184">
        <f t="shared" ref="G27:G32" si="16">IFERROR(F27/E27,"")</f>
        <v>654.6</v>
      </c>
      <c r="H27" s="588">
        <f>AVERAGE(G27:G41)</f>
        <v>505.14444444444439</v>
      </c>
      <c r="I27" s="185">
        <f>AVERAGE(P27,U27,Z27,AE27,AJ27,AO27,AT27)</f>
        <v>6</v>
      </c>
      <c r="J27" s="185">
        <f>AVERAGE(Q27,V27,AA27,AF27,AK27,AP27,AU27)</f>
        <v>2962.2497204493293</v>
      </c>
      <c r="K27" s="186">
        <f>AVERAGE(R27,W27,AB27,AG27,AL27,AQ27,AV27)</f>
        <v>493.7082867415549</v>
      </c>
      <c r="L27" s="589">
        <f>IFERROR(AVERAGE(K27:K41),"-")</f>
        <v>440.04309522832699</v>
      </c>
      <c r="M27" s="185">
        <f>RANK(K27, K$27:$K$41)</f>
        <v>4</v>
      </c>
      <c r="N27" s="586"/>
      <c r="O27" s="586"/>
      <c r="P27" s="187">
        <v>6</v>
      </c>
      <c r="Q27" s="187">
        <v>2963.2783775921862</v>
      </c>
      <c r="R27" s="184">
        <f>IFERROR(Q27/P27,"")</f>
        <v>493.87972959869768</v>
      </c>
      <c r="S27" s="181">
        <f>RANK(R27, R$27:R$41)</f>
        <v>4</v>
      </c>
      <c r="T27" s="588">
        <f>AVERAGE(R27:R41)</f>
        <v>440.24523602009458</v>
      </c>
      <c r="U27" s="187">
        <v>6</v>
      </c>
      <c r="V27" s="187">
        <v>2961.6418775921866</v>
      </c>
      <c r="W27" s="184">
        <f t="shared" ref="W27:W32" si="17">IFERROR(V27/U27,"")</f>
        <v>493.60697959869776</v>
      </c>
      <c r="X27" s="181">
        <f>RANK(W27, W$27:W$41)</f>
        <v>4</v>
      </c>
      <c r="Y27" s="588">
        <f>AVERAGE(W27:W41)</f>
        <v>440.07660990898347</v>
      </c>
      <c r="Z27" s="187">
        <v>6</v>
      </c>
      <c r="AA27" s="187">
        <v>2963.2783775921862</v>
      </c>
      <c r="AB27" s="184">
        <f>IFERROR(AA27/Z27,"")</f>
        <v>493.87972959869768</v>
      </c>
      <c r="AC27" s="181">
        <f>RANK(AB27, AB$27:AB$41)</f>
        <v>4</v>
      </c>
      <c r="AD27" s="588">
        <f>AVERAGE(AB27:AB41)</f>
        <v>440.08051824231683</v>
      </c>
      <c r="AE27" s="187">
        <v>6</v>
      </c>
      <c r="AF27" s="187">
        <v>2962.9510775921863</v>
      </c>
      <c r="AG27" s="184">
        <f>IFERROR(AF27/AE27,"")</f>
        <v>493.82517959869773</v>
      </c>
      <c r="AH27" s="181">
        <f>RANK(AG27, AG$27:AG$41)</f>
        <v>4</v>
      </c>
      <c r="AI27" s="588">
        <f>AVERAGE(AG27:AG41)</f>
        <v>439.99916879787247</v>
      </c>
      <c r="AJ27" s="187">
        <v>6</v>
      </c>
      <c r="AK27" s="187">
        <v>2962.6237775921863</v>
      </c>
      <c r="AL27" s="184">
        <f>IFERROR(AK27/AJ27,"")</f>
        <v>493.77062959869772</v>
      </c>
      <c r="AM27" s="181">
        <f>RANK(AL27, AL$27:AL$41)</f>
        <v>4</v>
      </c>
      <c r="AN27" s="588">
        <f>AVERAGE(AL27:AL41)</f>
        <v>439.94387789409546</v>
      </c>
      <c r="AO27" s="187">
        <v>6</v>
      </c>
      <c r="AP27" s="187">
        <v>2960.6599775921868</v>
      </c>
      <c r="AQ27" s="184">
        <f>IFERROR(AP27/AO27,"")</f>
        <v>493.4433295986978</v>
      </c>
      <c r="AR27" s="181">
        <f>RANK(AQ27, AQ$27:AQ$41)</f>
        <v>4</v>
      </c>
      <c r="AS27" s="588">
        <f>AVERAGE(AQ27:AQ41)</f>
        <v>439.84668525306478</v>
      </c>
      <c r="AT27" s="187">
        <v>6</v>
      </c>
      <c r="AU27" s="187">
        <v>2961.3145775921867</v>
      </c>
      <c r="AV27" s="184">
        <f>IFERROR(AU27/AT27,"")</f>
        <v>493.55242959869776</v>
      </c>
      <c r="AW27" s="181">
        <f>RANK(AV27, AV$27:AV$41)</f>
        <v>4</v>
      </c>
      <c r="AX27" s="588">
        <f>AVERAGE(AV27:AV41)</f>
        <v>440.10957048186123</v>
      </c>
    </row>
    <row r="28" spans="2:50" ht="14.25" customHeight="1">
      <c r="B28" s="586"/>
      <c r="C28" s="179">
        <v>2</v>
      </c>
      <c r="D28" s="182" t="s">
        <v>522</v>
      </c>
      <c r="E28" s="179">
        <v>6</v>
      </c>
      <c r="F28" s="179">
        <v>3600</v>
      </c>
      <c r="G28" s="184">
        <f t="shared" si="16"/>
        <v>600</v>
      </c>
      <c r="H28" s="588"/>
      <c r="I28" s="185">
        <f t="shared" ref="I28:K32" si="18">AVERAGE(P28,U28,Z28,AE28,AJ28,AO28,AT28)</f>
        <v>6</v>
      </c>
      <c r="J28" s="185">
        <f t="shared" si="18"/>
        <v>3249.9227603417289</v>
      </c>
      <c r="K28" s="186">
        <f t="shared" si="18"/>
        <v>541.65379339028834</v>
      </c>
      <c r="L28" s="589"/>
      <c r="M28" s="185">
        <f>RANK(K28, K$27:$K$41)</f>
        <v>3</v>
      </c>
      <c r="N28" s="586"/>
      <c r="O28" s="586"/>
      <c r="P28" s="187">
        <v>6</v>
      </c>
      <c r="Q28" s="187">
        <v>3251.8800000000015</v>
      </c>
      <c r="R28" s="184">
        <f t="shared" ref="R28:R32" si="19">IFERROR(Q28/P28,"")</f>
        <v>541.98000000000025</v>
      </c>
      <c r="S28" s="181">
        <f t="shared" ref="S28:S32" si="20">RANK(R28, R$27:R$41)</f>
        <v>2</v>
      </c>
      <c r="T28" s="588"/>
      <c r="U28" s="187">
        <v>6</v>
      </c>
      <c r="V28" s="187">
        <v>3250.8000000000011</v>
      </c>
      <c r="W28" s="184">
        <f t="shared" si="17"/>
        <v>541.80000000000018</v>
      </c>
      <c r="X28" s="181">
        <f t="shared" ref="X28:X32" si="21">RANK(W28, W$27:W$41)</f>
        <v>2</v>
      </c>
      <c r="Y28" s="588"/>
      <c r="Z28" s="187">
        <v>6</v>
      </c>
      <c r="AA28" s="187">
        <v>3250.4400000000014</v>
      </c>
      <c r="AB28" s="184">
        <f t="shared" ref="AB28:AB32" si="22">IFERROR(AA28/Z28,"")</f>
        <v>541.74000000000024</v>
      </c>
      <c r="AC28" s="181">
        <f t="shared" ref="AC28:AC32" si="23">RANK(AB28, AB$27:AB$41)</f>
        <v>2</v>
      </c>
      <c r="AD28" s="588"/>
      <c r="AE28" s="187">
        <v>6</v>
      </c>
      <c r="AF28" s="187">
        <v>3249.0000000000014</v>
      </c>
      <c r="AG28" s="184">
        <f t="shared" ref="AG28:AG32" si="24">IFERROR(AF28/AE28,"")</f>
        <v>541.50000000000023</v>
      </c>
      <c r="AH28" s="181">
        <f t="shared" ref="AH28:AH32" si="25">RANK(AG28, AG$27:AG$41)</f>
        <v>3</v>
      </c>
      <c r="AI28" s="588"/>
      <c r="AJ28" s="187">
        <v>6</v>
      </c>
      <c r="AK28" s="187">
        <v>3250.3131074640328</v>
      </c>
      <c r="AL28" s="184">
        <f t="shared" ref="AL28:AL32" si="26">IFERROR(AK28/AJ28,"")</f>
        <v>541.71885124400546</v>
      </c>
      <c r="AM28" s="181">
        <f t="shared" ref="AM28:AM32" si="27">RANK(AL28, AL$27:AL$41)</f>
        <v>2</v>
      </c>
      <c r="AN28" s="588"/>
      <c r="AO28" s="187">
        <v>6</v>
      </c>
      <c r="AP28" s="187">
        <v>3249.2331074640338</v>
      </c>
      <c r="AQ28" s="184">
        <f t="shared" ref="AQ28:AQ32" si="28">IFERROR(AP28/AO28,"")</f>
        <v>541.53885124400563</v>
      </c>
      <c r="AR28" s="181">
        <f t="shared" ref="AR28:AR32" si="29">RANK(AQ28, AQ$27:AQ$41)</f>
        <v>3</v>
      </c>
      <c r="AS28" s="588"/>
      <c r="AT28" s="187">
        <v>6</v>
      </c>
      <c r="AU28" s="187">
        <v>3247.7931074640346</v>
      </c>
      <c r="AV28" s="184">
        <f t="shared" ref="AV28:AV32" si="30">IFERROR(AU28/AT28,"")</f>
        <v>541.29885124400573</v>
      </c>
      <c r="AW28" s="181">
        <f t="shared" ref="AW28:AW32" si="31">RANK(AV28, AV$27:AV$41)</f>
        <v>3</v>
      </c>
      <c r="AX28" s="588"/>
    </row>
    <row r="29" spans="2:50" ht="14.25" customHeight="1">
      <c r="B29" s="586"/>
      <c r="C29" s="179">
        <v>3</v>
      </c>
      <c r="D29" s="182" t="s">
        <v>523</v>
      </c>
      <c r="E29" s="179">
        <v>6</v>
      </c>
      <c r="F29" s="179">
        <v>3600</v>
      </c>
      <c r="G29" s="184">
        <f t="shared" si="16"/>
        <v>600</v>
      </c>
      <c r="H29" s="588"/>
      <c r="I29" s="185">
        <f t="shared" si="18"/>
        <v>6</v>
      </c>
      <c r="J29" s="185">
        <f t="shared" si="18"/>
        <v>3250.1502046015921</v>
      </c>
      <c r="K29" s="186">
        <f t="shared" si="18"/>
        <v>541.69170076693206</v>
      </c>
      <c r="L29" s="589"/>
      <c r="M29" s="185">
        <f>RANK(K29, K$27:$K$41)</f>
        <v>2</v>
      </c>
      <c r="N29" s="586"/>
      <c r="O29" s="586"/>
      <c r="P29" s="187">
        <v>6</v>
      </c>
      <c r="Q29" s="187">
        <v>3249.8873746236236</v>
      </c>
      <c r="R29" s="184">
        <f t="shared" si="19"/>
        <v>541.6478957706039</v>
      </c>
      <c r="S29" s="181">
        <f t="shared" si="20"/>
        <v>3</v>
      </c>
      <c r="T29" s="588"/>
      <c r="U29" s="187">
        <v>6</v>
      </c>
      <c r="V29" s="187">
        <v>3249.1673746236229</v>
      </c>
      <c r="W29" s="184">
        <f t="shared" si="17"/>
        <v>541.52789577060378</v>
      </c>
      <c r="X29" s="181">
        <f t="shared" si="21"/>
        <v>3</v>
      </c>
      <c r="Y29" s="588"/>
      <c r="Z29" s="187">
        <v>6</v>
      </c>
      <c r="AA29" s="187">
        <v>3250.2473746236228</v>
      </c>
      <c r="AB29" s="184">
        <f t="shared" si="22"/>
        <v>541.70789577060384</v>
      </c>
      <c r="AC29" s="181">
        <f t="shared" si="23"/>
        <v>3</v>
      </c>
      <c r="AD29" s="588"/>
      <c r="AE29" s="187">
        <v>6</v>
      </c>
      <c r="AF29" s="187">
        <v>3251.3273746236227</v>
      </c>
      <c r="AG29" s="184">
        <f t="shared" si="24"/>
        <v>541.88789577060379</v>
      </c>
      <c r="AH29" s="181">
        <f t="shared" si="25"/>
        <v>2</v>
      </c>
      <c r="AI29" s="588"/>
      <c r="AJ29" s="187">
        <v>6</v>
      </c>
      <c r="AK29" s="187">
        <v>3249.5273746236235</v>
      </c>
      <c r="AL29" s="184">
        <f t="shared" si="26"/>
        <v>541.58789577060395</v>
      </c>
      <c r="AM29" s="181">
        <f t="shared" si="27"/>
        <v>3</v>
      </c>
      <c r="AN29" s="588"/>
      <c r="AO29" s="187">
        <v>6</v>
      </c>
      <c r="AP29" s="187">
        <v>3250.2672795465146</v>
      </c>
      <c r="AQ29" s="184">
        <f t="shared" si="28"/>
        <v>541.71121325775243</v>
      </c>
      <c r="AR29" s="181">
        <f t="shared" si="29"/>
        <v>2</v>
      </c>
      <c r="AS29" s="588"/>
      <c r="AT29" s="187">
        <v>6</v>
      </c>
      <c r="AU29" s="187">
        <v>3250.6272795465143</v>
      </c>
      <c r="AV29" s="184">
        <f t="shared" si="30"/>
        <v>541.77121325775238</v>
      </c>
      <c r="AW29" s="181">
        <f t="shared" si="31"/>
        <v>2</v>
      </c>
      <c r="AX29" s="588"/>
    </row>
    <row r="30" spans="2:50" ht="14.25" customHeight="1">
      <c r="B30" s="586"/>
      <c r="C30" s="179">
        <v>4</v>
      </c>
      <c r="D30" s="182" t="s">
        <v>534</v>
      </c>
      <c r="E30" s="179">
        <v>20</v>
      </c>
      <c r="F30" s="179">
        <v>2100</v>
      </c>
      <c r="G30" s="184">
        <f t="shared" si="16"/>
        <v>105</v>
      </c>
      <c r="H30" s="588"/>
      <c r="I30" s="185">
        <f t="shared" si="18"/>
        <v>20</v>
      </c>
      <c r="J30" s="185">
        <f t="shared" si="18"/>
        <v>1892.7083422374965</v>
      </c>
      <c r="K30" s="186">
        <f t="shared" si="18"/>
        <v>94.635417111874844</v>
      </c>
      <c r="L30" s="589"/>
      <c r="M30" s="185">
        <f>RANK(K30, K$27:$K$41)</f>
        <v>6</v>
      </c>
      <c r="N30" s="586"/>
      <c r="O30" s="586"/>
      <c r="P30" s="187">
        <v>20</v>
      </c>
      <c r="Q30" s="187">
        <v>1893.2783422374964</v>
      </c>
      <c r="R30" s="184">
        <f t="shared" si="19"/>
        <v>94.663917111874824</v>
      </c>
      <c r="S30" s="181">
        <f t="shared" si="20"/>
        <v>6</v>
      </c>
      <c r="T30" s="588"/>
      <c r="U30" s="187">
        <v>20</v>
      </c>
      <c r="V30" s="187">
        <v>1893.0683422374964</v>
      </c>
      <c r="W30" s="184">
        <f t="shared" si="17"/>
        <v>94.653417111874816</v>
      </c>
      <c r="X30" s="181">
        <f t="shared" si="21"/>
        <v>6</v>
      </c>
      <c r="Y30" s="588"/>
      <c r="Z30" s="187">
        <v>20</v>
      </c>
      <c r="AA30" s="187">
        <v>1892.2283422374965</v>
      </c>
      <c r="AB30" s="184">
        <f t="shared" si="22"/>
        <v>94.611417111874829</v>
      </c>
      <c r="AC30" s="181">
        <f t="shared" si="23"/>
        <v>6</v>
      </c>
      <c r="AD30" s="588"/>
      <c r="AE30" s="187">
        <v>20</v>
      </c>
      <c r="AF30" s="187">
        <v>1892.0183422374969</v>
      </c>
      <c r="AG30" s="184">
        <f t="shared" si="24"/>
        <v>94.60091711187485</v>
      </c>
      <c r="AH30" s="181">
        <f t="shared" si="25"/>
        <v>6</v>
      </c>
      <c r="AI30" s="588"/>
      <c r="AJ30" s="187">
        <v>20</v>
      </c>
      <c r="AK30" s="187">
        <v>1892.858342237497</v>
      </c>
      <c r="AL30" s="184">
        <f t="shared" si="26"/>
        <v>94.642917111874851</v>
      </c>
      <c r="AM30" s="181">
        <f t="shared" si="27"/>
        <v>6</v>
      </c>
      <c r="AN30" s="588"/>
      <c r="AO30" s="187">
        <v>20</v>
      </c>
      <c r="AP30" s="187">
        <v>1893.2783422374966</v>
      </c>
      <c r="AQ30" s="184">
        <f t="shared" si="28"/>
        <v>94.663917111874838</v>
      </c>
      <c r="AR30" s="181">
        <f t="shared" si="29"/>
        <v>6</v>
      </c>
      <c r="AS30" s="588"/>
      <c r="AT30" s="187">
        <v>20</v>
      </c>
      <c r="AU30" s="187">
        <v>1892.2283422374967</v>
      </c>
      <c r="AV30" s="184">
        <f t="shared" si="30"/>
        <v>94.611417111874829</v>
      </c>
      <c r="AW30" s="181">
        <f t="shared" si="31"/>
        <v>6</v>
      </c>
      <c r="AX30" s="588"/>
    </row>
    <row r="31" spans="2:50" ht="14.25" customHeight="1">
      <c r="B31" s="586"/>
      <c r="C31" s="179">
        <v>5</v>
      </c>
      <c r="D31" s="182" t="s">
        <v>541</v>
      </c>
      <c r="E31" s="179">
        <v>5</v>
      </c>
      <c r="F31" s="179">
        <v>3273</v>
      </c>
      <c r="G31" s="184">
        <f t="shared" si="16"/>
        <v>654.6</v>
      </c>
      <c r="H31" s="588"/>
      <c r="I31" s="185">
        <f t="shared" si="18"/>
        <v>5</v>
      </c>
      <c r="J31" s="185">
        <f t="shared" si="18"/>
        <v>2961.8581371830091</v>
      </c>
      <c r="K31" s="186">
        <f t="shared" si="18"/>
        <v>592.37162743660178</v>
      </c>
      <c r="L31" s="589"/>
      <c r="M31" s="185">
        <f>RANK(K31, K$27:$K$41)</f>
        <v>1</v>
      </c>
      <c r="N31" s="586"/>
      <c r="O31" s="586"/>
      <c r="P31" s="187">
        <v>5</v>
      </c>
      <c r="Q31" s="187">
        <v>2964.3499242976904</v>
      </c>
      <c r="R31" s="184">
        <f t="shared" si="19"/>
        <v>592.86998485953814</v>
      </c>
      <c r="S31" s="181">
        <f t="shared" si="20"/>
        <v>1</v>
      </c>
      <c r="T31" s="588"/>
      <c r="U31" s="187">
        <v>5</v>
      </c>
      <c r="V31" s="187">
        <v>2963.0407242976912</v>
      </c>
      <c r="W31" s="184">
        <f t="shared" si="17"/>
        <v>592.60814485953824</v>
      </c>
      <c r="X31" s="181">
        <f t="shared" si="21"/>
        <v>1</v>
      </c>
      <c r="Y31" s="588"/>
      <c r="Z31" s="187">
        <v>5</v>
      </c>
      <c r="AA31" s="187">
        <v>2961.4042242976911</v>
      </c>
      <c r="AB31" s="184">
        <f t="shared" si="22"/>
        <v>592.28084485953821</v>
      </c>
      <c r="AC31" s="181">
        <f t="shared" si="23"/>
        <v>1</v>
      </c>
      <c r="AD31" s="588"/>
      <c r="AE31" s="187">
        <v>5</v>
      </c>
      <c r="AF31" s="187">
        <v>2960.4223242976909</v>
      </c>
      <c r="AG31" s="184">
        <f t="shared" si="24"/>
        <v>592.08446485953823</v>
      </c>
      <c r="AH31" s="181">
        <f t="shared" si="25"/>
        <v>1</v>
      </c>
      <c r="AI31" s="588"/>
      <c r="AJ31" s="187">
        <v>5</v>
      </c>
      <c r="AK31" s="187">
        <v>2959.4404242976912</v>
      </c>
      <c r="AL31" s="184">
        <f t="shared" si="26"/>
        <v>591.88808485953825</v>
      </c>
      <c r="AM31" s="181">
        <f t="shared" si="27"/>
        <v>1</v>
      </c>
      <c r="AN31" s="588"/>
      <c r="AO31" s="187">
        <v>5</v>
      </c>
      <c r="AP31" s="187">
        <v>2958.1312242976915</v>
      </c>
      <c r="AQ31" s="184">
        <f t="shared" si="28"/>
        <v>591.62624485953825</v>
      </c>
      <c r="AR31" s="181">
        <f t="shared" si="29"/>
        <v>1</v>
      </c>
      <c r="AS31" s="588"/>
      <c r="AT31" s="187">
        <v>5</v>
      </c>
      <c r="AU31" s="187">
        <v>2966.21811449492</v>
      </c>
      <c r="AV31" s="184">
        <f t="shared" si="30"/>
        <v>593.24362289898397</v>
      </c>
      <c r="AW31" s="181">
        <f t="shared" si="31"/>
        <v>1</v>
      </c>
      <c r="AX31" s="588"/>
    </row>
    <row r="32" spans="2:50" ht="14.25" customHeight="1">
      <c r="B32" s="586"/>
      <c r="C32" s="179">
        <v>6</v>
      </c>
      <c r="D32" s="182" t="s">
        <v>625</v>
      </c>
      <c r="E32" s="179">
        <v>6</v>
      </c>
      <c r="F32" s="179">
        <v>2500</v>
      </c>
      <c r="G32" s="184">
        <f t="shared" si="16"/>
        <v>416.66666666666669</v>
      </c>
      <c r="H32" s="588"/>
      <c r="I32" s="185">
        <f t="shared" si="18"/>
        <v>6</v>
      </c>
      <c r="J32" s="185">
        <f t="shared" si="18"/>
        <v>2257.1864755362599</v>
      </c>
      <c r="K32" s="186">
        <f t="shared" si="18"/>
        <v>376.19774592271</v>
      </c>
      <c r="L32" s="589"/>
      <c r="M32" s="185">
        <f>RANK(K32, K$27:$K$41)</f>
        <v>5</v>
      </c>
      <c r="N32" s="586"/>
      <c r="O32" s="586"/>
      <c r="P32" s="187">
        <v>6</v>
      </c>
      <c r="Q32" s="187">
        <v>2258.5793326791177</v>
      </c>
      <c r="R32" s="184">
        <f t="shared" si="19"/>
        <v>376.42988877985294</v>
      </c>
      <c r="S32" s="181">
        <f t="shared" si="20"/>
        <v>5</v>
      </c>
      <c r="T32" s="588"/>
      <c r="U32" s="187">
        <v>6</v>
      </c>
      <c r="V32" s="187">
        <v>2257.5793326791172</v>
      </c>
      <c r="W32" s="184">
        <f t="shared" si="17"/>
        <v>376.2632221131862</v>
      </c>
      <c r="X32" s="181">
        <f t="shared" si="21"/>
        <v>5</v>
      </c>
      <c r="Y32" s="588"/>
      <c r="Z32" s="187">
        <v>6</v>
      </c>
      <c r="AA32" s="187">
        <v>2257.5793326791172</v>
      </c>
      <c r="AB32" s="184">
        <f t="shared" si="22"/>
        <v>376.2632221131862</v>
      </c>
      <c r="AC32" s="181">
        <f t="shared" si="23"/>
        <v>5</v>
      </c>
      <c r="AD32" s="588"/>
      <c r="AE32" s="187">
        <v>6</v>
      </c>
      <c r="AF32" s="187">
        <v>2256.5793326791172</v>
      </c>
      <c r="AG32" s="184">
        <f t="shared" si="24"/>
        <v>376.09655544651952</v>
      </c>
      <c r="AH32" s="181">
        <f t="shared" si="25"/>
        <v>5</v>
      </c>
      <c r="AI32" s="588"/>
      <c r="AJ32" s="187">
        <v>6</v>
      </c>
      <c r="AK32" s="187">
        <v>2256.3293326791177</v>
      </c>
      <c r="AL32" s="184">
        <f t="shared" si="26"/>
        <v>376.05488877985294</v>
      </c>
      <c r="AM32" s="181">
        <f t="shared" si="27"/>
        <v>5</v>
      </c>
      <c r="AN32" s="588"/>
      <c r="AO32" s="187">
        <v>6</v>
      </c>
      <c r="AP32" s="187">
        <v>2256.5793326791172</v>
      </c>
      <c r="AQ32" s="184">
        <f t="shared" si="28"/>
        <v>376.09655544651952</v>
      </c>
      <c r="AR32" s="181">
        <f t="shared" si="29"/>
        <v>5</v>
      </c>
      <c r="AS32" s="588"/>
      <c r="AT32" s="187">
        <v>6</v>
      </c>
      <c r="AU32" s="187">
        <v>2257.0793326791172</v>
      </c>
      <c r="AV32" s="184">
        <f t="shared" si="30"/>
        <v>376.17988877985289</v>
      </c>
      <c r="AW32" s="181">
        <f t="shared" si="31"/>
        <v>5</v>
      </c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 collapsed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348</v>
      </c>
      <c r="C47" s="179">
        <v>1</v>
      </c>
      <c r="D47" s="182" t="s">
        <v>529</v>
      </c>
      <c r="E47" s="183">
        <v>5</v>
      </c>
      <c r="F47" s="179">
        <v>3273</v>
      </c>
      <c r="G47" s="184">
        <f t="shared" ref="G47:G52" si="32">IFERROR(F47/E47,"")</f>
        <v>654.6</v>
      </c>
      <c r="H47" s="588">
        <f>AVERAGE(G47:G61)</f>
        <v>505.14444444444439</v>
      </c>
      <c r="I47" s="185">
        <f>AVERAGE(P47,U47,Z47,AE47,AJ47,AO47,AT47)</f>
        <v>6</v>
      </c>
      <c r="J47" s="185">
        <f>AVERAGE(Q47,V47,AA47,AF47,AK47,AP47,AU47)</f>
        <v>2962.296477592186</v>
      </c>
      <c r="K47" s="186">
        <f>AVERAGE(R47,W47,AB47,AG47,AL47,AQ47,AV47)</f>
        <v>493.71607959869772</v>
      </c>
      <c r="L47" s="589">
        <f>IFERROR(AVERAGE(K47:K61),"-")</f>
        <v>440.32807701576502</v>
      </c>
      <c r="M47" s="185">
        <f>RANK(K47, K$47:$K$61)</f>
        <v>4</v>
      </c>
      <c r="N47" s="586"/>
      <c r="O47" s="586"/>
      <c r="P47" s="187">
        <v>6</v>
      </c>
      <c r="Q47" s="187">
        <v>2962.6237775921859</v>
      </c>
      <c r="R47" s="184">
        <f>IFERROR(Q47/P47,"")</f>
        <v>493.77062959869767</v>
      </c>
      <c r="S47" s="181">
        <f>RANK(R47, R$47:R$61)</f>
        <v>4</v>
      </c>
      <c r="T47" s="588">
        <f>AVERAGE(R47:R61)</f>
        <v>440.26630807433827</v>
      </c>
      <c r="U47" s="187">
        <v>6</v>
      </c>
      <c r="V47" s="187">
        <v>2962.9510775921863</v>
      </c>
      <c r="W47" s="184">
        <f t="shared" ref="W47:W52" si="33">IFERROR(V47/U47,"")</f>
        <v>493.82517959869773</v>
      </c>
      <c r="X47" s="181">
        <f>RANK(W47, W$47:W$61)</f>
        <v>4</v>
      </c>
      <c r="Y47" s="588">
        <f>AVERAGE(W47:W61)</f>
        <v>440.31637307433834</v>
      </c>
      <c r="Z47" s="187">
        <v>6</v>
      </c>
      <c r="AA47" s="187">
        <v>2960.3326775921864</v>
      </c>
      <c r="AB47" s="184">
        <f>IFERROR(AA47/Z47,"")</f>
        <v>493.38877959869774</v>
      </c>
      <c r="AC47" s="181">
        <f>RANK(AB47, AB$47:AB$61)</f>
        <v>4</v>
      </c>
      <c r="AD47" s="588">
        <f>AVERAGE(AB47:AB61)</f>
        <v>440.23552196322726</v>
      </c>
      <c r="AE47" s="187">
        <v>6</v>
      </c>
      <c r="AF47" s="187">
        <v>2963.2783775921857</v>
      </c>
      <c r="AG47" s="184">
        <f>IFERROR(AF47/AE47,"")</f>
        <v>493.87972959869762</v>
      </c>
      <c r="AH47" s="181">
        <f>RANK(AG47, AG$47:AG$61)</f>
        <v>4</v>
      </c>
      <c r="AI47" s="588">
        <f>AVERAGE(AG47:AG61)</f>
        <v>440.37212997183502</v>
      </c>
      <c r="AJ47" s="187"/>
      <c r="AK47" s="187"/>
      <c r="AL47" s="184"/>
      <c r="AM47" s="181"/>
      <c r="AN47" s="588">
        <f>AVERAGE(AL47:AL61)</f>
        <v>429.68596071312913</v>
      </c>
      <c r="AO47" s="187"/>
      <c r="AP47" s="187"/>
      <c r="AQ47" s="184"/>
      <c r="AR47" s="181"/>
      <c r="AS47" s="588">
        <f>AVERAGE(AQ47:AQ61)</f>
        <v>429.7315447131291</v>
      </c>
      <c r="AT47" s="187"/>
      <c r="AU47" s="187"/>
      <c r="AV47" s="184"/>
      <c r="AW47" s="181"/>
      <c r="AX47" s="588">
        <f>AVERAGE(AV47:AV61)</f>
        <v>429.68029404646239</v>
      </c>
    </row>
    <row r="48" spans="2:50" ht="14.25" customHeight="1">
      <c r="B48" s="586"/>
      <c r="C48" s="179">
        <v>2</v>
      </c>
      <c r="D48" s="182" t="s">
        <v>522</v>
      </c>
      <c r="E48" s="179">
        <v>6</v>
      </c>
      <c r="F48" s="179">
        <v>3600</v>
      </c>
      <c r="G48" s="184">
        <f t="shared" si="32"/>
        <v>600</v>
      </c>
      <c r="H48" s="588"/>
      <c r="I48" s="185">
        <f t="shared" ref="I48:K52" si="34">AVERAGE(P48,U48,Z48,AE48,AJ48,AO48,AT48)</f>
        <v>6</v>
      </c>
      <c r="J48" s="185">
        <f t="shared" si="34"/>
        <v>3251.0420893646401</v>
      </c>
      <c r="K48" s="186">
        <f t="shared" si="34"/>
        <v>541.84034822744002</v>
      </c>
      <c r="L48" s="589"/>
      <c r="M48" s="185">
        <f>RANK(K48, K$47:$K$61)</f>
        <v>2</v>
      </c>
      <c r="N48" s="586"/>
      <c r="O48" s="586"/>
      <c r="P48" s="187">
        <v>6</v>
      </c>
      <c r="Q48" s="187">
        <v>3249.9106607932117</v>
      </c>
      <c r="R48" s="184">
        <f t="shared" ref="R48:R52" si="35">IFERROR(Q48/P48,"")</f>
        <v>541.65177679886858</v>
      </c>
      <c r="S48" s="181">
        <f t="shared" ref="S48:S52" si="36">RANK(R48, R$47:R$61)</f>
        <v>3</v>
      </c>
      <c r="T48" s="588"/>
      <c r="U48" s="187">
        <v>6</v>
      </c>
      <c r="V48" s="187">
        <v>3249.5506607932116</v>
      </c>
      <c r="W48" s="184">
        <f t="shared" si="33"/>
        <v>541.59177679886864</v>
      </c>
      <c r="X48" s="181">
        <f t="shared" ref="X48:X52" si="37">RANK(W48, W$47:W$61)</f>
        <v>3</v>
      </c>
      <c r="Y48" s="588"/>
      <c r="Z48" s="187">
        <v>6</v>
      </c>
      <c r="AA48" s="187">
        <v>3250.9906607932116</v>
      </c>
      <c r="AB48" s="184">
        <f t="shared" ref="AB48:AB52" si="38">IFERROR(AA48/Z48,"")</f>
        <v>541.83177679886865</v>
      </c>
      <c r="AC48" s="181">
        <f t="shared" ref="AC48:AC52" si="39">RANK(AB48, AB$47:AB$61)</f>
        <v>2</v>
      </c>
      <c r="AD48" s="588"/>
      <c r="AE48" s="187">
        <v>6</v>
      </c>
      <c r="AF48" s="187">
        <v>3251.3506607932118</v>
      </c>
      <c r="AG48" s="184">
        <f t="shared" ref="AG48:AG52" si="40">IFERROR(AF48/AE48,"")</f>
        <v>541.89177679886859</v>
      </c>
      <c r="AH48" s="181">
        <f t="shared" ref="AH48:AH52" si="41">RANK(AG48, AG$47:AG$61)</f>
        <v>2</v>
      </c>
      <c r="AI48" s="588"/>
      <c r="AJ48" s="187">
        <v>6</v>
      </c>
      <c r="AK48" s="187">
        <v>3251.3506607932118</v>
      </c>
      <c r="AL48" s="184">
        <f t="shared" ref="AL48:AL52" si="42">IFERROR(AK48/AJ48,"")</f>
        <v>541.89177679886859</v>
      </c>
      <c r="AM48" s="181">
        <f t="shared" ref="AM48:AM52" si="43">RANK(AL48, AL$47:AL$61)</f>
        <v>2</v>
      </c>
      <c r="AN48" s="588"/>
      <c r="AO48" s="187">
        <v>6</v>
      </c>
      <c r="AP48" s="187">
        <v>3252.4306607932112</v>
      </c>
      <c r="AQ48" s="184">
        <f t="shared" ref="AQ48:AQ52" si="44">IFERROR(AP48/AO48,"")</f>
        <v>542.07177679886854</v>
      </c>
      <c r="AR48" s="181">
        <f t="shared" ref="AR48:AR52" si="45">RANK(AQ48, AQ$47:AQ$61)</f>
        <v>2</v>
      </c>
      <c r="AS48" s="588"/>
      <c r="AT48" s="187">
        <v>6</v>
      </c>
      <c r="AU48" s="187">
        <v>3251.7106607932114</v>
      </c>
      <c r="AV48" s="184">
        <f t="shared" ref="AV48:AV52" si="46">IFERROR(AU48/AT48,"")</f>
        <v>541.95177679886854</v>
      </c>
      <c r="AW48" s="181">
        <f t="shared" ref="AW48:AW52" si="47">RANK(AV48, AV$47:AV$61)</f>
        <v>2</v>
      </c>
      <c r="AX48" s="588"/>
    </row>
    <row r="49" spans="2:50" ht="14.25" customHeight="1">
      <c r="B49" s="586"/>
      <c r="C49" s="179">
        <v>3</v>
      </c>
      <c r="D49" s="182" t="s">
        <v>523</v>
      </c>
      <c r="E49" s="179">
        <v>6</v>
      </c>
      <c r="F49" s="179">
        <v>3600</v>
      </c>
      <c r="G49" s="184">
        <f t="shared" si="32"/>
        <v>600</v>
      </c>
      <c r="H49" s="588"/>
      <c r="I49" s="185">
        <f t="shared" si="34"/>
        <v>6</v>
      </c>
      <c r="J49" s="185">
        <f t="shared" si="34"/>
        <v>3250.0513472018379</v>
      </c>
      <c r="K49" s="186">
        <f t="shared" si="34"/>
        <v>541.67522453363949</v>
      </c>
      <c r="L49" s="589"/>
      <c r="M49" s="185">
        <f>RANK(K49, K$47:$K$61)</f>
        <v>3</v>
      </c>
      <c r="N49" s="586"/>
      <c r="O49" s="586"/>
      <c r="P49" s="187">
        <v>6</v>
      </c>
      <c r="Q49" s="187">
        <v>3250.6272795465138</v>
      </c>
      <c r="R49" s="184">
        <f t="shared" si="35"/>
        <v>541.77121325775227</v>
      </c>
      <c r="S49" s="181">
        <f t="shared" si="36"/>
        <v>2</v>
      </c>
      <c r="T49" s="588"/>
      <c r="U49" s="187">
        <v>6</v>
      </c>
      <c r="V49" s="187">
        <v>3250.2672795465137</v>
      </c>
      <c r="W49" s="184">
        <f t="shared" si="33"/>
        <v>541.71121325775232</v>
      </c>
      <c r="X49" s="181">
        <f t="shared" si="37"/>
        <v>2</v>
      </c>
      <c r="Y49" s="588"/>
      <c r="Z49" s="187">
        <v>6</v>
      </c>
      <c r="AA49" s="187">
        <v>3248.8272795465136</v>
      </c>
      <c r="AB49" s="184">
        <f t="shared" si="38"/>
        <v>541.47121325775231</v>
      </c>
      <c r="AC49" s="181">
        <f t="shared" si="39"/>
        <v>3</v>
      </c>
      <c r="AD49" s="588"/>
      <c r="AE49" s="187">
        <v>6</v>
      </c>
      <c r="AF49" s="187">
        <v>3249.7093979433312</v>
      </c>
      <c r="AG49" s="184">
        <f t="shared" si="40"/>
        <v>541.61823299055516</v>
      </c>
      <c r="AH49" s="181">
        <f t="shared" si="41"/>
        <v>3</v>
      </c>
      <c r="AI49" s="588"/>
      <c r="AJ49" s="187">
        <v>6</v>
      </c>
      <c r="AK49" s="187">
        <v>3250.0693979433308</v>
      </c>
      <c r="AL49" s="184">
        <f t="shared" si="42"/>
        <v>541.6782329905551</v>
      </c>
      <c r="AM49" s="181">
        <f t="shared" si="43"/>
        <v>3</v>
      </c>
      <c r="AN49" s="588"/>
      <c r="AO49" s="187">
        <v>6</v>
      </c>
      <c r="AP49" s="187">
        <v>3250.0693979433308</v>
      </c>
      <c r="AQ49" s="184">
        <f t="shared" si="44"/>
        <v>541.6782329905551</v>
      </c>
      <c r="AR49" s="181">
        <f t="shared" si="45"/>
        <v>3</v>
      </c>
      <c r="AS49" s="588"/>
      <c r="AT49" s="187">
        <v>6</v>
      </c>
      <c r="AU49" s="187">
        <v>3250.7893979433302</v>
      </c>
      <c r="AV49" s="184">
        <f t="shared" si="46"/>
        <v>541.79823299055499</v>
      </c>
      <c r="AW49" s="181">
        <f t="shared" si="47"/>
        <v>3</v>
      </c>
      <c r="AX49" s="588"/>
    </row>
    <row r="50" spans="2:50" ht="14.25" customHeight="1">
      <c r="B50" s="586"/>
      <c r="C50" s="179">
        <v>4</v>
      </c>
      <c r="D50" s="182" t="s">
        <v>534</v>
      </c>
      <c r="E50" s="179">
        <v>20</v>
      </c>
      <c r="F50" s="179">
        <v>2100</v>
      </c>
      <c r="G50" s="184">
        <f t="shared" si="32"/>
        <v>105</v>
      </c>
      <c r="H50" s="588"/>
      <c r="I50" s="185">
        <f t="shared" si="34"/>
        <v>20</v>
      </c>
      <c r="J50" s="185">
        <f t="shared" si="34"/>
        <v>1894.3883422374968</v>
      </c>
      <c r="K50" s="186">
        <f t="shared" si="34"/>
        <v>94.719417111874847</v>
      </c>
      <c r="L50" s="589"/>
      <c r="M50" s="185">
        <f>RANK(K50, K$47:$K$61)</f>
        <v>6</v>
      </c>
      <c r="N50" s="586"/>
      <c r="O50" s="586"/>
      <c r="P50" s="187">
        <v>20</v>
      </c>
      <c r="Q50" s="187">
        <v>1893.0683422374966</v>
      </c>
      <c r="R50" s="184">
        <f t="shared" si="35"/>
        <v>94.65341711187483</v>
      </c>
      <c r="S50" s="181">
        <f t="shared" si="36"/>
        <v>6</v>
      </c>
      <c r="T50" s="588"/>
      <c r="U50" s="187">
        <v>20</v>
      </c>
      <c r="V50" s="187">
        <v>1892.6483422374968</v>
      </c>
      <c r="W50" s="184">
        <f t="shared" si="33"/>
        <v>94.632417111874844</v>
      </c>
      <c r="X50" s="181">
        <f t="shared" si="37"/>
        <v>6</v>
      </c>
      <c r="Y50" s="588"/>
      <c r="Z50" s="187">
        <v>20</v>
      </c>
      <c r="AA50" s="187">
        <v>1893.6983422374969</v>
      </c>
      <c r="AB50" s="184">
        <f t="shared" si="38"/>
        <v>94.684917111874853</v>
      </c>
      <c r="AC50" s="181">
        <f t="shared" si="39"/>
        <v>6</v>
      </c>
      <c r="AD50" s="588"/>
      <c r="AE50" s="187">
        <v>20</v>
      </c>
      <c r="AF50" s="187">
        <v>1894.3283422374971</v>
      </c>
      <c r="AG50" s="184">
        <f t="shared" si="40"/>
        <v>94.716417111874847</v>
      </c>
      <c r="AH50" s="181">
        <f t="shared" si="41"/>
        <v>6</v>
      </c>
      <c r="AI50" s="588"/>
      <c r="AJ50" s="187">
        <v>20</v>
      </c>
      <c r="AK50" s="187">
        <v>1895.378342237497</v>
      </c>
      <c r="AL50" s="184">
        <f t="shared" si="42"/>
        <v>94.768917111874856</v>
      </c>
      <c r="AM50" s="181">
        <f t="shared" si="43"/>
        <v>5</v>
      </c>
      <c r="AN50" s="588"/>
      <c r="AO50" s="187">
        <v>20</v>
      </c>
      <c r="AP50" s="187">
        <v>1896.2183422374969</v>
      </c>
      <c r="AQ50" s="184">
        <f t="shared" si="44"/>
        <v>94.810917111874843</v>
      </c>
      <c r="AR50" s="181">
        <f t="shared" si="45"/>
        <v>5</v>
      </c>
      <c r="AS50" s="588"/>
      <c r="AT50" s="187">
        <v>20</v>
      </c>
      <c r="AU50" s="187">
        <v>1895.378342237497</v>
      </c>
      <c r="AV50" s="184">
        <f t="shared" si="46"/>
        <v>94.768917111874856</v>
      </c>
      <c r="AW50" s="181">
        <f t="shared" si="47"/>
        <v>5</v>
      </c>
      <c r="AX50" s="588"/>
    </row>
    <row r="51" spans="2:50" ht="14.25" customHeight="1">
      <c r="B51" s="586"/>
      <c r="C51" s="179">
        <v>5</v>
      </c>
      <c r="D51" s="182" t="s">
        <v>541</v>
      </c>
      <c r="E51" s="179">
        <v>5</v>
      </c>
      <c r="F51" s="179">
        <v>3273</v>
      </c>
      <c r="G51" s="184">
        <f t="shared" si="32"/>
        <v>654.6</v>
      </c>
      <c r="H51" s="588"/>
      <c r="I51" s="185">
        <f t="shared" si="34"/>
        <v>5</v>
      </c>
      <c r="J51" s="185">
        <f t="shared" si="34"/>
        <v>2968.836514494918</v>
      </c>
      <c r="K51" s="186">
        <f t="shared" si="34"/>
        <v>593.76730289898376</v>
      </c>
      <c r="L51" s="589"/>
      <c r="M51" s="185">
        <f>RANK(K51, K$47:$K$61)</f>
        <v>1</v>
      </c>
      <c r="N51" s="586"/>
      <c r="O51" s="586"/>
      <c r="P51" s="187">
        <v>5</v>
      </c>
      <c r="Q51" s="187">
        <v>2967.8546144949196</v>
      </c>
      <c r="R51" s="184">
        <f t="shared" si="35"/>
        <v>593.57092289898389</v>
      </c>
      <c r="S51" s="181">
        <f t="shared" si="36"/>
        <v>1</v>
      </c>
      <c r="T51" s="588"/>
      <c r="U51" s="187">
        <v>5</v>
      </c>
      <c r="V51" s="187">
        <v>2969.1638144949197</v>
      </c>
      <c r="W51" s="184">
        <f t="shared" si="33"/>
        <v>593.8327628989839</v>
      </c>
      <c r="X51" s="181">
        <f t="shared" si="37"/>
        <v>1</v>
      </c>
      <c r="Y51" s="588"/>
      <c r="Z51" s="187">
        <v>5</v>
      </c>
      <c r="AA51" s="187">
        <v>2969.4911144949192</v>
      </c>
      <c r="AB51" s="184">
        <f t="shared" si="38"/>
        <v>593.89822289898382</v>
      </c>
      <c r="AC51" s="181">
        <f t="shared" si="39"/>
        <v>1</v>
      </c>
      <c r="AD51" s="588"/>
      <c r="AE51" s="187">
        <v>5</v>
      </c>
      <c r="AF51" s="187">
        <v>2968.1819144949186</v>
      </c>
      <c r="AG51" s="184">
        <f t="shared" si="40"/>
        <v>593.6363828989837</v>
      </c>
      <c r="AH51" s="181">
        <f t="shared" si="41"/>
        <v>1</v>
      </c>
      <c r="AI51" s="588"/>
      <c r="AJ51" s="187">
        <v>5</v>
      </c>
      <c r="AK51" s="187">
        <v>2968.8365144949184</v>
      </c>
      <c r="AL51" s="184">
        <f t="shared" si="42"/>
        <v>593.76730289898364</v>
      </c>
      <c r="AM51" s="181">
        <f t="shared" si="43"/>
        <v>1</v>
      </c>
      <c r="AN51" s="588"/>
      <c r="AO51" s="187">
        <v>5</v>
      </c>
      <c r="AP51" s="187">
        <v>2969.4911144949174</v>
      </c>
      <c r="AQ51" s="184">
        <f t="shared" si="44"/>
        <v>593.89822289898348</v>
      </c>
      <c r="AR51" s="181">
        <f t="shared" si="45"/>
        <v>1</v>
      </c>
      <c r="AS51" s="588"/>
      <c r="AT51" s="187">
        <v>5</v>
      </c>
      <c r="AU51" s="187">
        <v>2968.8365144949171</v>
      </c>
      <c r="AV51" s="184">
        <f t="shared" si="46"/>
        <v>593.76730289898342</v>
      </c>
      <c r="AW51" s="181">
        <f t="shared" si="47"/>
        <v>1</v>
      </c>
      <c r="AX51" s="588"/>
    </row>
    <row r="52" spans="2:50" ht="14.25" customHeight="1">
      <c r="B52" s="586"/>
      <c r="C52" s="179">
        <v>6</v>
      </c>
      <c r="D52" s="182" t="s">
        <v>625</v>
      </c>
      <c r="E52" s="179">
        <v>6</v>
      </c>
      <c r="F52" s="179">
        <v>2500</v>
      </c>
      <c r="G52" s="184">
        <f t="shared" si="32"/>
        <v>416.66666666666669</v>
      </c>
      <c r="H52" s="588"/>
      <c r="I52" s="185">
        <f t="shared" si="34"/>
        <v>6</v>
      </c>
      <c r="J52" s="185">
        <f t="shared" si="34"/>
        <v>2257.500538343726</v>
      </c>
      <c r="K52" s="186">
        <f t="shared" si="34"/>
        <v>376.25008972395432</v>
      </c>
      <c r="L52" s="589"/>
      <c r="M52" s="185">
        <f>RANK(K52, K$47:$K$61)</f>
        <v>5</v>
      </c>
      <c r="N52" s="586"/>
      <c r="O52" s="586"/>
      <c r="P52" s="187">
        <v>6</v>
      </c>
      <c r="Q52" s="187">
        <v>2257.0793326791172</v>
      </c>
      <c r="R52" s="184">
        <f t="shared" si="35"/>
        <v>376.17988877985289</v>
      </c>
      <c r="S52" s="181">
        <f t="shared" si="36"/>
        <v>5</v>
      </c>
      <c r="T52" s="588"/>
      <c r="U52" s="187">
        <v>6</v>
      </c>
      <c r="V52" s="187">
        <v>2257.8293326791172</v>
      </c>
      <c r="W52" s="184">
        <f t="shared" si="33"/>
        <v>376.30488877985289</v>
      </c>
      <c r="X52" s="181">
        <f t="shared" si="37"/>
        <v>5</v>
      </c>
      <c r="Y52" s="588"/>
      <c r="Z52" s="187">
        <v>6</v>
      </c>
      <c r="AA52" s="187">
        <v>2256.8293326791172</v>
      </c>
      <c r="AB52" s="184">
        <f t="shared" si="38"/>
        <v>376.1382221131862</v>
      </c>
      <c r="AC52" s="181">
        <f t="shared" si="39"/>
        <v>5</v>
      </c>
      <c r="AD52" s="588"/>
      <c r="AE52" s="187">
        <v>6</v>
      </c>
      <c r="AF52" s="187">
        <v>2258.9414425921823</v>
      </c>
      <c r="AG52" s="184">
        <f t="shared" si="40"/>
        <v>376.49024043203036</v>
      </c>
      <c r="AH52" s="181">
        <f t="shared" si="41"/>
        <v>5</v>
      </c>
      <c r="AI52" s="588"/>
      <c r="AJ52" s="187">
        <v>6</v>
      </c>
      <c r="AK52" s="187">
        <v>2257.9414425921823</v>
      </c>
      <c r="AL52" s="184">
        <f t="shared" si="42"/>
        <v>376.32357376536373</v>
      </c>
      <c r="AM52" s="181">
        <f t="shared" si="43"/>
        <v>4</v>
      </c>
      <c r="AN52" s="588"/>
      <c r="AO52" s="187">
        <v>6</v>
      </c>
      <c r="AP52" s="187">
        <v>2257.1914425921823</v>
      </c>
      <c r="AQ52" s="184">
        <f t="shared" si="44"/>
        <v>376.19857376536373</v>
      </c>
      <c r="AR52" s="181">
        <f t="shared" si="45"/>
        <v>4</v>
      </c>
      <c r="AS52" s="588"/>
      <c r="AT52" s="187">
        <v>6</v>
      </c>
      <c r="AU52" s="187">
        <v>2256.6914425921823</v>
      </c>
      <c r="AV52" s="184">
        <f t="shared" si="46"/>
        <v>376.11524043203036</v>
      </c>
      <c r="AW52" s="181">
        <f t="shared" si="47"/>
        <v>4</v>
      </c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 collapsed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348</v>
      </c>
      <c r="C67" s="179">
        <v>1</v>
      </c>
      <c r="D67" s="182" t="s">
        <v>522</v>
      </c>
      <c r="E67" s="183">
        <v>6</v>
      </c>
      <c r="F67" s="179">
        <v>4200</v>
      </c>
      <c r="G67" s="184">
        <f t="shared" ref="G67:G71" si="48">IFERROR(F67/E67,"")</f>
        <v>700</v>
      </c>
      <c r="H67" s="588">
        <f>AVERAGE(G67:G81)</f>
        <v>515.25333333333333</v>
      </c>
      <c r="I67" s="185">
        <f>AVERAGE(P67,U67,Z67,AE67,AJ67,AO67,AT67)</f>
        <v>6</v>
      </c>
      <c r="J67" s="185">
        <f>AVERAGE(Q67,V67,AA67,AF67,AK67,AP67,AU67)</f>
        <v>3717.5356248712237</v>
      </c>
      <c r="K67" s="186">
        <f>AVERAGE(R67,W67,AB67,AG67,AL67,AQ67,AV67)</f>
        <v>619.58927081187062</v>
      </c>
      <c r="L67" s="589">
        <f>IFERROR(AVERAGE(K67:K81),"-")</f>
        <v>460.72330415785461</v>
      </c>
      <c r="M67" s="185">
        <f>RANK(K67, K$67:$K$81)</f>
        <v>1</v>
      </c>
      <c r="N67" s="586"/>
      <c r="O67" s="586"/>
      <c r="P67" s="187">
        <v>6</v>
      </c>
      <c r="Q67" s="187">
        <v>3529.2599999999998</v>
      </c>
      <c r="R67" s="184">
        <f>IFERROR(Q67/P67,"")</f>
        <v>588.20999999999992</v>
      </c>
      <c r="S67" s="181">
        <f>RANK(R67, R$67:R$81)</f>
        <v>3</v>
      </c>
      <c r="T67" s="588">
        <f>AVERAGE(R67:R81)</f>
        <v>448.30136900903108</v>
      </c>
      <c r="U67" s="187">
        <v>6</v>
      </c>
      <c r="V67" s="187">
        <v>3613.26</v>
      </c>
      <c r="W67" s="184">
        <f t="shared" ref="W67:W71" si="49">IFERROR(V67/U67,"")</f>
        <v>602.21</v>
      </c>
      <c r="X67" s="181">
        <f>RANK(W67, W$67:W$81)</f>
        <v>1</v>
      </c>
      <c r="Y67" s="588">
        <f>AVERAGE(W67:W81)</f>
        <v>453.66007342191097</v>
      </c>
      <c r="Z67" s="187">
        <v>6</v>
      </c>
      <c r="AA67" s="187">
        <v>3703.9493740985622</v>
      </c>
      <c r="AB67" s="184">
        <f>IFERROR(AA67/Z67,"")</f>
        <v>617.3248956830937</v>
      </c>
      <c r="AC67" s="181">
        <f>RANK(AB67, AB$67:AB$81)</f>
        <v>1</v>
      </c>
      <c r="AD67" s="588">
        <f>AVERAGE(AB67:AB81)</f>
        <v>459.73171015475526</v>
      </c>
      <c r="AE67" s="187">
        <v>6</v>
      </c>
      <c r="AF67" s="187">
        <v>3793.86</v>
      </c>
      <c r="AG67" s="184">
        <f>IFERROR(AF67/AE67,"")</f>
        <v>632.31000000000006</v>
      </c>
      <c r="AH67" s="181">
        <f>RANK(AG67, AG$67:AG$81)</f>
        <v>1</v>
      </c>
      <c r="AI67" s="588">
        <f>AVERAGE(AG67:AG81)</f>
        <v>465.73369075524431</v>
      </c>
      <c r="AJ67" s="187">
        <v>6</v>
      </c>
      <c r="AK67" s="187">
        <v>3793.4400000000005</v>
      </c>
      <c r="AL67" s="184">
        <f>IFERROR(AK67/AJ67,"")</f>
        <v>632.24000000000012</v>
      </c>
      <c r="AM67" s="181">
        <f>RANK(AL67, AL$67:AL$81)</f>
        <v>1</v>
      </c>
      <c r="AN67" s="588">
        <f>AVERAGE(AL67:AL81)</f>
        <v>465.87403169912488</v>
      </c>
      <c r="AO67" s="187">
        <v>6</v>
      </c>
      <c r="AP67" s="187">
        <v>3794.2800000000011</v>
      </c>
      <c r="AQ67" s="184">
        <f>IFERROR(AP67/AO67,"")</f>
        <v>632.38000000000022</v>
      </c>
      <c r="AR67" s="181">
        <f>RANK(AQ67, AQ$67:AQ$81)</f>
        <v>1</v>
      </c>
      <c r="AS67" s="588">
        <f>AVERAGE(AQ67:AQ81)</f>
        <v>465.93695703245811</v>
      </c>
      <c r="AT67" s="187">
        <v>6</v>
      </c>
      <c r="AU67" s="187">
        <v>3794.7000000000012</v>
      </c>
      <c r="AV67" s="184">
        <f>IFERROR(AU67/AT67,"")</f>
        <v>632.45000000000016</v>
      </c>
      <c r="AW67" s="181">
        <f>RANK(AV67, AV$67:AV$81)</f>
        <v>1</v>
      </c>
      <c r="AX67" s="588">
        <f>AVERAGE(AV67:AV81)</f>
        <v>465.82529703245808</v>
      </c>
    </row>
    <row r="68" spans="2:50" ht="14.25" customHeight="1">
      <c r="B68" s="586"/>
      <c r="C68" s="179">
        <v>2</v>
      </c>
      <c r="D68" s="182" t="s">
        <v>523</v>
      </c>
      <c r="E68" s="179">
        <v>6</v>
      </c>
      <c r="F68" s="179">
        <v>4200</v>
      </c>
      <c r="G68" s="184">
        <f t="shared" si="48"/>
        <v>700</v>
      </c>
      <c r="H68" s="588"/>
      <c r="I68" s="185">
        <f t="shared" ref="I68:K71" si="50">AVERAGE(P68,U68,Z68,AE68,AJ68,AO68,AT68)</f>
        <v>6</v>
      </c>
      <c r="J68" s="185">
        <f t="shared" si="50"/>
        <v>3716.6539592806917</v>
      </c>
      <c r="K68" s="186">
        <f t="shared" si="50"/>
        <v>619.44232654678194</v>
      </c>
      <c r="L68" s="589"/>
      <c r="M68" s="185">
        <f>RANK(K68, K$67:$K$81)</f>
        <v>2</v>
      </c>
      <c r="N68" s="586"/>
      <c r="O68" s="586"/>
      <c r="P68" s="187">
        <v>6</v>
      </c>
      <c r="Q68" s="187">
        <v>3533.174587613601</v>
      </c>
      <c r="R68" s="184">
        <f t="shared" ref="R68:R71" si="51">IFERROR(Q68/P68,"")</f>
        <v>588.86243126893351</v>
      </c>
      <c r="S68" s="181">
        <f t="shared" ref="S68:S71" si="52">RANK(R68, R$67:R$81)</f>
        <v>2</v>
      </c>
      <c r="T68" s="588"/>
      <c r="U68" s="187">
        <v>6</v>
      </c>
      <c r="V68" s="187">
        <v>3610.7400000000007</v>
      </c>
      <c r="W68" s="184">
        <f t="shared" si="49"/>
        <v>601.79000000000008</v>
      </c>
      <c r="X68" s="181">
        <f t="shared" ref="X68:X71" si="53">RANK(W68, W$67:W$81)</f>
        <v>2</v>
      </c>
      <c r="Y68" s="588"/>
      <c r="Z68" s="187">
        <v>6</v>
      </c>
      <c r="AA68" s="187">
        <v>3702.3780078867667</v>
      </c>
      <c r="AB68" s="184">
        <f t="shared" ref="AB68:AB71" si="54">IFERROR(AA68/Z68,"")</f>
        <v>617.06300131446108</v>
      </c>
      <c r="AC68" s="181">
        <f t="shared" ref="AC68:AC71" si="55">RANK(AB68, AB$67:AB$81)</f>
        <v>2</v>
      </c>
      <c r="AD68" s="588"/>
      <c r="AE68" s="187">
        <v>6</v>
      </c>
      <c r="AF68" s="187">
        <v>3790.5000000000005</v>
      </c>
      <c r="AG68" s="184">
        <f t="shared" ref="AG68:AG71" si="56">IFERROR(AF68/AE68,"")</f>
        <v>631.75000000000011</v>
      </c>
      <c r="AH68" s="181">
        <f t="shared" ref="AH68:AH71" si="57">RANK(AG68, AG$67:AG$81)</f>
        <v>2</v>
      </c>
      <c r="AI68" s="588"/>
      <c r="AJ68" s="187">
        <v>6</v>
      </c>
      <c r="AK68" s="187">
        <v>3793.2617064881588</v>
      </c>
      <c r="AL68" s="184">
        <f t="shared" ref="AL68:AL71" si="58">IFERROR(AK68/AJ68,"")</f>
        <v>632.21028441469309</v>
      </c>
      <c r="AM68" s="181">
        <f t="shared" ref="AM68:AM71" si="59">RANK(AL68, AL$67:AL$81)</f>
        <v>2</v>
      </c>
      <c r="AN68" s="588"/>
      <c r="AO68" s="187">
        <v>6</v>
      </c>
      <c r="AP68" s="187">
        <v>3794.101706488158</v>
      </c>
      <c r="AQ68" s="184">
        <f t="shared" ref="AQ68:AQ71" si="60">IFERROR(AP68/AO68,"")</f>
        <v>632.35028441469296</v>
      </c>
      <c r="AR68" s="181">
        <f t="shared" ref="AR68:AR71" si="61">RANK(AQ68, AQ$67:AQ$81)</f>
        <v>2</v>
      </c>
      <c r="AS68" s="588"/>
      <c r="AT68" s="187">
        <v>6</v>
      </c>
      <c r="AU68" s="187">
        <v>3792.4217064881577</v>
      </c>
      <c r="AV68" s="184">
        <f t="shared" ref="AV68:AV71" si="62">IFERROR(AU68/AT68,"")</f>
        <v>632.07028441469299</v>
      </c>
      <c r="AW68" s="181">
        <f t="shared" ref="AW68:AW71" si="63">RANK(AV68, AV$67:AV$81)</f>
        <v>2</v>
      </c>
      <c r="AX68" s="588"/>
    </row>
    <row r="69" spans="2:50" ht="14.25" customHeight="1">
      <c r="B69" s="586"/>
      <c r="C69" s="179">
        <v>3</v>
      </c>
      <c r="D69" s="182" t="s">
        <v>534</v>
      </c>
      <c r="E69" s="179">
        <v>20</v>
      </c>
      <c r="F69" s="179">
        <v>2100</v>
      </c>
      <c r="G69" s="184">
        <f t="shared" si="48"/>
        <v>105</v>
      </c>
      <c r="H69" s="588"/>
      <c r="I69" s="185">
        <f t="shared" si="50"/>
        <v>20</v>
      </c>
      <c r="J69" s="185">
        <f t="shared" si="50"/>
        <v>1895.9783422374969</v>
      </c>
      <c r="K69" s="186">
        <f t="shared" si="50"/>
        <v>94.798917111874857</v>
      </c>
      <c r="L69" s="589"/>
      <c r="M69" s="185">
        <f>RANK(K69, K$67:$K$81)</f>
        <v>5</v>
      </c>
      <c r="N69" s="586"/>
      <c r="O69" s="586"/>
      <c r="P69" s="187">
        <v>20</v>
      </c>
      <c r="Q69" s="187">
        <v>1895.7983422374971</v>
      </c>
      <c r="R69" s="184">
        <f t="shared" si="51"/>
        <v>94.789917111874857</v>
      </c>
      <c r="S69" s="181">
        <f t="shared" si="52"/>
        <v>5</v>
      </c>
      <c r="T69" s="588"/>
      <c r="U69" s="187">
        <v>20</v>
      </c>
      <c r="V69" s="187">
        <v>1895.3783422374972</v>
      </c>
      <c r="W69" s="184">
        <f t="shared" si="49"/>
        <v>94.768917111874856</v>
      </c>
      <c r="X69" s="181">
        <f t="shared" si="53"/>
        <v>5</v>
      </c>
      <c r="Y69" s="588"/>
      <c r="Z69" s="187">
        <v>20</v>
      </c>
      <c r="AA69" s="187">
        <v>1895.3783422374972</v>
      </c>
      <c r="AB69" s="184">
        <f t="shared" si="54"/>
        <v>94.768917111874856</v>
      </c>
      <c r="AC69" s="181">
        <f t="shared" si="55"/>
        <v>5</v>
      </c>
      <c r="AD69" s="588"/>
      <c r="AE69" s="187">
        <v>20</v>
      </c>
      <c r="AF69" s="187">
        <v>1895.588342237497</v>
      </c>
      <c r="AG69" s="184">
        <f t="shared" si="56"/>
        <v>94.779417111874849</v>
      </c>
      <c r="AH69" s="181">
        <f t="shared" si="57"/>
        <v>5</v>
      </c>
      <c r="AI69" s="588"/>
      <c r="AJ69" s="187">
        <v>20</v>
      </c>
      <c r="AK69" s="187">
        <v>1896.0083422374971</v>
      </c>
      <c r="AL69" s="184">
        <f t="shared" si="58"/>
        <v>94.80041711187485</v>
      </c>
      <c r="AM69" s="181">
        <f t="shared" si="59"/>
        <v>5</v>
      </c>
      <c r="AN69" s="588"/>
      <c r="AO69" s="187">
        <v>20</v>
      </c>
      <c r="AP69" s="187">
        <v>1897.0583422374966</v>
      </c>
      <c r="AQ69" s="184">
        <f t="shared" si="60"/>
        <v>94.852917111874831</v>
      </c>
      <c r="AR69" s="181">
        <f t="shared" si="61"/>
        <v>5</v>
      </c>
      <c r="AS69" s="588"/>
      <c r="AT69" s="187">
        <v>20</v>
      </c>
      <c r="AU69" s="187">
        <v>1896.6383422374965</v>
      </c>
      <c r="AV69" s="184">
        <f t="shared" si="62"/>
        <v>94.83191711187483</v>
      </c>
      <c r="AW69" s="181">
        <f t="shared" si="63"/>
        <v>5</v>
      </c>
      <c r="AX69" s="588"/>
    </row>
    <row r="70" spans="2:50" ht="14.25" customHeight="1">
      <c r="B70" s="586"/>
      <c r="C70" s="179">
        <v>4</v>
      </c>
      <c r="D70" s="182" t="s">
        <v>541</v>
      </c>
      <c r="E70" s="179">
        <v>5</v>
      </c>
      <c r="F70" s="179">
        <v>3273</v>
      </c>
      <c r="G70" s="184">
        <f t="shared" si="48"/>
        <v>654.6</v>
      </c>
      <c r="H70" s="588"/>
      <c r="I70" s="185">
        <f t="shared" si="50"/>
        <v>5</v>
      </c>
      <c r="J70" s="185">
        <f t="shared" si="50"/>
        <v>2967.8078573520584</v>
      </c>
      <c r="K70" s="186">
        <f t="shared" si="50"/>
        <v>593.56157147041154</v>
      </c>
      <c r="L70" s="589"/>
      <c r="M70" s="185">
        <f>RANK(K70, K$67:$K$81)</f>
        <v>3</v>
      </c>
      <c r="N70" s="586"/>
      <c r="O70" s="586"/>
      <c r="P70" s="187">
        <v>5</v>
      </c>
      <c r="Q70" s="187">
        <v>2967.8546144949169</v>
      </c>
      <c r="R70" s="184">
        <f t="shared" si="51"/>
        <v>593.57092289898333</v>
      </c>
      <c r="S70" s="181">
        <f t="shared" si="52"/>
        <v>1</v>
      </c>
      <c r="T70" s="588"/>
      <c r="U70" s="187">
        <v>5</v>
      </c>
      <c r="V70" s="187">
        <v>2966.8727144949162</v>
      </c>
      <c r="W70" s="184">
        <f t="shared" si="49"/>
        <v>593.37454289898324</v>
      </c>
      <c r="X70" s="181">
        <f t="shared" si="53"/>
        <v>3</v>
      </c>
      <c r="Y70" s="588"/>
      <c r="Z70" s="187">
        <v>5</v>
      </c>
      <c r="AA70" s="187">
        <v>2965.890814494916</v>
      </c>
      <c r="AB70" s="184">
        <f t="shared" si="54"/>
        <v>593.17816289898315</v>
      </c>
      <c r="AC70" s="181">
        <f t="shared" si="55"/>
        <v>3</v>
      </c>
      <c r="AD70" s="588"/>
      <c r="AE70" s="187">
        <v>5</v>
      </c>
      <c r="AF70" s="187">
        <v>2967.5273144949156</v>
      </c>
      <c r="AG70" s="184">
        <f t="shared" si="56"/>
        <v>593.50546289898307</v>
      </c>
      <c r="AH70" s="181">
        <f t="shared" si="57"/>
        <v>3</v>
      </c>
      <c r="AI70" s="588"/>
      <c r="AJ70" s="187">
        <v>5</v>
      </c>
      <c r="AK70" s="187">
        <v>2969.1638144949147</v>
      </c>
      <c r="AL70" s="184">
        <f t="shared" si="58"/>
        <v>593.83276289898299</v>
      </c>
      <c r="AM70" s="181">
        <f t="shared" si="59"/>
        <v>3</v>
      </c>
      <c r="AN70" s="588"/>
      <c r="AO70" s="187">
        <v>5</v>
      </c>
      <c r="AP70" s="187">
        <v>2969.4911144949142</v>
      </c>
      <c r="AQ70" s="184">
        <f t="shared" si="60"/>
        <v>593.89822289898279</v>
      </c>
      <c r="AR70" s="181">
        <f t="shared" si="61"/>
        <v>3</v>
      </c>
      <c r="AS70" s="588"/>
      <c r="AT70" s="187">
        <v>5</v>
      </c>
      <c r="AU70" s="187">
        <v>2967.8546144949141</v>
      </c>
      <c r="AV70" s="184">
        <f t="shared" si="62"/>
        <v>593.57092289898287</v>
      </c>
      <c r="AW70" s="181">
        <f t="shared" si="63"/>
        <v>3</v>
      </c>
      <c r="AX70" s="588"/>
    </row>
    <row r="71" spans="2:50" ht="14.25" customHeight="1">
      <c r="B71" s="586"/>
      <c r="C71" s="179">
        <v>5</v>
      </c>
      <c r="D71" s="182" t="s">
        <v>625</v>
      </c>
      <c r="E71" s="179">
        <v>6</v>
      </c>
      <c r="F71" s="179">
        <v>2500</v>
      </c>
      <c r="G71" s="184">
        <f t="shared" si="48"/>
        <v>416.66666666666669</v>
      </c>
      <c r="H71" s="588"/>
      <c r="I71" s="185">
        <f t="shared" si="50"/>
        <v>6</v>
      </c>
      <c r="J71" s="185">
        <f t="shared" si="50"/>
        <v>2257.346609090006</v>
      </c>
      <c r="K71" s="186">
        <f t="shared" si="50"/>
        <v>376.22443484833428</v>
      </c>
      <c r="L71" s="589"/>
      <c r="M71" s="185">
        <f>RANK(K71, K$67:$K$81)</f>
        <v>4</v>
      </c>
      <c r="N71" s="586"/>
      <c r="O71" s="586"/>
      <c r="P71" s="187">
        <v>6</v>
      </c>
      <c r="Q71" s="187">
        <v>2256.4414425921823</v>
      </c>
      <c r="R71" s="184">
        <f t="shared" si="51"/>
        <v>376.07357376536373</v>
      </c>
      <c r="S71" s="181">
        <f t="shared" si="52"/>
        <v>4</v>
      </c>
      <c r="T71" s="588"/>
      <c r="U71" s="187">
        <v>6</v>
      </c>
      <c r="V71" s="187">
        <v>2256.9414425921823</v>
      </c>
      <c r="W71" s="184">
        <f t="shared" si="49"/>
        <v>376.15690709869705</v>
      </c>
      <c r="X71" s="181">
        <f t="shared" si="53"/>
        <v>4</v>
      </c>
      <c r="Y71" s="588"/>
      <c r="Z71" s="187">
        <v>6</v>
      </c>
      <c r="AA71" s="187">
        <v>2257.9414425921818</v>
      </c>
      <c r="AB71" s="184">
        <f t="shared" si="54"/>
        <v>376.32357376536362</v>
      </c>
      <c r="AC71" s="181">
        <f t="shared" si="55"/>
        <v>4</v>
      </c>
      <c r="AD71" s="588"/>
      <c r="AE71" s="187">
        <v>6</v>
      </c>
      <c r="AF71" s="187">
        <v>2257.9414425921818</v>
      </c>
      <c r="AG71" s="184">
        <f t="shared" si="56"/>
        <v>376.32357376536362</v>
      </c>
      <c r="AH71" s="181">
        <f t="shared" si="57"/>
        <v>4</v>
      </c>
      <c r="AI71" s="588"/>
      <c r="AJ71" s="187">
        <v>6</v>
      </c>
      <c r="AK71" s="187">
        <v>2257.7201644204383</v>
      </c>
      <c r="AL71" s="184">
        <f t="shared" si="58"/>
        <v>376.28669407007305</v>
      </c>
      <c r="AM71" s="181">
        <f t="shared" si="59"/>
        <v>4</v>
      </c>
      <c r="AN71" s="588"/>
      <c r="AO71" s="187">
        <v>6</v>
      </c>
      <c r="AP71" s="187">
        <v>2257.2201644204379</v>
      </c>
      <c r="AQ71" s="184">
        <f t="shared" si="60"/>
        <v>376.20336073673963</v>
      </c>
      <c r="AR71" s="181">
        <f t="shared" si="61"/>
        <v>4</v>
      </c>
      <c r="AS71" s="588"/>
      <c r="AT71" s="187">
        <v>6</v>
      </c>
      <c r="AU71" s="187">
        <v>2257.2201644204374</v>
      </c>
      <c r="AV71" s="184">
        <f t="shared" si="62"/>
        <v>376.20336073673957</v>
      </c>
      <c r="AW71" s="181">
        <f t="shared" si="63"/>
        <v>4</v>
      </c>
      <c r="AX71" s="588"/>
    </row>
    <row r="72" spans="2:50" ht="14.25" customHeight="1">
      <c r="B72" s="586"/>
      <c r="C72" s="179">
        <v>6</v>
      </c>
      <c r="D72" s="182"/>
      <c r="E72" s="179"/>
      <c r="F72" s="179"/>
      <c r="G72" s="184"/>
      <c r="H72" s="588"/>
      <c r="I72" s="185"/>
      <c r="J72" s="185"/>
      <c r="K72" s="186"/>
      <c r="L72" s="589"/>
      <c r="M72" s="185"/>
      <c r="N72" s="586"/>
      <c r="O72" s="586"/>
      <c r="P72" s="187"/>
      <c r="Q72" s="187"/>
      <c r="R72" s="184"/>
      <c r="S72" s="181"/>
      <c r="T72" s="588"/>
      <c r="U72" s="187"/>
      <c r="V72" s="187"/>
      <c r="W72" s="184"/>
      <c r="X72" s="181"/>
      <c r="Y72" s="588"/>
      <c r="Z72" s="187"/>
      <c r="AA72" s="187"/>
      <c r="AB72" s="184"/>
      <c r="AC72" s="181"/>
      <c r="AD72" s="588"/>
      <c r="AE72" s="187"/>
      <c r="AF72" s="187"/>
      <c r="AG72" s="184"/>
      <c r="AH72" s="181"/>
      <c r="AI72" s="588"/>
      <c r="AJ72" s="187"/>
      <c r="AK72" s="187"/>
      <c r="AL72" s="184"/>
      <c r="AM72" s="181"/>
      <c r="AN72" s="588"/>
      <c r="AO72" s="187"/>
      <c r="AP72" s="187"/>
      <c r="AQ72" s="184"/>
      <c r="AR72" s="181"/>
      <c r="AS72" s="588"/>
      <c r="AT72" s="187"/>
      <c r="AU72" s="187"/>
      <c r="AV72" s="184"/>
      <c r="AW72" s="181"/>
      <c r="AX72" s="588"/>
    </row>
    <row r="73" spans="2:50" ht="14.25" customHeight="1">
      <c r="B73" s="586"/>
      <c r="C73" s="179">
        <v>7</v>
      </c>
      <c r="D73" s="182"/>
      <c r="E73" s="179"/>
      <c r="F73" s="179"/>
      <c r="G73" s="184"/>
      <c r="H73" s="588"/>
      <c r="I73" s="185"/>
      <c r="J73" s="185"/>
      <c r="K73" s="186"/>
      <c r="L73" s="589"/>
      <c r="M73" s="185"/>
      <c r="N73" s="586"/>
      <c r="O73" s="586"/>
      <c r="P73" s="187"/>
      <c r="Q73" s="187"/>
      <c r="R73" s="184"/>
      <c r="S73" s="181"/>
      <c r="T73" s="588"/>
      <c r="U73" s="187"/>
      <c r="V73" s="187"/>
      <c r="W73" s="184"/>
      <c r="X73" s="181"/>
      <c r="Y73" s="588"/>
      <c r="Z73" s="187"/>
      <c r="AA73" s="187"/>
      <c r="AB73" s="184"/>
      <c r="AC73" s="181"/>
      <c r="AD73" s="588"/>
      <c r="AE73" s="187"/>
      <c r="AF73" s="187"/>
      <c r="AG73" s="184"/>
      <c r="AH73" s="181"/>
      <c r="AI73" s="588"/>
      <c r="AJ73" s="187"/>
      <c r="AK73" s="187"/>
      <c r="AL73" s="184"/>
      <c r="AM73" s="181"/>
      <c r="AN73" s="588"/>
      <c r="AO73" s="187"/>
      <c r="AP73" s="187"/>
      <c r="AQ73" s="184"/>
      <c r="AR73" s="181"/>
      <c r="AS73" s="588"/>
      <c r="AT73" s="187"/>
      <c r="AU73" s="187"/>
      <c r="AV73" s="184"/>
      <c r="AW73" s="181"/>
      <c r="AX73" s="588"/>
    </row>
    <row r="74" spans="2:50" ht="14.25" customHeight="1">
      <c r="B74" s="586"/>
      <c r="C74" s="179">
        <v>8</v>
      </c>
      <c r="D74" s="182"/>
      <c r="E74" s="179"/>
      <c r="F74" s="179"/>
      <c r="G74" s="184"/>
      <c r="H74" s="588"/>
      <c r="I74" s="185"/>
      <c r="J74" s="185"/>
      <c r="K74" s="186"/>
      <c r="L74" s="589"/>
      <c r="M74" s="185"/>
      <c r="N74" s="586"/>
      <c r="O74" s="586"/>
      <c r="P74" s="187"/>
      <c r="Q74" s="187"/>
      <c r="R74" s="184"/>
      <c r="S74" s="181"/>
      <c r="T74" s="588"/>
      <c r="U74" s="187"/>
      <c r="V74" s="187"/>
      <c r="W74" s="184"/>
      <c r="X74" s="181"/>
      <c r="Y74" s="588"/>
      <c r="Z74" s="187"/>
      <c r="AA74" s="187"/>
      <c r="AB74" s="184"/>
      <c r="AC74" s="181"/>
      <c r="AD74" s="588"/>
      <c r="AE74" s="187"/>
      <c r="AF74" s="187"/>
      <c r="AG74" s="184"/>
      <c r="AH74" s="181"/>
      <c r="AI74" s="588"/>
      <c r="AJ74" s="187"/>
      <c r="AK74" s="187"/>
      <c r="AL74" s="184"/>
      <c r="AM74" s="181"/>
      <c r="AN74" s="588"/>
      <c r="AO74" s="187"/>
      <c r="AP74" s="187"/>
      <c r="AQ74" s="184"/>
      <c r="AR74" s="181"/>
      <c r="AS74" s="588"/>
      <c r="AT74" s="187"/>
      <c r="AU74" s="187"/>
      <c r="AV74" s="184"/>
      <c r="AW74" s="181"/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 collapsed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348</v>
      </c>
      <c r="C87" s="179">
        <v>1</v>
      </c>
      <c r="D87" s="182" t="s">
        <v>522</v>
      </c>
      <c r="E87" s="183">
        <v>6</v>
      </c>
      <c r="F87" s="179">
        <v>4200</v>
      </c>
      <c r="G87" s="184">
        <f t="shared" ref="G87:G93" si="64">IFERROR(F87/E87,"")</f>
        <v>700</v>
      </c>
      <c r="H87" s="588">
        <f>AVERAGE(G87:G101)</f>
        <v>505.49047619047616</v>
      </c>
      <c r="I87" s="185">
        <f>AVERAGE(P87,U87,Z87,AE87,AJ87,AO87,AT87)</f>
        <v>6</v>
      </c>
      <c r="J87" s="185">
        <f>AVERAGE(Q87,V87,AA87,AF87,AK87,AP87,AU87)</f>
        <v>3792.9309806725532</v>
      </c>
      <c r="K87" s="186">
        <f>AVERAGE(R87,W87,AB87,AG87,AL87,AQ87,AV87)</f>
        <v>632.1551634454255</v>
      </c>
      <c r="L87" s="589">
        <f>IFERROR(AVERAGE(K87:K101),"-")</f>
        <v>452.58861480177103</v>
      </c>
      <c r="M87" s="185">
        <f>RANK(K87, K$87:$K$101)</f>
        <v>1</v>
      </c>
      <c r="N87" s="586"/>
      <c r="O87" s="586"/>
      <c r="P87" s="187">
        <v>6</v>
      </c>
      <c r="Q87" s="187">
        <v>3794.28</v>
      </c>
      <c r="R87" s="184">
        <f>IFERROR(Q87/P87,"")</f>
        <v>632.38</v>
      </c>
      <c r="S87" s="181">
        <f>RANK(R87, R$87:R$101)</f>
        <v>1</v>
      </c>
      <c r="T87" s="588">
        <f>AVERAGE(R87:R101)</f>
        <v>445.82658515736694</v>
      </c>
      <c r="U87" s="187">
        <v>6</v>
      </c>
      <c r="V87" s="187">
        <v>3793.8600000000006</v>
      </c>
      <c r="W87" s="184">
        <f t="shared" ref="W87:W93" si="65">IFERROR(V87/U87,"")</f>
        <v>632.31000000000006</v>
      </c>
      <c r="X87" s="181">
        <f>RANK(W87, W$87:W$101)</f>
        <v>1</v>
      </c>
      <c r="Y87" s="588">
        <f>AVERAGE(W87:W101)</f>
        <v>448.31730853641358</v>
      </c>
      <c r="Z87" s="187">
        <v>6</v>
      </c>
      <c r="AA87" s="187">
        <v>3793.4833729415736</v>
      </c>
      <c r="AB87" s="184">
        <f>IFERROR(AA87/Z87,"")</f>
        <v>632.24722882359561</v>
      </c>
      <c r="AC87" s="181">
        <f>RANK(AB87, AB$87:AB$101)</f>
        <v>1</v>
      </c>
      <c r="AD87" s="588">
        <f>AVERAGE(AB87:AB101)</f>
        <v>450.71108721234162</v>
      </c>
      <c r="AE87" s="187">
        <v>6</v>
      </c>
      <c r="AF87" s="187">
        <v>3792.6433729415739</v>
      </c>
      <c r="AG87" s="184">
        <f>IFERROR(AF87/AE87,"")</f>
        <v>632.10722882359562</v>
      </c>
      <c r="AH87" s="181">
        <f>RANK(AG87, AG$87:AG$101)</f>
        <v>1</v>
      </c>
      <c r="AI87" s="588">
        <f>AVERAGE(AG87:AG101)</f>
        <v>453.24751699392658</v>
      </c>
      <c r="AJ87" s="187">
        <v>6</v>
      </c>
      <c r="AK87" s="187">
        <v>3792.2233729415739</v>
      </c>
      <c r="AL87" s="184">
        <f>IFERROR(AK87/AJ87,"")</f>
        <v>632.03722882359568</v>
      </c>
      <c r="AM87" s="181">
        <f>RANK(AL87, AL$87:AL$101)</f>
        <v>1</v>
      </c>
      <c r="AN87" s="588">
        <f>AVERAGE(AL87:AL101)</f>
        <v>455.96328686595604</v>
      </c>
      <c r="AO87" s="187">
        <v>6</v>
      </c>
      <c r="AP87" s="187">
        <v>3791.3833729415746</v>
      </c>
      <c r="AQ87" s="184">
        <f>IFERROR(AP87/AO87,"")</f>
        <v>631.89722882359581</v>
      </c>
      <c r="AR87" s="181">
        <f>RANK(AQ87, AQ$87:AQ$101)</f>
        <v>2</v>
      </c>
      <c r="AS87" s="588">
        <f>AVERAGE(AQ87:AQ101)</f>
        <v>456.99217418510085</v>
      </c>
      <c r="AT87" s="187">
        <v>6</v>
      </c>
      <c r="AU87" s="187">
        <v>3792.6433729415744</v>
      </c>
      <c r="AV87" s="184">
        <f>IFERROR(AU87/AT87,"")</f>
        <v>632.10722882359573</v>
      </c>
      <c r="AW87" s="181">
        <f>RANK(AV87, AV$87:AV$101)</f>
        <v>2</v>
      </c>
      <c r="AX87" s="588">
        <f>AVERAGE(AV87:AV101)</f>
        <v>457.06234466129132</v>
      </c>
    </row>
    <row r="88" spans="2:50" ht="14.25" customHeight="1">
      <c r="B88" s="586"/>
      <c r="C88" s="179">
        <v>2</v>
      </c>
      <c r="D88" s="182" t="s">
        <v>523</v>
      </c>
      <c r="E88" s="179">
        <v>6</v>
      </c>
      <c r="F88" s="179">
        <v>4200</v>
      </c>
      <c r="G88" s="184">
        <f t="shared" si="64"/>
        <v>700</v>
      </c>
      <c r="H88" s="588"/>
      <c r="I88" s="185">
        <f t="shared" ref="I88:K93" si="66">AVERAGE(P88,U88,Z88,AE88,AJ88,AO88,AT88)</f>
        <v>6</v>
      </c>
      <c r="J88" s="185">
        <f t="shared" si="66"/>
        <v>3791.6417064881593</v>
      </c>
      <c r="K88" s="186">
        <f t="shared" si="66"/>
        <v>631.94028441469322</v>
      </c>
      <c r="L88" s="589"/>
      <c r="M88" s="185">
        <f>RANK(K88, K$87:$K$101)</f>
        <v>2</v>
      </c>
      <c r="N88" s="586"/>
      <c r="O88" s="586"/>
      <c r="P88" s="187">
        <v>6</v>
      </c>
      <c r="Q88" s="187">
        <v>3791.1617064881593</v>
      </c>
      <c r="R88" s="184">
        <f t="shared" ref="R88:R93" si="67">IFERROR(Q88/P88,"")</f>
        <v>631.86028441469318</v>
      </c>
      <c r="S88" s="181">
        <f t="shared" ref="S88:S93" si="68">RANK(R88, R$87:R$101)</f>
        <v>2</v>
      </c>
      <c r="T88" s="588"/>
      <c r="U88" s="187">
        <v>6</v>
      </c>
      <c r="V88" s="187">
        <v>3789.9017064881591</v>
      </c>
      <c r="W88" s="184">
        <f t="shared" si="65"/>
        <v>631.65028441469315</v>
      </c>
      <c r="X88" s="181">
        <f t="shared" ref="X88:X93" si="69">RANK(W88, W$87:W$101)</f>
        <v>2</v>
      </c>
      <c r="Y88" s="588"/>
      <c r="Z88" s="187">
        <v>6</v>
      </c>
      <c r="AA88" s="187">
        <v>3791.5817064881589</v>
      </c>
      <c r="AB88" s="184">
        <f t="shared" ref="AB88:AB93" si="70">IFERROR(AA88/Z88,"")</f>
        <v>631.93028441469312</v>
      </c>
      <c r="AC88" s="181">
        <f t="shared" ref="AC88:AC93" si="71">RANK(AB88, AB$87:AB$101)</f>
        <v>2</v>
      </c>
      <c r="AD88" s="588"/>
      <c r="AE88" s="187">
        <v>6</v>
      </c>
      <c r="AF88" s="187">
        <v>3790.3217064881587</v>
      </c>
      <c r="AG88" s="184">
        <f t="shared" ref="AG88:AG93" si="72">IFERROR(AF88/AE88,"")</f>
        <v>631.72028441469308</v>
      </c>
      <c r="AH88" s="181">
        <f t="shared" ref="AH88:AH93" si="73">RANK(AG88, AG$87:AG$101)</f>
        <v>2</v>
      </c>
      <c r="AI88" s="588"/>
      <c r="AJ88" s="187">
        <v>6</v>
      </c>
      <c r="AK88" s="187">
        <v>3791.5817064881589</v>
      </c>
      <c r="AL88" s="184">
        <f t="shared" ref="AL88:AL93" si="74">IFERROR(AK88/AJ88,"")</f>
        <v>631.93028441469312</v>
      </c>
      <c r="AM88" s="181">
        <f t="shared" ref="AM88:AM93" si="75">RANK(AL88, AL$87:AL$101)</f>
        <v>2</v>
      </c>
      <c r="AN88" s="588"/>
      <c r="AO88" s="187">
        <v>6</v>
      </c>
      <c r="AP88" s="187">
        <v>3792.8417064881587</v>
      </c>
      <c r="AQ88" s="184">
        <f t="shared" ref="AQ88:AQ93" si="76">IFERROR(AP88/AO88,"")</f>
        <v>632.14028441469316</v>
      </c>
      <c r="AR88" s="181">
        <f t="shared" ref="AR88:AR93" si="77">RANK(AQ88, AQ$87:AQ$101)</f>
        <v>1</v>
      </c>
      <c r="AS88" s="588"/>
      <c r="AT88" s="187">
        <v>6</v>
      </c>
      <c r="AU88" s="187">
        <v>3794.1017064881585</v>
      </c>
      <c r="AV88" s="184">
        <f t="shared" ref="AV88:AV93" si="78">IFERROR(AU88/AT88,"")</f>
        <v>632.35028441469308</v>
      </c>
      <c r="AW88" s="181">
        <f t="shared" ref="AW88:AW93" si="79">RANK(AV88, AV$87:AV$101)</f>
        <v>1</v>
      </c>
      <c r="AX88" s="588"/>
    </row>
    <row r="89" spans="2:50" ht="14.25" customHeight="1">
      <c r="B89" s="586"/>
      <c r="C89" s="179">
        <v>3</v>
      </c>
      <c r="D89" s="182" t="s">
        <v>534</v>
      </c>
      <c r="E89" s="179">
        <v>20</v>
      </c>
      <c r="F89" s="179">
        <v>2100</v>
      </c>
      <c r="G89" s="184">
        <f t="shared" si="64"/>
        <v>105</v>
      </c>
      <c r="H89" s="588"/>
      <c r="I89" s="185">
        <f t="shared" si="66"/>
        <v>20</v>
      </c>
      <c r="J89" s="185">
        <f t="shared" si="66"/>
        <v>1896.5783422374973</v>
      </c>
      <c r="K89" s="186">
        <f t="shared" si="66"/>
        <v>94.828917111874858</v>
      </c>
      <c r="L89" s="589"/>
      <c r="M89" s="185">
        <f>RANK(K89, K$87:$K$101)</f>
        <v>7</v>
      </c>
      <c r="N89" s="586"/>
      <c r="O89" s="586"/>
      <c r="P89" s="187">
        <v>20</v>
      </c>
      <c r="Q89" s="187">
        <v>1897.2683422374967</v>
      </c>
      <c r="R89" s="184">
        <f t="shared" si="67"/>
        <v>94.863417111874838</v>
      </c>
      <c r="S89" s="181">
        <f t="shared" si="68"/>
        <v>7</v>
      </c>
      <c r="T89" s="588"/>
      <c r="U89" s="187">
        <v>20</v>
      </c>
      <c r="V89" s="187">
        <v>1897.0583422374966</v>
      </c>
      <c r="W89" s="184">
        <f t="shared" si="65"/>
        <v>94.852917111874831</v>
      </c>
      <c r="X89" s="181">
        <f t="shared" si="69"/>
        <v>7</v>
      </c>
      <c r="Y89" s="588"/>
      <c r="Z89" s="187">
        <v>20</v>
      </c>
      <c r="AA89" s="187">
        <v>1896.848342237497</v>
      </c>
      <c r="AB89" s="184">
        <f t="shared" si="70"/>
        <v>94.842417111874852</v>
      </c>
      <c r="AC89" s="181">
        <f t="shared" si="71"/>
        <v>7</v>
      </c>
      <c r="AD89" s="588"/>
      <c r="AE89" s="187">
        <v>20</v>
      </c>
      <c r="AF89" s="187">
        <v>1896.2183422374972</v>
      </c>
      <c r="AG89" s="184">
        <f t="shared" si="72"/>
        <v>94.810917111874858</v>
      </c>
      <c r="AH89" s="181">
        <f t="shared" si="73"/>
        <v>7</v>
      </c>
      <c r="AI89" s="588"/>
      <c r="AJ89" s="187">
        <v>20</v>
      </c>
      <c r="AK89" s="187">
        <v>1896.0083422374976</v>
      </c>
      <c r="AL89" s="184">
        <f t="shared" si="74"/>
        <v>94.800417111874879</v>
      </c>
      <c r="AM89" s="181">
        <f t="shared" si="75"/>
        <v>7</v>
      </c>
      <c r="AN89" s="588"/>
      <c r="AO89" s="187">
        <v>20</v>
      </c>
      <c r="AP89" s="187">
        <v>1896.0083422374978</v>
      </c>
      <c r="AQ89" s="184">
        <f t="shared" si="76"/>
        <v>94.800417111874893</v>
      </c>
      <c r="AR89" s="181">
        <f t="shared" si="77"/>
        <v>7</v>
      </c>
      <c r="AS89" s="588"/>
      <c r="AT89" s="187">
        <v>20</v>
      </c>
      <c r="AU89" s="187">
        <v>1896.6383422374977</v>
      </c>
      <c r="AV89" s="184">
        <f t="shared" si="78"/>
        <v>94.831917111874887</v>
      </c>
      <c r="AW89" s="181">
        <f t="shared" si="79"/>
        <v>7</v>
      </c>
      <c r="AX89" s="588"/>
    </row>
    <row r="90" spans="2:50" ht="14.25" customHeight="1">
      <c r="B90" s="586"/>
      <c r="C90" s="179">
        <v>4</v>
      </c>
      <c r="D90" s="182" t="s">
        <v>541</v>
      </c>
      <c r="E90" s="179">
        <v>5</v>
      </c>
      <c r="F90" s="179">
        <v>3273</v>
      </c>
      <c r="G90" s="184">
        <f t="shared" si="64"/>
        <v>654.6</v>
      </c>
      <c r="H90" s="588"/>
      <c r="I90" s="185">
        <f t="shared" si="66"/>
        <v>5</v>
      </c>
      <c r="J90" s="185">
        <f t="shared" si="66"/>
        <v>2965.4232430663428</v>
      </c>
      <c r="K90" s="186">
        <f t="shared" si="66"/>
        <v>593.08464861326843</v>
      </c>
      <c r="L90" s="589"/>
      <c r="M90" s="185">
        <f>RANK(K90, K$87:$K$101)</f>
        <v>3</v>
      </c>
      <c r="N90" s="586"/>
      <c r="O90" s="586"/>
      <c r="P90" s="187">
        <v>5</v>
      </c>
      <c r="Q90" s="187">
        <v>2966.8727144949139</v>
      </c>
      <c r="R90" s="184">
        <f t="shared" si="67"/>
        <v>593.37454289898278</v>
      </c>
      <c r="S90" s="181">
        <f t="shared" si="68"/>
        <v>3</v>
      </c>
      <c r="T90" s="588"/>
      <c r="U90" s="187">
        <v>5</v>
      </c>
      <c r="V90" s="187">
        <v>2966.545414494914</v>
      </c>
      <c r="W90" s="184">
        <f t="shared" si="65"/>
        <v>593.30908289898275</v>
      </c>
      <c r="X90" s="181">
        <f t="shared" si="69"/>
        <v>3</v>
      </c>
      <c r="Y90" s="588"/>
      <c r="Z90" s="187">
        <v>5</v>
      </c>
      <c r="AA90" s="187">
        <v>2965.2362144949143</v>
      </c>
      <c r="AB90" s="184">
        <f t="shared" si="70"/>
        <v>593.04724289898286</v>
      </c>
      <c r="AC90" s="181">
        <f t="shared" si="71"/>
        <v>3</v>
      </c>
      <c r="AD90" s="588"/>
      <c r="AE90" s="187">
        <v>5</v>
      </c>
      <c r="AF90" s="187">
        <v>2964.2543144949141</v>
      </c>
      <c r="AG90" s="184">
        <f t="shared" si="72"/>
        <v>592.85086289898277</v>
      </c>
      <c r="AH90" s="181">
        <f t="shared" si="73"/>
        <v>3</v>
      </c>
      <c r="AI90" s="588"/>
      <c r="AJ90" s="187">
        <v>5</v>
      </c>
      <c r="AK90" s="187">
        <v>2964.9089144949139</v>
      </c>
      <c r="AL90" s="184">
        <f t="shared" si="74"/>
        <v>592.98178289898283</v>
      </c>
      <c r="AM90" s="181">
        <f t="shared" si="75"/>
        <v>3</v>
      </c>
      <c r="AN90" s="588"/>
      <c r="AO90" s="187">
        <v>5</v>
      </c>
      <c r="AP90" s="187">
        <v>2964.9089144949139</v>
      </c>
      <c r="AQ90" s="184">
        <f t="shared" si="76"/>
        <v>592.98178289898283</v>
      </c>
      <c r="AR90" s="181">
        <f t="shared" si="77"/>
        <v>3</v>
      </c>
      <c r="AS90" s="588"/>
      <c r="AT90" s="187">
        <v>5</v>
      </c>
      <c r="AU90" s="187">
        <v>2965.2362144949134</v>
      </c>
      <c r="AV90" s="184">
        <f t="shared" si="78"/>
        <v>593.04724289898263</v>
      </c>
      <c r="AW90" s="181">
        <f t="shared" si="79"/>
        <v>3</v>
      </c>
      <c r="AX90" s="588"/>
    </row>
    <row r="91" spans="2:50" ht="14.25" customHeight="1">
      <c r="B91" s="586"/>
      <c r="C91" s="179">
        <v>5</v>
      </c>
      <c r="D91" s="182" t="s">
        <v>625</v>
      </c>
      <c r="E91" s="179">
        <v>6</v>
      </c>
      <c r="F91" s="179">
        <v>2500</v>
      </c>
      <c r="G91" s="184">
        <f t="shared" si="64"/>
        <v>416.66666666666669</v>
      </c>
      <c r="H91" s="588"/>
      <c r="I91" s="185">
        <f t="shared" si="66"/>
        <v>6</v>
      </c>
      <c r="J91" s="185">
        <f t="shared" si="66"/>
        <v>2259.1487358490094</v>
      </c>
      <c r="K91" s="186">
        <f t="shared" si="66"/>
        <v>376.52478930816824</v>
      </c>
      <c r="L91" s="589"/>
      <c r="M91" s="185">
        <f>RANK(K91, K$87:$K$101)</f>
        <v>5</v>
      </c>
      <c r="N91" s="586"/>
      <c r="O91" s="586"/>
      <c r="P91" s="187">
        <v>6</v>
      </c>
      <c r="Q91" s="187">
        <v>2257.7201644204379</v>
      </c>
      <c r="R91" s="184">
        <f t="shared" si="67"/>
        <v>376.286694070073</v>
      </c>
      <c r="S91" s="181">
        <f t="shared" si="68"/>
        <v>5</v>
      </c>
      <c r="T91" s="588"/>
      <c r="U91" s="187">
        <v>6</v>
      </c>
      <c r="V91" s="187">
        <v>2258.2201644204379</v>
      </c>
      <c r="W91" s="184">
        <f t="shared" si="65"/>
        <v>376.37002740340631</v>
      </c>
      <c r="X91" s="181">
        <f t="shared" si="69"/>
        <v>5</v>
      </c>
      <c r="Y91" s="588"/>
      <c r="Z91" s="187">
        <v>6</v>
      </c>
      <c r="AA91" s="187">
        <v>2259.2201644204379</v>
      </c>
      <c r="AB91" s="184">
        <f t="shared" si="70"/>
        <v>376.536694070073</v>
      </c>
      <c r="AC91" s="181">
        <f t="shared" si="71"/>
        <v>5</v>
      </c>
      <c r="AD91" s="588"/>
      <c r="AE91" s="187">
        <v>6</v>
      </c>
      <c r="AF91" s="187">
        <v>2259.7201644204379</v>
      </c>
      <c r="AG91" s="184">
        <f t="shared" si="72"/>
        <v>376.62002740340631</v>
      </c>
      <c r="AH91" s="181">
        <f t="shared" si="73"/>
        <v>5</v>
      </c>
      <c r="AI91" s="588"/>
      <c r="AJ91" s="187">
        <v>6</v>
      </c>
      <c r="AK91" s="187">
        <v>2259.7201644204379</v>
      </c>
      <c r="AL91" s="184">
        <f t="shared" si="74"/>
        <v>376.62002740340631</v>
      </c>
      <c r="AM91" s="181">
        <f t="shared" si="75"/>
        <v>5</v>
      </c>
      <c r="AN91" s="588"/>
      <c r="AO91" s="187">
        <v>6</v>
      </c>
      <c r="AP91" s="187">
        <v>2259.7201644204374</v>
      </c>
      <c r="AQ91" s="184">
        <f t="shared" si="76"/>
        <v>376.62002740340625</v>
      </c>
      <c r="AR91" s="181">
        <f t="shared" si="77"/>
        <v>5</v>
      </c>
      <c r="AS91" s="588"/>
      <c r="AT91" s="187">
        <v>6</v>
      </c>
      <c r="AU91" s="187">
        <v>2259.7201644204374</v>
      </c>
      <c r="AV91" s="184">
        <f t="shared" si="78"/>
        <v>376.62002740340625</v>
      </c>
      <c r="AW91" s="181">
        <f t="shared" si="79"/>
        <v>5</v>
      </c>
      <c r="AX91" s="588"/>
    </row>
    <row r="92" spans="2:50" ht="14.25" customHeight="1">
      <c r="B92" s="586"/>
      <c r="C92" s="179">
        <v>6</v>
      </c>
      <c r="D92" s="182" t="s">
        <v>774</v>
      </c>
      <c r="E92" s="179">
        <v>6</v>
      </c>
      <c r="F92" s="179">
        <v>2500</v>
      </c>
      <c r="G92" s="184">
        <f t="shared" si="64"/>
        <v>416.66666666666669</v>
      </c>
      <c r="H92" s="588"/>
      <c r="I92" s="185">
        <f t="shared" si="66"/>
        <v>6</v>
      </c>
      <c r="J92" s="185">
        <f t="shared" si="66"/>
        <v>2177.0538169513738</v>
      </c>
      <c r="K92" s="186">
        <f t="shared" si="66"/>
        <v>362.84230282522901</v>
      </c>
      <c r="L92" s="589"/>
      <c r="M92" s="185">
        <f>RANK(K92, K$87:$K$101)</f>
        <v>6</v>
      </c>
      <c r="N92" s="586"/>
      <c r="O92" s="586"/>
      <c r="P92" s="187">
        <v>6</v>
      </c>
      <c r="Q92" s="187">
        <v>2055.7499480562369</v>
      </c>
      <c r="R92" s="184">
        <f t="shared" si="67"/>
        <v>342.62499134270615</v>
      </c>
      <c r="S92" s="181">
        <f t="shared" si="68"/>
        <v>6</v>
      </c>
      <c r="T92" s="588"/>
      <c r="U92" s="187">
        <v>6</v>
      </c>
      <c r="V92" s="187">
        <v>2100.4414361844915</v>
      </c>
      <c r="W92" s="184">
        <f t="shared" si="65"/>
        <v>350.07357269741527</v>
      </c>
      <c r="X92" s="181">
        <f t="shared" si="69"/>
        <v>6</v>
      </c>
      <c r="Y92" s="588"/>
      <c r="Z92" s="187">
        <v>6</v>
      </c>
      <c r="AA92" s="187">
        <v>2143.497865249999</v>
      </c>
      <c r="AB92" s="184">
        <f t="shared" si="70"/>
        <v>357.24964420833317</v>
      </c>
      <c r="AC92" s="181">
        <f t="shared" si="71"/>
        <v>6</v>
      </c>
      <c r="AD92" s="588"/>
      <c r="AE92" s="187">
        <v>6</v>
      </c>
      <c r="AF92" s="187">
        <v>2188.2560704202488</v>
      </c>
      <c r="AG92" s="184">
        <f t="shared" si="72"/>
        <v>364.70934507004148</v>
      </c>
      <c r="AH92" s="181">
        <f t="shared" si="73"/>
        <v>6</v>
      </c>
      <c r="AI92" s="588"/>
      <c r="AJ92" s="187">
        <v>6</v>
      </c>
      <c r="AK92" s="187">
        <v>2233.1884478990742</v>
      </c>
      <c r="AL92" s="184">
        <f t="shared" si="74"/>
        <v>372.19807464984569</v>
      </c>
      <c r="AM92" s="181">
        <f t="shared" si="75"/>
        <v>6</v>
      </c>
      <c r="AN92" s="588"/>
      <c r="AO92" s="187">
        <v>6</v>
      </c>
      <c r="AP92" s="187">
        <v>2258.8714754247821</v>
      </c>
      <c r="AQ92" s="184">
        <f t="shared" si="76"/>
        <v>376.47857923746369</v>
      </c>
      <c r="AR92" s="181">
        <f t="shared" si="77"/>
        <v>6</v>
      </c>
      <c r="AS92" s="588"/>
      <c r="AT92" s="187">
        <v>6</v>
      </c>
      <c r="AU92" s="187">
        <v>2259.3714754247821</v>
      </c>
      <c r="AV92" s="184">
        <f t="shared" si="78"/>
        <v>376.56191257079701</v>
      </c>
      <c r="AW92" s="181">
        <f t="shared" si="79"/>
        <v>6</v>
      </c>
      <c r="AX92" s="588"/>
    </row>
    <row r="93" spans="2:50" ht="14.25" customHeight="1">
      <c r="B93" s="586"/>
      <c r="C93" s="179">
        <v>7</v>
      </c>
      <c r="D93" s="182" t="s">
        <v>775</v>
      </c>
      <c r="E93" s="179">
        <v>6</v>
      </c>
      <c r="F93" s="179">
        <v>3273</v>
      </c>
      <c r="G93" s="184">
        <f t="shared" si="64"/>
        <v>545.5</v>
      </c>
      <c r="H93" s="588"/>
      <c r="I93" s="185">
        <f t="shared" si="66"/>
        <v>6</v>
      </c>
      <c r="J93" s="185">
        <f t="shared" si="66"/>
        <v>2860.4651873624271</v>
      </c>
      <c r="K93" s="186">
        <f t="shared" si="66"/>
        <v>476.74419789373775</v>
      </c>
      <c r="L93" s="589"/>
      <c r="M93" s="185">
        <f>RANK(K93, K$87:$K$101)</f>
        <v>4</v>
      </c>
      <c r="N93" s="586"/>
      <c r="O93" s="586"/>
      <c r="P93" s="187">
        <v>6</v>
      </c>
      <c r="Q93" s="187">
        <v>2696.3769975794303</v>
      </c>
      <c r="R93" s="184">
        <f t="shared" si="67"/>
        <v>449.3961662632384</v>
      </c>
      <c r="S93" s="181">
        <f t="shared" si="68"/>
        <v>4</v>
      </c>
      <c r="T93" s="588"/>
      <c r="U93" s="187">
        <v>6</v>
      </c>
      <c r="V93" s="187">
        <v>2757.9316513711351</v>
      </c>
      <c r="W93" s="184">
        <f t="shared" si="65"/>
        <v>459.6552752285225</v>
      </c>
      <c r="X93" s="181">
        <f t="shared" si="69"/>
        <v>4</v>
      </c>
      <c r="Y93" s="588"/>
      <c r="Z93" s="187">
        <v>6</v>
      </c>
      <c r="AA93" s="187">
        <v>2814.7445937530315</v>
      </c>
      <c r="AB93" s="184">
        <f t="shared" si="70"/>
        <v>469.1240989588386</v>
      </c>
      <c r="AC93" s="181">
        <f t="shared" si="71"/>
        <v>4</v>
      </c>
      <c r="AD93" s="588"/>
      <c r="AE93" s="187">
        <v>6</v>
      </c>
      <c r="AF93" s="187">
        <v>2879.4837194093511</v>
      </c>
      <c r="AG93" s="184">
        <f t="shared" si="72"/>
        <v>479.91395323489184</v>
      </c>
      <c r="AH93" s="181">
        <f t="shared" si="73"/>
        <v>4</v>
      </c>
      <c r="AI93" s="588"/>
      <c r="AJ93" s="187">
        <v>6</v>
      </c>
      <c r="AK93" s="187">
        <v>2947.0511565557658</v>
      </c>
      <c r="AL93" s="184">
        <f t="shared" si="74"/>
        <v>491.1751927592943</v>
      </c>
      <c r="AM93" s="181">
        <f t="shared" si="75"/>
        <v>4</v>
      </c>
      <c r="AN93" s="588"/>
      <c r="AO93" s="187">
        <v>6</v>
      </c>
      <c r="AP93" s="187">
        <v>2964.1613964341363</v>
      </c>
      <c r="AQ93" s="184">
        <f t="shared" si="76"/>
        <v>494.02689940568939</v>
      </c>
      <c r="AR93" s="181">
        <f t="shared" si="77"/>
        <v>4</v>
      </c>
      <c r="AS93" s="588"/>
      <c r="AT93" s="187">
        <v>6</v>
      </c>
      <c r="AU93" s="187">
        <v>2963.506796434136</v>
      </c>
      <c r="AV93" s="184">
        <f t="shared" si="78"/>
        <v>493.91779940568932</v>
      </c>
      <c r="AW93" s="181">
        <f t="shared" si="79"/>
        <v>4</v>
      </c>
      <c r="AX93" s="588"/>
    </row>
    <row r="94" spans="2:50" ht="14.25" customHeight="1">
      <c r="B94" s="586"/>
      <c r="C94" s="179">
        <v>8</v>
      </c>
      <c r="D94" s="182"/>
      <c r="E94" s="179"/>
      <c r="F94" s="179"/>
      <c r="G94" s="184"/>
      <c r="H94" s="588"/>
      <c r="I94" s="185"/>
      <c r="J94" s="185"/>
      <c r="K94" s="186"/>
      <c r="L94" s="589"/>
      <c r="M94" s="185"/>
      <c r="N94" s="586"/>
      <c r="O94" s="586"/>
      <c r="P94" s="187"/>
      <c r="Q94" s="187"/>
      <c r="R94" s="184"/>
      <c r="S94" s="181"/>
      <c r="T94" s="588"/>
      <c r="U94" s="187"/>
      <c r="V94" s="187"/>
      <c r="W94" s="184"/>
      <c r="X94" s="181"/>
      <c r="Y94" s="588"/>
      <c r="Z94" s="187"/>
      <c r="AA94" s="187"/>
      <c r="AB94" s="184"/>
      <c r="AC94" s="181"/>
      <c r="AD94" s="588"/>
      <c r="AE94" s="187"/>
      <c r="AF94" s="187"/>
      <c r="AG94" s="184"/>
      <c r="AH94" s="181"/>
      <c r="AI94" s="588"/>
      <c r="AJ94" s="187"/>
      <c r="AK94" s="187"/>
      <c r="AL94" s="184"/>
      <c r="AM94" s="181"/>
      <c r="AN94" s="588"/>
      <c r="AO94" s="187"/>
      <c r="AP94" s="187"/>
      <c r="AQ94" s="184"/>
      <c r="AR94" s="181"/>
      <c r="AS94" s="588"/>
      <c r="AT94" s="187"/>
      <c r="AU94" s="187"/>
      <c r="AV94" s="184"/>
      <c r="AW94" s="181"/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101"/>
  <sheetViews>
    <sheetView zoomScaleNormal="100" workbookViewId="0">
      <pane xSplit="13" ySplit="1" topLeftCell="N65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49" t="s">
        <v>641</v>
      </c>
      <c r="C1" s="174">
        <f>AVERAGE(L27,L47,L67,L87)</f>
        <v>84.887087996889008</v>
      </c>
    </row>
    <row r="2" spans="1:50" ht="14.25" customHeight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327</v>
      </c>
      <c r="C7" s="179">
        <v>1</v>
      </c>
      <c r="D7" s="182" t="s">
        <v>321</v>
      </c>
      <c r="E7" s="183">
        <v>24</v>
      </c>
      <c r="F7" s="179">
        <v>2000</v>
      </c>
      <c r="G7" s="184">
        <f t="shared" ref="G7:G14" si="0">IFERROR(F7/E7,"")</f>
        <v>83.333333333333329</v>
      </c>
      <c r="H7" s="588">
        <f>AVERAGE(G7:G21)</f>
        <v>92.03329882677707</v>
      </c>
      <c r="I7" s="185">
        <f>AVERAGE(P7,U7,Z7,AE7,AJ7,AO7,AT7)</f>
        <v>24</v>
      </c>
      <c r="J7" s="185">
        <f>AVERAGE(Q7,V7,AA7,AF7,AK7,AP7,AU7)</f>
        <v>1798.893059770608</v>
      </c>
      <c r="K7" s="186">
        <f>AVERAGE(R7,W7,AB7,AG7,AL7,AQ7,AV7)</f>
        <v>74.953877490442011</v>
      </c>
      <c r="L7" s="589">
        <f>IFERROR(AVERAGE(K7:K21),"-")</f>
        <v>84.597094492730079</v>
      </c>
      <c r="M7" s="185">
        <f>RANK(K7, K$7:$K$21)</f>
        <v>8</v>
      </c>
      <c r="N7" s="586"/>
      <c r="O7" s="586"/>
      <c r="P7" s="187">
        <v>24</v>
      </c>
      <c r="Q7" s="187">
        <v>1796.7735272345521</v>
      </c>
      <c r="R7" s="184">
        <f>IFERROR(Q7/P7,"")</f>
        <v>74.865563634773011</v>
      </c>
      <c r="S7" s="181">
        <f>RANK(R7, R$7:R$21)</f>
        <v>8</v>
      </c>
      <c r="T7" s="588">
        <f>AVERAGE(R7:R21)</f>
        <v>84.458295268323042</v>
      </c>
      <c r="U7" s="187">
        <v>24</v>
      </c>
      <c r="V7" s="187">
        <v>1797.1735272345522</v>
      </c>
      <c r="W7" s="184">
        <f t="shared" ref="W7:W14" si="1">IFERROR(V7/U7,"")</f>
        <v>74.882230301439677</v>
      </c>
      <c r="X7" s="181">
        <f>RANK(W7, W$7:W$21)</f>
        <v>8</v>
      </c>
      <c r="Y7" s="588">
        <f>AVERAGE(W7:W21)</f>
        <v>84.463161301692907</v>
      </c>
      <c r="Z7" s="187">
        <v>24</v>
      </c>
      <c r="AA7" s="187">
        <v>1797.3735272345521</v>
      </c>
      <c r="AB7" s="184">
        <f>IFERROR(AA7/Z7,"")</f>
        <v>74.890563634773002</v>
      </c>
      <c r="AC7" s="181">
        <f>RANK(AB7, AB$7:AB$21)</f>
        <v>8</v>
      </c>
      <c r="AD7" s="588">
        <f>AVERAGE(AB7:AB21)</f>
        <v>84.553317335506165</v>
      </c>
      <c r="AE7" s="187">
        <v>24</v>
      </c>
      <c r="AF7" s="187">
        <v>1799.6827091726502</v>
      </c>
      <c r="AG7" s="184">
        <f>IFERROR(AF7/AE7,"")</f>
        <v>74.986779548860426</v>
      </c>
      <c r="AH7" s="181">
        <f>RANK(AG7, AG$7:AG$21)</f>
        <v>8</v>
      </c>
      <c r="AI7" s="588">
        <f>AVERAGE(AG7:AG21)</f>
        <v>84.614982039067883</v>
      </c>
      <c r="AJ7" s="187">
        <v>24</v>
      </c>
      <c r="AK7" s="187">
        <v>1800.0827091726503</v>
      </c>
      <c r="AL7" s="184">
        <f>IFERROR(AK7/AJ7,"")</f>
        <v>75.003446215527092</v>
      </c>
      <c r="AM7" s="181">
        <f>RANK(AL7, AL$7:AL$21)</f>
        <v>8</v>
      </c>
      <c r="AN7" s="588">
        <f>AVERAGE(AL7:AL21)</f>
        <v>84.656503195862612</v>
      </c>
      <c r="AO7" s="187">
        <v>24</v>
      </c>
      <c r="AP7" s="187">
        <v>1800.4827091726504</v>
      </c>
      <c r="AQ7" s="184">
        <f>IFERROR(AP7/AO7,"")</f>
        <v>75.020112882193771</v>
      </c>
      <c r="AR7" s="181">
        <f>RANK(AQ7, AQ$7:AQ$21)</f>
        <v>8</v>
      </c>
      <c r="AS7" s="588">
        <f>AVERAGE(AQ7:AQ21)</f>
        <v>84.703713776828067</v>
      </c>
      <c r="AT7" s="187">
        <v>24</v>
      </c>
      <c r="AU7" s="187">
        <v>1800.6827091726502</v>
      </c>
      <c r="AV7" s="184">
        <f>IFERROR(AU7/AT7,"")</f>
        <v>75.028446215527097</v>
      </c>
      <c r="AW7" s="181">
        <f>RANK(AV7, AV$7:AV$21)</f>
        <v>8</v>
      </c>
      <c r="AX7" s="588">
        <f>AVERAGE(AV7:AV21)</f>
        <v>84.729688531829822</v>
      </c>
    </row>
    <row r="8" spans="1:50" ht="14.25" customHeight="1">
      <c r="B8" s="586"/>
      <c r="C8" s="179">
        <v>2</v>
      </c>
      <c r="D8" s="182" t="s">
        <v>577</v>
      </c>
      <c r="E8" s="179">
        <v>21</v>
      </c>
      <c r="F8" s="179">
        <v>1800</v>
      </c>
      <c r="G8" s="184">
        <f t="shared" si="0"/>
        <v>85.714285714285708</v>
      </c>
      <c r="H8" s="588"/>
      <c r="I8" s="185">
        <f t="shared" ref="I8:K14" si="2">AVERAGE(P8,U8,Z8,AE8,AJ8,AO8,AT8)</f>
        <v>21</v>
      </c>
      <c r="J8" s="185">
        <f t="shared" si="2"/>
        <v>1622.6332543740639</v>
      </c>
      <c r="K8" s="186">
        <f t="shared" si="2"/>
        <v>77.268250208288762</v>
      </c>
      <c r="L8" s="589"/>
      <c r="M8" s="185">
        <f>RANK(K8, K$7:$K$21)</f>
        <v>7</v>
      </c>
      <c r="N8" s="586"/>
      <c r="O8" s="586"/>
      <c r="P8" s="187">
        <v>21</v>
      </c>
      <c r="Q8" s="187">
        <v>1623.2761115169208</v>
      </c>
      <c r="R8" s="184">
        <f t="shared" ref="R8:R14" si="3">IFERROR(Q8/P8,"")</f>
        <v>77.2988624531867</v>
      </c>
      <c r="S8" s="181">
        <f t="shared" ref="S8:S14" si="4">RANK(R8, R$7:R$21)</f>
        <v>7</v>
      </c>
      <c r="T8" s="588"/>
      <c r="U8" s="187">
        <v>21</v>
      </c>
      <c r="V8" s="187">
        <v>1622.5561115169212</v>
      </c>
      <c r="W8" s="184">
        <f t="shared" si="1"/>
        <v>77.264576738901013</v>
      </c>
      <c r="X8" s="181">
        <f t="shared" ref="X8:X14" si="5">RANK(W8, W$7:W$21)</f>
        <v>7</v>
      </c>
      <c r="Y8" s="588"/>
      <c r="Z8" s="187">
        <v>21</v>
      </c>
      <c r="AA8" s="187">
        <v>1623.2761115169212</v>
      </c>
      <c r="AB8" s="184">
        <f t="shared" ref="AB8:AB14" si="6">IFERROR(AA8/Z8,"")</f>
        <v>77.298862453186729</v>
      </c>
      <c r="AC8" s="181">
        <f t="shared" ref="AC8:AC14" si="7">RANK(AB8, AB$7:AB$21)</f>
        <v>7</v>
      </c>
      <c r="AD8" s="588"/>
      <c r="AE8" s="187">
        <v>21</v>
      </c>
      <c r="AF8" s="187">
        <v>1622.5561115169214</v>
      </c>
      <c r="AG8" s="184">
        <f t="shared" ref="AG8:AG14" si="8">IFERROR(AF8/AE8,"")</f>
        <v>77.264576738901013</v>
      </c>
      <c r="AH8" s="181">
        <f t="shared" ref="AH8:AH14" si="9">RANK(AG8, AG$7:AG$21)</f>
        <v>7</v>
      </c>
      <c r="AI8" s="588"/>
      <c r="AJ8" s="187">
        <v>21</v>
      </c>
      <c r="AK8" s="187">
        <v>1622.0161115169212</v>
      </c>
      <c r="AL8" s="184">
        <f t="shared" ref="AL8:AL14" si="10">IFERROR(AK8/AJ8,"")</f>
        <v>77.238862453186726</v>
      </c>
      <c r="AM8" s="181">
        <f t="shared" ref="AM8:AM14" si="11">RANK(AL8, AL$7:AL$21)</f>
        <v>7</v>
      </c>
      <c r="AN8" s="588"/>
      <c r="AO8" s="187">
        <v>21</v>
      </c>
      <c r="AP8" s="187">
        <v>1622.0161115169212</v>
      </c>
      <c r="AQ8" s="184">
        <f t="shared" ref="AQ8:AQ14" si="12">IFERROR(AP8/AO8,"")</f>
        <v>77.238862453186726</v>
      </c>
      <c r="AR8" s="181">
        <f t="shared" ref="AR8:AR14" si="13">RANK(AQ8, AQ$7:AQ$21)</f>
        <v>7</v>
      </c>
      <c r="AS8" s="588"/>
      <c r="AT8" s="187">
        <v>21</v>
      </c>
      <c r="AU8" s="187">
        <v>1622.7361115169213</v>
      </c>
      <c r="AV8" s="184">
        <f t="shared" ref="AV8:AV14" si="14">IFERROR(AU8/AT8,"")</f>
        <v>77.273148167472442</v>
      </c>
      <c r="AW8" s="181">
        <f t="shared" ref="AW8:AW14" si="15">RANK(AV8, AV$7:AV$21)</f>
        <v>7</v>
      </c>
      <c r="AX8" s="588"/>
    </row>
    <row r="9" spans="1:50" ht="14.25" customHeight="1">
      <c r="B9" s="586"/>
      <c r="C9" s="179">
        <v>3</v>
      </c>
      <c r="D9" s="182" t="s">
        <v>320</v>
      </c>
      <c r="E9" s="179">
        <v>23</v>
      </c>
      <c r="F9" s="179">
        <v>2000</v>
      </c>
      <c r="G9" s="184">
        <f t="shared" si="0"/>
        <v>86.956521739130437</v>
      </c>
      <c r="H9" s="588"/>
      <c r="I9" s="185">
        <f t="shared" si="2"/>
        <v>23</v>
      </c>
      <c r="J9" s="185">
        <f t="shared" si="2"/>
        <v>1799.4841797594167</v>
      </c>
      <c r="K9" s="186">
        <f t="shared" si="2"/>
        <v>78.238442598235537</v>
      </c>
      <c r="L9" s="589"/>
      <c r="M9" s="185">
        <f>RANK(K9, K$7:$K$21)</f>
        <v>5</v>
      </c>
      <c r="N9" s="586"/>
      <c r="O9" s="586"/>
      <c r="P9" s="187">
        <v>23</v>
      </c>
      <c r="Q9" s="187">
        <v>1797.4892750663485</v>
      </c>
      <c r="R9" s="184">
        <f t="shared" si="3"/>
        <v>78.151707611580363</v>
      </c>
      <c r="S9" s="181">
        <f t="shared" si="4"/>
        <v>5</v>
      </c>
      <c r="T9" s="588"/>
      <c r="U9" s="187">
        <v>23</v>
      </c>
      <c r="V9" s="187">
        <v>1797.6892750663483</v>
      </c>
      <c r="W9" s="184">
        <f t="shared" si="1"/>
        <v>78.160403263754276</v>
      </c>
      <c r="X9" s="181">
        <f t="shared" si="5"/>
        <v>5</v>
      </c>
      <c r="Y9" s="588"/>
      <c r="Z9" s="187">
        <v>23</v>
      </c>
      <c r="AA9" s="187">
        <v>1798.289275066348</v>
      </c>
      <c r="AB9" s="184">
        <f t="shared" si="6"/>
        <v>78.186490220275999</v>
      </c>
      <c r="AC9" s="181">
        <f t="shared" si="7"/>
        <v>4</v>
      </c>
      <c r="AD9" s="588"/>
      <c r="AE9" s="187">
        <v>23</v>
      </c>
      <c r="AF9" s="187">
        <v>1800.4303582792186</v>
      </c>
      <c r="AG9" s="184">
        <f t="shared" si="8"/>
        <v>78.27958079474864</v>
      </c>
      <c r="AH9" s="181">
        <f t="shared" si="9"/>
        <v>4</v>
      </c>
      <c r="AI9" s="588"/>
      <c r="AJ9" s="187">
        <v>23</v>
      </c>
      <c r="AK9" s="187">
        <v>1800.6303582792186</v>
      </c>
      <c r="AL9" s="184">
        <f t="shared" si="10"/>
        <v>78.288276446922552</v>
      </c>
      <c r="AM9" s="181">
        <f t="shared" si="11"/>
        <v>4</v>
      </c>
      <c r="AN9" s="588"/>
      <c r="AO9" s="187">
        <v>23</v>
      </c>
      <c r="AP9" s="187">
        <v>1800.8303582792187</v>
      </c>
      <c r="AQ9" s="184">
        <f t="shared" si="12"/>
        <v>78.296972099096465</v>
      </c>
      <c r="AR9" s="181">
        <f t="shared" si="13"/>
        <v>5</v>
      </c>
      <c r="AS9" s="588"/>
      <c r="AT9" s="187">
        <v>23</v>
      </c>
      <c r="AU9" s="187">
        <v>1801.0303582792189</v>
      </c>
      <c r="AV9" s="184">
        <f t="shared" si="14"/>
        <v>78.305667751270391</v>
      </c>
      <c r="AW9" s="181">
        <f t="shared" si="15"/>
        <v>5</v>
      </c>
      <c r="AX9" s="588"/>
    </row>
    <row r="10" spans="1:50" ht="14.25" customHeight="1">
      <c r="B10" s="586"/>
      <c r="C10" s="179">
        <v>4</v>
      </c>
      <c r="D10" s="182" t="s">
        <v>328</v>
      </c>
      <c r="E10" s="179">
        <v>23</v>
      </c>
      <c r="F10" s="179">
        <v>2000</v>
      </c>
      <c r="G10" s="184">
        <f t="shared" si="0"/>
        <v>86.956521739130437</v>
      </c>
      <c r="H10" s="588"/>
      <c r="I10" s="185">
        <f t="shared" si="2"/>
        <v>23</v>
      </c>
      <c r="J10" s="185">
        <f t="shared" si="2"/>
        <v>1798.2785907695647</v>
      </c>
      <c r="K10" s="186">
        <f t="shared" si="2"/>
        <v>78.18602568563324</v>
      </c>
      <c r="L10" s="589"/>
      <c r="M10" s="185">
        <f>RANK(K10, K$7:$K$21)</f>
        <v>6</v>
      </c>
      <c r="N10" s="586"/>
      <c r="O10" s="586"/>
      <c r="P10" s="187">
        <v>23</v>
      </c>
      <c r="Q10" s="187">
        <v>1797.120388674648</v>
      </c>
      <c r="R10" s="184">
        <f t="shared" si="3"/>
        <v>78.135669072810785</v>
      </c>
      <c r="S10" s="181">
        <f t="shared" si="4"/>
        <v>6</v>
      </c>
      <c r="T10" s="588"/>
      <c r="U10" s="187">
        <v>23</v>
      </c>
      <c r="V10" s="187">
        <v>1797.7203886746477</v>
      </c>
      <c r="W10" s="184">
        <f t="shared" si="1"/>
        <v>78.161756029332508</v>
      </c>
      <c r="X10" s="181">
        <f t="shared" si="5"/>
        <v>4</v>
      </c>
      <c r="Y10" s="588"/>
      <c r="Z10" s="187">
        <v>23</v>
      </c>
      <c r="AA10" s="187">
        <v>1797.9203886746475</v>
      </c>
      <c r="AB10" s="184">
        <f t="shared" si="6"/>
        <v>78.170451681506407</v>
      </c>
      <c r="AC10" s="181">
        <f t="shared" si="7"/>
        <v>5</v>
      </c>
      <c r="AD10" s="588"/>
      <c r="AE10" s="187">
        <v>23</v>
      </c>
      <c r="AF10" s="187">
        <v>1798.1203886746475</v>
      </c>
      <c r="AG10" s="184">
        <f t="shared" si="8"/>
        <v>78.179147333680334</v>
      </c>
      <c r="AH10" s="181">
        <f t="shared" si="9"/>
        <v>6</v>
      </c>
      <c r="AI10" s="588"/>
      <c r="AJ10" s="187">
        <v>23</v>
      </c>
      <c r="AK10" s="187">
        <v>1798.3203886746478</v>
      </c>
      <c r="AL10" s="184">
        <f t="shared" si="10"/>
        <v>78.187842985854246</v>
      </c>
      <c r="AM10" s="181">
        <f t="shared" si="11"/>
        <v>6</v>
      </c>
      <c r="AN10" s="588"/>
      <c r="AO10" s="187">
        <v>23</v>
      </c>
      <c r="AP10" s="187">
        <v>1799.1740960068569</v>
      </c>
      <c r="AQ10" s="184">
        <f t="shared" si="12"/>
        <v>78.224960695950301</v>
      </c>
      <c r="AR10" s="181">
        <f t="shared" si="13"/>
        <v>6</v>
      </c>
      <c r="AS10" s="588"/>
      <c r="AT10" s="187">
        <v>23</v>
      </c>
      <c r="AU10" s="187">
        <v>1799.574096006857</v>
      </c>
      <c r="AV10" s="184">
        <f t="shared" si="14"/>
        <v>78.242352000298126</v>
      </c>
      <c r="AW10" s="181">
        <f t="shared" si="15"/>
        <v>6</v>
      </c>
      <c r="AX10" s="588"/>
    </row>
    <row r="11" spans="1:50" ht="14.25" customHeight="1">
      <c r="B11" s="586"/>
      <c r="C11" s="179">
        <v>5</v>
      </c>
      <c r="D11" s="182" t="s">
        <v>322</v>
      </c>
      <c r="E11" s="179">
        <v>23</v>
      </c>
      <c r="F11" s="179">
        <v>2000</v>
      </c>
      <c r="G11" s="184">
        <f t="shared" si="0"/>
        <v>86.956521739130437</v>
      </c>
      <c r="H11" s="588"/>
      <c r="I11" s="185">
        <f t="shared" si="2"/>
        <v>23</v>
      </c>
      <c r="J11" s="185">
        <f t="shared" si="2"/>
        <v>1799.5063717140899</v>
      </c>
      <c r="K11" s="186">
        <f t="shared" si="2"/>
        <v>78.239407465830013</v>
      </c>
      <c r="L11" s="589"/>
      <c r="M11" s="185">
        <f>RANK(K11, K$7:$K$21)</f>
        <v>4</v>
      </c>
      <c r="N11" s="586"/>
      <c r="O11" s="586"/>
      <c r="P11" s="187">
        <v>23</v>
      </c>
      <c r="Q11" s="187">
        <v>1797.6132557002491</v>
      </c>
      <c r="R11" s="184">
        <f t="shared" si="3"/>
        <v>78.157098073923876</v>
      </c>
      <c r="S11" s="181">
        <f t="shared" si="4"/>
        <v>4</v>
      </c>
      <c r="T11" s="588"/>
      <c r="U11" s="187">
        <v>23</v>
      </c>
      <c r="V11" s="187">
        <v>1797.6132557002491</v>
      </c>
      <c r="W11" s="184">
        <f t="shared" si="1"/>
        <v>78.157098073923876</v>
      </c>
      <c r="X11" s="181">
        <f t="shared" si="5"/>
        <v>6</v>
      </c>
      <c r="Y11" s="588"/>
      <c r="Z11" s="187">
        <v>23</v>
      </c>
      <c r="AA11" s="187">
        <v>1797.8132557002489</v>
      </c>
      <c r="AB11" s="184">
        <f t="shared" si="6"/>
        <v>78.165793726097775</v>
      </c>
      <c r="AC11" s="181">
        <f t="shared" si="7"/>
        <v>6</v>
      </c>
      <c r="AD11" s="588"/>
      <c r="AE11" s="187">
        <v>23</v>
      </c>
      <c r="AF11" s="187">
        <v>1800.4262087244713</v>
      </c>
      <c r="AG11" s="184">
        <f t="shared" si="8"/>
        <v>78.279400379324841</v>
      </c>
      <c r="AH11" s="181">
        <f t="shared" si="9"/>
        <v>5</v>
      </c>
      <c r="AI11" s="588"/>
      <c r="AJ11" s="187">
        <v>23</v>
      </c>
      <c r="AK11" s="187">
        <v>1800.6262087244713</v>
      </c>
      <c r="AL11" s="184">
        <f t="shared" si="10"/>
        <v>78.288096031498753</v>
      </c>
      <c r="AM11" s="181">
        <f t="shared" si="11"/>
        <v>5</v>
      </c>
      <c r="AN11" s="588"/>
      <c r="AO11" s="187">
        <v>23</v>
      </c>
      <c r="AP11" s="187">
        <v>1801.026208724471</v>
      </c>
      <c r="AQ11" s="184">
        <f t="shared" si="12"/>
        <v>78.305487335846564</v>
      </c>
      <c r="AR11" s="181">
        <f t="shared" si="13"/>
        <v>4</v>
      </c>
      <c r="AS11" s="588"/>
      <c r="AT11" s="187">
        <v>23</v>
      </c>
      <c r="AU11" s="187">
        <v>1801.4262087244708</v>
      </c>
      <c r="AV11" s="184">
        <f t="shared" si="14"/>
        <v>78.322878640194389</v>
      </c>
      <c r="AW11" s="181">
        <f t="shared" si="15"/>
        <v>4</v>
      </c>
      <c r="AX11" s="588"/>
    </row>
    <row r="12" spans="1:50" ht="14.25" customHeight="1">
      <c r="B12" s="586"/>
      <c r="C12" s="179">
        <v>6</v>
      </c>
      <c r="D12" s="182" t="s">
        <v>443</v>
      </c>
      <c r="E12" s="179">
        <v>20</v>
      </c>
      <c r="F12" s="179">
        <v>2000</v>
      </c>
      <c r="G12" s="184">
        <f t="shared" si="0"/>
        <v>100</v>
      </c>
      <c r="H12" s="588"/>
      <c r="I12" s="185">
        <f t="shared" si="2"/>
        <v>19</v>
      </c>
      <c r="J12" s="185">
        <f t="shared" si="2"/>
        <v>1795.4511960520019</v>
      </c>
      <c r="K12" s="186">
        <f t="shared" si="2"/>
        <v>94.497431371158001</v>
      </c>
      <c r="L12" s="589"/>
      <c r="M12" s="185">
        <f>RANK(K12, K$7:$K$21)</f>
        <v>2</v>
      </c>
      <c r="N12" s="586"/>
      <c r="O12" s="586"/>
      <c r="P12" s="187">
        <v>19</v>
      </c>
      <c r="Q12" s="187">
        <v>1790.4</v>
      </c>
      <c r="R12" s="184">
        <f t="shared" si="3"/>
        <v>94.231578947368419</v>
      </c>
      <c r="S12" s="181">
        <f t="shared" si="4"/>
        <v>2</v>
      </c>
      <c r="T12" s="588"/>
      <c r="U12" s="187">
        <v>19</v>
      </c>
      <c r="V12" s="187">
        <v>1790.4</v>
      </c>
      <c r="W12" s="184">
        <f t="shared" si="1"/>
        <v>94.231578947368419</v>
      </c>
      <c r="X12" s="181">
        <f t="shared" si="5"/>
        <v>2</v>
      </c>
      <c r="Y12" s="588"/>
      <c r="Z12" s="187">
        <v>19</v>
      </c>
      <c r="AA12" s="187">
        <v>1793.1423312570246</v>
      </c>
      <c r="AB12" s="184">
        <f t="shared" si="6"/>
        <v>94.375912171422343</v>
      </c>
      <c r="AC12" s="181">
        <f t="shared" si="7"/>
        <v>2</v>
      </c>
      <c r="AD12" s="588"/>
      <c r="AE12" s="187">
        <v>19</v>
      </c>
      <c r="AF12" s="187">
        <v>1796.1999999999998</v>
      </c>
      <c r="AG12" s="184">
        <f t="shared" si="8"/>
        <v>94.536842105263148</v>
      </c>
      <c r="AH12" s="181">
        <f t="shared" si="9"/>
        <v>2</v>
      </c>
      <c r="AI12" s="588"/>
      <c r="AJ12" s="187">
        <v>19</v>
      </c>
      <c r="AK12" s="187">
        <v>1798.4846757520409</v>
      </c>
      <c r="AL12" s="184">
        <f t="shared" si="10"/>
        <v>94.657088197475829</v>
      </c>
      <c r="AM12" s="181">
        <f t="shared" si="11"/>
        <v>2</v>
      </c>
      <c r="AN12" s="588"/>
      <c r="AO12" s="187">
        <v>19</v>
      </c>
      <c r="AP12" s="187">
        <v>1799.331365354949</v>
      </c>
      <c r="AQ12" s="184">
        <f t="shared" si="12"/>
        <v>94.701650808155208</v>
      </c>
      <c r="AR12" s="181">
        <f t="shared" si="13"/>
        <v>2</v>
      </c>
      <c r="AS12" s="588"/>
      <c r="AT12" s="187">
        <v>19</v>
      </c>
      <c r="AU12" s="187">
        <v>1800.2000000000003</v>
      </c>
      <c r="AV12" s="184">
        <f t="shared" si="14"/>
        <v>94.747368421052641</v>
      </c>
      <c r="AW12" s="181">
        <f t="shared" si="15"/>
        <v>2</v>
      </c>
      <c r="AX12" s="588"/>
    </row>
    <row r="13" spans="1:50" ht="14.25" customHeight="1">
      <c r="B13" s="586"/>
      <c r="C13" s="179">
        <v>7</v>
      </c>
      <c r="D13" s="182" t="s">
        <v>517</v>
      </c>
      <c r="E13" s="179">
        <v>18</v>
      </c>
      <c r="F13" s="179">
        <v>2000</v>
      </c>
      <c r="G13" s="184">
        <f t="shared" si="0"/>
        <v>111.11111111111111</v>
      </c>
      <c r="H13" s="588"/>
      <c r="I13" s="185">
        <f t="shared" si="2"/>
        <v>17</v>
      </c>
      <c r="J13" s="185">
        <f t="shared" si="2"/>
        <v>1795.6351185148455</v>
      </c>
      <c r="K13" s="186">
        <f t="shared" si="2"/>
        <v>105.62559520675561</v>
      </c>
      <c r="L13" s="589"/>
      <c r="M13" s="185">
        <f>RANK(K13, K$7:$K$21)</f>
        <v>1</v>
      </c>
      <c r="N13" s="586"/>
      <c r="O13" s="586"/>
      <c r="P13" s="187">
        <v>17</v>
      </c>
      <c r="Q13" s="187">
        <v>1790.2</v>
      </c>
      <c r="R13" s="184">
        <f t="shared" si="3"/>
        <v>105.30588235294118</v>
      </c>
      <c r="S13" s="181">
        <f t="shared" si="4"/>
        <v>1</v>
      </c>
      <c r="T13" s="588"/>
      <c r="U13" s="187">
        <v>17</v>
      </c>
      <c r="V13" s="187">
        <v>1790.4</v>
      </c>
      <c r="W13" s="184">
        <f t="shared" si="1"/>
        <v>105.31764705882354</v>
      </c>
      <c r="X13" s="181">
        <f t="shared" si="5"/>
        <v>1</v>
      </c>
      <c r="Y13" s="588"/>
      <c r="Z13" s="187">
        <v>17</v>
      </c>
      <c r="AA13" s="187">
        <v>1795.2265582544769</v>
      </c>
      <c r="AB13" s="184">
        <f t="shared" si="6"/>
        <v>105.60156225026334</v>
      </c>
      <c r="AC13" s="181">
        <f t="shared" si="7"/>
        <v>1</v>
      </c>
      <c r="AD13" s="588"/>
      <c r="AE13" s="187">
        <v>17</v>
      </c>
      <c r="AF13" s="187">
        <v>1795.6</v>
      </c>
      <c r="AG13" s="184">
        <f t="shared" si="8"/>
        <v>105.62352941176471</v>
      </c>
      <c r="AH13" s="181">
        <f t="shared" si="9"/>
        <v>1</v>
      </c>
      <c r="AI13" s="588"/>
      <c r="AJ13" s="187">
        <v>17</v>
      </c>
      <c r="AK13" s="187">
        <v>1797.5415435217242</v>
      </c>
      <c r="AL13" s="184">
        <f t="shared" si="10"/>
        <v>105.73773785421906</v>
      </c>
      <c r="AM13" s="181">
        <f t="shared" si="11"/>
        <v>1</v>
      </c>
      <c r="AN13" s="588"/>
      <c r="AO13" s="187">
        <v>17</v>
      </c>
      <c r="AP13" s="187">
        <v>1799.8777278277169</v>
      </c>
      <c r="AQ13" s="184">
        <f t="shared" si="12"/>
        <v>105.87516046045393</v>
      </c>
      <c r="AR13" s="181">
        <f t="shared" si="13"/>
        <v>1</v>
      </c>
      <c r="AS13" s="588"/>
      <c r="AT13" s="187">
        <v>17</v>
      </c>
      <c r="AU13" s="187">
        <v>1800.6</v>
      </c>
      <c r="AV13" s="184">
        <f t="shared" si="14"/>
        <v>105.91764705882352</v>
      </c>
      <c r="AW13" s="181">
        <f t="shared" si="15"/>
        <v>1</v>
      </c>
      <c r="AX13" s="588"/>
    </row>
    <row r="14" spans="1:50" ht="14.25" customHeight="1">
      <c r="B14" s="586"/>
      <c r="C14" s="179">
        <v>8</v>
      </c>
      <c r="D14" s="182" t="s">
        <v>552</v>
      </c>
      <c r="E14" s="179">
        <v>21</v>
      </c>
      <c r="F14" s="179">
        <v>2000</v>
      </c>
      <c r="G14" s="184">
        <f t="shared" si="0"/>
        <v>95.238095238095241</v>
      </c>
      <c r="H14" s="588"/>
      <c r="I14" s="185">
        <f t="shared" si="2"/>
        <v>20</v>
      </c>
      <c r="J14" s="185">
        <f t="shared" si="2"/>
        <v>1795.3545183099479</v>
      </c>
      <c r="K14" s="186">
        <f t="shared" si="2"/>
        <v>89.767725915497394</v>
      </c>
      <c r="L14" s="589"/>
      <c r="M14" s="185">
        <f>RANK(K14, K$7:$K$21)</f>
        <v>3</v>
      </c>
      <c r="N14" s="586"/>
      <c r="O14" s="586"/>
      <c r="P14" s="187">
        <v>20</v>
      </c>
      <c r="Q14" s="187">
        <v>1790.4</v>
      </c>
      <c r="R14" s="184">
        <f t="shared" si="3"/>
        <v>89.52000000000001</v>
      </c>
      <c r="S14" s="181">
        <f t="shared" si="4"/>
        <v>3</v>
      </c>
      <c r="T14" s="588"/>
      <c r="U14" s="187">
        <v>20</v>
      </c>
      <c r="V14" s="187">
        <v>1790.6</v>
      </c>
      <c r="W14" s="184">
        <f t="shared" si="1"/>
        <v>89.53</v>
      </c>
      <c r="X14" s="181">
        <f t="shared" si="5"/>
        <v>3</v>
      </c>
      <c r="Y14" s="588"/>
      <c r="Z14" s="187">
        <v>20</v>
      </c>
      <c r="AA14" s="187">
        <v>1794.7380509304744</v>
      </c>
      <c r="AB14" s="184">
        <f t="shared" si="6"/>
        <v>89.736902546523723</v>
      </c>
      <c r="AC14" s="181">
        <f t="shared" si="7"/>
        <v>3</v>
      </c>
      <c r="AD14" s="588"/>
      <c r="AE14" s="187">
        <v>20</v>
      </c>
      <c r="AF14" s="187">
        <v>1795.3999999999999</v>
      </c>
      <c r="AG14" s="184">
        <f t="shared" si="8"/>
        <v>89.77</v>
      </c>
      <c r="AH14" s="181">
        <f t="shared" si="9"/>
        <v>3</v>
      </c>
      <c r="AI14" s="588"/>
      <c r="AJ14" s="187">
        <v>20</v>
      </c>
      <c r="AK14" s="187">
        <v>1797.0135076443314</v>
      </c>
      <c r="AL14" s="184">
        <f t="shared" si="10"/>
        <v>89.850675382216565</v>
      </c>
      <c r="AM14" s="181">
        <f t="shared" si="11"/>
        <v>3</v>
      </c>
      <c r="AN14" s="588"/>
      <c r="AO14" s="187">
        <v>20</v>
      </c>
      <c r="AP14" s="187">
        <v>1799.330069594829</v>
      </c>
      <c r="AQ14" s="184">
        <f t="shared" si="12"/>
        <v>89.966503479741448</v>
      </c>
      <c r="AR14" s="181">
        <f t="shared" si="13"/>
        <v>3</v>
      </c>
      <c r="AS14" s="588"/>
      <c r="AT14" s="187">
        <v>20</v>
      </c>
      <c r="AU14" s="187">
        <v>1800</v>
      </c>
      <c r="AV14" s="184">
        <f t="shared" si="14"/>
        <v>90</v>
      </c>
      <c r="AW14" s="181">
        <f t="shared" si="15"/>
        <v>3</v>
      </c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327</v>
      </c>
      <c r="C27" s="179">
        <v>1</v>
      </c>
      <c r="D27" s="182" t="s">
        <v>321</v>
      </c>
      <c r="E27" s="183">
        <v>24</v>
      </c>
      <c r="F27" s="179">
        <v>2000</v>
      </c>
      <c r="G27" s="184">
        <f t="shared" ref="G27:G34" si="16">IFERROR(F27/E27,"")</f>
        <v>83.333333333333329</v>
      </c>
      <c r="H27" s="588">
        <f>AVERAGE(G27:G41)</f>
        <v>92.03329882677707</v>
      </c>
      <c r="I27" s="185">
        <f>AVERAGE(P27,U27,Z27,AE27,AJ27,AO27,AT27)</f>
        <v>24</v>
      </c>
      <c r="J27" s="185">
        <f>AVERAGE(Q27,V27,AA27,AF27,AK27,AP27,AU27)</f>
        <v>1803.7159486916662</v>
      </c>
      <c r="K27" s="186">
        <f>AVERAGE(R27,W27,AB27,AG27,AL27,AQ27,AV27)</f>
        <v>75.154831195486096</v>
      </c>
      <c r="L27" s="589">
        <f>IFERROR(AVERAGE(K27:K41),"-")</f>
        <v>84.821164294369154</v>
      </c>
      <c r="M27" s="185">
        <f>RANK(K27, K$27:$K$41)</f>
        <v>8</v>
      </c>
      <c r="N27" s="586"/>
      <c r="O27" s="586"/>
      <c r="P27" s="187">
        <v>24</v>
      </c>
      <c r="Q27" s="187">
        <v>1801.2827091726506</v>
      </c>
      <c r="R27" s="184">
        <f>IFERROR(Q27/P27,"")</f>
        <v>75.053446215527103</v>
      </c>
      <c r="S27" s="181">
        <f>RANK(R27, R$27:R$41)</f>
        <v>8</v>
      </c>
      <c r="T27" s="588">
        <f>AVERAGE(R27:R41)</f>
        <v>84.734191433104755</v>
      </c>
      <c r="U27" s="187">
        <v>24</v>
      </c>
      <c r="V27" s="187">
        <v>1803.5548219448356</v>
      </c>
      <c r="W27" s="184">
        <f t="shared" ref="W27:W34" si="17">IFERROR(V27/U27,"")</f>
        <v>75.148117581034811</v>
      </c>
      <c r="X27" s="181">
        <f>RANK(W27, W$27:W$41)</f>
        <v>8</v>
      </c>
      <c r="Y27" s="588">
        <f>AVERAGE(W27:W41)</f>
        <v>84.813241287045415</v>
      </c>
      <c r="Z27" s="187">
        <v>24</v>
      </c>
      <c r="AA27" s="187">
        <v>1803.7548219448354</v>
      </c>
      <c r="AB27" s="184">
        <f>IFERROR(AA27/Z27,"")</f>
        <v>75.156450914368136</v>
      </c>
      <c r="AC27" s="181">
        <f>RANK(AB27, AB$27:AB$41)</f>
        <v>8</v>
      </c>
      <c r="AD27" s="588">
        <f>AVERAGE(AB27:AB41)</f>
        <v>84.826167163835109</v>
      </c>
      <c r="AE27" s="187">
        <v>24</v>
      </c>
      <c r="AF27" s="187">
        <v>1803.9548219448357</v>
      </c>
      <c r="AG27" s="184">
        <f>IFERROR(AF27/AE27,"")</f>
        <v>75.16478424770149</v>
      </c>
      <c r="AH27" s="181">
        <f>RANK(AG27, AG$27:AG$41)</f>
        <v>8</v>
      </c>
      <c r="AI27" s="588">
        <f>AVERAGE(AG27:AG41)</f>
        <v>84.83682152111578</v>
      </c>
      <c r="AJ27" s="187">
        <v>24</v>
      </c>
      <c r="AK27" s="187">
        <v>1803.9548219448357</v>
      </c>
      <c r="AL27" s="184">
        <f>IFERROR(AK27/AJ27,"")</f>
        <v>75.16478424770149</v>
      </c>
      <c r="AM27" s="181">
        <f>RANK(AL27, AL$27:AL$41)</f>
        <v>8</v>
      </c>
      <c r="AN27" s="588">
        <f>AVERAGE(AL27:AL41)</f>
        <v>84.830942773735813</v>
      </c>
      <c r="AO27" s="187">
        <v>24</v>
      </c>
      <c r="AP27" s="187">
        <v>1804.5548219448356</v>
      </c>
      <c r="AQ27" s="184">
        <f>IFERROR(AP27/AO27,"")</f>
        <v>75.189784247701482</v>
      </c>
      <c r="AR27" s="181">
        <f>RANK(AQ27, AQ$27:AQ$41)</f>
        <v>8</v>
      </c>
      <c r="AS27" s="588">
        <f>AVERAGE(AQ27:AQ41)</f>
        <v>84.848475452138985</v>
      </c>
      <c r="AT27" s="187">
        <v>24</v>
      </c>
      <c r="AU27" s="187">
        <v>1804.9548219448354</v>
      </c>
      <c r="AV27" s="184">
        <f>IFERROR(AU27/AT27,"")</f>
        <v>75.206450914368148</v>
      </c>
      <c r="AW27" s="181">
        <f>RANK(AV27, AV$27:AV$41)</f>
        <v>8</v>
      </c>
      <c r="AX27" s="588">
        <f>AVERAGE(AV27:AV41)</f>
        <v>84.858310429608238</v>
      </c>
    </row>
    <row r="28" spans="2:50" ht="14.25" customHeight="1">
      <c r="B28" s="586"/>
      <c r="C28" s="179">
        <v>2</v>
      </c>
      <c r="D28" s="182" t="s">
        <v>577</v>
      </c>
      <c r="E28" s="179">
        <v>21</v>
      </c>
      <c r="F28" s="179">
        <v>1800</v>
      </c>
      <c r="G28" s="184">
        <f t="shared" si="16"/>
        <v>85.714285714285708</v>
      </c>
      <c r="H28" s="588"/>
      <c r="I28" s="185">
        <f t="shared" ref="I28:K34" si="18">AVERAGE(P28,U28,Z28,AE28,AJ28,AO28,AT28)</f>
        <v>21</v>
      </c>
      <c r="J28" s="185">
        <f t="shared" si="18"/>
        <v>1622.7852637302269</v>
      </c>
      <c r="K28" s="186">
        <f t="shared" si="18"/>
        <v>77.275488749058397</v>
      </c>
      <c r="L28" s="589"/>
      <c r="M28" s="185">
        <f>RANK(K28, K$27:$K$41)</f>
        <v>7</v>
      </c>
      <c r="N28" s="586"/>
      <c r="O28" s="586"/>
      <c r="P28" s="187">
        <v>21</v>
      </c>
      <c r="Q28" s="187">
        <v>1622.0161115169212</v>
      </c>
      <c r="R28" s="184">
        <f t="shared" ref="R28:R34" si="19">IFERROR(Q28/P28,"")</f>
        <v>77.238862453186726</v>
      </c>
      <c r="S28" s="181">
        <f t="shared" ref="S28:S34" si="20">RANK(R28, R$27:R$41)</f>
        <v>7</v>
      </c>
      <c r="T28" s="588"/>
      <c r="U28" s="187">
        <v>21</v>
      </c>
      <c r="V28" s="187">
        <v>1622.7361115169215</v>
      </c>
      <c r="W28" s="184">
        <f t="shared" si="17"/>
        <v>77.273148167472456</v>
      </c>
      <c r="X28" s="181">
        <f t="shared" ref="X28:X34" si="21">RANK(W28, W$27:W$41)</f>
        <v>7</v>
      </c>
      <c r="Y28" s="588"/>
      <c r="Z28" s="187">
        <v>21</v>
      </c>
      <c r="AA28" s="187">
        <v>1622.804924615549</v>
      </c>
      <c r="AB28" s="184">
        <f t="shared" ref="AB28:AB34" si="22">IFERROR(AA28/Z28,"")</f>
        <v>77.276424981692813</v>
      </c>
      <c r="AC28" s="181">
        <f t="shared" ref="AC28:AC34" si="23">RANK(AB28, AB$27:AB$41)</f>
        <v>7</v>
      </c>
      <c r="AD28" s="588"/>
      <c r="AE28" s="187">
        <v>21</v>
      </c>
      <c r="AF28" s="187">
        <v>1623.3449246155492</v>
      </c>
      <c r="AG28" s="184">
        <f t="shared" ref="AG28:AG34" si="24">IFERROR(AF28/AE28,"")</f>
        <v>77.3021392674071</v>
      </c>
      <c r="AH28" s="181">
        <f t="shared" ref="AH28:AH34" si="25">RANK(AG28, AG$27:AG$41)</f>
        <v>7</v>
      </c>
      <c r="AI28" s="588"/>
      <c r="AJ28" s="187">
        <v>21</v>
      </c>
      <c r="AK28" s="187">
        <v>1622.4449246155491</v>
      </c>
      <c r="AL28" s="184">
        <f t="shared" ref="AL28:AL34" si="26">IFERROR(AK28/AJ28,"")</f>
        <v>77.259282124549955</v>
      </c>
      <c r="AM28" s="181">
        <f t="shared" ref="AM28:AM34" si="27">RANK(AL28, AL$27:AL$41)</f>
        <v>7</v>
      </c>
      <c r="AN28" s="588"/>
      <c r="AO28" s="187">
        <v>21</v>
      </c>
      <c r="AP28" s="187">
        <v>1622.6249246155492</v>
      </c>
      <c r="AQ28" s="184">
        <f t="shared" ref="AQ28:AQ34" si="28">IFERROR(AP28/AO28,"")</f>
        <v>77.267853553121384</v>
      </c>
      <c r="AR28" s="181">
        <f t="shared" ref="AR28:AR34" si="29">RANK(AQ28, AQ$27:AQ$41)</f>
        <v>7</v>
      </c>
      <c r="AS28" s="588"/>
      <c r="AT28" s="187">
        <v>21</v>
      </c>
      <c r="AU28" s="187">
        <v>1623.5249246155488</v>
      </c>
      <c r="AV28" s="184">
        <f t="shared" ref="AV28:AV34" si="30">IFERROR(AU28/AT28,"")</f>
        <v>77.310710695978514</v>
      </c>
      <c r="AW28" s="181">
        <f t="shared" ref="AW28:AW34" si="31">RANK(AV28, AV$27:AV$41)</f>
        <v>7</v>
      </c>
      <c r="AX28" s="588"/>
    </row>
    <row r="29" spans="2:50" ht="14.25" customHeight="1">
      <c r="B29" s="586"/>
      <c r="C29" s="179">
        <v>3</v>
      </c>
      <c r="D29" s="182" t="s">
        <v>320</v>
      </c>
      <c r="E29" s="179">
        <v>23</v>
      </c>
      <c r="F29" s="179">
        <v>2000</v>
      </c>
      <c r="G29" s="184">
        <f t="shared" si="16"/>
        <v>86.956521739130437</v>
      </c>
      <c r="H29" s="588"/>
      <c r="I29" s="185">
        <f t="shared" si="18"/>
        <v>23</v>
      </c>
      <c r="J29" s="185">
        <f t="shared" si="18"/>
        <v>1802.1446439935044</v>
      </c>
      <c r="K29" s="186">
        <f t="shared" si="18"/>
        <v>78.354114956239314</v>
      </c>
      <c r="L29" s="589"/>
      <c r="M29" s="185">
        <f>RANK(K29, K$27:$K$41)</f>
        <v>6</v>
      </c>
      <c r="N29" s="586"/>
      <c r="O29" s="586"/>
      <c r="P29" s="187">
        <v>23</v>
      </c>
      <c r="Q29" s="187">
        <v>1801.4303582792188</v>
      </c>
      <c r="R29" s="184">
        <f t="shared" si="19"/>
        <v>78.323059055618202</v>
      </c>
      <c r="S29" s="181">
        <f t="shared" si="20"/>
        <v>5</v>
      </c>
      <c r="T29" s="588"/>
      <c r="U29" s="187">
        <v>23</v>
      </c>
      <c r="V29" s="187">
        <v>1801.4303582792184</v>
      </c>
      <c r="W29" s="184">
        <f t="shared" si="17"/>
        <v>78.323059055618188</v>
      </c>
      <c r="X29" s="181">
        <f t="shared" si="21"/>
        <v>6</v>
      </c>
      <c r="Y29" s="588"/>
      <c r="Z29" s="187">
        <v>23</v>
      </c>
      <c r="AA29" s="187">
        <v>1801.8303582792184</v>
      </c>
      <c r="AB29" s="184">
        <f t="shared" si="22"/>
        <v>78.340450359966013</v>
      </c>
      <c r="AC29" s="181">
        <f t="shared" si="23"/>
        <v>6</v>
      </c>
      <c r="AD29" s="588"/>
      <c r="AE29" s="187">
        <v>23</v>
      </c>
      <c r="AF29" s="187">
        <v>1801.8303582792184</v>
      </c>
      <c r="AG29" s="184">
        <f t="shared" si="24"/>
        <v>78.340450359966013</v>
      </c>
      <c r="AH29" s="181">
        <f t="shared" si="25"/>
        <v>6</v>
      </c>
      <c r="AI29" s="588"/>
      <c r="AJ29" s="187">
        <v>23</v>
      </c>
      <c r="AK29" s="187">
        <v>1802.4303582792186</v>
      </c>
      <c r="AL29" s="184">
        <f t="shared" si="26"/>
        <v>78.366537316487765</v>
      </c>
      <c r="AM29" s="181">
        <f t="shared" si="27"/>
        <v>6</v>
      </c>
      <c r="AN29" s="588"/>
      <c r="AO29" s="187">
        <v>23</v>
      </c>
      <c r="AP29" s="187">
        <v>1803.0303582792185</v>
      </c>
      <c r="AQ29" s="184">
        <f t="shared" si="28"/>
        <v>78.392624273009503</v>
      </c>
      <c r="AR29" s="181">
        <f t="shared" si="29"/>
        <v>6</v>
      </c>
      <c r="AS29" s="588"/>
      <c r="AT29" s="187">
        <v>23</v>
      </c>
      <c r="AU29" s="187">
        <v>1803.0303582792185</v>
      </c>
      <c r="AV29" s="184">
        <f t="shared" si="30"/>
        <v>78.392624273009503</v>
      </c>
      <c r="AW29" s="181">
        <f t="shared" si="31"/>
        <v>6</v>
      </c>
      <c r="AX29" s="588"/>
    </row>
    <row r="30" spans="2:50" ht="14.25" customHeight="1">
      <c r="B30" s="586"/>
      <c r="C30" s="179">
        <v>4</v>
      </c>
      <c r="D30" s="182" t="s">
        <v>328</v>
      </c>
      <c r="E30" s="179">
        <v>23</v>
      </c>
      <c r="F30" s="179">
        <v>2000</v>
      </c>
      <c r="G30" s="184">
        <f t="shared" si="16"/>
        <v>86.956521739130437</v>
      </c>
      <c r="H30" s="588"/>
      <c r="I30" s="185">
        <f t="shared" si="18"/>
        <v>23</v>
      </c>
      <c r="J30" s="185">
        <f t="shared" si="18"/>
        <v>1802.5498218137109</v>
      </c>
      <c r="K30" s="186">
        <f t="shared" si="18"/>
        <v>78.371731383204832</v>
      </c>
      <c r="L30" s="589"/>
      <c r="M30" s="185">
        <f>RANK(K30, K$27:$K$41)</f>
        <v>5</v>
      </c>
      <c r="N30" s="586"/>
      <c r="O30" s="586"/>
      <c r="P30" s="187">
        <v>23</v>
      </c>
      <c r="Q30" s="187">
        <v>1799.7740960068568</v>
      </c>
      <c r="R30" s="184">
        <f t="shared" si="19"/>
        <v>78.251047652472039</v>
      </c>
      <c r="S30" s="181">
        <f t="shared" si="20"/>
        <v>6</v>
      </c>
      <c r="T30" s="588"/>
      <c r="U30" s="187">
        <v>23</v>
      </c>
      <c r="V30" s="187">
        <v>1801.8791094481865</v>
      </c>
      <c r="W30" s="184">
        <f t="shared" si="17"/>
        <v>78.342569976008107</v>
      </c>
      <c r="X30" s="181">
        <f t="shared" si="21"/>
        <v>5</v>
      </c>
      <c r="Y30" s="588"/>
      <c r="Z30" s="187">
        <v>23</v>
      </c>
      <c r="AA30" s="187">
        <v>1802.2791094481863</v>
      </c>
      <c r="AB30" s="184">
        <f t="shared" si="22"/>
        <v>78.359961280355932</v>
      </c>
      <c r="AC30" s="181">
        <f t="shared" si="23"/>
        <v>5</v>
      </c>
      <c r="AD30" s="588"/>
      <c r="AE30" s="187">
        <v>23</v>
      </c>
      <c r="AF30" s="187">
        <v>1802.6791094481864</v>
      </c>
      <c r="AG30" s="184">
        <f t="shared" si="24"/>
        <v>78.377352584703758</v>
      </c>
      <c r="AH30" s="181">
        <f t="shared" si="25"/>
        <v>5</v>
      </c>
      <c r="AI30" s="588"/>
      <c r="AJ30" s="187">
        <v>23</v>
      </c>
      <c r="AK30" s="187">
        <v>1803.2791094481865</v>
      </c>
      <c r="AL30" s="184">
        <f t="shared" si="26"/>
        <v>78.403439541225495</v>
      </c>
      <c r="AM30" s="181">
        <f t="shared" si="27"/>
        <v>5</v>
      </c>
      <c r="AN30" s="588"/>
      <c r="AO30" s="187">
        <v>23</v>
      </c>
      <c r="AP30" s="187">
        <v>1803.8791094481862</v>
      </c>
      <c r="AQ30" s="184">
        <f t="shared" si="28"/>
        <v>78.429526497747233</v>
      </c>
      <c r="AR30" s="181">
        <f t="shared" si="29"/>
        <v>5</v>
      </c>
      <c r="AS30" s="588"/>
      <c r="AT30" s="187">
        <v>23</v>
      </c>
      <c r="AU30" s="187">
        <v>1804.0791094481863</v>
      </c>
      <c r="AV30" s="184">
        <f t="shared" si="30"/>
        <v>78.438222149921145</v>
      </c>
      <c r="AW30" s="181">
        <f t="shared" si="31"/>
        <v>5</v>
      </c>
      <c r="AX30" s="588"/>
    </row>
    <row r="31" spans="2:50" ht="14.25" customHeight="1">
      <c r="B31" s="586"/>
      <c r="C31" s="179">
        <v>5</v>
      </c>
      <c r="D31" s="182" t="s">
        <v>322</v>
      </c>
      <c r="E31" s="179">
        <v>23</v>
      </c>
      <c r="F31" s="179">
        <v>2000</v>
      </c>
      <c r="G31" s="184">
        <f t="shared" si="16"/>
        <v>86.956521739130437</v>
      </c>
      <c r="H31" s="588"/>
      <c r="I31" s="185">
        <f t="shared" si="18"/>
        <v>23</v>
      </c>
      <c r="J31" s="185">
        <f t="shared" si="18"/>
        <v>1804.2050013523046</v>
      </c>
      <c r="K31" s="186">
        <f t="shared" si="18"/>
        <v>78.443695710969749</v>
      </c>
      <c r="L31" s="589"/>
      <c r="M31" s="185">
        <f>RANK(K31, K$27:$K$41)</f>
        <v>4</v>
      </c>
      <c r="N31" s="586"/>
      <c r="O31" s="586"/>
      <c r="P31" s="187">
        <v>23</v>
      </c>
      <c r="Q31" s="187">
        <v>1801.6262087244711</v>
      </c>
      <c r="R31" s="184">
        <f t="shared" si="19"/>
        <v>78.331574292368302</v>
      </c>
      <c r="S31" s="181">
        <f t="shared" si="20"/>
        <v>4</v>
      </c>
      <c r="T31" s="588"/>
      <c r="U31" s="187">
        <v>23</v>
      </c>
      <c r="V31" s="187">
        <v>1803.8014667902771</v>
      </c>
      <c r="W31" s="184">
        <f t="shared" si="17"/>
        <v>78.426150730012054</v>
      </c>
      <c r="X31" s="181">
        <f t="shared" si="21"/>
        <v>4</v>
      </c>
      <c r="Y31" s="588"/>
      <c r="Z31" s="187">
        <v>23</v>
      </c>
      <c r="AA31" s="187">
        <v>1804.2014667902772</v>
      </c>
      <c r="AB31" s="184">
        <f t="shared" si="22"/>
        <v>78.443542034359879</v>
      </c>
      <c r="AC31" s="181">
        <f t="shared" si="23"/>
        <v>4</v>
      </c>
      <c r="AD31" s="588"/>
      <c r="AE31" s="187">
        <v>23</v>
      </c>
      <c r="AF31" s="187">
        <v>1804.8014667902769</v>
      </c>
      <c r="AG31" s="184">
        <f t="shared" si="24"/>
        <v>78.469628990881603</v>
      </c>
      <c r="AH31" s="181">
        <f t="shared" si="25"/>
        <v>4</v>
      </c>
      <c r="AI31" s="588"/>
      <c r="AJ31" s="187">
        <v>23</v>
      </c>
      <c r="AK31" s="187">
        <v>1804.8014667902767</v>
      </c>
      <c r="AL31" s="184">
        <f t="shared" si="26"/>
        <v>78.469628990881588</v>
      </c>
      <c r="AM31" s="181">
        <f t="shared" si="27"/>
        <v>4</v>
      </c>
      <c r="AN31" s="588"/>
      <c r="AO31" s="187">
        <v>23</v>
      </c>
      <c r="AP31" s="187">
        <v>1805.0014667902765</v>
      </c>
      <c r="AQ31" s="184">
        <f t="shared" si="28"/>
        <v>78.478324643055501</v>
      </c>
      <c r="AR31" s="181">
        <f t="shared" si="29"/>
        <v>4</v>
      </c>
      <c r="AS31" s="588"/>
      <c r="AT31" s="187">
        <v>23</v>
      </c>
      <c r="AU31" s="187">
        <v>1805.2014667902763</v>
      </c>
      <c r="AV31" s="184">
        <f t="shared" si="30"/>
        <v>78.487020295229399</v>
      </c>
      <c r="AW31" s="181">
        <f t="shared" si="31"/>
        <v>4</v>
      </c>
      <c r="AX31" s="588"/>
    </row>
    <row r="32" spans="2:50" ht="14.25" customHeight="1">
      <c r="B32" s="586"/>
      <c r="C32" s="179">
        <v>6</v>
      </c>
      <c r="D32" s="182" t="s">
        <v>443</v>
      </c>
      <c r="E32" s="179">
        <v>20</v>
      </c>
      <c r="F32" s="179">
        <v>2000</v>
      </c>
      <c r="G32" s="184">
        <f t="shared" si="16"/>
        <v>100</v>
      </c>
      <c r="H32" s="588"/>
      <c r="I32" s="185">
        <f t="shared" si="18"/>
        <v>19</v>
      </c>
      <c r="J32" s="185">
        <f t="shared" si="18"/>
        <v>1802.0000000000002</v>
      </c>
      <c r="K32" s="186">
        <f t="shared" si="18"/>
        <v>94.84210526315789</v>
      </c>
      <c r="L32" s="589"/>
      <c r="M32" s="185">
        <f>RANK(K32, K$27:$K$41)</f>
        <v>2</v>
      </c>
      <c r="N32" s="586"/>
      <c r="O32" s="586"/>
      <c r="P32" s="187">
        <v>19</v>
      </c>
      <c r="Q32" s="187">
        <v>1800.4</v>
      </c>
      <c r="R32" s="184">
        <f t="shared" si="19"/>
        <v>94.757894736842104</v>
      </c>
      <c r="S32" s="181">
        <f t="shared" si="20"/>
        <v>2</v>
      </c>
      <c r="T32" s="588"/>
      <c r="U32" s="187">
        <v>19</v>
      </c>
      <c r="V32" s="187">
        <v>1802.1999999999998</v>
      </c>
      <c r="W32" s="184">
        <f t="shared" si="17"/>
        <v>94.852631578947353</v>
      </c>
      <c r="X32" s="181">
        <f t="shared" si="21"/>
        <v>2</v>
      </c>
      <c r="Y32" s="588"/>
      <c r="Z32" s="187">
        <v>19</v>
      </c>
      <c r="AA32" s="187">
        <v>1802.6</v>
      </c>
      <c r="AB32" s="184">
        <f t="shared" si="22"/>
        <v>94.873684210526307</v>
      </c>
      <c r="AC32" s="181">
        <f t="shared" si="23"/>
        <v>2</v>
      </c>
      <c r="AD32" s="588"/>
      <c r="AE32" s="187">
        <v>19</v>
      </c>
      <c r="AF32" s="187">
        <v>1802.4</v>
      </c>
      <c r="AG32" s="184">
        <f t="shared" si="24"/>
        <v>94.863157894736844</v>
      </c>
      <c r="AH32" s="181">
        <f t="shared" si="25"/>
        <v>2</v>
      </c>
      <c r="AI32" s="588"/>
      <c r="AJ32" s="187">
        <v>19</v>
      </c>
      <c r="AK32" s="187">
        <v>1802</v>
      </c>
      <c r="AL32" s="184">
        <f t="shared" si="26"/>
        <v>94.84210526315789</v>
      </c>
      <c r="AM32" s="181">
        <f t="shared" si="27"/>
        <v>2</v>
      </c>
      <c r="AN32" s="588"/>
      <c r="AO32" s="187">
        <v>19</v>
      </c>
      <c r="AP32" s="187">
        <v>1802.2</v>
      </c>
      <c r="AQ32" s="184">
        <f t="shared" si="28"/>
        <v>94.852631578947367</v>
      </c>
      <c r="AR32" s="181">
        <f t="shared" si="29"/>
        <v>2</v>
      </c>
      <c r="AS32" s="588"/>
      <c r="AT32" s="187">
        <v>19</v>
      </c>
      <c r="AU32" s="187">
        <v>1802.2</v>
      </c>
      <c r="AV32" s="184">
        <f t="shared" si="30"/>
        <v>94.852631578947367</v>
      </c>
      <c r="AW32" s="181">
        <f t="shared" si="31"/>
        <v>2</v>
      </c>
      <c r="AX32" s="588"/>
    </row>
    <row r="33" spans="2:50" ht="14.25" customHeight="1">
      <c r="B33" s="586"/>
      <c r="C33" s="179">
        <v>7</v>
      </c>
      <c r="D33" s="182" t="s">
        <v>517</v>
      </c>
      <c r="E33" s="179">
        <v>18</v>
      </c>
      <c r="F33" s="179">
        <v>2000</v>
      </c>
      <c r="G33" s="184">
        <f t="shared" si="16"/>
        <v>111.11111111111111</v>
      </c>
      <c r="H33" s="588"/>
      <c r="I33" s="185">
        <f t="shared" si="18"/>
        <v>17</v>
      </c>
      <c r="J33" s="185">
        <f t="shared" si="18"/>
        <v>1802.3920435033706</v>
      </c>
      <c r="K33" s="186">
        <f t="shared" si="18"/>
        <v>106.02306138255121</v>
      </c>
      <c r="L33" s="589"/>
      <c r="M33" s="185">
        <f>RANK(K33, K$27:$K$41)</f>
        <v>1</v>
      </c>
      <c r="N33" s="586"/>
      <c r="O33" s="586"/>
      <c r="P33" s="187">
        <v>17</v>
      </c>
      <c r="Q33" s="187">
        <v>1800.5999999999997</v>
      </c>
      <c r="R33" s="184">
        <f t="shared" si="19"/>
        <v>105.9176470588235</v>
      </c>
      <c r="S33" s="181">
        <f t="shared" si="20"/>
        <v>1</v>
      </c>
      <c r="T33" s="588"/>
      <c r="U33" s="187">
        <v>17</v>
      </c>
      <c r="V33" s="187">
        <v>1802.3443045235954</v>
      </c>
      <c r="W33" s="184">
        <f t="shared" si="17"/>
        <v>106.02025320727031</v>
      </c>
      <c r="X33" s="181">
        <f t="shared" si="21"/>
        <v>1</v>
      </c>
      <c r="Y33" s="588"/>
      <c r="Z33" s="187">
        <v>17</v>
      </c>
      <c r="AA33" s="187">
        <v>1803</v>
      </c>
      <c r="AB33" s="184">
        <f t="shared" si="22"/>
        <v>106.05882352941177</v>
      </c>
      <c r="AC33" s="181">
        <f t="shared" si="23"/>
        <v>1</v>
      </c>
      <c r="AD33" s="588"/>
      <c r="AE33" s="187">
        <v>17</v>
      </c>
      <c r="AF33" s="187">
        <v>1802.8</v>
      </c>
      <c r="AG33" s="184">
        <f t="shared" si="24"/>
        <v>106.04705882352941</v>
      </c>
      <c r="AH33" s="181">
        <f t="shared" si="25"/>
        <v>1</v>
      </c>
      <c r="AI33" s="588"/>
      <c r="AJ33" s="187">
        <v>17</v>
      </c>
      <c r="AK33" s="187">
        <v>1802.1999999999998</v>
      </c>
      <c r="AL33" s="184">
        <f t="shared" si="26"/>
        <v>106.01176470588234</v>
      </c>
      <c r="AM33" s="181">
        <f t="shared" si="27"/>
        <v>1</v>
      </c>
      <c r="AN33" s="588"/>
      <c r="AO33" s="187">
        <v>17</v>
      </c>
      <c r="AP33" s="187">
        <v>1802.8</v>
      </c>
      <c r="AQ33" s="184">
        <f t="shared" si="28"/>
        <v>106.04705882352941</v>
      </c>
      <c r="AR33" s="181">
        <f t="shared" si="29"/>
        <v>1</v>
      </c>
      <c r="AS33" s="588"/>
      <c r="AT33" s="187">
        <v>17</v>
      </c>
      <c r="AU33" s="187">
        <v>1803</v>
      </c>
      <c r="AV33" s="184">
        <f t="shared" si="30"/>
        <v>106.05882352941177</v>
      </c>
      <c r="AW33" s="181">
        <f t="shared" si="31"/>
        <v>1</v>
      </c>
      <c r="AX33" s="588"/>
    </row>
    <row r="34" spans="2:50" ht="14.25" customHeight="1">
      <c r="B34" s="586"/>
      <c r="C34" s="179">
        <v>8</v>
      </c>
      <c r="D34" s="182" t="s">
        <v>552</v>
      </c>
      <c r="E34" s="179">
        <v>21</v>
      </c>
      <c r="F34" s="179">
        <v>2000</v>
      </c>
      <c r="G34" s="184">
        <f t="shared" si="16"/>
        <v>95.238095238095241</v>
      </c>
      <c r="H34" s="588"/>
      <c r="I34" s="185">
        <f t="shared" si="18"/>
        <v>20</v>
      </c>
      <c r="J34" s="185">
        <f t="shared" si="18"/>
        <v>1802.0857142857144</v>
      </c>
      <c r="K34" s="186">
        <f t="shared" si="18"/>
        <v>90.104285714285723</v>
      </c>
      <c r="L34" s="589"/>
      <c r="M34" s="185">
        <f>RANK(K34, K$27:$K$41)</f>
        <v>3</v>
      </c>
      <c r="N34" s="586"/>
      <c r="O34" s="586"/>
      <c r="P34" s="187">
        <v>20</v>
      </c>
      <c r="Q34" s="187">
        <v>1800</v>
      </c>
      <c r="R34" s="184">
        <f t="shared" si="19"/>
        <v>90</v>
      </c>
      <c r="S34" s="181">
        <f t="shared" si="20"/>
        <v>3</v>
      </c>
      <c r="T34" s="588"/>
      <c r="U34" s="187">
        <v>20</v>
      </c>
      <c r="V34" s="187">
        <v>1802.4</v>
      </c>
      <c r="W34" s="184">
        <f t="shared" si="17"/>
        <v>90.12</v>
      </c>
      <c r="X34" s="181">
        <f t="shared" si="21"/>
        <v>3</v>
      </c>
      <c r="Y34" s="588"/>
      <c r="Z34" s="187">
        <v>20</v>
      </c>
      <c r="AA34" s="187">
        <v>1802</v>
      </c>
      <c r="AB34" s="184">
        <f t="shared" si="22"/>
        <v>90.1</v>
      </c>
      <c r="AC34" s="181">
        <f t="shared" si="23"/>
        <v>3</v>
      </c>
      <c r="AD34" s="588"/>
      <c r="AE34" s="187">
        <v>20</v>
      </c>
      <c r="AF34" s="187">
        <v>1802.6</v>
      </c>
      <c r="AG34" s="184">
        <f t="shared" si="24"/>
        <v>90.13</v>
      </c>
      <c r="AH34" s="181">
        <f t="shared" si="25"/>
        <v>3</v>
      </c>
      <c r="AI34" s="588"/>
      <c r="AJ34" s="187">
        <v>20</v>
      </c>
      <c r="AK34" s="187">
        <v>1802.6</v>
      </c>
      <c r="AL34" s="184">
        <f t="shared" si="26"/>
        <v>90.13</v>
      </c>
      <c r="AM34" s="181">
        <f t="shared" si="27"/>
        <v>3</v>
      </c>
      <c r="AN34" s="588"/>
      <c r="AO34" s="187">
        <v>20</v>
      </c>
      <c r="AP34" s="187">
        <v>1802.6</v>
      </c>
      <c r="AQ34" s="184">
        <f t="shared" si="28"/>
        <v>90.13</v>
      </c>
      <c r="AR34" s="181">
        <f t="shared" si="29"/>
        <v>3</v>
      </c>
      <c r="AS34" s="588"/>
      <c r="AT34" s="187">
        <v>20</v>
      </c>
      <c r="AU34" s="187">
        <v>1802.3999999999999</v>
      </c>
      <c r="AV34" s="184">
        <f t="shared" si="30"/>
        <v>90.11999999999999</v>
      </c>
      <c r="AW34" s="181">
        <f t="shared" si="31"/>
        <v>3</v>
      </c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327</v>
      </c>
      <c r="C47" s="179">
        <v>1</v>
      </c>
      <c r="D47" s="182" t="s">
        <v>321</v>
      </c>
      <c r="E47" s="183">
        <v>24</v>
      </c>
      <c r="F47" s="179">
        <v>2000</v>
      </c>
      <c r="G47" s="184">
        <f t="shared" ref="G47:G54" si="32">IFERROR(F47/E47,"")</f>
        <v>83.333333333333329</v>
      </c>
      <c r="H47" s="588">
        <f>AVERAGE(G47:G61)</f>
        <v>92.03329882677707</v>
      </c>
      <c r="I47" s="185">
        <f>AVERAGE(P47,U47,Z47,AE47,AJ47,AO47,AT47)</f>
        <v>24</v>
      </c>
      <c r="J47" s="185">
        <f>AVERAGE(Q47,V47,AA47,AF47,AK47,AP47,AU47)</f>
        <v>1805.354821944836</v>
      </c>
      <c r="K47" s="186">
        <f>AVERAGE(R47,W47,AB47,AG47,AL47,AQ47,AV47)</f>
        <v>75.223117581034828</v>
      </c>
      <c r="L47" s="589">
        <f>IFERROR(AVERAGE(K47:K61),"-")</f>
        <v>84.864534602343696</v>
      </c>
      <c r="M47" s="185">
        <f>RANK(K47, K$47:$K$61)</f>
        <v>8</v>
      </c>
      <c r="N47" s="586"/>
      <c r="O47" s="586"/>
      <c r="P47" s="187">
        <v>24</v>
      </c>
      <c r="Q47" s="187">
        <v>1804.9548219448357</v>
      </c>
      <c r="R47" s="184">
        <f>IFERROR(Q47/P47,"")</f>
        <v>75.206450914368148</v>
      </c>
      <c r="S47" s="181">
        <f>RANK(R47, R$47:R$61)</f>
        <v>8</v>
      </c>
      <c r="T47" s="588">
        <f>AVERAGE(R47:R61)</f>
        <v>84.863518638750008</v>
      </c>
      <c r="U47" s="187">
        <v>24</v>
      </c>
      <c r="V47" s="187">
        <v>1805.354821944836</v>
      </c>
      <c r="W47" s="184">
        <f t="shared" ref="W47:W54" si="33">IFERROR(V47/U47,"")</f>
        <v>75.223117581034828</v>
      </c>
      <c r="X47" s="181">
        <f>RANK(W47, W$47:W$61)</f>
        <v>8</v>
      </c>
      <c r="Y47" s="588">
        <f>AVERAGE(W47:W61)</f>
        <v>84.863482887607447</v>
      </c>
      <c r="Z47" s="187">
        <v>24</v>
      </c>
      <c r="AA47" s="187">
        <v>1805.5548219448358</v>
      </c>
      <c r="AB47" s="184">
        <f>IFERROR(AA47/Z47,"")</f>
        <v>75.231450914368153</v>
      </c>
      <c r="AC47" s="181">
        <f>RANK(AB47, AB$47:AB$61)</f>
        <v>8</v>
      </c>
      <c r="AD47" s="588">
        <f>AVERAGE(AB47:AB61)</f>
        <v>84.860407868698289</v>
      </c>
      <c r="AE47" s="187">
        <v>24</v>
      </c>
      <c r="AF47" s="187">
        <v>1804.9548219448359</v>
      </c>
      <c r="AG47" s="184">
        <f>IFERROR(AF47/AE47,"")</f>
        <v>75.206450914368162</v>
      </c>
      <c r="AH47" s="181">
        <f>RANK(AG47, AG$47:AG$61)</f>
        <v>8</v>
      </c>
      <c r="AI47" s="588">
        <f>AVERAGE(AG47:AG61)</f>
        <v>84.859189609655544</v>
      </c>
      <c r="AJ47" s="187">
        <v>24</v>
      </c>
      <c r="AK47" s="187">
        <v>1805.5548219448358</v>
      </c>
      <c r="AL47" s="184">
        <f>IFERROR(AK47/AJ47,"")</f>
        <v>75.231450914368153</v>
      </c>
      <c r="AM47" s="181">
        <f>RANK(AL47, AL$47:AL$61)</f>
        <v>8</v>
      </c>
      <c r="AN47" s="588">
        <f>AVERAGE(AL47:AL61)</f>
        <v>84.854208971519284</v>
      </c>
      <c r="AO47" s="187">
        <v>24</v>
      </c>
      <c r="AP47" s="187">
        <v>1805.554821944836</v>
      </c>
      <c r="AQ47" s="184">
        <f>IFERROR(AP47/AO47,"")</f>
        <v>75.231450914368168</v>
      </c>
      <c r="AR47" s="181">
        <f>RANK(AQ47, AQ$47:AQ$61)</f>
        <v>8</v>
      </c>
      <c r="AS47" s="588">
        <f>AVERAGE(AQ47:AQ61)</f>
        <v>84.875943510872773</v>
      </c>
      <c r="AT47" s="187">
        <v>24</v>
      </c>
      <c r="AU47" s="187">
        <v>1805.5548219448362</v>
      </c>
      <c r="AV47" s="184">
        <f>IFERROR(AU47/AT47,"")</f>
        <v>75.231450914368182</v>
      </c>
      <c r="AW47" s="181">
        <f>RANK(AV47, AV$47:AV$61)</f>
        <v>8</v>
      </c>
      <c r="AX47" s="588">
        <f>AVERAGE(AV47:AV61)</f>
        <v>84.874990729302482</v>
      </c>
    </row>
    <row r="48" spans="2:50" ht="14.25" customHeight="1">
      <c r="B48" s="586"/>
      <c r="C48" s="179">
        <v>2</v>
      </c>
      <c r="D48" s="182" t="s">
        <v>577</v>
      </c>
      <c r="E48" s="179">
        <v>21</v>
      </c>
      <c r="F48" s="179">
        <v>1800</v>
      </c>
      <c r="G48" s="184">
        <f t="shared" si="32"/>
        <v>85.714285714285708</v>
      </c>
      <c r="H48" s="588"/>
      <c r="I48" s="185">
        <f t="shared" ref="I48:K54" si="34">AVERAGE(P48,U48,Z48,AE48,AJ48,AO48,AT48)</f>
        <v>21</v>
      </c>
      <c r="J48" s="185">
        <f t="shared" si="34"/>
        <v>1623.8077817584067</v>
      </c>
      <c r="K48" s="186">
        <f t="shared" si="34"/>
        <v>77.324180083733637</v>
      </c>
      <c r="L48" s="589"/>
      <c r="M48" s="185">
        <f>RANK(K48, K$47:$K$61)</f>
        <v>7</v>
      </c>
      <c r="N48" s="586"/>
      <c r="O48" s="586"/>
      <c r="P48" s="187">
        <v>21</v>
      </c>
      <c r="Q48" s="187">
        <v>1623.8849246155487</v>
      </c>
      <c r="R48" s="184">
        <f t="shared" ref="R48:R54" si="35">IFERROR(Q48/P48,"")</f>
        <v>77.327853553121372</v>
      </c>
      <c r="S48" s="181">
        <f t="shared" ref="S48:S54" si="36">RANK(R48, R$47:R$61)</f>
        <v>7</v>
      </c>
      <c r="T48" s="588"/>
      <c r="U48" s="187">
        <v>21</v>
      </c>
      <c r="V48" s="187">
        <v>1623.3449246155492</v>
      </c>
      <c r="W48" s="184">
        <f t="shared" si="33"/>
        <v>77.3021392674071</v>
      </c>
      <c r="X48" s="181">
        <f t="shared" ref="X48:X54" si="37">RANK(W48, W$47:W$61)</f>
        <v>7</v>
      </c>
      <c r="Y48" s="588"/>
      <c r="Z48" s="187">
        <v>21</v>
      </c>
      <c r="AA48" s="187">
        <v>1623.5249246155493</v>
      </c>
      <c r="AB48" s="184">
        <f t="shared" ref="AB48:AB54" si="38">IFERROR(AA48/Z48,"")</f>
        <v>77.310710695978543</v>
      </c>
      <c r="AC48" s="181">
        <f t="shared" ref="AC48:AC54" si="39">RANK(AB48, AB$47:AB$61)</f>
        <v>7</v>
      </c>
      <c r="AD48" s="588"/>
      <c r="AE48" s="187">
        <v>21</v>
      </c>
      <c r="AF48" s="187">
        <v>1624.0649246155494</v>
      </c>
      <c r="AG48" s="184">
        <f t="shared" ref="AG48:AG54" si="40">IFERROR(AF48/AE48,"")</f>
        <v>77.336424981692829</v>
      </c>
      <c r="AH48" s="181">
        <f t="shared" ref="AH48:AH54" si="41">RANK(AG48, AG$47:AG$61)</f>
        <v>7</v>
      </c>
      <c r="AI48" s="588"/>
      <c r="AJ48" s="187">
        <v>21</v>
      </c>
      <c r="AK48" s="187">
        <v>1623.7049246155495</v>
      </c>
      <c r="AL48" s="184">
        <f t="shared" ref="AL48:AL54" si="42">IFERROR(AK48/AJ48,"")</f>
        <v>77.319282124549972</v>
      </c>
      <c r="AM48" s="181">
        <f t="shared" ref="AM48:AM54" si="43">RANK(AL48, AL$47:AL$61)</f>
        <v>7</v>
      </c>
      <c r="AN48" s="588"/>
      <c r="AO48" s="187">
        <v>21</v>
      </c>
      <c r="AP48" s="187">
        <v>1623.8849246155496</v>
      </c>
      <c r="AQ48" s="184">
        <f t="shared" ref="AQ48:AQ54" si="44">IFERROR(AP48/AO48,"")</f>
        <v>77.327853553121415</v>
      </c>
      <c r="AR48" s="181">
        <f t="shared" ref="AR48:AR54" si="45">RANK(AQ48, AQ$47:AQ$61)</f>
        <v>7</v>
      </c>
      <c r="AS48" s="588"/>
      <c r="AT48" s="187">
        <v>21</v>
      </c>
      <c r="AU48" s="187">
        <v>1624.2449246155495</v>
      </c>
      <c r="AV48" s="184">
        <f t="shared" ref="AV48:AV54" si="46">IFERROR(AU48/AT48,"")</f>
        <v>77.344996410264258</v>
      </c>
      <c r="AW48" s="181">
        <f t="shared" ref="AW48:AW54" si="47">RANK(AV48, AV$47:AV$61)</f>
        <v>7</v>
      </c>
      <c r="AX48" s="588"/>
    </row>
    <row r="49" spans="2:50" ht="14.25" customHeight="1">
      <c r="B49" s="586"/>
      <c r="C49" s="179">
        <v>3</v>
      </c>
      <c r="D49" s="182" t="s">
        <v>320</v>
      </c>
      <c r="E49" s="179">
        <v>23</v>
      </c>
      <c r="F49" s="179">
        <v>2000</v>
      </c>
      <c r="G49" s="184">
        <f t="shared" si="32"/>
        <v>86.956521739130437</v>
      </c>
      <c r="H49" s="588"/>
      <c r="I49" s="185">
        <f t="shared" si="34"/>
        <v>23</v>
      </c>
      <c r="J49" s="185">
        <f t="shared" si="34"/>
        <v>1802.544643993504</v>
      </c>
      <c r="K49" s="186">
        <f t="shared" si="34"/>
        <v>78.371506260587125</v>
      </c>
      <c r="L49" s="589"/>
      <c r="M49" s="185">
        <f>RANK(K49, K$47:$K$61)</f>
        <v>6</v>
      </c>
      <c r="N49" s="586"/>
      <c r="O49" s="586"/>
      <c r="P49" s="187">
        <v>23</v>
      </c>
      <c r="Q49" s="187">
        <v>1804.0303582792183</v>
      </c>
      <c r="R49" s="184">
        <f t="shared" si="35"/>
        <v>78.436102533879051</v>
      </c>
      <c r="S49" s="181">
        <f t="shared" si="36"/>
        <v>6</v>
      </c>
      <c r="T49" s="588"/>
      <c r="U49" s="187">
        <v>23</v>
      </c>
      <c r="V49" s="187">
        <v>1804.030358279218</v>
      </c>
      <c r="W49" s="184">
        <f t="shared" si="33"/>
        <v>78.436102533879051</v>
      </c>
      <c r="X49" s="181">
        <f t="shared" si="37"/>
        <v>6</v>
      </c>
      <c r="Y49" s="588"/>
      <c r="Z49" s="187">
        <v>23</v>
      </c>
      <c r="AA49" s="187">
        <v>1803.0303582792183</v>
      </c>
      <c r="AB49" s="184">
        <f t="shared" si="38"/>
        <v>78.392624273009488</v>
      </c>
      <c r="AC49" s="181">
        <f t="shared" si="39"/>
        <v>6</v>
      </c>
      <c r="AD49" s="588"/>
      <c r="AE49" s="187">
        <v>23</v>
      </c>
      <c r="AF49" s="187">
        <v>1802.2303582792183</v>
      </c>
      <c r="AG49" s="184">
        <f t="shared" si="40"/>
        <v>78.357841664313838</v>
      </c>
      <c r="AH49" s="181">
        <f t="shared" si="41"/>
        <v>6</v>
      </c>
      <c r="AI49" s="588"/>
      <c r="AJ49" s="187">
        <v>23</v>
      </c>
      <c r="AK49" s="187">
        <v>1801.4303582792184</v>
      </c>
      <c r="AL49" s="184">
        <f t="shared" si="42"/>
        <v>78.323059055618188</v>
      </c>
      <c r="AM49" s="181">
        <f t="shared" si="43"/>
        <v>6</v>
      </c>
      <c r="AN49" s="588"/>
      <c r="AO49" s="187">
        <v>23</v>
      </c>
      <c r="AP49" s="187">
        <v>1801.6303582792186</v>
      </c>
      <c r="AQ49" s="184">
        <f t="shared" si="44"/>
        <v>78.331754707792115</v>
      </c>
      <c r="AR49" s="181">
        <f t="shared" si="45"/>
        <v>6</v>
      </c>
      <c r="AS49" s="588"/>
      <c r="AT49" s="187">
        <v>23</v>
      </c>
      <c r="AU49" s="187">
        <v>1801.4303582792188</v>
      </c>
      <c r="AV49" s="184">
        <f t="shared" si="46"/>
        <v>78.323059055618202</v>
      </c>
      <c r="AW49" s="181">
        <f t="shared" si="47"/>
        <v>6</v>
      </c>
      <c r="AX49" s="588"/>
    </row>
    <row r="50" spans="2:50" ht="14.25" customHeight="1">
      <c r="B50" s="586"/>
      <c r="C50" s="179">
        <v>4</v>
      </c>
      <c r="D50" s="182" t="s">
        <v>328</v>
      </c>
      <c r="E50" s="179">
        <v>23</v>
      </c>
      <c r="F50" s="179">
        <v>2000</v>
      </c>
      <c r="G50" s="184">
        <f t="shared" si="32"/>
        <v>86.956521739130437</v>
      </c>
      <c r="H50" s="588"/>
      <c r="I50" s="185">
        <f t="shared" si="34"/>
        <v>23</v>
      </c>
      <c r="J50" s="185">
        <f t="shared" si="34"/>
        <v>1805.1648237339011</v>
      </c>
      <c r="K50" s="186">
        <f t="shared" si="34"/>
        <v>78.485427118865246</v>
      </c>
      <c r="L50" s="589"/>
      <c r="M50" s="185">
        <f>RANK(K50, K$47:$K$61)</f>
        <v>5</v>
      </c>
      <c r="N50" s="586"/>
      <c r="O50" s="586"/>
      <c r="P50" s="187">
        <v>23</v>
      </c>
      <c r="Q50" s="187">
        <v>1804.8791094481862</v>
      </c>
      <c r="R50" s="184">
        <f t="shared" si="35"/>
        <v>78.473004758616796</v>
      </c>
      <c r="S50" s="181">
        <f t="shared" si="36"/>
        <v>4</v>
      </c>
      <c r="T50" s="588"/>
      <c r="U50" s="187">
        <v>23</v>
      </c>
      <c r="V50" s="187">
        <v>1804.2791094481865</v>
      </c>
      <c r="W50" s="184">
        <f t="shared" si="33"/>
        <v>78.446917802095072</v>
      </c>
      <c r="X50" s="181">
        <f t="shared" si="37"/>
        <v>5</v>
      </c>
      <c r="Y50" s="588"/>
      <c r="Z50" s="187">
        <v>23</v>
      </c>
      <c r="AA50" s="187">
        <v>1804.279109448187</v>
      </c>
      <c r="AB50" s="184">
        <f t="shared" si="38"/>
        <v>78.446917802095086</v>
      </c>
      <c r="AC50" s="181">
        <f t="shared" si="39"/>
        <v>5</v>
      </c>
      <c r="AD50" s="588"/>
      <c r="AE50" s="187">
        <v>23</v>
      </c>
      <c r="AF50" s="187">
        <v>1804.4791094481868</v>
      </c>
      <c r="AG50" s="184">
        <f t="shared" si="40"/>
        <v>78.455613454268999</v>
      </c>
      <c r="AH50" s="181">
        <f t="shared" si="41"/>
        <v>5</v>
      </c>
      <c r="AI50" s="588"/>
      <c r="AJ50" s="187">
        <v>23</v>
      </c>
      <c r="AK50" s="187">
        <v>1805.4791094481868</v>
      </c>
      <c r="AL50" s="184">
        <f t="shared" si="42"/>
        <v>78.499091715138562</v>
      </c>
      <c r="AM50" s="181">
        <f t="shared" si="43"/>
        <v>5</v>
      </c>
      <c r="AN50" s="588"/>
      <c r="AO50" s="187">
        <v>23</v>
      </c>
      <c r="AP50" s="187">
        <v>1806.0791094481865</v>
      </c>
      <c r="AQ50" s="184">
        <f t="shared" si="44"/>
        <v>78.525178671660285</v>
      </c>
      <c r="AR50" s="181">
        <f t="shared" si="45"/>
        <v>5</v>
      </c>
      <c r="AS50" s="588"/>
      <c r="AT50" s="187">
        <v>23</v>
      </c>
      <c r="AU50" s="187">
        <v>1806.6791094481862</v>
      </c>
      <c r="AV50" s="184">
        <f t="shared" si="46"/>
        <v>78.551265628182009</v>
      </c>
      <c r="AW50" s="181">
        <f t="shared" si="47"/>
        <v>5</v>
      </c>
      <c r="AX50" s="588"/>
    </row>
    <row r="51" spans="2:50" ht="14.25" customHeight="1">
      <c r="B51" s="586"/>
      <c r="C51" s="179">
        <v>5</v>
      </c>
      <c r="D51" s="182" t="s">
        <v>322</v>
      </c>
      <c r="E51" s="179">
        <v>23</v>
      </c>
      <c r="F51" s="179">
        <v>2000</v>
      </c>
      <c r="G51" s="184">
        <f t="shared" si="32"/>
        <v>86.956521739130437</v>
      </c>
      <c r="H51" s="588"/>
      <c r="I51" s="185">
        <f t="shared" si="34"/>
        <v>23</v>
      </c>
      <c r="J51" s="185">
        <f t="shared" si="34"/>
        <v>1806.4586096474184</v>
      </c>
      <c r="K51" s="186">
        <f t="shared" si="34"/>
        <v>78.541678680322534</v>
      </c>
      <c r="L51" s="589"/>
      <c r="M51" s="185">
        <f>RANK(K51, K$47:$K$61)</f>
        <v>4</v>
      </c>
      <c r="N51" s="586"/>
      <c r="O51" s="586"/>
      <c r="P51" s="187">
        <v>23</v>
      </c>
      <c r="Q51" s="187">
        <v>1804.8014667902762</v>
      </c>
      <c r="R51" s="184">
        <f t="shared" si="35"/>
        <v>78.469628990881574</v>
      </c>
      <c r="S51" s="181">
        <f t="shared" si="36"/>
        <v>5</v>
      </c>
      <c r="T51" s="588"/>
      <c r="U51" s="187">
        <v>23</v>
      </c>
      <c r="V51" s="187">
        <v>1805.4014667902761</v>
      </c>
      <c r="W51" s="184">
        <f t="shared" si="33"/>
        <v>78.495715947403312</v>
      </c>
      <c r="X51" s="181">
        <f t="shared" si="37"/>
        <v>4</v>
      </c>
      <c r="Y51" s="588"/>
      <c r="Z51" s="187">
        <v>23</v>
      </c>
      <c r="AA51" s="187">
        <v>1805.801466790276</v>
      </c>
      <c r="AB51" s="184">
        <f t="shared" si="38"/>
        <v>78.513107251751123</v>
      </c>
      <c r="AC51" s="181">
        <f t="shared" si="39"/>
        <v>4</v>
      </c>
      <c r="AD51" s="588"/>
      <c r="AE51" s="187">
        <v>23</v>
      </c>
      <c r="AF51" s="187">
        <v>1806.2014667902754</v>
      </c>
      <c r="AG51" s="184">
        <f t="shared" si="40"/>
        <v>78.530498556098934</v>
      </c>
      <c r="AH51" s="181">
        <f t="shared" si="41"/>
        <v>4</v>
      </c>
      <c r="AI51" s="588"/>
      <c r="AJ51" s="187">
        <v>23</v>
      </c>
      <c r="AK51" s="187">
        <v>1807.2014667902752</v>
      </c>
      <c r="AL51" s="184">
        <f t="shared" si="42"/>
        <v>78.573976816968482</v>
      </c>
      <c r="AM51" s="181">
        <f t="shared" si="43"/>
        <v>4</v>
      </c>
      <c r="AN51" s="588"/>
      <c r="AO51" s="187">
        <v>23</v>
      </c>
      <c r="AP51" s="187">
        <v>1807.401466790275</v>
      </c>
      <c r="AQ51" s="184">
        <f t="shared" si="44"/>
        <v>78.582672469142395</v>
      </c>
      <c r="AR51" s="181">
        <f t="shared" si="45"/>
        <v>4</v>
      </c>
      <c r="AS51" s="588"/>
      <c r="AT51" s="187">
        <v>23</v>
      </c>
      <c r="AU51" s="187">
        <v>1808.401466790275</v>
      </c>
      <c r="AV51" s="184">
        <f t="shared" si="46"/>
        <v>78.626150730011958</v>
      </c>
      <c r="AW51" s="181">
        <f t="shared" si="47"/>
        <v>4</v>
      </c>
      <c r="AX51" s="588"/>
    </row>
    <row r="52" spans="2:50" ht="14.25" customHeight="1">
      <c r="B52" s="586"/>
      <c r="C52" s="179">
        <v>6</v>
      </c>
      <c r="D52" s="182" t="s">
        <v>443</v>
      </c>
      <c r="E52" s="179">
        <v>20</v>
      </c>
      <c r="F52" s="179">
        <v>2000</v>
      </c>
      <c r="G52" s="184">
        <f t="shared" si="32"/>
        <v>100</v>
      </c>
      <c r="H52" s="588"/>
      <c r="I52" s="185">
        <f t="shared" si="34"/>
        <v>19</v>
      </c>
      <c r="J52" s="185">
        <f t="shared" si="34"/>
        <v>1801.9142857142858</v>
      </c>
      <c r="K52" s="186">
        <f t="shared" si="34"/>
        <v>94.83759398496241</v>
      </c>
      <c r="L52" s="589"/>
      <c r="M52" s="185">
        <f>RANK(K52, K$47:$K$61)</f>
        <v>2</v>
      </c>
      <c r="N52" s="586"/>
      <c r="O52" s="586"/>
      <c r="P52" s="187">
        <v>19</v>
      </c>
      <c r="Q52" s="187">
        <v>1801.8000000000002</v>
      </c>
      <c r="R52" s="184">
        <f t="shared" si="35"/>
        <v>94.831578947368428</v>
      </c>
      <c r="S52" s="181">
        <f t="shared" si="36"/>
        <v>2</v>
      </c>
      <c r="T52" s="588"/>
      <c r="U52" s="187">
        <v>19</v>
      </c>
      <c r="V52" s="187">
        <v>1802</v>
      </c>
      <c r="W52" s="184">
        <f t="shared" si="33"/>
        <v>94.84210526315789</v>
      </c>
      <c r="X52" s="181">
        <f t="shared" si="37"/>
        <v>2</v>
      </c>
      <c r="Y52" s="588"/>
      <c r="Z52" s="187">
        <v>19</v>
      </c>
      <c r="AA52" s="187">
        <v>1802.4</v>
      </c>
      <c r="AB52" s="184">
        <f t="shared" si="38"/>
        <v>94.863157894736844</v>
      </c>
      <c r="AC52" s="181">
        <f t="shared" si="39"/>
        <v>2</v>
      </c>
      <c r="AD52" s="588"/>
      <c r="AE52" s="187">
        <v>19</v>
      </c>
      <c r="AF52" s="187">
        <v>1802.3999999999999</v>
      </c>
      <c r="AG52" s="184">
        <f t="shared" si="40"/>
        <v>94.86315789473683</v>
      </c>
      <c r="AH52" s="181">
        <f t="shared" si="41"/>
        <v>2</v>
      </c>
      <c r="AI52" s="588"/>
      <c r="AJ52" s="187">
        <v>19</v>
      </c>
      <c r="AK52" s="187">
        <v>1802</v>
      </c>
      <c r="AL52" s="184">
        <f t="shared" si="42"/>
        <v>94.84210526315789</v>
      </c>
      <c r="AM52" s="181">
        <f t="shared" si="43"/>
        <v>2</v>
      </c>
      <c r="AN52" s="588"/>
      <c r="AO52" s="187">
        <v>19</v>
      </c>
      <c r="AP52" s="187">
        <v>1801.8000000000002</v>
      </c>
      <c r="AQ52" s="184">
        <f t="shared" si="44"/>
        <v>94.831578947368428</v>
      </c>
      <c r="AR52" s="181">
        <f t="shared" si="45"/>
        <v>2</v>
      </c>
      <c r="AS52" s="588"/>
      <c r="AT52" s="187">
        <v>19</v>
      </c>
      <c r="AU52" s="187">
        <v>1801.0000000000002</v>
      </c>
      <c r="AV52" s="184">
        <f t="shared" si="46"/>
        <v>94.789473684210535</v>
      </c>
      <c r="AW52" s="181">
        <f t="shared" si="47"/>
        <v>2</v>
      </c>
      <c r="AX52" s="588"/>
    </row>
    <row r="53" spans="2:50" ht="14.25" customHeight="1">
      <c r="B53" s="586"/>
      <c r="C53" s="179">
        <v>7</v>
      </c>
      <c r="D53" s="182" t="s">
        <v>517</v>
      </c>
      <c r="E53" s="179">
        <v>18</v>
      </c>
      <c r="F53" s="179">
        <v>2000</v>
      </c>
      <c r="G53" s="184">
        <f t="shared" si="32"/>
        <v>111.11111111111111</v>
      </c>
      <c r="H53" s="588"/>
      <c r="I53" s="185">
        <f t="shared" si="34"/>
        <v>17</v>
      </c>
      <c r="J53" s="185">
        <f t="shared" si="34"/>
        <v>1802.3142857142852</v>
      </c>
      <c r="K53" s="186">
        <f t="shared" si="34"/>
        <v>106.01848739495797</v>
      </c>
      <c r="L53" s="589"/>
      <c r="M53" s="185">
        <f>RANK(K53, K$47:$K$61)</f>
        <v>1</v>
      </c>
      <c r="N53" s="586"/>
      <c r="O53" s="586"/>
      <c r="P53" s="187">
        <v>17</v>
      </c>
      <c r="Q53" s="187">
        <v>1802.3999999999999</v>
      </c>
      <c r="R53" s="184">
        <f t="shared" si="35"/>
        <v>106.0235294117647</v>
      </c>
      <c r="S53" s="181">
        <f t="shared" si="36"/>
        <v>1</v>
      </c>
      <c r="T53" s="588"/>
      <c r="U53" s="187">
        <v>17</v>
      </c>
      <c r="V53" s="187">
        <v>1802.1999999999998</v>
      </c>
      <c r="W53" s="184">
        <f t="shared" si="33"/>
        <v>106.01176470588234</v>
      </c>
      <c r="X53" s="181">
        <f t="shared" si="37"/>
        <v>1</v>
      </c>
      <c r="Y53" s="588"/>
      <c r="Z53" s="187">
        <v>17</v>
      </c>
      <c r="AA53" s="187">
        <v>1802.6</v>
      </c>
      <c r="AB53" s="184">
        <f t="shared" si="38"/>
        <v>106.03529411764706</v>
      </c>
      <c r="AC53" s="181">
        <f t="shared" si="39"/>
        <v>1</v>
      </c>
      <c r="AD53" s="588"/>
      <c r="AE53" s="187">
        <v>17</v>
      </c>
      <c r="AF53" s="187">
        <v>1802.4</v>
      </c>
      <c r="AG53" s="184">
        <f t="shared" si="40"/>
        <v>106.02352941176471</v>
      </c>
      <c r="AH53" s="181">
        <f t="shared" si="41"/>
        <v>1</v>
      </c>
      <c r="AI53" s="588"/>
      <c r="AJ53" s="187">
        <v>17</v>
      </c>
      <c r="AK53" s="187">
        <v>1801.4000000000003</v>
      </c>
      <c r="AL53" s="184">
        <f t="shared" si="42"/>
        <v>105.96470588235296</v>
      </c>
      <c r="AM53" s="181">
        <f t="shared" si="43"/>
        <v>1</v>
      </c>
      <c r="AN53" s="588"/>
      <c r="AO53" s="187">
        <v>17</v>
      </c>
      <c r="AP53" s="187">
        <v>1802.7999999999997</v>
      </c>
      <c r="AQ53" s="184">
        <f t="shared" si="44"/>
        <v>106.0470588235294</v>
      </c>
      <c r="AR53" s="181">
        <f t="shared" si="45"/>
        <v>1</v>
      </c>
      <c r="AS53" s="588"/>
      <c r="AT53" s="187">
        <v>17</v>
      </c>
      <c r="AU53" s="187">
        <v>1802.3999999999999</v>
      </c>
      <c r="AV53" s="184">
        <f t="shared" si="46"/>
        <v>106.0235294117647</v>
      </c>
      <c r="AW53" s="181">
        <f t="shared" si="47"/>
        <v>1</v>
      </c>
      <c r="AX53" s="588"/>
    </row>
    <row r="54" spans="2:50" ht="14.25" customHeight="1">
      <c r="B54" s="586"/>
      <c r="C54" s="179">
        <v>8</v>
      </c>
      <c r="D54" s="182" t="s">
        <v>552</v>
      </c>
      <c r="E54" s="179">
        <v>21</v>
      </c>
      <c r="F54" s="179">
        <v>2000</v>
      </c>
      <c r="G54" s="184">
        <f t="shared" si="32"/>
        <v>95.238095238095241</v>
      </c>
      <c r="H54" s="588"/>
      <c r="I54" s="185">
        <f t="shared" si="34"/>
        <v>20</v>
      </c>
      <c r="J54" s="185">
        <f t="shared" si="34"/>
        <v>1802.2857142857142</v>
      </c>
      <c r="K54" s="186">
        <f t="shared" si="34"/>
        <v>90.114285714285728</v>
      </c>
      <c r="L54" s="589"/>
      <c r="M54" s="185">
        <f>RANK(K54, K$47:$K$61)</f>
        <v>3</v>
      </c>
      <c r="N54" s="586"/>
      <c r="O54" s="586"/>
      <c r="P54" s="187">
        <v>20</v>
      </c>
      <c r="Q54" s="187">
        <v>1802.8</v>
      </c>
      <c r="R54" s="184">
        <f t="shared" si="35"/>
        <v>90.14</v>
      </c>
      <c r="S54" s="181">
        <f t="shared" si="36"/>
        <v>3</v>
      </c>
      <c r="T54" s="588"/>
      <c r="U54" s="187">
        <v>20</v>
      </c>
      <c r="V54" s="187">
        <v>1803</v>
      </c>
      <c r="W54" s="184">
        <f t="shared" si="33"/>
        <v>90.15</v>
      </c>
      <c r="X54" s="181">
        <f t="shared" si="37"/>
        <v>3</v>
      </c>
      <c r="Y54" s="588"/>
      <c r="Z54" s="187">
        <v>20</v>
      </c>
      <c r="AA54" s="187">
        <v>1801.8000000000002</v>
      </c>
      <c r="AB54" s="184">
        <f t="shared" si="38"/>
        <v>90.09</v>
      </c>
      <c r="AC54" s="181">
        <f t="shared" si="39"/>
        <v>3</v>
      </c>
      <c r="AD54" s="588"/>
      <c r="AE54" s="187">
        <v>20</v>
      </c>
      <c r="AF54" s="187">
        <v>1802</v>
      </c>
      <c r="AG54" s="184">
        <f t="shared" si="40"/>
        <v>90.1</v>
      </c>
      <c r="AH54" s="181">
        <f t="shared" si="41"/>
        <v>3</v>
      </c>
      <c r="AI54" s="588"/>
      <c r="AJ54" s="187">
        <v>20</v>
      </c>
      <c r="AK54" s="187">
        <v>1801.6000000000004</v>
      </c>
      <c r="AL54" s="184">
        <f t="shared" si="42"/>
        <v>90.080000000000013</v>
      </c>
      <c r="AM54" s="181">
        <f t="shared" si="43"/>
        <v>3</v>
      </c>
      <c r="AN54" s="588"/>
      <c r="AO54" s="187">
        <v>20</v>
      </c>
      <c r="AP54" s="187">
        <v>1802.5999999999997</v>
      </c>
      <c r="AQ54" s="184">
        <f t="shared" si="44"/>
        <v>90.129999999999981</v>
      </c>
      <c r="AR54" s="181">
        <f t="shared" si="45"/>
        <v>3</v>
      </c>
      <c r="AS54" s="588"/>
      <c r="AT54" s="187">
        <v>20</v>
      </c>
      <c r="AU54" s="187">
        <v>1802.1999999999998</v>
      </c>
      <c r="AV54" s="184">
        <f t="shared" si="46"/>
        <v>90.109999999999985</v>
      </c>
      <c r="AW54" s="181">
        <f t="shared" si="47"/>
        <v>3</v>
      </c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327</v>
      </c>
      <c r="C67" s="179">
        <v>1</v>
      </c>
      <c r="D67" s="182" t="s">
        <v>321</v>
      </c>
      <c r="E67" s="183">
        <v>24</v>
      </c>
      <c r="F67" s="179">
        <v>2000</v>
      </c>
      <c r="G67" s="184">
        <f t="shared" ref="G67:G74" si="48">IFERROR(F67/E67,"")</f>
        <v>83.333333333333329</v>
      </c>
      <c r="H67" s="588">
        <f>AVERAGE(G67:G81)</f>
        <v>92.03329882677707</v>
      </c>
      <c r="I67" s="185">
        <f>AVERAGE(P67,U67,Z67,AE67,AJ67,AO67,AT67)</f>
        <v>24</v>
      </c>
      <c r="J67" s="185">
        <f>AVERAGE(Q67,V67,AA67,AF67,AK67,AP67,AU67)</f>
        <v>1805.8691076591226</v>
      </c>
      <c r="K67" s="186">
        <f>AVERAGE(R67,W67,AB67,AG67,AL67,AQ67,AV67)</f>
        <v>75.244546152463457</v>
      </c>
      <c r="L67" s="589">
        <f>IFERROR(AVERAGE(K67:K81),"-")</f>
        <v>84.909150493339126</v>
      </c>
      <c r="M67" s="185">
        <f>RANK(K67, K$67:$K$81)</f>
        <v>8</v>
      </c>
      <c r="N67" s="586"/>
      <c r="O67" s="586"/>
      <c r="P67" s="187">
        <v>24</v>
      </c>
      <c r="Q67" s="187">
        <v>1805.9548219448366</v>
      </c>
      <c r="R67" s="184">
        <f>IFERROR(Q67/P67,"")</f>
        <v>75.248117581034862</v>
      </c>
      <c r="S67" s="181">
        <f>RANK(R67, R$67:R$81)</f>
        <v>8</v>
      </c>
      <c r="T67" s="588">
        <f>AVERAGE(R67:R81)</f>
        <v>84.885771685849861</v>
      </c>
      <c r="U67" s="187">
        <v>24</v>
      </c>
      <c r="V67" s="187">
        <v>1805.9548219448366</v>
      </c>
      <c r="W67" s="184">
        <f t="shared" ref="W67:W74" si="49">IFERROR(V67/U67,"")</f>
        <v>75.248117581034862</v>
      </c>
      <c r="X67" s="181">
        <f>RANK(W67, W$67:W$81)</f>
        <v>8</v>
      </c>
      <c r="Y67" s="588">
        <f>AVERAGE(W67:W81)</f>
        <v>84.904701699502922</v>
      </c>
      <c r="Z67" s="187">
        <v>24</v>
      </c>
      <c r="AA67" s="187">
        <v>1805.3548219448369</v>
      </c>
      <c r="AB67" s="184">
        <f>IFERROR(AA67/Z67,"")</f>
        <v>75.22311758103487</v>
      </c>
      <c r="AC67" s="181">
        <f>RANK(AB67, AB$67:AB$81)</f>
        <v>8</v>
      </c>
      <c r="AD67" s="588">
        <f>AVERAGE(AB67:AB81)</f>
        <v>84.892257934239368</v>
      </c>
      <c r="AE67" s="187">
        <v>24</v>
      </c>
      <c r="AF67" s="187">
        <v>1806.3548219448369</v>
      </c>
      <c r="AG67" s="184">
        <f>IFERROR(AF67/AE67,"")</f>
        <v>75.264784247701542</v>
      </c>
      <c r="AH67" s="181">
        <f>RANK(AG67, AG$67:AG$81)</f>
        <v>8</v>
      </c>
      <c r="AI67" s="588">
        <f>AVERAGE(AG67:AG81)</f>
        <v>84.875725742987598</v>
      </c>
      <c r="AJ67" s="187">
        <v>24</v>
      </c>
      <c r="AK67" s="187">
        <v>1805.9548219448375</v>
      </c>
      <c r="AL67" s="184">
        <f>IFERROR(AK67/AJ67,"")</f>
        <v>75.24811758103489</v>
      </c>
      <c r="AM67" s="181">
        <f>RANK(AL67, AL$67:AL$81)</f>
        <v>8</v>
      </c>
      <c r="AN67" s="588">
        <f>AVERAGE(AL67:AL81)</f>
        <v>84.929936001300689</v>
      </c>
      <c r="AO67" s="187">
        <v>24</v>
      </c>
      <c r="AP67" s="187">
        <v>1805.9548219448375</v>
      </c>
      <c r="AQ67" s="184">
        <f>IFERROR(AP67/AO67,"")</f>
        <v>75.24811758103489</v>
      </c>
      <c r="AR67" s="181" t="e">
        <f>RANK(AQ67, AQ$7:AQ$21)</f>
        <v>#N/A</v>
      </c>
      <c r="AS67" s="588">
        <f>AVERAGE(AQ67:AQ81)</f>
        <v>84.915383199429229</v>
      </c>
      <c r="AT67" s="187">
        <v>24</v>
      </c>
      <c r="AU67" s="187">
        <v>1805.5548219448376</v>
      </c>
      <c r="AV67" s="184">
        <f>IFERROR(AU67/AT67,"")</f>
        <v>75.231450914368239</v>
      </c>
      <c r="AW67" s="181" t="e">
        <f>RANK(AV67, AV$7:AV$21)</f>
        <v>#N/A</v>
      </c>
      <c r="AX67" s="588">
        <f>AVERAGE(AV67:AV81)</f>
        <v>84.960277190064204</v>
      </c>
    </row>
    <row r="68" spans="2:50" ht="14.25" customHeight="1">
      <c r="B68" s="586"/>
      <c r="C68" s="179">
        <v>2</v>
      </c>
      <c r="D68" s="182" t="s">
        <v>577</v>
      </c>
      <c r="E68" s="179">
        <v>21</v>
      </c>
      <c r="F68" s="179">
        <v>1800</v>
      </c>
      <c r="G68" s="184">
        <f t="shared" si="48"/>
        <v>85.714285714285708</v>
      </c>
      <c r="H68" s="588"/>
      <c r="I68" s="185">
        <f t="shared" ref="I68:K74" si="50">AVERAGE(P68,U68,Z68,AE68,AJ68,AO68,AT68)</f>
        <v>21</v>
      </c>
      <c r="J68" s="185">
        <f t="shared" si="50"/>
        <v>1625.50492461555</v>
      </c>
      <c r="K68" s="186">
        <f t="shared" si="50"/>
        <v>77.404996410264275</v>
      </c>
      <c r="L68" s="589"/>
      <c r="M68" s="185">
        <f>RANK(K68, K$67:$K$81)</f>
        <v>7</v>
      </c>
      <c r="N68" s="586"/>
      <c r="O68" s="586"/>
      <c r="P68" s="187">
        <v>21</v>
      </c>
      <c r="Q68" s="187">
        <v>1624.4249246155496</v>
      </c>
      <c r="R68" s="184">
        <f t="shared" ref="R68:R74" si="51">IFERROR(Q68/P68,"")</f>
        <v>77.353567838835687</v>
      </c>
      <c r="S68" s="181">
        <f t="shared" ref="S68:S74" si="52">RANK(R68, R$67:R$81)</f>
        <v>7</v>
      </c>
      <c r="T68" s="588"/>
      <c r="U68" s="187">
        <v>21</v>
      </c>
      <c r="V68" s="187">
        <v>1625.1449246155498</v>
      </c>
      <c r="W68" s="184">
        <f t="shared" si="49"/>
        <v>77.387853553121417</v>
      </c>
      <c r="X68" s="181">
        <f t="shared" ref="X68:X74" si="53">RANK(W68, W$67:W$81)</f>
        <v>7</v>
      </c>
      <c r="Y68" s="588"/>
      <c r="Z68" s="187">
        <v>21</v>
      </c>
      <c r="AA68" s="187">
        <v>1625.3249246155501</v>
      </c>
      <c r="AB68" s="184">
        <f t="shared" ref="AB68:AB74" si="54">IFERROR(AA68/Z68,"")</f>
        <v>77.39642498169286</v>
      </c>
      <c r="AC68" s="181">
        <f t="shared" ref="AC68:AC74" si="55">RANK(AB68, AB$67:AB$81)</f>
        <v>7</v>
      </c>
      <c r="AD68" s="588"/>
      <c r="AE68" s="187">
        <v>21</v>
      </c>
      <c r="AF68" s="187">
        <v>1625.50492461555</v>
      </c>
      <c r="AG68" s="184">
        <f t="shared" ref="AG68:AG74" si="56">IFERROR(AF68/AE68,"")</f>
        <v>77.404996410264289</v>
      </c>
      <c r="AH68" s="181">
        <f t="shared" ref="AH68:AH74" si="57">RANK(AG68, AG$67:AG$81)</f>
        <v>7</v>
      </c>
      <c r="AI68" s="588"/>
      <c r="AJ68" s="187">
        <v>21</v>
      </c>
      <c r="AK68" s="187">
        <v>1625.5049246155502</v>
      </c>
      <c r="AL68" s="184">
        <f t="shared" ref="AL68:AL74" si="58">IFERROR(AK68/AJ68,"")</f>
        <v>77.404996410264289</v>
      </c>
      <c r="AM68" s="181">
        <f t="shared" ref="AM68:AM74" si="59">RANK(AL68, AL$67:AL$81)</f>
        <v>7</v>
      </c>
      <c r="AN68" s="588"/>
      <c r="AO68" s="187">
        <v>21</v>
      </c>
      <c r="AP68" s="187">
        <v>1626.0449246155501</v>
      </c>
      <c r="AQ68" s="184">
        <f t="shared" ref="AQ68:AQ74" si="60">IFERROR(AP68/AO68,"")</f>
        <v>77.430710695978576</v>
      </c>
      <c r="AR68" s="181" t="e">
        <f t="shared" ref="AR68:AR74" si="61">RANK(AQ68, AQ$7:AQ$21)</f>
        <v>#N/A</v>
      </c>
      <c r="AS68" s="588"/>
      <c r="AT68" s="187">
        <v>21</v>
      </c>
      <c r="AU68" s="187">
        <v>1626.5849246155501</v>
      </c>
      <c r="AV68" s="184">
        <f t="shared" ref="AV68:AV74" si="62">IFERROR(AU68/AT68,"")</f>
        <v>77.456424981692862</v>
      </c>
      <c r="AW68" s="181" t="e">
        <f t="shared" ref="AW68:AW74" si="63">RANK(AV68, AV$7:AV$21)</f>
        <v>#N/A</v>
      </c>
      <c r="AX68" s="588"/>
    </row>
    <row r="69" spans="2:50" ht="14.25" customHeight="1">
      <c r="B69" s="586"/>
      <c r="C69" s="179">
        <v>3</v>
      </c>
      <c r="D69" s="182" t="s">
        <v>320</v>
      </c>
      <c r="E69" s="179">
        <v>23</v>
      </c>
      <c r="F69" s="179">
        <v>2000</v>
      </c>
      <c r="G69" s="184">
        <f t="shared" si="48"/>
        <v>86.956521739130437</v>
      </c>
      <c r="H69" s="588"/>
      <c r="I69" s="185">
        <f t="shared" si="50"/>
        <v>23</v>
      </c>
      <c r="J69" s="185">
        <f t="shared" si="50"/>
        <v>1802.0602275845038</v>
      </c>
      <c r="K69" s="186">
        <f t="shared" si="50"/>
        <v>78.35044467758712</v>
      </c>
      <c r="L69" s="589"/>
      <c r="M69" s="185">
        <f>RANK(K69, K$67:$K$81)</f>
        <v>6</v>
      </c>
      <c r="N69" s="586"/>
      <c r="O69" s="586"/>
      <c r="P69" s="187">
        <v>23</v>
      </c>
      <c r="Q69" s="187">
        <v>1800.8303582792189</v>
      </c>
      <c r="R69" s="184">
        <f t="shared" si="51"/>
        <v>78.296972099096479</v>
      </c>
      <c r="S69" s="181">
        <f t="shared" si="52"/>
        <v>6</v>
      </c>
      <c r="T69" s="588"/>
      <c r="U69" s="187">
        <v>23</v>
      </c>
      <c r="V69" s="187">
        <v>1801.4303582792188</v>
      </c>
      <c r="W69" s="184">
        <f t="shared" si="49"/>
        <v>78.323059055618202</v>
      </c>
      <c r="X69" s="181">
        <f t="shared" si="53"/>
        <v>6</v>
      </c>
      <c r="Y69" s="588"/>
      <c r="Z69" s="187">
        <v>23</v>
      </c>
      <c r="AA69" s="187">
        <v>1800.6303582792186</v>
      </c>
      <c r="AB69" s="184">
        <f t="shared" si="54"/>
        <v>78.288276446922552</v>
      </c>
      <c r="AC69" s="181">
        <f t="shared" si="55"/>
        <v>6</v>
      </c>
      <c r="AD69" s="588"/>
      <c r="AE69" s="187">
        <v>23</v>
      </c>
      <c r="AF69" s="187">
        <v>1800.2303582792188</v>
      </c>
      <c r="AG69" s="184">
        <f t="shared" si="56"/>
        <v>78.270885142574727</v>
      </c>
      <c r="AH69" s="181">
        <f t="shared" si="57"/>
        <v>6</v>
      </c>
      <c r="AI69" s="588"/>
      <c r="AJ69" s="187">
        <v>23</v>
      </c>
      <c r="AK69" s="187">
        <v>1803.3667199915506</v>
      </c>
      <c r="AL69" s="184">
        <f t="shared" si="58"/>
        <v>78.407248695284807</v>
      </c>
      <c r="AM69" s="181">
        <f t="shared" si="59"/>
        <v>6</v>
      </c>
      <c r="AN69" s="588"/>
      <c r="AO69" s="187">
        <v>23</v>
      </c>
      <c r="AP69" s="187">
        <v>1804.1667199915503</v>
      </c>
      <c r="AQ69" s="184">
        <f t="shared" si="60"/>
        <v>78.442031303980443</v>
      </c>
      <c r="AR69" s="181" t="e">
        <f t="shared" si="61"/>
        <v>#N/A</v>
      </c>
      <c r="AS69" s="588"/>
      <c r="AT69" s="187">
        <v>23</v>
      </c>
      <c r="AU69" s="187">
        <v>1803.7667199915504</v>
      </c>
      <c r="AV69" s="184">
        <f t="shared" si="62"/>
        <v>78.424639999632632</v>
      </c>
      <c r="AW69" s="181" t="e">
        <f t="shared" si="63"/>
        <v>#N/A</v>
      </c>
      <c r="AX69" s="588"/>
    </row>
    <row r="70" spans="2:50" ht="14.25" customHeight="1">
      <c r="B70" s="586"/>
      <c r="C70" s="179">
        <v>4</v>
      </c>
      <c r="D70" s="182" t="s">
        <v>328</v>
      </c>
      <c r="E70" s="179">
        <v>23</v>
      </c>
      <c r="F70" s="179">
        <v>2000</v>
      </c>
      <c r="G70" s="184">
        <f t="shared" si="48"/>
        <v>86.956521739130437</v>
      </c>
      <c r="H70" s="588"/>
      <c r="I70" s="185">
        <f t="shared" si="50"/>
        <v>23</v>
      </c>
      <c r="J70" s="185">
        <f t="shared" si="50"/>
        <v>1806.9103043730108</v>
      </c>
      <c r="K70" s="186">
        <f t="shared" si="50"/>
        <v>78.561317581435247</v>
      </c>
      <c r="L70" s="589"/>
      <c r="M70" s="185">
        <f>RANK(K70, K$67:$K$81)</f>
        <v>5</v>
      </c>
      <c r="N70" s="586"/>
      <c r="O70" s="586"/>
      <c r="P70" s="187">
        <v>23</v>
      </c>
      <c r="Q70" s="187">
        <v>1807.079109448186</v>
      </c>
      <c r="R70" s="184">
        <f t="shared" si="51"/>
        <v>78.568656932529834</v>
      </c>
      <c r="S70" s="181">
        <f t="shared" si="52"/>
        <v>5</v>
      </c>
      <c r="T70" s="588"/>
      <c r="U70" s="187">
        <v>23</v>
      </c>
      <c r="V70" s="187">
        <v>1807.879109448186</v>
      </c>
      <c r="W70" s="184">
        <f t="shared" si="49"/>
        <v>78.603439541225484</v>
      </c>
      <c r="X70" s="181">
        <f t="shared" si="53"/>
        <v>5</v>
      </c>
      <c r="Y70" s="588"/>
      <c r="Z70" s="187">
        <v>23</v>
      </c>
      <c r="AA70" s="187">
        <v>1807.0791094481863</v>
      </c>
      <c r="AB70" s="184">
        <f t="shared" si="54"/>
        <v>78.568656932529834</v>
      </c>
      <c r="AC70" s="181">
        <f t="shared" si="55"/>
        <v>5</v>
      </c>
      <c r="AD70" s="588"/>
      <c r="AE70" s="187">
        <v>23</v>
      </c>
      <c r="AF70" s="187">
        <v>1807.4791094481861</v>
      </c>
      <c r="AG70" s="184">
        <f t="shared" si="56"/>
        <v>78.586048236877659</v>
      </c>
      <c r="AH70" s="181">
        <f t="shared" si="57"/>
        <v>5</v>
      </c>
      <c r="AI70" s="588"/>
      <c r="AJ70" s="187">
        <v>23</v>
      </c>
      <c r="AK70" s="187">
        <v>1806.6185642727769</v>
      </c>
      <c r="AL70" s="184">
        <f t="shared" si="58"/>
        <v>78.548633229251166</v>
      </c>
      <c r="AM70" s="181">
        <f t="shared" si="59"/>
        <v>5</v>
      </c>
      <c r="AN70" s="588"/>
      <c r="AO70" s="187">
        <v>23</v>
      </c>
      <c r="AP70" s="187">
        <v>1806.4185642727768</v>
      </c>
      <c r="AQ70" s="184">
        <f t="shared" si="60"/>
        <v>78.539937577077254</v>
      </c>
      <c r="AR70" s="181" t="e">
        <f t="shared" si="61"/>
        <v>#N/A</v>
      </c>
      <c r="AS70" s="588"/>
      <c r="AT70" s="187">
        <v>23</v>
      </c>
      <c r="AU70" s="187">
        <v>1805.8185642727769</v>
      </c>
      <c r="AV70" s="184">
        <f t="shared" si="62"/>
        <v>78.513850620555516</v>
      </c>
      <c r="AW70" s="181" t="e">
        <f t="shared" si="63"/>
        <v>#N/A</v>
      </c>
      <c r="AX70" s="588"/>
    </row>
    <row r="71" spans="2:50" ht="14.25" customHeight="1">
      <c r="B71" s="586"/>
      <c r="C71" s="179">
        <v>5</v>
      </c>
      <c r="D71" s="182" t="s">
        <v>322</v>
      </c>
      <c r="E71" s="179">
        <v>23</v>
      </c>
      <c r="F71" s="179">
        <v>2000</v>
      </c>
      <c r="G71" s="184">
        <f t="shared" si="48"/>
        <v>86.956521739130437</v>
      </c>
      <c r="H71" s="588"/>
      <c r="I71" s="185">
        <f t="shared" si="50"/>
        <v>23</v>
      </c>
      <c r="J71" s="185">
        <f t="shared" si="50"/>
        <v>1808.1300691840238</v>
      </c>
      <c r="K71" s="186">
        <f t="shared" si="50"/>
        <v>78.614350834087972</v>
      </c>
      <c r="L71" s="589"/>
      <c r="M71" s="185">
        <f>RANK(K71, K$67:$K$81)</f>
        <v>4</v>
      </c>
      <c r="N71" s="586"/>
      <c r="O71" s="586"/>
      <c r="P71" s="187">
        <v>23</v>
      </c>
      <c r="Q71" s="187">
        <v>1809.2014667902749</v>
      </c>
      <c r="R71" s="184">
        <f t="shared" si="51"/>
        <v>78.660933338707608</v>
      </c>
      <c r="S71" s="181">
        <f t="shared" si="52"/>
        <v>4</v>
      </c>
      <c r="T71" s="588"/>
      <c r="U71" s="187">
        <v>23</v>
      </c>
      <c r="V71" s="187">
        <v>1809.2014667902749</v>
      </c>
      <c r="W71" s="184">
        <f t="shared" si="49"/>
        <v>78.660933338707608</v>
      </c>
      <c r="X71" s="181">
        <f t="shared" si="53"/>
        <v>4</v>
      </c>
      <c r="Y71" s="588"/>
      <c r="Z71" s="187">
        <v>23</v>
      </c>
      <c r="AA71" s="187">
        <v>1809.0014667902751</v>
      </c>
      <c r="AB71" s="184">
        <f t="shared" si="54"/>
        <v>78.652237686533695</v>
      </c>
      <c r="AC71" s="181">
        <f t="shared" si="55"/>
        <v>4</v>
      </c>
      <c r="AD71" s="588"/>
      <c r="AE71" s="187">
        <v>23</v>
      </c>
      <c r="AF71" s="187">
        <v>1808.4014667902748</v>
      </c>
      <c r="AG71" s="184">
        <f t="shared" si="56"/>
        <v>78.626150730011943</v>
      </c>
      <c r="AH71" s="181">
        <f t="shared" si="57"/>
        <v>4</v>
      </c>
      <c r="AI71" s="588"/>
      <c r="AJ71" s="187">
        <v>23</v>
      </c>
      <c r="AK71" s="187">
        <v>1806.9015390423549</v>
      </c>
      <c r="AL71" s="184">
        <f t="shared" si="58"/>
        <v>78.560936480102384</v>
      </c>
      <c r="AM71" s="181">
        <f t="shared" si="59"/>
        <v>4</v>
      </c>
      <c r="AN71" s="588"/>
      <c r="AO71" s="187">
        <v>23</v>
      </c>
      <c r="AP71" s="187">
        <v>1806.9015390423551</v>
      </c>
      <c r="AQ71" s="184">
        <f t="shared" si="60"/>
        <v>78.560936480102399</v>
      </c>
      <c r="AR71" s="181" t="e">
        <f t="shared" si="61"/>
        <v>#N/A</v>
      </c>
      <c r="AS71" s="588"/>
      <c r="AT71" s="187">
        <v>23</v>
      </c>
      <c r="AU71" s="187">
        <v>1807.3015390423548</v>
      </c>
      <c r="AV71" s="184">
        <f t="shared" si="62"/>
        <v>78.578327784450209</v>
      </c>
      <c r="AW71" s="181" t="e">
        <f t="shared" si="63"/>
        <v>#N/A</v>
      </c>
      <c r="AX71" s="588"/>
    </row>
    <row r="72" spans="2:50" ht="14.25" customHeight="1">
      <c r="B72" s="586"/>
      <c r="C72" s="179">
        <v>6</v>
      </c>
      <c r="D72" s="182" t="s">
        <v>443</v>
      </c>
      <c r="E72" s="179">
        <v>20</v>
      </c>
      <c r="F72" s="179">
        <v>2000</v>
      </c>
      <c r="G72" s="184">
        <f t="shared" si="48"/>
        <v>100</v>
      </c>
      <c r="H72" s="588"/>
      <c r="I72" s="185">
        <f t="shared" si="50"/>
        <v>19</v>
      </c>
      <c r="J72" s="185">
        <f t="shared" si="50"/>
        <v>1802.7891975832329</v>
      </c>
      <c r="K72" s="186">
        <f t="shared" si="50"/>
        <v>94.883641978064887</v>
      </c>
      <c r="L72" s="589"/>
      <c r="M72" s="185">
        <f>RANK(K72, K$67:$K$81)</f>
        <v>2</v>
      </c>
      <c r="N72" s="586"/>
      <c r="O72" s="586"/>
      <c r="P72" s="187">
        <v>19</v>
      </c>
      <c r="Q72" s="187">
        <v>1802.2</v>
      </c>
      <c r="R72" s="184">
        <f t="shared" si="51"/>
        <v>94.852631578947367</v>
      </c>
      <c r="S72" s="181">
        <f t="shared" si="52"/>
        <v>2</v>
      </c>
      <c r="T72" s="588"/>
      <c r="U72" s="187">
        <v>19</v>
      </c>
      <c r="V72" s="187">
        <v>1802.8</v>
      </c>
      <c r="W72" s="184">
        <f t="shared" si="49"/>
        <v>94.884210526315783</v>
      </c>
      <c r="X72" s="181">
        <f t="shared" si="53"/>
        <v>2</v>
      </c>
      <c r="Y72" s="588"/>
      <c r="Z72" s="187">
        <v>19</v>
      </c>
      <c r="AA72" s="187">
        <v>1801.4</v>
      </c>
      <c r="AB72" s="184">
        <f t="shared" si="54"/>
        <v>94.810526315789474</v>
      </c>
      <c r="AC72" s="181">
        <f t="shared" si="55"/>
        <v>2</v>
      </c>
      <c r="AD72" s="588"/>
      <c r="AE72" s="187">
        <v>19</v>
      </c>
      <c r="AF72" s="187">
        <v>1801.2000000000003</v>
      </c>
      <c r="AG72" s="184">
        <f t="shared" si="56"/>
        <v>94.800000000000011</v>
      </c>
      <c r="AH72" s="181">
        <f t="shared" si="57"/>
        <v>2</v>
      </c>
      <c r="AI72" s="588"/>
      <c r="AJ72" s="187">
        <v>19</v>
      </c>
      <c r="AK72" s="187">
        <v>1803.9942375358087</v>
      </c>
      <c r="AL72" s="184">
        <f t="shared" si="58"/>
        <v>94.94706513346361</v>
      </c>
      <c r="AM72" s="181">
        <f t="shared" si="59"/>
        <v>2</v>
      </c>
      <c r="AN72" s="588"/>
      <c r="AO72" s="187">
        <v>19</v>
      </c>
      <c r="AP72" s="187">
        <v>1802.5301455468198</v>
      </c>
      <c r="AQ72" s="184">
        <f t="shared" si="60"/>
        <v>94.870007660358937</v>
      </c>
      <c r="AR72" s="181" t="e">
        <f t="shared" si="61"/>
        <v>#N/A</v>
      </c>
      <c r="AS72" s="588"/>
      <c r="AT72" s="187">
        <v>19</v>
      </c>
      <c r="AU72" s="187">
        <v>1805.4</v>
      </c>
      <c r="AV72" s="184">
        <f t="shared" si="62"/>
        <v>95.021052631578954</v>
      </c>
      <c r="AW72" s="181" t="e">
        <f t="shared" si="63"/>
        <v>#N/A</v>
      </c>
      <c r="AX72" s="588"/>
    </row>
    <row r="73" spans="2:50" ht="14.25" customHeight="1">
      <c r="B73" s="586"/>
      <c r="C73" s="179">
        <v>7</v>
      </c>
      <c r="D73" s="182" t="s">
        <v>517</v>
      </c>
      <c r="E73" s="179">
        <v>18</v>
      </c>
      <c r="F73" s="179">
        <v>2000</v>
      </c>
      <c r="G73" s="184">
        <f t="shared" si="48"/>
        <v>111.11111111111111</v>
      </c>
      <c r="H73" s="588"/>
      <c r="I73" s="185">
        <f t="shared" si="50"/>
        <v>17</v>
      </c>
      <c r="J73" s="185">
        <f t="shared" si="50"/>
        <v>1802.842454046664</v>
      </c>
      <c r="K73" s="186">
        <f t="shared" si="50"/>
        <v>106.049556120392</v>
      </c>
      <c r="L73" s="589"/>
      <c r="M73" s="185">
        <f>RANK(K73, K$67:$K$81)</f>
        <v>1</v>
      </c>
      <c r="N73" s="586"/>
      <c r="O73" s="586"/>
      <c r="P73" s="187">
        <v>17</v>
      </c>
      <c r="Q73" s="187">
        <v>1802.6</v>
      </c>
      <c r="R73" s="184">
        <f t="shared" si="51"/>
        <v>106.03529411764706</v>
      </c>
      <c r="S73" s="181">
        <f t="shared" si="52"/>
        <v>1</v>
      </c>
      <c r="T73" s="588"/>
      <c r="U73" s="187">
        <v>17</v>
      </c>
      <c r="V73" s="187">
        <v>1802</v>
      </c>
      <c r="W73" s="184">
        <f t="shared" si="49"/>
        <v>106</v>
      </c>
      <c r="X73" s="181">
        <f t="shared" si="53"/>
        <v>1</v>
      </c>
      <c r="Y73" s="588"/>
      <c r="Z73" s="187">
        <v>17</v>
      </c>
      <c r="AA73" s="187">
        <v>1803</v>
      </c>
      <c r="AB73" s="184">
        <f t="shared" si="54"/>
        <v>106.05882352941177</v>
      </c>
      <c r="AC73" s="181">
        <f t="shared" si="55"/>
        <v>1</v>
      </c>
      <c r="AD73" s="588"/>
      <c r="AE73" s="187">
        <v>17</v>
      </c>
      <c r="AF73" s="187">
        <v>1801.2000000000003</v>
      </c>
      <c r="AG73" s="184">
        <f t="shared" si="56"/>
        <v>105.9529411764706</v>
      </c>
      <c r="AH73" s="181">
        <f t="shared" si="57"/>
        <v>1</v>
      </c>
      <c r="AI73" s="588"/>
      <c r="AJ73" s="187">
        <v>17</v>
      </c>
      <c r="AK73" s="187">
        <v>1803.294241374346</v>
      </c>
      <c r="AL73" s="184">
        <f t="shared" si="58"/>
        <v>106.07613184554977</v>
      </c>
      <c r="AM73" s="181">
        <f t="shared" si="59"/>
        <v>1</v>
      </c>
      <c r="AN73" s="588"/>
      <c r="AO73" s="187">
        <v>17</v>
      </c>
      <c r="AP73" s="187">
        <v>1802.8029369523006</v>
      </c>
      <c r="AQ73" s="184">
        <f t="shared" si="60"/>
        <v>106.04723158542944</v>
      </c>
      <c r="AR73" s="181" t="e">
        <f t="shared" si="61"/>
        <v>#N/A</v>
      </c>
      <c r="AS73" s="588"/>
      <c r="AT73" s="187">
        <v>17</v>
      </c>
      <c r="AU73" s="187">
        <v>1805.0000000000002</v>
      </c>
      <c r="AV73" s="184">
        <f t="shared" si="62"/>
        <v>106.1764705882353</v>
      </c>
      <c r="AW73" s="181" t="e">
        <f t="shared" si="63"/>
        <v>#N/A</v>
      </c>
      <c r="AX73" s="588"/>
    </row>
    <row r="74" spans="2:50" ht="14.25" customHeight="1">
      <c r="B74" s="586"/>
      <c r="C74" s="179">
        <v>8</v>
      </c>
      <c r="D74" s="182" t="s">
        <v>552</v>
      </c>
      <c r="E74" s="179">
        <v>21</v>
      </c>
      <c r="F74" s="179">
        <v>2000</v>
      </c>
      <c r="G74" s="184">
        <f t="shared" si="48"/>
        <v>95.238095238095241</v>
      </c>
      <c r="H74" s="588"/>
      <c r="I74" s="185">
        <f t="shared" si="50"/>
        <v>20</v>
      </c>
      <c r="J74" s="185">
        <f t="shared" si="50"/>
        <v>1803.2870038483613</v>
      </c>
      <c r="K74" s="186">
        <f t="shared" si="50"/>
        <v>90.164350192418055</v>
      </c>
      <c r="L74" s="589"/>
      <c r="M74" s="185">
        <f>RANK(K74, K$67:$K$81)</f>
        <v>3</v>
      </c>
      <c r="N74" s="586"/>
      <c r="O74" s="586"/>
      <c r="P74" s="187">
        <v>20</v>
      </c>
      <c r="Q74" s="187">
        <v>1801.4000000000003</v>
      </c>
      <c r="R74" s="184">
        <f t="shared" si="51"/>
        <v>90.070000000000022</v>
      </c>
      <c r="S74" s="181">
        <f t="shared" si="52"/>
        <v>3</v>
      </c>
      <c r="T74" s="588"/>
      <c r="U74" s="187">
        <v>20</v>
      </c>
      <c r="V74" s="187">
        <v>1802.6</v>
      </c>
      <c r="W74" s="184">
        <f t="shared" si="49"/>
        <v>90.13</v>
      </c>
      <c r="X74" s="181">
        <f t="shared" si="53"/>
        <v>3</v>
      </c>
      <c r="Y74" s="588"/>
      <c r="Z74" s="187">
        <v>20</v>
      </c>
      <c r="AA74" s="187">
        <v>1802.8</v>
      </c>
      <c r="AB74" s="184">
        <f t="shared" si="54"/>
        <v>90.14</v>
      </c>
      <c r="AC74" s="181">
        <f t="shared" si="55"/>
        <v>3</v>
      </c>
      <c r="AD74" s="588"/>
      <c r="AE74" s="187">
        <v>20</v>
      </c>
      <c r="AF74" s="187">
        <v>1802</v>
      </c>
      <c r="AG74" s="184">
        <f t="shared" si="56"/>
        <v>90.1</v>
      </c>
      <c r="AH74" s="181">
        <f t="shared" si="57"/>
        <v>3</v>
      </c>
      <c r="AI74" s="588"/>
      <c r="AJ74" s="187">
        <v>20</v>
      </c>
      <c r="AK74" s="187">
        <v>1804.9271727090913</v>
      </c>
      <c r="AL74" s="184">
        <f t="shared" si="58"/>
        <v>90.24635863545457</v>
      </c>
      <c r="AM74" s="181">
        <f t="shared" si="59"/>
        <v>3</v>
      </c>
      <c r="AN74" s="588"/>
      <c r="AO74" s="187">
        <v>20</v>
      </c>
      <c r="AP74" s="187">
        <v>1803.6818542294363</v>
      </c>
      <c r="AQ74" s="184">
        <f t="shared" si="60"/>
        <v>90.18409271147182</v>
      </c>
      <c r="AR74" s="181" t="e">
        <f t="shared" si="61"/>
        <v>#N/A</v>
      </c>
      <c r="AS74" s="588"/>
      <c r="AT74" s="187">
        <v>20</v>
      </c>
      <c r="AU74" s="187">
        <v>1805.6000000000001</v>
      </c>
      <c r="AV74" s="184">
        <f t="shared" si="62"/>
        <v>90.28</v>
      </c>
      <c r="AW74" s="181" t="e">
        <f t="shared" si="63"/>
        <v>#N/A</v>
      </c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327</v>
      </c>
      <c r="C87" s="179">
        <v>1</v>
      </c>
      <c r="D87" s="182" t="s">
        <v>321</v>
      </c>
      <c r="E87" s="183">
        <v>24</v>
      </c>
      <c r="F87" s="179">
        <v>2000</v>
      </c>
      <c r="G87" s="184">
        <f t="shared" ref="G87:G94" si="64">IFERROR(F87/E87,"")</f>
        <v>83.333333333333329</v>
      </c>
      <c r="H87" s="588">
        <f>AVERAGE(G87:G101)</f>
        <v>92.03329882677707</v>
      </c>
      <c r="I87" s="185">
        <f>AVERAGE(P87,U87,Z87,AE87,AJ87,AO87,AT87)</f>
        <v>24</v>
      </c>
      <c r="J87" s="185">
        <f>AVERAGE(Q87,V87,AA87,AF87,AK87,AP87,AU87)</f>
        <v>1805.9262505162662</v>
      </c>
      <c r="K87" s="186">
        <f>AVERAGE(R87,W87,AB87,AG87,AL87,AQ87,AV87)</f>
        <v>75.246927104844431</v>
      </c>
      <c r="L87" s="589">
        <f>IFERROR(AVERAGE(K87:K101),"-")</f>
        <v>84.953502597504084</v>
      </c>
      <c r="M87" s="185">
        <f>RANK(K87, K$87:$K$101)</f>
        <v>8</v>
      </c>
      <c r="N87" s="586"/>
      <c r="O87" s="586"/>
      <c r="P87" s="187">
        <v>24</v>
      </c>
      <c r="Q87" s="187">
        <v>1806.3548219448378</v>
      </c>
      <c r="R87" s="184">
        <f>IFERROR(Q87/P87,"")</f>
        <v>75.26478424770157</v>
      </c>
      <c r="S87" s="181">
        <f>RANK(R87, R$87:R$101)</f>
        <v>8</v>
      </c>
      <c r="T87" s="588">
        <f>AVERAGE(R87:R101)</f>
        <v>84.949606419467642</v>
      </c>
      <c r="U87" s="187">
        <v>24</v>
      </c>
      <c r="V87" s="187">
        <v>1805.7548219448377</v>
      </c>
      <c r="W87" s="184">
        <f t="shared" ref="W87:W94" si="65">IFERROR(V87/U87,"")</f>
        <v>75.239784247701564</v>
      </c>
      <c r="X87" s="181">
        <f>RANK(W87, W$87:W$101)</f>
        <v>8</v>
      </c>
      <c r="Y87" s="588">
        <f>AVERAGE(W87:W101)</f>
        <v>84.951373252631114</v>
      </c>
      <c r="Z87" s="187">
        <v>24</v>
      </c>
      <c r="AA87" s="187">
        <v>1805.3548219448376</v>
      </c>
      <c r="AB87" s="184">
        <f>IFERROR(AA87/Z87,"")</f>
        <v>75.223117581034899</v>
      </c>
      <c r="AC87" s="181">
        <f>RANK(AB87, AB$87:AB$101)</f>
        <v>8</v>
      </c>
      <c r="AD87" s="588">
        <f>AVERAGE(AB87:AB101)</f>
        <v>84.978678055559158</v>
      </c>
      <c r="AE87" s="187">
        <v>24</v>
      </c>
      <c r="AF87" s="187">
        <v>1805.3548219448376</v>
      </c>
      <c r="AG87" s="184">
        <f>IFERROR(AF87/AE87,"")</f>
        <v>75.223117581034899</v>
      </c>
      <c r="AH87" s="181">
        <f>RANK(AG87, AG$87:AG$101)</f>
        <v>8</v>
      </c>
      <c r="AI87" s="588">
        <f>AVERAGE(AG87:AG101)</f>
        <v>84.956117313871175</v>
      </c>
      <c r="AJ87" s="187">
        <v>24</v>
      </c>
      <c r="AK87" s="187">
        <v>1805.7548219448379</v>
      </c>
      <c r="AL87" s="184">
        <f>IFERROR(AK87/AJ87,"")</f>
        <v>75.239784247701579</v>
      </c>
      <c r="AM87" s="181">
        <f>RANK(AL87, AL$87:AL$101)</f>
        <v>8</v>
      </c>
      <c r="AN87" s="588">
        <f>AVERAGE(AL87:AL101)</f>
        <v>84.938312347491035</v>
      </c>
      <c r="AO87" s="187">
        <v>24</v>
      </c>
      <c r="AP87" s="187">
        <v>1805.9548219448379</v>
      </c>
      <c r="AQ87" s="184">
        <f>IFERROR(AP87/AO87,"")</f>
        <v>75.248117581034919</v>
      </c>
      <c r="AR87" s="181">
        <f>RANK(AQ87, AQ$87:AQ$101)</f>
        <v>8</v>
      </c>
      <c r="AS87" s="588">
        <f>AVERAGE(AQ87:AQ101)</f>
        <v>84.940973007292712</v>
      </c>
      <c r="AT87" s="187">
        <v>24</v>
      </c>
      <c r="AU87" s="187">
        <v>1806.9548219448382</v>
      </c>
      <c r="AV87" s="184">
        <f>IFERROR(AU87/AT87,"")</f>
        <v>75.28978424770159</v>
      </c>
      <c r="AW87" s="181">
        <f>RANK(AV87, AV$87:AV$101)</f>
        <v>8</v>
      </c>
      <c r="AX87" s="588">
        <f>AVERAGE(AV87:AV101)</f>
        <v>84.959457786215737</v>
      </c>
    </row>
    <row r="88" spans="2:50" ht="14.25" customHeight="1">
      <c r="B88" s="586"/>
      <c r="C88" s="179">
        <v>2</v>
      </c>
      <c r="D88" s="182" t="s">
        <v>577</v>
      </c>
      <c r="E88" s="179">
        <v>21</v>
      </c>
      <c r="F88" s="179">
        <v>1800</v>
      </c>
      <c r="G88" s="184">
        <f t="shared" si="64"/>
        <v>85.714285714285708</v>
      </c>
      <c r="H88" s="588"/>
      <c r="I88" s="185">
        <f t="shared" ref="I88:K94" si="66">AVERAGE(P88,U88,Z88,AE88,AJ88,AO88,AT88)</f>
        <v>21</v>
      </c>
      <c r="J88" s="185">
        <f t="shared" si="66"/>
        <v>1626.1477817584075</v>
      </c>
      <c r="K88" s="186">
        <f t="shared" si="66"/>
        <v>77.43560865516227</v>
      </c>
      <c r="L88" s="589"/>
      <c r="M88" s="185">
        <f>RANK(K88, K$87:$K$101)</f>
        <v>7</v>
      </c>
      <c r="N88" s="586"/>
      <c r="O88" s="586"/>
      <c r="P88" s="187">
        <v>21</v>
      </c>
      <c r="Q88" s="187">
        <v>1625.8649246155501</v>
      </c>
      <c r="R88" s="184">
        <f t="shared" ref="R88:R94" si="67">IFERROR(Q88/P88,"")</f>
        <v>77.422139267407147</v>
      </c>
      <c r="S88" s="181">
        <f t="shared" ref="S88:S94" si="68">RANK(R88, R$87:R$101)</f>
        <v>7</v>
      </c>
      <c r="T88" s="588"/>
      <c r="U88" s="187">
        <v>21</v>
      </c>
      <c r="V88" s="187">
        <v>1625.1449246155505</v>
      </c>
      <c r="W88" s="184">
        <f t="shared" si="65"/>
        <v>77.38785355312146</v>
      </c>
      <c r="X88" s="181">
        <f t="shared" ref="X88:X94" si="69">RANK(W88, W$87:W$101)</f>
        <v>7</v>
      </c>
      <c r="Y88" s="588"/>
      <c r="Z88" s="187">
        <v>21</v>
      </c>
      <c r="AA88" s="187">
        <v>1626.0449246155504</v>
      </c>
      <c r="AB88" s="184">
        <f t="shared" ref="AB88:AB94" si="70">IFERROR(AA88/Z88,"")</f>
        <v>77.43071069597859</v>
      </c>
      <c r="AC88" s="181">
        <f t="shared" ref="AC88:AC94" si="71">RANK(AB88, AB$87:AB$101)</f>
        <v>7</v>
      </c>
      <c r="AD88" s="588"/>
      <c r="AE88" s="187">
        <v>21</v>
      </c>
      <c r="AF88" s="187">
        <v>1626.0449246155508</v>
      </c>
      <c r="AG88" s="184">
        <f t="shared" ref="AG88:AG94" si="72">IFERROR(AF88/AE88,"")</f>
        <v>77.430710695978604</v>
      </c>
      <c r="AH88" s="181">
        <f t="shared" ref="AH88:AH94" si="73">RANK(AG88, AG$87:AG$101)</f>
        <v>7</v>
      </c>
      <c r="AI88" s="588"/>
      <c r="AJ88" s="187">
        <v>21</v>
      </c>
      <c r="AK88" s="187">
        <v>1626.7649246155504</v>
      </c>
      <c r="AL88" s="184">
        <f t="shared" ref="AL88:AL94" si="74">IFERROR(AK88/AJ88,"")</f>
        <v>77.464996410264305</v>
      </c>
      <c r="AM88" s="181">
        <f t="shared" ref="AM88:AM94" si="75">RANK(AL88, AL$87:AL$101)</f>
        <v>7</v>
      </c>
      <c r="AN88" s="588"/>
      <c r="AO88" s="187">
        <v>21</v>
      </c>
      <c r="AP88" s="187">
        <v>1626.7649246155502</v>
      </c>
      <c r="AQ88" s="184">
        <f t="shared" ref="AQ88:AQ94" si="76">IFERROR(AP88/AO88,"")</f>
        <v>77.464996410264291</v>
      </c>
      <c r="AR88" s="181">
        <f t="shared" ref="AR88:AR94" si="77">RANK(AQ88, AQ$87:AQ$101)</f>
        <v>7</v>
      </c>
      <c r="AS88" s="588"/>
      <c r="AT88" s="187">
        <v>21</v>
      </c>
      <c r="AU88" s="187">
        <v>1626.4049246155503</v>
      </c>
      <c r="AV88" s="184">
        <f t="shared" ref="AV88:AV94" si="78">IFERROR(AU88/AT88,"")</f>
        <v>77.447853553121448</v>
      </c>
      <c r="AW88" s="181">
        <f t="shared" ref="AW88:AW94" si="79">RANK(AV88, AV$87:AV$101)</f>
        <v>7</v>
      </c>
      <c r="AX88" s="588"/>
    </row>
    <row r="89" spans="2:50" ht="14.25" customHeight="1">
      <c r="B89" s="586"/>
      <c r="C89" s="179">
        <v>3</v>
      </c>
      <c r="D89" s="182" t="s">
        <v>320</v>
      </c>
      <c r="E89" s="179">
        <v>23</v>
      </c>
      <c r="F89" s="179">
        <v>2000</v>
      </c>
      <c r="G89" s="184">
        <f t="shared" si="64"/>
        <v>86.956521739130437</v>
      </c>
      <c r="H89" s="588"/>
      <c r="I89" s="185">
        <f t="shared" si="66"/>
        <v>23</v>
      </c>
      <c r="J89" s="185">
        <f t="shared" si="66"/>
        <v>1803.709577134407</v>
      </c>
      <c r="K89" s="186">
        <f t="shared" si="66"/>
        <v>78.422155527582945</v>
      </c>
      <c r="L89" s="589"/>
      <c r="M89" s="185">
        <f>RANK(K89, K$87:$K$101)</f>
        <v>6</v>
      </c>
      <c r="N89" s="586"/>
      <c r="O89" s="586"/>
      <c r="P89" s="187">
        <v>23</v>
      </c>
      <c r="Q89" s="187">
        <v>1802.9667199915507</v>
      </c>
      <c r="R89" s="184">
        <f t="shared" si="67"/>
        <v>78.389857390936982</v>
      </c>
      <c r="S89" s="181">
        <f t="shared" si="68"/>
        <v>6</v>
      </c>
      <c r="T89" s="588"/>
      <c r="U89" s="187">
        <v>23</v>
      </c>
      <c r="V89" s="187">
        <v>1803.5667199915501</v>
      </c>
      <c r="W89" s="184">
        <f t="shared" si="65"/>
        <v>78.415944347458705</v>
      </c>
      <c r="X89" s="181">
        <f t="shared" si="69"/>
        <v>6</v>
      </c>
      <c r="Y89" s="588"/>
      <c r="Z89" s="187">
        <v>23</v>
      </c>
      <c r="AA89" s="187">
        <v>1804.1667199915501</v>
      </c>
      <c r="AB89" s="184">
        <f t="shared" si="70"/>
        <v>78.442031303980443</v>
      </c>
      <c r="AC89" s="181">
        <f t="shared" si="71"/>
        <v>6</v>
      </c>
      <c r="AD89" s="588"/>
      <c r="AE89" s="187">
        <v>23</v>
      </c>
      <c r="AF89" s="187">
        <v>1803.9667199915498</v>
      </c>
      <c r="AG89" s="184">
        <f t="shared" si="72"/>
        <v>78.433335651806516</v>
      </c>
      <c r="AH89" s="181">
        <f t="shared" si="73"/>
        <v>6</v>
      </c>
      <c r="AI89" s="588"/>
      <c r="AJ89" s="187">
        <v>23</v>
      </c>
      <c r="AK89" s="187">
        <v>1802.9667199915498</v>
      </c>
      <c r="AL89" s="184">
        <f t="shared" si="74"/>
        <v>78.389857390936953</v>
      </c>
      <c r="AM89" s="181">
        <f t="shared" si="75"/>
        <v>6</v>
      </c>
      <c r="AN89" s="588"/>
      <c r="AO89" s="187">
        <v>23</v>
      </c>
      <c r="AP89" s="187">
        <v>1803.7667199915497</v>
      </c>
      <c r="AQ89" s="184">
        <f t="shared" si="76"/>
        <v>78.424639999632603</v>
      </c>
      <c r="AR89" s="181">
        <f t="shared" si="77"/>
        <v>6</v>
      </c>
      <c r="AS89" s="588"/>
      <c r="AT89" s="187">
        <v>23</v>
      </c>
      <c r="AU89" s="187">
        <v>1804.5667199915501</v>
      </c>
      <c r="AV89" s="184">
        <f t="shared" si="78"/>
        <v>78.459422608328268</v>
      </c>
      <c r="AW89" s="181">
        <f t="shared" si="79"/>
        <v>5</v>
      </c>
      <c r="AX89" s="588"/>
    </row>
    <row r="90" spans="2:50" ht="14.25" customHeight="1">
      <c r="B90" s="586"/>
      <c r="C90" s="179">
        <v>4</v>
      </c>
      <c r="D90" s="182" t="s">
        <v>328</v>
      </c>
      <c r="E90" s="179">
        <v>23</v>
      </c>
      <c r="F90" s="179">
        <v>2000</v>
      </c>
      <c r="G90" s="184">
        <f t="shared" si="64"/>
        <v>86.956521739130437</v>
      </c>
      <c r="H90" s="588"/>
      <c r="I90" s="185">
        <f t="shared" si="66"/>
        <v>23</v>
      </c>
      <c r="J90" s="185">
        <f t="shared" si="66"/>
        <v>1805.1614214156341</v>
      </c>
      <c r="K90" s="186">
        <f t="shared" si="66"/>
        <v>78.485279191984091</v>
      </c>
      <c r="L90" s="589"/>
      <c r="M90" s="185">
        <f>RANK(K90, K$87:$K$101)</f>
        <v>5</v>
      </c>
      <c r="N90" s="586"/>
      <c r="O90" s="586"/>
      <c r="P90" s="187">
        <v>23</v>
      </c>
      <c r="Q90" s="187">
        <v>1805.4185642727768</v>
      </c>
      <c r="R90" s="184">
        <f t="shared" si="67"/>
        <v>78.496459316207691</v>
      </c>
      <c r="S90" s="181">
        <f t="shared" si="68"/>
        <v>5</v>
      </c>
      <c r="T90" s="588"/>
      <c r="U90" s="187">
        <v>23</v>
      </c>
      <c r="V90" s="187">
        <v>1805.8185642727769</v>
      </c>
      <c r="W90" s="184">
        <f t="shared" si="65"/>
        <v>78.513850620555516</v>
      </c>
      <c r="X90" s="181">
        <f t="shared" si="69"/>
        <v>5</v>
      </c>
      <c r="Y90" s="588"/>
      <c r="Z90" s="187">
        <v>23</v>
      </c>
      <c r="AA90" s="187">
        <v>1806.0185642727768</v>
      </c>
      <c r="AB90" s="184">
        <f t="shared" si="70"/>
        <v>78.522546272729429</v>
      </c>
      <c r="AC90" s="181">
        <f t="shared" si="71"/>
        <v>4</v>
      </c>
      <c r="AD90" s="588"/>
      <c r="AE90" s="187">
        <v>23</v>
      </c>
      <c r="AF90" s="187">
        <v>1805.2185642727768</v>
      </c>
      <c r="AG90" s="184">
        <f t="shared" si="72"/>
        <v>78.487763664033778</v>
      </c>
      <c r="AH90" s="181">
        <f t="shared" si="73"/>
        <v>4</v>
      </c>
      <c r="AI90" s="588"/>
      <c r="AJ90" s="187">
        <v>23</v>
      </c>
      <c r="AK90" s="187">
        <v>1804.218564272777</v>
      </c>
      <c r="AL90" s="184">
        <f t="shared" si="74"/>
        <v>78.444285403164216</v>
      </c>
      <c r="AM90" s="181">
        <f t="shared" si="75"/>
        <v>5</v>
      </c>
      <c r="AN90" s="588"/>
      <c r="AO90" s="187">
        <v>23</v>
      </c>
      <c r="AP90" s="187">
        <v>1805.018564272777</v>
      </c>
      <c r="AQ90" s="184">
        <f t="shared" si="76"/>
        <v>78.479068011859866</v>
      </c>
      <c r="AR90" s="181">
        <f t="shared" si="77"/>
        <v>4</v>
      </c>
      <c r="AS90" s="588"/>
      <c r="AT90" s="187">
        <v>23</v>
      </c>
      <c r="AU90" s="187">
        <v>1804.4185642727773</v>
      </c>
      <c r="AV90" s="184">
        <f t="shared" si="78"/>
        <v>78.452981055338142</v>
      </c>
      <c r="AW90" s="181">
        <f t="shared" si="79"/>
        <v>6</v>
      </c>
      <c r="AX90" s="588"/>
    </row>
    <row r="91" spans="2:50" ht="14.25" customHeight="1">
      <c r="B91" s="586"/>
      <c r="C91" s="179">
        <v>5</v>
      </c>
      <c r="D91" s="182" t="s">
        <v>322</v>
      </c>
      <c r="E91" s="179">
        <v>23</v>
      </c>
      <c r="F91" s="179">
        <v>2000</v>
      </c>
      <c r="G91" s="184">
        <f t="shared" si="64"/>
        <v>86.956521739130437</v>
      </c>
      <c r="H91" s="588"/>
      <c r="I91" s="185">
        <f t="shared" si="66"/>
        <v>23</v>
      </c>
      <c r="J91" s="185">
        <f t="shared" si="66"/>
        <v>1805.2729676137842</v>
      </c>
      <c r="K91" s="186">
        <f t="shared" si="66"/>
        <v>78.490129026686276</v>
      </c>
      <c r="L91" s="589"/>
      <c r="M91" s="185">
        <f>RANK(K91, K$87:$K$101)</f>
        <v>4</v>
      </c>
      <c r="N91" s="586"/>
      <c r="O91" s="586"/>
      <c r="P91" s="187">
        <v>23</v>
      </c>
      <c r="Q91" s="187">
        <v>1806.3015390423552</v>
      </c>
      <c r="R91" s="184">
        <f t="shared" si="67"/>
        <v>78.534849523580661</v>
      </c>
      <c r="S91" s="181">
        <f t="shared" si="68"/>
        <v>4</v>
      </c>
      <c r="T91" s="588"/>
      <c r="U91" s="187">
        <v>23</v>
      </c>
      <c r="V91" s="187">
        <v>1806.1015390423554</v>
      </c>
      <c r="W91" s="184">
        <f t="shared" si="65"/>
        <v>78.526153871406763</v>
      </c>
      <c r="X91" s="181">
        <f t="shared" si="69"/>
        <v>4</v>
      </c>
      <c r="Y91" s="588"/>
      <c r="Z91" s="187">
        <v>23</v>
      </c>
      <c r="AA91" s="187">
        <v>1805.9015390423556</v>
      </c>
      <c r="AB91" s="184">
        <f t="shared" si="70"/>
        <v>78.51745821923285</v>
      </c>
      <c r="AC91" s="181">
        <f t="shared" si="71"/>
        <v>5</v>
      </c>
      <c r="AD91" s="588"/>
      <c r="AE91" s="187">
        <v>23</v>
      </c>
      <c r="AF91" s="187">
        <v>1804.9015390423556</v>
      </c>
      <c r="AG91" s="184">
        <f t="shared" si="72"/>
        <v>78.473979958363287</v>
      </c>
      <c r="AH91" s="181">
        <f t="shared" si="73"/>
        <v>5</v>
      </c>
      <c r="AI91" s="588"/>
      <c r="AJ91" s="187">
        <v>23</v>
      </c>
      <c r="AK91" s="187">
        <v>1804.7015390423558</v>
      </c>
      <c r="AL91" s="184">
        <f t="shared" si="74"/>
        <v>78.465284306189375</v>
      </c>
      <c r="AM91" s="181">
        <f t="shared" si="75"/>
        <v>4</v>
      </c>
      <c r="AN91" s="588"/>
      <c r="AO91" s="187">
        <v>23</v>
      </c>
      <c r="AP91" s="187">
        <v>1804.1015390423556</v>
      </c>
      <c r="AQ91" s="184">
        <f t="shared" si="76"/>
        <v>78.439197349667637</v>
      </c>
      <c r="AR91" s="181">
        <f t="shared" si="77"/>
        <v>5</v>
      </c>
      <c r="AS91" s="588"/>
      <c r="AT91" s="187">
        <v>23</v>
      </c>
      <c r="AU91" s="187">
        <v>1804.9015390423556</v>
      </c>
      <c r="AV91" s="184">
        <f t="shared" si="78"/>
        <v>78.473979958363287</v>
      </c>
      <c r="AW91" s="181">
        <f t="shared" si="79"/>
        <v>4</v>
      </c>
      <c r="AX91" s="588"/>
    </row>
    <row r="92" spans="2:50" ht="14.25" customHeight="1">
      <c r="B92" s="586"/>
      <c r="C92" s="179">
        <v>6</v>
      </c>
      <c r="D92" s="182" t="s">
        <v>443</v>
      </c>
      <c r="E92" s="179">
        <v>20</v>
      </c>
      <c r="F92" s="179">
        <v>2000</v>
      </c>
      <c r="G92" s="184">
        <f t="shared" si="64"/>
        <v>100</v>
      </c>
      <c r="H92" s="588"/>
      <c r="I92" s="185">
        <f t="shared" si="66"/>
        <v>19</v>
      </c>
      <c r="J92" s="185">
        <f t="shared" si="66"/>
        <v>1805.742857142857</v>
      </c>
      <c r="K92" s="186">
        <f t="shared" si="66"/>
        <v>95.039097744360916</v>
      </c>
      <c r="L92" s="589"/>
      <c r="M92" s="185">
        <f>RANK(K92, K$87:$K$101)</f>
        <v>2</v>
      </c>
      <c r="N92" s="586"/>
      <c r="O92" s="586"/>
      <c r="P92" s="187">
        <v>19</v>
      </c>
      <c r="Q92" s="187">
        <v>1805.2000000000003</v>
      </c>
      <c r="R92" s="184">
        <f t="shared" si="67"/>
        <v>95.010526315789491</v>
      </c>
      <c r="S92" s="181">
        <f t="shared" si="68"/>
        <v>2</v>
      </c>
      <c r="T92" s="588"/>
      <c r="U92" s="187">
        <v>19</v>
      </c>
      <c r="V92" s="187">
        <v>1805.8</v>
      </c>
      <c r="W92" s="184">
        <f t="shared" si="65"/>
        <v>95.042105263157893</v>
      </c>
      <c r="X92" s="181">
        <f t="shared" si="69"/>
        <v>2</v>
      </c>
      <c r="Y92" s="588"/>
      <c r="Z92" s="187">
        <v>19</v>
      </c>
      <c r="AA92" s="187">
        <v>1806.7999999999997</v>
      </c>
      <c r="AB92" s="184">
        <f t="shared" si="70"/>
        <v>95.094736842105249</v>
      </c>
      <c r="AC92" s="181">
        <f t="shared" si="71"/>
        <v>2</v>
      </c>
      <c r="AD92" s="588"/>
      <c r="AE92" s="187">
        <v>19</v>
      </c>
      <c r="AF92" s="187">
        <v>1806.8000000000002</v>
      </c>
      <c r="AG92" s="184">
        <f t="shared" si="72"/>
        <v>95.094736842105277</v>
      </c>
      <c r="AH92" s="181">
        <f t="shared" si="73"/>
        <v>2</v>
      </c>
      <c r="AI92" s="588"/>
      <c r="AJ92" s="187">
        <v>19</v>
      </c>
      <c r="AK92" s="187">
        <v>1805.2</v>
      </c>
      <c r="AL92" s="184">
        <f t="shared" si="74"/>
        <v>95.010526315789477</v>
      </c>
      <c r="AM92" s="181">
        <f t="shared" si="75"/>
        <v>2</v>
      </c>
      <c r="AN92" s="588"/>
      <c r="AO92" s="187">
        <v>19</v>
      </c>
      <c r="AP92" s="187">
        <v>1805.0000000000002</v>
      </c>
      <c r="AQ92" s="184">
        <f t="shared" si="76"/>
        <v>95.000000000000014</v>
      </c>
      <c r="AR92" s="181">
        <f t="shared" si="77"/>
        <v>2</v>
      </c>
      <c r="AS92" s="588"/>
      <c r="AT92" s="187">
        <v>19</v>
      </c>
      <c r="AU92" s="187">
        <v>1805.4</v>
      </c>
      <c r="AV92" s="184">
        <f t="shared" si="78"/>
        <v>95.021052631578954</v>
      </c>
      <c r="AW92" s="181">
        <f t="shared" si="79"/>
        <v>2</v>
      </c>
      <c r="AX92" s="588"/>
    </row>
    <row r="93" spans="2:50" ht="14.25" customHeight="1">
      <c r="B93" s="586"/>
      <c r="C93" s="179">
        <v>7</v>
      </c>
      <c r="D93" s="182" t="s">
        <v>517</v>
      </c>
      <c r="E93" s="179">
        <v>18</v>
      </c>
      <c r="F93" s="179">
        <v>2000</v>
      </c>
      <c r="G93" s="184">
        <f t="shared" si="64"/>
        <v>111.11111111111111</v>
      </c>
      <c r="H93" s="588"/>
      <c r="I93" s="185">
        <f t="shared" si="66"/>
        <v>17</v>
      </c>
      <c r="J93" s="185">
        <f t="shared" si="66"/>
        <v>1805.9142857142858</v>
      </c>
      <c r="K93" s="186">
        <f t="shared" si="66"/>
        <v>106.23025210084033</v>
      </c>
      <c r="L93" s="589"/>
      <c r="M93" s="185">
        <f>RANK(K93, K$87:$K$101)</f>
        <v>1</v>
      </c>
      <c r="N93" s="586"/>
      <c r="O93" s="586"/>
      <c r="P93" s="187">
        <v>17</v>
      </c>
      <c r="Q93" s="187">
        <v>1805.2000000000003</v>
      </c>
      <c r="R93" s="184">
        <f t="shared" si="67"/>
        <v>106.18823529411766</v>
      </c>
      <c r="S93" s="181">
        <f t="shared" si="68"/>
        <v>1</v>
      </c>
      <c r="T93" s="588"/>
      <c r="U93" s="187">
        <v>17</v>
      </c>
      <c r="V93" s="187">
        <v>1806</v>
      </c>
      <c r="W93" s="184">
        <f t="shared" si="65"/>
        <v>106.23529411764706</v>
      </c>
      <c r="X93" s="181">
        <f t="shared" si="69"/>
        <v>1</v>
      </c>
      <c r="Y93" s="588"/>
      <c r="Z93" s="187">
        <v>17</v>
      </c>
      <c r="AA93" s="187">
        <v>1806.4</v>
      </c>
      <c r="AB93" s="184">
        <f t="shared" si="70"/>
        <v>106.25882352941177</v>
      </c>
      <c r="AC93" s="181">
        <f t="shared" si="71"/>
        <v>1</v>
      </c>
      <c r="AD93" s="588"/>
      <c r="AE93" s="187">
        <v>17</v>
      </c>
      <c r="AF93" s="187">
        <v>1806</v>
      </c>
      <c r="AG93" s="184">
        <f t="shared" si="72"/>
        <v>106.23529411764706</v>
      </c>
      <c r="AH93" s="181">
        <f t="shared" si="73"/>
        <v>1</v>
      </c>
      <c r="AI93" s="588"/>
      <c r="AJ93" s="187">
        <v>17</v>
      </c>
      <c r="AK93" s="187">
        <v>1805.6</v>
      </c>
      <c r="AL93" s="184">
        <f t="shared" si="74"/>
        <v>106.21176470588235</v>
      </c>
      <c r="AM93" s="181">
        <f t="shared" si="75"/>
        <v>1</v>
      </c>
      <c r="AN93" s="588"/>
      <c r="AO93" s="187">
        <v>17</v>
      </c>
      <c r="AP93" s="187">
        <v>1805.6</v>
      </c>
      <c r="AQ93" s="184">
        <f t="shared" si="76"/>
        <v>106.21176470588235</v>
      </c>
      <c r="AR93" s="181">
        <f t="shared" si="77"/>
        <v>1</v>
      </c>
      <c r="AS93" s="588"/>
      <c r="AT93" s="187">
        <v>17</v>
      </c>
      <c r="AU93" s="187">
        <v>1806.6</v>
      </c>
      <c r="AV93" s="184">
        <f t="shared" si="78"/>
        <v>106.27058823529411</v>
      </c>
      <c r="AW93" s="181">
        <f t="shared" si="79"/>
        <v>1</v>
      </c>
      <c r="AX93" s="588"/>
    </row>
    <row r="94" spans="2:50" ht="14.25" customHeight="1">
      <c r="B94" s="586"/>
      <c r="C94" s="179">
        <v>8</v>
      </c>
      <c r="D94" s="182" t="s">
        <v>552</v>
      </c>
      <c r="E94" s="179">
        <v>21</v>
      </c>
      <c r="F94" s="179">
        <v>2000</v>
      </c>
      <c r="G94" s="184">
        <f t="shared" si="64"/>
        <v>95.238095238095241</v>
      </c>
      <c r="H94" s="588"/>
      <c r="I94" s="185">
        <f t="shared" si="66"/>
        <v>20</v>
      </c>
      <c r="J94" s="185">
        <f t="shared" si="66"/>
        <v>1805.5714285714289</v>
      </c>
      <c r="K94" s="186">
        <f t="shared" si="66"/>
        <v>90.278571428571425</v>
      </c>
      <c r="L94" s="589"/>
      <c r="M94" s="185">
        <f>RANK(K94, K$87:$K$101)</f>
        <v>3</v>
      </c>
      <c r="N94" s="586"/>
      <c r="O94" s="586"/>
      <c r="P94" s="187">
        <v>20</v>
      </c>
      <c r="Q94" s="187">
        <v>1805.8000000000002</v>
      </c>
      <c r="R94" s="184">
        <f t="shared" si="67"/>
        <v>90.29</v>
      </c>
      <c r="S94" s="181">
        <f t="shared" si="68"/>
        <v>3</v>
      </c>
      <c r="T94" s="588"/>
      <c r="U94" s="187">
        <v>20</v>
      </c>
      <c r="V94" s="187">
        <v>1805.0000000000002</v>
      </c>
      <c r="W94" s="184">
        <f t="shared" si="65"/>
        <v>90.250000000000014</v>
      </c>
      <c r="X94" s="181">
        <f t="shared" si="69"/>
        <v>3</v>
      </c>
      <c r="Y94" s="588"/>
      <c r="Z94" s="187">
        <v>20</v>
      </c>
      <c r="AA94" s="187">
        <v>1806.7999999999997</v>
      </c>
      <c r="AB94" s="184">
        <f t="shared" si="70"/>
        <v>90.339999999999989</v>
      </c>
      <c r="AC94" s="181">
        <f t="shared" si="71"/>
        <v>3</v>
      </c>
      <c r="AD94" s="588"/>
      <c r="AE94" s="187">
        <v>20</v>
      </c>
      <c r="AF94" s="187">
        <v>1805.4</v>
      </c>
      <c r="AG94" s="184">
        <f t="shared" si="72"/>
        <v>90.27000000000001</v>
      </c>
      <c r="AH94" s="181">
        <f t="shared" si="73"/>
        <v>3</v>
      </c>
      <c r="AI94" s="588"/>
      <c r="AJ94" s="187">
        <v>20</v>
      </c>
      <c r="AK94" s="187">
        <v>1805.6</v>
      </c>
      <c r="AL94" s="184">
        <f t="shared" si="74"/>
        <v>90.28</v>
      </c>
      <c r="AM94" s="181">
        <f t="shared" si="75"/>
        <v>3</v>
      </c>
      <c r="AN94" s="588"/>
      <c r="AO94" s="187">
        <v>20</v>
      </c>
      <c r="AP94" s="187">
        <v>1805.2000000000003</v>
      </c>
      <c r="AQ94" s="184">
        <f t="shared" si="76"/>
        <v>90.260000000000019</v>
      </c>
      <c r="AR94" s="181">
        <f t="shared" si="77"/>
        <v>3</v>
      </c>
      <c r="AS94" s="588"/>
      <c r="AT94" s="187">
        <v>20</v>
      </c>
      <c r="AU94" s="187">
        <v>1805.2</v>
      </c>
      <c r="AV94" s="184">
        <f t="shared" si="78"/>
        <v>90.26</v>
      </c>
      <c r="AW94" s="181">
        <f t="shared" si="79"/>
        <v>3</v>
      </c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101"/>
  <sheetViews>
    <sheetView zoomScaleNormal="100" workbookViewId="0">
      <pane xSplit="13" ySplit="1" topLeftCell="N7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49" t="s">
        <v>641</v>
      </c>
      <c r="C1" s="174">
        <f>AVERAGE(L27,L47,L67,L87)</f>
        <v>79.704121168901651</v>
      </c>
    </row>
    <row r="2" spans="1:50" ht="14.25" customHeight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137</v>
      </c>
      <c r="C7" s="179">
        <v>1</v>
      </c>
      <c r="D7" s="182" t="s">
        <v>330</v>
      </c>
      <c r="E7" s="183">
        <v>24</v>
      </c>
      <c r="F7" s="179">
        <v>2000</v>
      </c>
      <c r="G7" s="184">
        <f t="shared" ref="G7:G15" si="0">IFERROR(F7/E7,"")</f>
        <v>83.333333333333329</v>
      </c>
      <c r="H7" s="588">
        <f>AVERAGE(G7:G21)</f>
        <v>88.716146977016535</v>
      </c>
      <c r="I7" s="185">
        <f>AVERAGE(P7,U7,Z7,AE7,AJ7,AO7,AT7)</f>
        <v>24</v>
      </c>
      <c r="J7" s="185">
        <f>AVERAGE(Q7,V7,AA7,AF7,AK7,AP7,AU7)</f>
        <v>1799.7255861173473</v>
      </c>
      <c r="K7" s="186">
        <f>AVERAGE(R7,W7,AB7,AG7,AL7,AQ7,AV7)</f>
        <v>74.988566088222811</v>
      </c>
      <c r="L7" s="589">
        <f>IFERROR(AVERAGE(K7:K21),"-")</f>
        <v>79.776973679343911</v>
      </c>
      <c r="M7" s="185">
        <f>RANK(K7, K$7:$K$21)</f>
        <v>7</v>
      </c>
      <c r="N7" s="586"/>
      <c r="O7" s="586"/>
      <c r="P7" s="187">
        <v>24</v>
      </c>
      <c r="Q7" s="187">
        <v>1798.0116725059725</v>
      </c>
      <c r="R7" s="184">
        <f>IFERROR(Q7/P7,"")</f>
        <v>74.917153021082186</v>
      </c>
      <c r="S7" s="181">
        <f>RANK(R7, R$7:R$21)</f>
        <v>7</v>
      </c>
      <c r="T7" s="588">
        <f>AVERAGE(R7:R21)</f>
        <v>79.714393949650059</v>
      </c>
      <c r="U7" s="187">
        <v>24</v>
      </c>
      <c r="V7" s="187">
        <v>1798.6116725059726</v>
      </c>
      <c r="W7" s="184">
        <f t="shared" ref="W7:W15" si="1">IFERROR(V7/U7,"")</f>
        <v>74.942153021082191</v>
      </c>
      <c r="X7" s="181">
        <f>RANK(W7, W$7:W$21)</f>
        <v>7</v>
      </c>
      <c r="Y7" s="588">
        <f>AVERAGE(W7:W21)</f>
        <v>79.725925789790594</v>
      </c>
      <c r="Z7" s="187">
        <v>24</v>
      </c>
      <c r="AA7" s="187">
        <v>1799.2116725059727</v>
      </c>
      <c r="AB7" s="184">
        <f>IFERROR(AA7/Z7,"")</f>
        <v>74.967153021082197</v>
      </c>
      <c r="AC7" s="181">
        <f>RANK(AB7, AB$7:AB$21)</f>
        <v>7</v>
      </c>
      <c r="AD7" s="588">
        <f>AVERAGE(AB7:AB21)</f>
        <v>79.739648817165801</v>
      </c>
      <c r="AE7" s="187">
        <v>24</v>
      </c>
      <c r="AF7" s="187">
        <v>1799.6116725059728</v>
      </c>
      <c r="AG7" s="184">
        <f>IFERROR(AF7/AE7,"")</f>
        <v>74.983819687748863</v>
      </c>
      <c r="AH7" s="181">
        <f>RANK(AG7, AG$7:AG$21)</f>
        <v>7</v>
      </c>
      <c r="AI7" s="588">
        <f>AVERAGE(AG7:AG21)</f>
        <v>79.770372065335138</v>
      </c>
      <c r="AJ7" s="187">
        <v>24</v>
      </c>
      <c r="AK7" s="187">
        <v>1800.0116725059727</v>
      </c>
      <c r="AL7" s="184">
        <f>IFERROR(AK7/AJ7,"")</f>
        <v>75.000486354415528</v>
      </c>
      <c r="AM7" s="181">
        <f>RANK(AL7, AL$7:AL$21)</f>
        <v>7</v>
      </c>
      <c r="AN7" s="588">
        <f>AVERAGE(AL7:AL21)</f>
        <v>79.785068156683394</v>
      </c>
      <c r="AO7" s="187">
        <v>24</v>
      </c>
      <c r="AP7" s="187">
        <v>1801.3103701457844</v>
      </c>
      <c r="AQ7" s="184">
        <f>IFERROR(AP7/AO7,"")</f>
        <v>75.054598756074355</v>
      </c>
      <c r="AR7" s="181">
        <f>RANK(AQ7, AQ$7:AQ$21)</f>
        <v>7</v>
      </c>
      <c r="AS7" s="588">
        <f>AVERAGE(AQ7:AQ21)</f>
        <v>79.844134475798938</v>
      </c>
      <c r="AT7" s="187">
        <v>24</v>
      </c>
      <c r="AU7" s="187">
        <v>1801.3103701457846</v>
      </c>
      <c r="AV7" s="184">
        <f>IFERROR(AU7/AT7,"")</f>
        <v>75.054598756074355</v>
      </c>
      <c r="AW7" s="181">
        <f>RANK(AV7, AV$7:AV$21)</f>
        <v>7</v>
      </c>
      <c r="AX7" s="588">
        <f>AVERAGE(AV7:AV21)</f>
        <v>79.859272500983536</v>
      </c>
    </row>
    <row r="8" spans="1:50" ht="14.25" customHeight="1">
      <c r="B8" s="586"/>
      <c r="C8" s="179">
        <v>2</v>
      </c>
      <c r="D8" s="182" t="s">
        <v>331</v>
      </c>
      <c r="E8" s="179">
        <v>23</v>
      </c>
      <c r="F8" s="179">
        <v>2000</v>
      </c>
      <c r="G8" s="184">
        <f t="shared" si="0"/>
        <v>86.956521739130437</v>
      </c>
      <c r="H8" s="588"/>
      <c r="I8" s="185">
        <f t="shared" ref="I8:K15" si="2">AVERAGE(P8,U8,Z8,AE8,AJ8,AO8,AT8)</f>
        <v>23</v>
      </c>
      <c r="J8" s="185">
        <f t="shared" si="2"/>
        <v>1798.047943840837</v>
      </c>
      <c r="K8" s="186">
        <f t="shared" si="2"/>
        <v>78.175997558297254</v>
      </c>
      <c r="L8" s="589"/>
      <c r="M8" s="185">
        <f>RANK(K8, K$7:$K$21)</f>
        <v>5</v>
      </c>
      <c r="N8" s="586"/>
      <c r="O8" s="586"/>
      <c r="P8" s="187">
        <v>23</v>
      </c>
      <c r="Q8" s="187">
        <v>1796.2544326799957</v>
      </c>
      <c r="R8" s="184">
        <f t="shared" ref="R8:R15" si="3">IFERROR(Q8/P8,"")</f>
        <v>78.09801881217372</v>
      </c>
      <c r="S8" s="181">
        <f t="shared" ref="S8:S15" si="4">RANK(R8, R$7:R$21)</f>
        <v>6</v>
      </c>
      <c r="T8" s="588"/>
      <c r="U8" s="187">
        <v>23</v>
      </c>
      <c r="V8" s="187">
        <v>1796.2544326799959</v>
      </c>
      <c r="W8" s="184">
        <f t="shared" si="1"/>
        <v>78.098018812173734</v>
      </c>
      <c r="X8" s="181">
        <f t="shared" ref="X8:X15" si="5">RANK(W8, W$7:W$21)</f>
        <v>6</v>
      </c>
      <c r="Y8" s="588"/>
      <c r="Z8" s="187">
        <v>23</v>
      </c>
      <c r="AA8" s="187">
        <v>1796.6544326799958</v>
      </c>
      <c r="AB8" s="184">
        <f t="shared" ref="AB8:AB15" si="6">IFERROR(AA8/Z8,"")</f>
        <v>78.115410116521559</v>
      </c>
      <c r="AC8" s="181">
        <f t="shared" ref="AC8:AC15" si="7">RANK(AB8, AB$7:AB$21)</f>
        <v>6</v>
      </c>
      <c r="AD8" s="588"/>
      <c r="AE8" s="187">
        <v>23</v>
      </c>
      <c r="AF8" s="187">
        <v>1798.1619808337709</v>
      </c>
      <c r="AG8" s="184">
        <f t="shared" ref="AG8:AG15" si="8">IFERROR(AF8/AE8,"")</f>
        <v>78.180955688424817</v>
      </c>
      <c r="AH8" s="181">
        <f t="shared" ref="AH8:AH15" si="9">RANK(AG8, AG$7:AG$21)</f>
        <v>5</v>
      </c>
      <c r="AI8" s="588"/>
      <c r="AJ8" s="187">
        <v>23</v>
      </c>
      <c r="AK8" s="187">
        <v>1798.5619808337708</v>
      </c>
      <c r="AL8" s="184">
        <f t="shared" ref="AL8:AL15" si="10">IFERROR(AK8/AJ8,"")</f>
        <v>78.198346992772642</v>
      </c>
      <c r="AM8" s="181">
        <f t="shared" ref="AM8:AM15" si="11">RANK(AL8, AL$7:AL$21)</f>
        <v>5</v>
      </c>
      <c r="AN8" s="588"/>
      <c r="AO8" s="187">
        <v>23</v>
      </c>
      <c r="AP8" s="187">
        <v>1799.786766770437</v>
      </c>
      <c r="AQ8" s="184">
        <f t="shared" ref="AQ8:AQ15" si="12">IFERROR(AP8/AO8,"")</f>
        <v>78.251598555236384</v>
      </c>
      <c r="AR8" s="181">
        <f t="shared" ref="AR8:AR15" si="13">RANK(AQ8, AQ$7:AQ$21)</f>
        <v>4</v>
      </c>
      <c r="AS8" s="588"/>
      <c r="AT8" s="187">
        <v>23</v>
      </c>
      <c r="AU8" s="187">
        <v>1800.6615804078915</v>
      </c>
      <c r="AV8" s="184">
        <f t="shared" ref="AV8:AV15" si="14">IFERROR(AU8/AT8,"")</f>
        <v>78.289633930777896</v>
      </c>
      <c r="AW8" s="181">
        <f t="shared" ref="AW8:AW15" si="15">RANK(AV8, AV$7:AV$21)</f>
        <v>4</v>
      </c>
      <c r="AX8" s="588"/>
    </row>
    <row r="9" spans="1:50" ht="14.25" customHeight="1">
      <c r="B9" s="586"/>
      <c r="C9" s="179">
        <v>3</v>
      </c>
      <c r="D9" s="182" t="s">
        <v>329</v>
      </c>
      <c r="E9" s="179">
        <v>23</v>
      </c>
      <c r="F9" s="179">
        <v>2000</v>
      </c>
      <c r="G9" s="184">
        <f t="shared" si="0"/>
        <v>86.956521739130437</v>
      </c>
      <c r="H9" s="588"/>
      <c r="I9" s="185">
        <f t="shared" si="2"/>
        <v>23</v>
      </c>
      <c r="J9" s="185">
        <f t="shared" si="2"/>
        <v>1798.4173487769492</v>
      </c>
      <c r="K9" s="186">
        <f t="shared" si="2"/>
        <v>78.192058642476042</v>
      </c>
      <c r="L9" s="589"/>
      <c r="M9" s="185">
        <f>RANK(K9, K$7:$K$21)</f>
        <v>4</v>
      </c>
      <c r="N9" s="586"/>
      <c r="O9" s="586"/>
      <c r="P9" s="187">
        <v>23</v>
      </c>
      <c r="Q9" s="187">
        <v>1797.4080972519832</v>
      </c>
      <c r="R9" s="184">
        <f t="shared" si="3"/>
        <v>78.148178141390574</v>
      </c>
      <c r="S9" s="181">
        <f t="shared" si="4"/>
        <v>4</v>
      </c>
      <c r="T9" s="588"/>
      <c r="U9" s="187">
        <v>23</v>
      </c>
      <c r="V9" s="187">
        <v>1797.6080972519833</v>
      </c>
      <c r="W9" s="184">
        <f t="shared" si="1"/>
        <v>78.156873793564486</v>
      </c>
      <c r="X9" s="181">
        <f t="shared" si="5"/>
        <v>4</v>
      </c>
      <c r="Y9" s="588"/>
      <c r="Z9" s="187">
        <v>23</v>
      </c>
      <c r="AA9" s="187">
        <v>1798.2080972519834</v>
      </c>
      <c r="AB9" s="184">
        <f t="shared" si="6"/>
        <v>78.182960750086238</v>
      </c>
      <c r="AC9" s="181">
        <f t="shared" si="7"/>
        <v>4</v>
      </c>
      <c r="AD9" s="588"/>
      <c r="AE9" s="187">
        <v>23</v>
      </c>
      <c r="AF9" s="187">
        <v>1798.6080972519831</v>
      </c>
      <c r="AG9" s="184">
        <f t="shared" si="8"/>
        <v>78.200352054434049</v>
      </c>
      <c r="AH9" s="181">
        <f t="shared" si="9"/>
        <v>4</v>
      </c>
      <c r="AI9" s="588"/>
      <c r="AJ9" s="187">
        <v>23</v>
      </c>
      <c r="AK9" s="187">
        <v>1798.8080972519831</v>
      </c>
      <c r="AL9" s="184">
        <f t="shared" si="10"/>
        <v>78.209047706607961</v>
      </c>
      <c r="AM9" s="181">
        <f t="shared" si="11"/>
        <v>4</v>
      </c>
      <c r="AN9" s="588"/>
      <c r="AO9" s="187">
        <v>23</v>
      </c>
      <c r="AP9" s="187">
        <v>1799.0404775893642</v>
      </c>
      <c r="AQ9" s="184">
        <f t="shared" si="12"/>
        <v>78.219151199537578</v>
      </c>
      <c r="AR9" s="181">
        <f t="shared" si="13"/>
        <v>6</v>
      </c>
      <c r="AS9" s="588"/>
      <c r="AT9" s="187">
        <v>23</v>
      </c>
      <c r="AU9" s="187">
        <v>1799.2404775893642</v>
      </c>
      <c r="AV9" s="184">
        <f t="shared" si="14"/>
        <v>78.22784685171149</v>
      </c>
      <c r="AW9" s="181">
        <f t="shared" si="15"/>
        <v>6</v>
      </c>
      <c r="AX9" s="588"/>
    </row>
    <row r="10" spans="1:50" ht="14.25" customHeight="1">
      <c r="B10" s="586"/>
      <c r="C10" s="179">
        <v>4</v>
      </c>
      <c r="D10" s="182" t="s">
        <v>411</v>
      </c>
      <c r="E10" s="179">
        <v>23</v>
      </c>
      <c r="F10" s="179">
        <v>2000</v>
      </c>
      <c r="G10" s="184">
        <f t="shared" si="0"/>
        <v>86.956521739130437</v>
      </c>
      <c r="H10" s="588"/>
      <c r="I10" s="185">
        <f t="shared" si="2"/>
        <v>23</v>
      </c>
      <c r="J10" s="185">
        <f t="shared" si="2"/>
        <v>1797.9481808238481</v>
      </c>
      <c r="K10" s="186">
        <f t="shared" si="2"/>
        <v>78.171660035819485</v>
      </c>
      <c r="L10" s="589"/>
      <c r="M10" s="185">
        <f>RANK(K10, K$7:$K$21)</f>
        <v>6</v>
      </c>
      <c r="N10" s="586"/>
      <c r="O10" s="586"/>
      <c r="P10" s="187">
        <v>23</v>
      </c>
      <c r="Q10" s="187">
        <v>1796.8576036313932</v>
      </c>
      <c r="R10" s="184">
        <f t="shared" si="3"/>
        <v>78.124243636147526</v>
      </c>
      <c r="S10" s="181">
        <f t="shared" si="4"/>
        <v>5</v>
      </c>
      <c r="T10" s="588"/>
      <c r="U10" s="187">
        <v>23</v>
      </c>
      <c r="V10" s="187">
        <v>1796.857603631393</v>
      </c>
      <c r="W10" s="184">
        <f t="shared" si="1"/>
        <v>78.124243636147526</v>
      </c>
      <c r="X10" s="181">
        <f t="shared" si="5"/>
        <v>5</v>
      </c>
      <c r="Y10" s="588"/>
      <c r="Z10" s="187">
        <v>23</v>
      </c>
      <c r="AA10" s="187">
        <v>1797.057603631393</v>
      </c>
      <c r="AB10" s="184">
        <f t="shared" si="6"/>
        <v>78.132939288321438</v>
      </c>
      <c r="AC10" s="181">
        <f t="shared" si="7"/>
        <v>5</v>
      </c>
      <c r="AD10" s="588"/>
      <c r="AE10" s="187">
        <v>23</v>
      </c>
      <c r="AF10" s="187">
        <v>1797.6576036313927</v>
      </c>
      <c r="AG10" s="184">
        <f t="shared" si="8"/>
        <v>78.159026244843162</v>
      </c>
      <c r="AH10" s="181">
        <f t="shared" si="9"/>
        <v>6</v>
      </c>
      <c r="AI10" s="588"/>
      <c r="AJ10" s="187">
        <v>23</v>
      </c>
      <c r="AK10" s="187">
        <v>1798.2576036313926</v>
      </c>
      <c r="AL10" s="184">
        <f t="shared" si="10"/>
        <v>78.185113201364899</v>
      </c>
      <c r="AM10" s="181">
        <f t="shared" si="11"/>
        <v>6</v>
      </c>
      <c r="AN10" s="588"/>
      <c r="AO10" s="187">
        <v>23</v>
      </c>
      <c r="AP10" s="187">
        <v>1799.1746238049861</v>
      </c>
      <c r="AQ10" s="184">
        <f t="shared" si="12"/>
        <v>78.224983643695055</v>
      </c>
      <c r="AR10" s="181">
        <f t="shared" si="13"/>
        <v>5</v>
      </c>
      <c r="AS10" s="588"/>
      <c r="AT10" s="187">
        <v>23</v>
      </c>
      <c r="AU10" s="187">
        <v>1799.7746238049858</v>
      </c>
      <c r="AV10" s="184">
        <f t="shared" si="14"/>
        <v>78.251070600216778</v>
      </c>
      <c r="AW10" s="181">
        <f t="shared" si="15"/>
        <v>5</v>
      </c>
      <c r="AX10" s="588"/>
    </row>
    <row r="11" spans="1:50" ht="14.25" customHeight="1">
      <c r="B11" s="586"/>
      <c r="C11" s="179">
        <v>5</v>
      </c>
      <c r="D11" s="182" t="s">
        <v>413</v>
      </c>
      <c r="E11" s="179">
        <v>22</v>
      </c>
      <c r="F11" s="179">
        <v>2000</v>
      </c>
      <c r="G11" s="184">
        <f t="shared" si="0"/>
        <v>90.909090909090907</v>
      </c>
      <c r="H11" s="588"/>
      <c r="I11" s="185">
        <f t="shared" si="2"/>
        <v>22</v>
      </c>
      <c r="J11" s="185">
        <f t="shared" si="2"/>
        <v>1798.0689357827664</v>
      </c>
      <c r="K11" s="186">
        <f t="shared" si="2"/>
        <v>81.73040617194394</v>
      </c>
      <c r="L11" s="589"/>
      <c r="M11" s="185">
        <f>RANK(K11, K$7:$K$21)</f>
        <v>3</v>
      </c>
      <c r="N11" s="586"/>
      <c r="O11" s="586"/>
      <c r="P11" s="187">
        <v>22</v>
      </c>
      <c r="Q11" s="187">
        <v>1797.0029044857413</v>
      </c>
      <c r="R11" s="184">
        <f t="shared" si="3"/>
        <v>81.68195020389733</v>
      </c>
      <c r="S11" s="181">
        <f t="shared" si="4"/>
        <v>3</v>
      </c>
      <c r="T11" s="588"/>
      <c r="U11" s="187">
        <v>22</v>
      </c>
      <c r="V11" s="187">
        <v>1797.2029044857411</v>
      </c>
      <c r="W11" s="184">
        <f t="shared" si="1"/>
        <v>81.691041112988231</v>
      </c>
      <c r="X11" s="181">
        <f t="shared" si="5"/>
        <v>3</v>
      </c>
      <c r="Y11" s="588"/>
      <c r="Z11" s="187">
        <v>22</v>
      </c>
      <c r="AA11" s="187">
        <v>1797.2029044857413</v>
      </c>
      <c r="AB11" s="184">
        <f t="shared" si="6"/>
        <v>81.691041112988245</v>
      </c>
      <c r="AC11" s="181">
        <f t="shared" si="7"/>
        <v>3</v>
      </c>
      <c r="AD11" s="588"/>
      <c r="AE11" s="187">
        <v>22</v>
      </c>
      <c r="AF11" s="187">
        <v>1797.8029044857412</v>
      </c>
      <c r="AG11" s="184">
        <f t="shared" si="8"/>
        <v>81.718313840260961</v>
      </c>
      <c r="AH11" s="181">
        <f t="shared" si="9"/>
        <v>3</v>
      </c>
      <c r="AI11" s="588"/>
      <c r="AJ11" s="187">
        <v>22</v>
      </c>
      <c r="AK11" s="187">
        <v>1798.0029044857411</v>
      </c>
      <c r="AL11" s="184">
        <f t="shared" si="10"/>
        <v>81.727404749351862</v>
      </c>
      <c r="AM11" s="181">
        <f t="shared" si="11"/>
        <v>3</v>
      </c>
      <c r="AN11" s="588"/>
      <c r="AO11" s="187">
        <v>22</v>
      </c>
      <c r="AP11" s="187">
        <v>1799.5340140253297</v>
      </c>
      <c r="AQ11" s="184">
        <f t="shared" si="12"/>
        <v>81.797000637514984</v>
      </c>
      <c r="AR11" s="181">
        <f t="shared" si="13"/>
        <v>3</v>
      </c>
      <c r="AS11" s="588"/>
      <c r="AT11" s="187">
        <v>22</v>
      </c>
      <c r="AU11" s="187">
        <v>1799.7340140253298</v>
      </c>
      <c r="AV11" s="184">
        <f t="shared" si="14"/>
        <v>81.806091546605899</v>
      </c>
      <c r="AW11" s="181">
        <f t="shared" si="15"/>
        <v>3</v>
      </c>
      <c r="AX11" s="588"/>
    </row>
    <row r="12" spans="1:50" ht="14.25" customHeight="1">
      <c r="B12" s="586"/>
      <c r="C12" s="179">
        <v>6</v>
      </c>
      <c r="D12" s="182" t="s">
        <v>415</v>
      </c>
      <c r="E12" s="179">
        <v>20</v>
      </c>
      <c r="F12" s="179">
        <v>2000</v>
      </c>
      <c r="G12" s="184">
        <f t="shared" si="0"/>
        <v>100</v>
      </c>
      <c r="H12" s="588"/>
      <c r="I12" s="185">
        <f t="shared" si="2"/>
        <v>20</v>
      </c>
      <c r="J12" s="185">
        <f t="shared" si="2"/>
        <v>1797.09388324867</v>
      </c>
      <c r="K12" s="186">
        <f t="shared" si="2"/>
        <v>89.854694162433503</v>
      </c>
      <c r="L12" s="589"/>
      <c r="M12" s="185">
        <f>RANK(K12, K$7:$K$21)</f>
        <v>2</v>
      </c>
      <c r="N12" s="586"/>
      <c r="O12" s="586"/>
      <c r="P12" s="187">
        <v>20</v>
      </c>
      <c r="Q12" s="187">
        <v>1795.3440496233434</v>
      </c>
      <c r="R12" s="184">
        <f t="shared" si="3"/>
        <v>89.767202481167175</v>
      </c>
      <c r="S12" s="181">
        <f t="shared" si="4"/>
        <v>2</v>
      </c>
      <c r="T12" s="588"/>
      <c r="U12" s="187">
        <v>20</v>
      </c>
      <c r="V12" s="187">
        <v>1795.5440496233432</v>
      </c>
      <c r="W12" s="184">
        <f t="shared" si="1"/>
        <v>89.777202481167166</v>
      </c>
      <c r="X12" s="181">
        <f t="shared" si="5"/>
        <v>2</v>
      </c>
      <c r="Y12" s="588"/>
      <c r="Z12" s="187">
        <v>20</v>
      </c>
      <c r="AA12" s="187">
        <v>1795.744049623343</v>
      </c>
      <c r="AB12" s="184">
        <f t="shared" si="6"/>
        <v>89.787202481167157</v>
      </c>
      <c r="AC12" s="181">
        <f t="shared" si="7"/>
        <v>2</v>
      </c>
      <c r="AD12" s="588"/>
      <c r="AE12" s="187">
        <v>20</v>
      </c>
      <c r="AF12" s="187">
        <v>1797.121636426243</v>
      </c>
      <c r="AG12" s="184">
        <f t="shared" si="8"/>
        <v>89.856081821312145</v>
      </c>
      <c r="AH12" s="181">
        <f t="shared" si="9"/>
        <v>2</v>
      </c>
      <c r="AI12" s="588"/>
      <c r="AJ12" s="187">
        <v>20</v>
      </c>
      <c r="AK12" s="187">
        <v>1797.321636426243</v>
      </c>
      <c r="AL12" s="184">
        <f t="shared" si="10"/>
        <v>89.86608182131215</v>
      </c>
      <c r="AM12" s="181">
        <f t="shared" si="11"/>
        <v>2</v>
      </c>
      <c r="AN12" s="588"/>
      <c r="AO12" s="187">
        <v>20</v>
      </c>
      <c r="AP12" s="187">
        <v>1799.1908805090873</v>
      </c>
      <c r="AQ12" s="184">
        <f t="shared" si="12"/>
        <v>89.959544025454363</v>
      </c>
      <c r="AR12" s="181">
        <f t="shared" si="13"/>
        <v>2</v>
      </c>
      <c r="AS12" s="588"/>
      <c r="AT12" s="187">
        <v>20</v>
      </c>
      <c r="AU12" s="187">
        <v>1799.3908805090875</v>
      </c>
      <c r="AV12" s="184">
        <f t="shared" si="14"/>
        <v>89.969544025454383</v>
      </c>
      <c r="AW12" s="181">
        <f t="shared" si="15"/>
        <v>2</v>
      </c>
      <c r="AX12" s="588"/>
    </row>
    <row r="13" spans="1:50" ht="14.25" customHeight="1">
      <c r="B13" s="586"/>
      <c r="C13" s="179">
        <v>7</v>
      </c>
      <c r="D13" s="182" t="s">
        <v>471</v>
      </c>
      <c r="E13" s="179">
        <v>25</v>
      </c>
      <c r="F13" s="179">
        <v>2000</v>
      </c>
      <c r="G13" s="184">
        <f t="shared" si="0"/>
        <v>80</v>
      </c>
      <c r="H13" s="588"/>
      <c r="I13" s="185">
        <f t="shared" si="2"/>
        <v>25</v>
      </c>
      <c r="J13" s="185">
        <f t="shared" si="2"/>
        <v>1798.3579812124076</v>
      </c>
      <c r="K13" s="186">
        <f t="shared" si="2"/>
        <v>71.934319248496294</v>
      </c>
      <c r="L13" s="589"/>
      <c r="M13" s="185">
        <f>RANK(K13, K$7:$K$21)</f>
        <v>9</v>
      </c>
      <c r="N13" s="586"/>
      <c r="O13" s="586"/>
      <c r="P13" s="187">
        <v>25</v>
      </c>
      <c r="Q13" s="187">
        <v>1796.6925320816308</v>
      </c>
      <c r="R13" s="184">
        <f t="shared" si="3"/>
        <v>71.867701283265234</v>
      </c>
      <c r="S13" s="181">
        <f t="shared" si="4"/>
        <v>9</v>
      </c>
      <c r="T13" s="588"/>
      <c r="U13" s="187">
        <v>25</v>
      </c>
      <c r="V13" s="187">
        <v>1797.0925320816311</v>
      </c>
      <c r="W13" s="184">
        <f t="shared" si="1"/>
        <v>71.883701283265239</v>
      </c>
      <c r="X13" s="181">
        <f t="shared" si="5"/>
        <v>9</v>
      </c>
      <c r="Y13" s="588"/>
      <c r="Z13" s="187">
        <v>25</v>
      </c>
      <c r="AA13" s="187">
        <v>1797.292532081631</v>
      </c>
      <c r="AB13" s="184">
        <f t="shared" si="6"/>
        <v>71.891701283265235</v>
      </c>
      <c r="AC13" s="181">
        <f t="shared" si="7"/>
        <v>9</v>
      </c>
      <c r="AD13" s="588"/>
      <c r="AE13" s="187">
        <v>25</v>
      </c>
      <c r="AF13" s="187">
        <v>1797.492532081631</v>
      </c>
      <c r="AG13" s="184">
        <f t="shared" si="8"/>
        <v>71.899701283265244</v>
      </c>
      <c r="AH13" s="181">
        <f t="shared" si="9"/>
        <v>9</v>
      </c>
      <c r="AI13" s="588"/>
      <c r="AJ13" s="187">
        <v>25</v>
      </c>
      <c r="AK13" s="187">
        <v>1797.8925320816309</v>
      </c>
      <c r="AL13" s="184">
        <f t="shared" si="10"/>
        <v>71.915701283265236</v>
      </c>
      <c r="AM13" s="181">
        <f t="shared" si="11"/>
        <v>9</v>
      </c>
      <c r="AN13" s="588"/>
      <c r="AO13" s="187">
        <v>25</v>
      </c>
      <c r="AP13" s="187">
        <v>1800.8216040393497</v>
      </c>
      <c r="AQ13" s="184">
        <f t="shared" si="12"/>
        <v>72.032864161573983</v>
      </c>
      <c r="AR13" s="181">
        <f t="shared" si="13"/>
        <v>9</v>
      </c>
      <c r="AS13" s="588"/>
      <c r="AT13" s="187">
        <v>25</v>
      </c>
      <c r="AU13" s="187">
        <v>1801.2216040393496</v>
      </c>
      <c r="AV13" s="184">
        <f t="shared" si="14"/>
        <v>72.048864161573988</v>
      </c>
      <c r="AW13" s="181">
        <f t="shared" si="15"/>
        <v>9</v>
      </c>
      <c r="AX13" s="588"/>
    </row>
    <row r="14" spans="1:50" ht="14.25" customHeight="1">
      <c r="B14" s="586"/>
      <c r="C14" s="179">
        <v>8</v>
      </c>
      <c r="D14" s="182" t="s">
        <v>524</v>
      </c>
      <c r="E14" s="179">
        <v>20</v>
      </c>
      <c r="F14" s="179">
        <v>2000</v>
      </c>
      <c r="G14" s="184">
        <f t="shared" si="0"/>
        <v>100</v>
      </c>
      <c r="H14" s="588"/>
      <c r="I14" s="185">
        <f t="shared" si="2"/>
        <v>20</v>
      </c>
      <c r="J14" s="185">
        <f t="shared" si="2"/>
        <v>1799.6744781929467</v>
      </c>
      <c r="K14" s="186">
        <f t="shared" si="2"/>
        <v>89.983723909647338</v>
      </c>
      <c r="L14" s="589"/>
      <c r="M14" s="185">
        <f>RANK(K14, K$7:$K$21)</f>
        <v>1</v>
      </c>
      <c r="N14" s="586"/>
      <c r="O14" s="586"/>
      <c r="P14" s="187">
        <v>20</v>
      </c>
      <c r="Q14" s="187">
        <v>1798.6459067643755</v>
      </c>
      <c r="R14" s="184">
        <f t="shared" si="3"/>
        <v>89.932295338218779</v>
      </c>
      <c r="S14" s="181">
        <f t="shared" si="4"/>
        <v>1</v>
      </c>
      <c r="T14" s="588"/>
      <c r="U14" s="187">
        <v>20</v>
      </c>
      <c r="V14" s="187">
        <v>1798.8459067643753</v>
      </c>
      <c r="W14" s="184">
        <f t="shared" si="1"/>
        <v>89.94229533821877</v>
      </c>
      <c r="X14" s="181">
        <f t="shared" si="5"/>
        <v>1</v>
      </c>
      <c r="Y14" s="588"/>
      <c r="Z14" s="187">
        <v>20</v>
      </c>
      <c r="AA14" s="187">
        <v>1799.2459067643754</v>
      </c>
      <c r="AB14" s="184">
        <f t="shared" si="6"/>
        <v>89.962295338218766</v>
      </c>
      <c r="AC14" s="181">
        <f t="shared" si="7"/>
        <v>1</v>
      </c>
      <c r="AD14" s="588"/>
      <c r="AE14" s="187">
        <v>20</v>
      </c>
      <c r="AF14" s="187">
        <v>1799.8459067643753</v>
      </c>
      <c r="AG14" s="184">
        <f t="shared" si="8"/>
        <v>89.992295338218767</v>
      </c>
      <c r="AH14" s="181">
        <f t="shared" si="9"/>
        <v>1</v>
      </c>
      <c r="AI14" s="588"/>
      <c r="AJ14" s="187">
        <v>20</v>
      </c>
      <c r="AK14" s="187">
        <v>1800.2459067643754</v>
      </c>
      <c r="AL14" s="184">
        <f t="shared" si="10"/>
        <v>90.012295338218763</v>
      </c>
      <c r="AM14" s="181">
        <f t="shared" si="11"/>
        <v>1</v>
      </c>
      <c r="AN14" s="588"/>
      <c r="AO14" s="187">
        <v>20</v>
      </c>
      <c r="AP14" s="187">
        <v>1800.2459067643751</v>
      </c>
      <c r="AQ14" s="184">
        <f t="shared" si="12"/>
        <v>90.012295338218763</v>
      </c>
      <c r="AR14" s="181">
        <f t="shared" si="13"/>
        <v>1</v>
      </c>
      <c r="AS14" s="588"/>
      <c r="AT14" s="187">
        <v>20</v>
      </c>
      <c r="AU14" s="187">
        <v>1800.6459067643752</v>
      </c>
      <c r="AV14" s="184">
        <f t="shared" si="14"/>
        <v>90.032295338218759</v>
      </c>
      <c r="AW14" s="181">
        <f t="shared" si="15"/>
        <v>1</v>
      </c>
      <c r="AX14" s="588"/>
    </row>
    <row r="15" spans="1:50" ht="14.25" customHeight="1">
      <c r="B15" s="586"/>
      <c r="C15" s="179">
        <v>9</v>
      </c>
      <c r="D15" s="182" t="s">
        <v>562</v>
      </c>
      <c r="E15" s="179">
        <v>24</v>
      </c>
      <c r="F15" s="179">
        <v>2000</v>
      </c>
      <c r="G15" s="184">
        <f t="shared" si="0"/>
        <v>83.333333333333329</v>
      </c>
      <c r="H15" s="588"/>
      <c r="I15" s="185">
        <f t="shared" si="2"/>
        <v>24</v>
      </c>
      <c r="J15" s="185">
        <f t="shared" si="2"/>
        <v>1799.0720951222054</v>
      </c>
      <c r="K15" s="186">
        <f t="shared" si="2"/>
        <v>74.961337296758558</v>
      </c>
      <c r="L15" s="589"/>
      <c r="M15" s="185">
        <f>RANK(K15, K$7:$K$21)</f>
        <v>8</v>
      </c>
      <c r="N15" s="586"/>
      <c r="O15" s="586"/>
      <c r="P15" s="187">
        <v>24</v>
      </c>
      <c r="Q15" s="187">
        <v>1797.4272631081922</v>
      </c>
      <c r="R15" s="184">
        <f t="shared" si="3"/>
        <v>74.892802629508012</v>
      </c>
      <c r="S15" s="181">
        <f t="shared" si="4"/>
        <v>8</v>
      </c>
      <c r="T15" s="588"/>
      <c r="U15" s="187">
        <v>24</v>
      </c>
      <c r="V15" s="187">
        <v>1798.0272631081925</v>
      </c>
      <c r="W15" s="184">
        <f t="shared" si="1"/>
        <v>74.917802629508017</v>
      </c>
      <c r="X15" s="181">
        <f t="shared" si="5"/>
        <v>8</v>
      </c>
      <c r="Y15" s="588"/>
      <c r="Z15" s="187">
        <v>24</v>
      </c>
      <c r="AA15" s="187">
        <v>1798.2272631081928</v>
      </c>
      <c r="AB15" s="184">
        <f t="shared" si="6"/>
        <v>74.926135962841371</v>
      </c>
      <c r="AC15" s="181">
        <f t="shared" si="7"/>
        <v>8</v>
      </c>
      <c r="AD15" s="588"/>
      <c r="AE15" s="187">
        <v>24</v>
      </c>
      <c r="AF15" s="187">
        <v>1798.6272631081929</v>
      </c>
      <c r="AG15" s="184">
        <f t="shared" si="8"/>
        <v>74.942802629508037</v>
      </c>
      <c r="AH15" s="181">
        <f t="shared" si="9"/>
        <v>8</v>
      </c>
      <c r="AI15" s="588"/>
      <c r="AJ15" s="187">
        <v>24</v>
      </c>
      <c r="AK15" s="187">
        <v>1798.8272631081929</v>
      </c>
      <c r="AL15" s="184">
        <f t="shared" si="10"/>
        <v>74.951135962841377</v>
      </c>
      <c r="AM15" s="181">
        <f t="shared" si="11"/>
        <v>8</v>
      </c>
      <c r="AN15" s="588"/>
      <c r="AO15" s="187">
        <v>24</v>
      </c>
      <c r="AP15" s="187">
        <v>1801.0841751572375</v>
      </c>
      <c r="AQ15" s="184">
        <f t="shared" si="12"/>
        <v>75.045173964884896</v>
      </c>
      <c r="AR15" s="181">
        <f t="shared" si="13"/>
        <v>8</v>
      </c>
      <c r="AS15" s="588"/>
      <c r="AT15" s="187">
        <v>24</v>
      </c>
      <c r="AU15" s="187">
        <v>1801.2841751572373</v>
      </c>
      <c r="AV15" s="184">
        <f t="shared" si="14"/>
        <v>75.053507298218221</v>
      </c>
      <c r="AW15" s="181">
        <f t="shared" si="15"/>
        <v>8</v>
      </c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137</v>
      </c>
      <c r="C27" s="179">
        <v>1</v>
      </c>
      <c r="D27" s="182" t="s">
        <v>330</v>
      </c>
      <c r="E27" s="183">
        <v>24</v>
      </c>
      <c r="F27" s="179">
        <v>2000</v>
      </c>
      <c r="G27" s="184">
        <f t="shared" ref="G27:G35" si="16">IFERROR(F27/E27,"")</f>
        <v>83.333333333333329</v>
      </c>
      <c r="H27" s="588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1803.0817987172129</v>
      </c>
      <c r="K27" s="186">
        <f>AVERAGE(R27,W27,AB27,AG27,AL27,AQ27,AV27)</f>
        <v>75.128408279883871</v>
      </c>
      <c r="L27" s="589">
        <f>IFERROR(AVERAGE(K27:K41),"-")</f>
        <v>79.933962470071478</v>
      </c>
      <c r="M27" s="185">
        <f>RANK(K27, K$27:$K$41)</f>
        <v>8</v>
      </c>
      <c r="N27" s="586"/>
      <c r="O27" s="586"/>
      <c r="P27" s="187">
        <v>24</v>
      </c>
      <c r="Q27" s="187">
        <v>1801.9103701457841</v>
      </c>
      <c r="R27" s="184">
        <f>IFERROR(Q27/P27,"")</f>
        <v>75.079598756074333</v>
      </c>
      <c r="S27" s="181">
        <f>RANK(R27, R$27:R$41)</f>
        <v>7</v>
      </c>
      <c r="T27" s="588">
        <f>AVERAGE(R27:R41)</f>
        <v>79.864831277151012</v>
      </c>
      <c r="U27" s="187">
        <v>24</v>
      </c>
      <c r="V27" s="187">
        <v>1802.510370145784</v>
      </c>
      <c r="W27" s="184">
        <f t="shared" ref="W27:W35" si="17">IFERROR(V27/U27,"")</f>
        <v>75.104598756074338</v>
      </c>
      <c r="X27" s="181">
        <f>RANK(W27, W$27:W$41)</f>
        <v>8</v>
      </c>
      <c r="Y27" s="588">
        <f>AVERAGE(W27:W41)</f>
        <v>79.924089075585755</v>
      </c>
      <c r="Z27" s="187">
        <v>24</v>
      </c>
      <c r="AA27" s="187">
        <v>1802.9103701457843</v>
      </c>
      <c r="AB27" s="184">
        <f>IFERROR(AA27/Z27,"")</f>
        <v>75.121265422741018</v>
      </c>
      <c r="AC27" s="181">
        <f>RANK(AB27, AB$27:AB$41)</f>
        <v>7</v>
      </c>
      <c r="AD27" s="588">
        <f>AVERAGE(AB27:AB41)</f>
        <v>80.131470053519465</v>
      </c>
      <c r="AE27" s="187">
        <v>24</v>
      </c>
      <c r="AF27" s="187">
        <v>1802.9103701457843</v>
      </c>
      <c r="AG27" s="184">
        <f>IFERROR(AF27/AE27,"")</f>
        <v>75.121265422741018</v>
      </c>
      <c r="AH27" s="181">
        <f>RANK(AG27, AG$27:AG$41)</f>
        <v>7</v>
      </c>
      <c r="AI27" s="588">
        <f>AVERAGE(AG27:AG41)</f>
        <v>80.141204243242768</v>
      </c>
      <c r="AJ27" s="187">
        <v>24</v>
      </c>
      <c r="AK27" s="187">
        <v>1803.3103701457844</v>
      </c>
      <c r="AL27" s="184">
        <f>IFERROR(AK27/AJ27,"")</f>
        <v>75.137932089407684</v>
      </c>
      <c r="AM27" s="181">
        <f>RANK(AL27, AL$27:AL$41)</f>
        <v>7</v>
      </c>
      <c r="AN27" s="588">
        <f>AVERAGE(AL27:AL41)</f>
        <v>80.156972359184806</v>
      </c>
      <c r="AO27" s="187">
        <v>24</v>
      </c>
      <c r="AP27" s="187">
        <v>1803.9103701457846</v>
      </c>
      <c r="AQ27" s="184">
        <f>IFERROR(AP27/AO27,"")</f>
        <v>75.16293208940769</v>
      </c>
      <c r="AR27" s="181">
        <f>RANK(AQ27, AQ$27:AQ$41)</f>
        <v>7</v>
      </c>
      <c r="AS27" s="588">
        <f>AVERAGE(AQ27:AQ41)</f>
        <v>80.168267649039876</v>
      </c>
      <c r="AT27" s="187">
        <v>24</v>
      </c>
      <c r="AU27" s="187">
        <v>1804.1103701457846</v>
      </c>
      <c r="AV27" s="184">
        <f>IFERROR(AU27/AT27,"")</f>
        <v>75.17126542274103</v>
      </c>
      <c r="AW27" s="181">
        <f>RANK(AV27, AV$27:AV$41)</f>
        <v>7</v>
      </c>
      <c r="AX27" s="588">
        <f>AVERAGE(AV27:AV41)</f>
        <v>80.184899566035924</v>
      </c>
    </row>
    <row r="28" spans="2:50" ht="14.25" customHeight="1">
      <c r="B28" s="586"/>
      <c r="C28" s="179">
        <v>2</v>
      </c>
      <c r="D28" s="182" t="s">
        <v>331</v>
      </c>
      <c r="E28" s="179">
        <v>23</v>
      </c>
      <c r="F28" s="179">
        <v>2000</v>
      </c>
      <c r="G28" s="184">
        <f t="shared" si="16"/>
        <v>86.956521739130437</v>
      </c>
      <c r="H28" s="588"/>
      <c r="I28" s="185">
        <f t="shared" ref="I28:K35" si="18">AVERAGE(P28,U28,Z28,AE28,AJ28,AO28,AT28)</f>
        <v>23</v>
      </c>
      <c r="J28" s="185">
        <f t="shared" si="18"/>
        <v>1801.6901518364623</v>
      </c>
      <c r="K28" s="186">
        <f t="shared" si="18"/>
        <v>78.334354427672267</v>
      </c>
      <c r="L28" s="589"/>
      <c r="M28" s="185">
        <f>RANK(K28, K$27:$K$41)</f>
        <v>5</v>
      </c>
      <c r="N28" s="586"/>
      <c r="O28" s="586"/>
      <c r="P28" s="187">
        <v>23</v>
      </c>
      <c r="Q28" s="187">
        <v>1800.8615804078913</v>
      </c>
      <c r="R28" s="184">
        <f t="shared" ref="R28:R35" si="19">IFERROR(Q28/P28,"")</f>
        <v>78.298329582951794</v>
      </c>
      <c r="S28" s="181">
        <f t="shared" ref="S28:S35" si="20">RANK(R28, R$27:R$41)</f>
        <v>4</v>
      </c>
      <c r="T28" s="588"/>
      <c r="U28" s="187">
        <v>23</v>
      </c>
      <c r="V28" s="187">
        <v>1801.2615804078914</v>
      </c>
      <c r="W28" s="184">
        <f t="shared" si="17"/>
        <v>78.315720887299634</v>
      </c>
      <c r="X28" s="181">
        <f t="shared" ref="X28:X35" si="21">RANK(W28, W$27:W$41)</f>
        <v>6</v>
      </c>
      <c r="Y28" s="588"/>
      <c r="Z28" s="187">
        <v>23</v>
      </c>
      <c r="AA28" s="187">
        <v>1801.2615804078912</v>
      </c>
      <c r="AB28" s="184">
        <f t="shared" ref="AB28:AB35" si="22">IFERROR(AA28/Z28,"")</f>
        <v>78.315720887299619</v>
      </c>
      <c r="AC28" s="181">
        <f t="shared" ref="AC28:AC35" si="23">RANK(AB28, AB$27:AB$41)</f>
        <v>5</v>
      </c>
      <c r="AD28" s="588"/>
      <c r="AE28" s="187">
        <v>23</v>
      </c>
      <c r="AF28" s="187">
        <v>1801.6615804078911</v>
      </c>
      <c r="AG28" s="184">
        <f t="shared" ref="AG28:AG35" si="24">IFERROR(AF28/AE28,"")</f>
        <v>78.33311219164743</v>
      </c>
      <c r="AH28" s="181">
        <f>RANK(AG28, AG$27:AG$41)</f>
        <v>5</v>
      </c>
      <c r="AI28" s="588"/>
      <c r="AJ28" s="187">
        <v>23</v>
      </c>
      <c r="AK28" s="187">
        <v>1802.0615804078905</v>
      </c>
      <c r="AL28" s="184">
        <f t="shared" ref="AL28:AL35" si="25">IFERROR(AK28/AJ28,"")</f>
        <v>78.350503495995241</v>
      </c>
      <c r="AM28" s="181">
        <f>RANK(AL28, AL$27:AL$41)</f>
        <v>5</v>
      </c>
      <c r="AN28" s="588"/>
      <c r="AO28" s="187">
        <v>23</v>
      </c>
      <c r="AP28" s="187">
        <v>1802.0615804078905</v>
      </c>
      <c r="AQ28" s="184">
        <f t="shared" ref="AQ28:AQ35" si="26">IFERROR(AP28/AO28,"")</f>
        <v>78.350503495995241</v>
      </c>
      <c r="AR28" s="181">
        <f>RANK(AQ28, AQ$27:AQ$41)</f>
        <v>5</v>
      </c>
      <c r="AS28" s="588"/>
      <c r="AT28" s="187">
        <v>23</v>
      </c>
      <c r="AU28" s="187">
        <v>1802.6615804078906</v>
      </c>
      <c r="AV28" s="184">
        <f t="shared" ref="AV28:AV35" si="27">IFERROR(AU28/AT28,"")</f>
        <v>78.376590452516979</v>
      </c>
      <c r="AW28" s="181">
        <f>RANK(AV28, AV$27:AV$41)</f>
        <v>5</v>
      </c>
      <c r="AX28" s="588"/>
    </row>
    <row r="29" spans="2:50" ht="14.25" customHeight="1">
      <c r="B29" s="586"/>
      <c r="C29" s="179">
        <v>3</v>
      </c>
      <c r="D29" s="182" t="s">
        <v>329</v>
      </c>
      <c r="E29" s="179">
        <v>23</v>
      </c>
      <c r="F29" s="179">
        <v>2000</v>
      </c>
      <c r="G29" s="184">
        <f t="shared" si="16"/>
        <v>86.956521739130437</v>
      </c>
      <c r="H29" s="588"/>
      <c r="I29" s="185">
        <f t="shared" si="18"/>
        <v>23</v>
      </c>
      <c r="J29" s="185">
        <f t="shared" si="18"/>
        <v>1800.7934707697732</v>
      </c>
      <c r="K29" s="186">
        <f t="shared" si="18"/>
        <v>78.295368294337962</v>
      </c>
      <c r="L29" s="589"/>
      <c r="M29" s="185">
        <f>RANK(K29, K$27:$K$41)</f>
        <v>6</v>
      </c>
      <c r="N29" s="586"/>
      <c r="O29" s="586"/>
      <c r="P29" s="187">
        <v>23</v>
      </c>
      <c r="Q29" s="187">
        <v>1799.2404775893644</v>
      </c>
      <c r="R29" s="184">
        <f t="shared" si="19"/>
        <v>78.227846851711504</v>
      </c>
      <c r="S29" s="181">
        <f t="shared" si="20"/>
        <v>6</v>
      </c>
      <c r="T29" s="588"/>
      <c r="U29" s="187">
        <v>23</v>
      </c>
      <c r="V29" s="187">
        <v>1802.3464639501817</v>
      </c>
      <c r="W29" s="184">
        <f t="shared" si="17"/>
        <v>78.362889736964419</v>
      </c>
      <c r="X29" s="181">
        <f t="shared" si="21"/>
        <v>4</v>
      </c>
      <c r="Y29" s="588"/>
      <c r="Z29" s="187"/>
      <c r="AA29" s="187"/>
      <c r="AB29" s="184"/>
      <c r="AC29" s="181"/>
      <c r="AD29" s="588"/>
      <c r="AE29" s="187"/>
      <c r="AF29" s="187"/>
      <c r="AG29" s="184"/>
      <c r="AH29" s="181"/>
      <c r="AI29" s="588"/>
      <c r="AJ29" s="187"/>
      <c r="AK29" s="187"/>
      <c r="AL29" s="184"/>
      <c r="AM29" s="181"/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 t="s">
        <v>411</v>
      </c>
      <c r="E30" s="179">
        <v>23</v>
      </c>
      <c r="F30" s="179">
        <v>2000</v>
      </c>
      <c r="G30" s="184">
        <f t="shared" si="16"/>
        <v>86.956521739130437</v>
      </c>
      <c r="H30" s="588"/>
      <c r="I30" s="185">
        <f t="shared" si="18"/>
        <v>23</v>
      </c>
      <c r="J30" s="185">
        <f t="shared" si="18"/>
        <v>1801.7218122051327</v>
      </c>
      <c r="K30" s="186">
        <f t="shared" si="18"/>
        <v>78.335730965440561</v>
      </c>
      <c r="L30" s="589"/>
      <c r="M30" s="185">
        <f>RANK(K30, K$27:$K$41)</f>
        <v>4</v>
      </c>
      <c r="N30" s="586"/>
      <c r="O30" s="586"/>
      <c r="P30" s="187">
        <v>23</v>
      </c>
      <c r="Q30" s="187">
        <v>1799.7746238049858</v>
      </c>
      <c r="R30" s="184">
        <f t="shared" si="19"/>
        <v>78.251070600216778</v>
      </c>
      <c r="S30" s="181">
        <f t="shared" si="20"/>
        <v>5</v>
      </c>
      <c r="T30" s="588"/>
      <c r="U30" s="187">
        <v>23</v>
      </c>
      <c r="V30" s="187">
        <v>1801.3796769384905</v>
      </c>
      <c r="W30" s="184">
        <f t="shared" si="17"/>
        <v>78.320855519064807</v>
      </c>
      <c r="X30" s="181">
        <f t="shared" si="21"/>
        <v>5</v>
      </c>
      <c r="Y30" s="588"/>
      <c r="Z30" s="187">
        <v>23</v>
      </c>
      <c r="AA30" s="187">
        <v>1801.3796769384908</v>
      </c>
      <c r="AB30" s="184">
        <f t="shared" si="22"/>
        <v>78.320855519064821</v>
      </c>
      <c r="AC30" s="181">
        <f t="shared" si="23"/>
        <v>4</v>
      </c>
      <c r="AD30" s="588"/>
      <c r="AE30" s="187">
        <v>23</v>
      </c>
      <c r="AF30" s="187">
        <v>1801.7796769384909</v>
      </c>
      <c r="AG30" s="184">
        <f t="shared" si="24"/>
        <v>78.338246823412646</v>
      </c>
      <c r="AH30" s="181">
        <f>RANK(AG30, AG$27:AG$41)</f>
        <v>4</v>
      </c>
      <c r="AI30" s="588"/>
      <c r="AJ30" s="187">
        <v>23</v>
      </c>
      <c r="AK30" s="187">
        <v>1802.3796769384905</v>
      </c>
      <c r="AL30" s="184">
        <f t="shared" si="25"/>
        <v>78.36433377993437</v>
      </c>
      <c r="AM30" s="181">
        <f>RANK(AL30, AL$27:AL$41)</f>
        <v>4</v>
      </c>
      <c r="AN30" s="588"/>
      <c r="AO30" s="187">
        <v>23</v>
      </c>
      <c r="AP30" s="187">
        <v>1802.5796769384906</v>
      </c>
      <c r="AQ30" s="184">
        <f t="shared" si="26"/>
        <v>78.373029432108282</v>
      </c>
      <c r="AR30" s="181">
        <f>RANK(AQ30, AQ$27:AQ$41)</f>
        <v>4</v>
      </c>
      <c r="AS30" s="588"/>
      <c r="AT30" s="187">
        <v>23</v>
      </c>
      <c r="AU30" s="187">
        <v>1802.7796769384902</v>
      </c>
      <c r="AV30" s="184">
        <f t="shared" si="27"/>
        <v>78.381725084282181</v>
      </c>
      <c r="AW30" s="181">
        <f>RANK(AV30, AV$27:AV$41)</f>
        <v>4</v>
      </c>
      <c r="AX30" s="588"/>
    </row>
    <row r="31" spans="2:50" ht="14.25" customHeight="1">
      <c r="B31" s="586"/>
      <c r="C31" s="179">
        <v>5</v>
      </c>
      <c r="D31" s="182" t="s">
        <v>413</v>
      </c>
      <c r="E31" s="179">
        <v>22</v>
      </c>
      <c r="F31" s="179">
        <v>2000</v>
      </c>
      <c r="G31" s="184">
        <f t="shared" si="16"/>
        <v>90.909090909090907</v>
      </c>
      <c r="H31" s="588"/>
      <c r="I31" s="185">
        <f t="shared" si="18"/>
        <v>22</v>
      </c>
      <c r="J31" s="185">
        <f t="shared" si="18"/>
        <v>1801.8309791959143</v>
      </c>
      <c r="K31" s="186">
        <f t="shared" si="18"/>
        <v>81.901408145268832</v>
      </c>
      <c r="L31" s="589"/>
      <c r="M31" s="185">
        <f>RANK(K31, K$27:$K$41)</f>
        <v>3</v>
      </c>
      <c r="N31" s="586"/>
      <c r="O31" s="586"/>
      <c r="P31" s="187">
        <v>22</v>
      </c>
      <c r="Q31" s="187">
        <v>1799.7340140253298</v>
      </c>
      <c r="R31" s="184">
        <f t="shared" si="19"/>
        <v>81.806091546605899</v>
      </c>
      <c r="S31" s="181">
        <f t="shared" si="20"/>
        <v>3</v>
      </c>
      <c r="T31" s="588"/>
      <c r="U31" s="187">
        <v>22</v>
      </c>
      <c r="V31" s="187">
        <v>1801.6138067243453</v>
      </c>
      <c r="W31" s="184">
        <f t="shared" si="17"/>
        <v>81.891536669288428</v>
      </c>
      <c r="X31" s="181">
        <f t="shared" si="21"/>
        <v>3</v>
      </c>
      <c r="Y31" s="588"/>
      <c r="Z31" s="187">
        <v>22</v>
      </c>
      <c r="AA31" s="187">
        <v>1802.0138067243452</v>
      </c>
      <c r="AB31" s="184">
        <f t="shared" si="22"/>
        <v>81.909718487470229</v>
      </c>
      <c r="AC31" s="181">
        <f t="shared" si="23"/>
        <v>3</v>
      </c>
      <c r="AD31" s="588"/>
      <c r="AE31" s="187">
        <v>22</v>
      </c>
      <c r="AF31" s="187">
        <v>1802.213806724345</v>
      </c>
      <c r="AG31" s="184">
        <f t="shared" si="24"/>
        <v>81.91880939656113</v>
      </c>
      <c r="AH31" s="181">
        <f t="shared" ref="AH31:AH35" si="28">RANK(AG31, AG$27:AG$41)</f>
        <v>3</v>
      </c>
      <c r="AI31" s="588"/>
      <c r="AJ31" s="187">
        <v>22</v>
      </c>
      <c r="AK31" s="187">
        <v>1802.213806724345</v>
      </c>
      <c r="AL31" s="184">
        <f t="shared" si="25"/>
        <v>81.91880939656113</v>
      </c>
      <c r="AM31" s="181">
        <f t="shared" ref="AM31:AM35" si="29">RANK(AL31, AL$27:AL$41)</f>
        <v>3</v>
      </c>
      <c r="AN31" s="588"/>
      <c r="AO31" s="187">
        <v>22</v>
      </c>
      <c r="AP31" s="187">
        <v>1802.2138067243447</v>
      </c>
      <c r="AQ31" s="184">
        <f t="shared" si="26"/>
        <v>81.91880939656113</v>
      </c>
      <c r="AR31" s="181">
        <f t="shared" ref="AR31:AR35" si="30">RANK(AQ31, AQ$27:AQ$41)</f>
        <v>3</v>
      </c>
      <c r="AS31" s="588"/>
      <c r="AT31" s="187">
        <v>22</v>
      </c>
      <c r="AU31" s="187">
        <v>1802.8138067243449</v>
      </c>
      <c r="AV31" s="184">
        <f t="shared" si="27"/>
        <v>81.946082123833861</v>
      </c>
      <c r="AW31" s="181">
        <f t="shared" ref="AW31:AW35" si="31">RANK(AV31, AV$27:AV$41)</f>
        <v>3</v>
      </c>
      <c r="AX31" s="588"/>
    </row>
    <row r="32" spans="2:50" ht="14.25" customHeight="1">
      <c r="B32" s="586"/>
      <c r="C32" s="179">
        <v>6</v>
      </c>
      <c r="D32" s="182" t="s">
        <v>415</v>
      </c>
      <c r="E32" s="179">
        <v>20</v>
      </c>
      <c r="F32" s="179">
        <v>2000</v>
      </c>
      <c r="G32" s="184">
        <f t="shared" si="16"/>
        <v>100</v>
      </c>
      <c r="H32" s="588"/>
      <c r="I32" s="185">
        <f t="shared" si="18"/>
        <v>20</v>
      </c>
      <c r="J32" s="185">
        <f t="shared" si="18"/>
        <v>1801.4971662737767</v>
      </c>
      <c r="K32" s="186">
        <f t="shared" si="18"/>
        <v>90.074858313688807</v>
      </c>
      <c r="L32" s="589"/>
      <c r="M32" s="185">
        <f>RANK(K32, K$27:$K$41)</f>
        <v>2</v>
      </c>
      <c r="N32" s="586"/>
      <c r="O32" s="586"/>
      <c r="P32" s="187">
        <v>20</v>
      </c>
      <c r="Q32" s="187">
        <v>1799.390880509088</v>
      </c>
      <c r="R32" s="184">
        <f t="shared" si="19"/>
        <v>89.969544025454397</v>
      </c>
      <c r="S32" s="181">
        <f t="shared" si="20"/>
        <v>2</v>
      </c>
      <c r="T32" s="588"/>
      <c r="U32" s="187">
        <v>20</v>
      </c>
      <c r="V32" s="187">
        <v>1801.1482139012244</v>
      </c>
      <c r="W32" s="184">
        <f t="shared" si="17"/>
        <v>90.057410695061222</v>
      </c>
      <c r="X32" s="181">
        <f t="shared" si="21"/>
        <v>2</v>
      </c>
      <c r="Y32" s="588"/>
      <c r="Z32" s="187">
        <v>20</v>
      </c>
      <c r="AA32" s="187">
        <v>1801.3482139012242</v>
      </c>
      <c r="AB32" s="184">
        <f t="shared" si="22"/>
        <v>90.067410695061213</v>
      </c>
      <c r="AC32" s="181">
        <f t="shared" si="23"/>
        <v>2</v>
      </c>
      <c r="AD32" s="588"/>
      <c r="AE32" s="187">
        <v>20</v>
      </c>
      <c r="AF32" s="187">
        <v>1801.5482139012242</v>
      </c>
      <c r="AG32" s="184">
        <f t="shared" si="24"/>
        <v>90.077410695061218</v>
      </c>
      <c r="AH32" s="181">
        <f t="shared" si="28"/>
        <v>2</v>
      </c>
      <c r="AI32" s="588"/>
      <c r="AJ32" s="187">
        <v>20</v>
      </c>
      <c r="AK32" s="187">
        <v>1801.9482139012246</v>
      </c>
      <c r="AL32" s="184">
        <f t="shared" si="25"/>
        <v>90.097410695061228</v>
      </c>
      <c r="AM32" s="181">
        <f t="shared" si="29"/>
        <v>2</v>
      </c>
      <c r="AN32" s="588"/>
      <c r="AO32" s="187">
        <v>20</v>
      </c>
      <c r="AP32" s="187">
        <v>1802.3482139012247</v>
      </c>
      <c r="AQ32" s="184">
        <f t="shared" si="26"/>
        <v>90.117410695061238</v>
      </c>
      <c r="AR32" s="181">
        <f t="shared" si="30"/>
        <v>2</v>
      </c>
      <c r="AS32" s="588"/>
      <c r="AT32" s="187">
        <v>20</v>
      </c>
      <c r="AU32" s="187">
        <v>1802.7482139012247</v>
      </c>
      <c r="AV32" s="184">
        <f t="shared" si="27"/>
        <v>90.137410695061234</v>
      </c>
      <c r="AW32" s="181">
        <f t="shared" si="31"/>
        <v>2</v>
      </c>
      <c r="AX32" s="588"/>
    </row>
    <row r="33" spans="2:50" ht="14.25" customHeight="1">
      <c r="B33" s="586"/>
      <c r="C33" s="179">
        <v>7</v>
      </c>
      <c r="D33" s="182" t="s">
        <v>471</v>
      </c>
      <c r="E33" s="179">
        <v>25</v>
      </c>
      <c r="F33" s="179">
        <v>2000</v>
      </c>
      <c r="G33" s="184">
        <f t="shared" si="16"/>
        <v>80</v>
      </c>
      <c r="H33" s="588"/>
      <c r="I33" s="185">
        <f t="shared" si="18"/>
        <v>25</v>
      </c>
      <c r="J33" s="185">
        <f t="shared" si="18"/>
        <v>1802.4787468964926</v>
      </c>
      <c r="K33" s="186">
        <f t="shared" si="18"/>
        <v>72.099149875859695</v>
      </c>
      <c r="L33" s="589"/>
      <c r="M33" s="185">
        <f>RANK(K33, K$27:$K$41)</f>
        <v>9</v>
      </c>
      <c r="N33" s="586"/>
      <c r="O33" s="586"/>
      <c r="P33" s="187">
        <v>25</v>
      </c>
      <c r="Q33" s="187">
        <v>1801.4216040393496</v>
      </c>
      <c r="R33" s="184">
        <f t="shared" si="19"/>
        <v>72.056864161573984</v>
      </c>
      <c r="S33" s="181">
        <f t="shared" si="20"/>
        <v>9</v>
      </c>
      <c r="T33" s="588"/>
      <c r="U33" s="187">
        <v>25</v>
      </c>
      <c r="V33" s="187">
        <v>1801.8216040393497</v>
      </c>
      <c r="W33" s="184">
        <f t="shared" si="17"/>
        <v>72.072864161573989</v>
      </c>
      <c r="X33" s="181">
        <f t="shared" si="21"/>
        <v>9</v>
      </c>
      <c r="Y33" s="588"/>
      <c r="Z33" s="187">
        <v>25</v>
      </c>
      <c r="AA33" s="187">
        <v>1802.0216040393498</v>
      </c>
      <c r="AB33" s="184">
        <f t="shared" si="22"/>
        <v>72.080864161573984</v>
      </c>
      <c r="AC33" s="181">
        <f t="shared" si="23"/>
        <v>8</v>
      </c>
      <c r="AD33" s="588"/>
      <c r="AE33" s="187">
        <v>25</v>
      </c>
      <c r="AF33" s="187">
        <v>1802.6216040393497</v>
      </c>
      <c r="AG33" s="184">
        <f t="shared" si="24"/>
        <v>72.104864161573985</v>
      </c>
      <c r="AH33" s="181">
        <f t="shared" si="28"/>
        <v>8</v>
      </c>
      <c r="AI33" s="588"/>
      <c r="AJ33" s="187">
        <v>25</v>
      </c>
      <c r="AK33" s="187">
        <v>1803.0216040393495</v>
      </c>
      <c r="AL33" s="184">
        <f t="shared" si="25"/>
        <v>72.120864161573977</v>
      </c>
      <c r="AM33" s="181">
        <f t="shared" si="29"/>
        <v>8</v>
      </c>
      <c r="AN33" s="588"/>
      <c r="AO33" s="187">
        <v>25</v>
      </c>
      <c r="AP33" s="187">
        <v>1803.0216040393495</v>
      </c>
      <c r="AQ33" s="184">
        <f t="shared" si="26"/>
        <v>72.120864161573977</v>
      </c>
      <c r="AR33" s="181">
        <f t="shared" si="30"/>
        <v>8</v>
      </c>
      <c r="AS33" s="588"/>
      <c r="AT33" s="187">
        <v>25</v>
      </c>
      <c r="AU33" s="187">
        <v>1803.4216040393492</v>
      </c>
      <c r="AV33" s="184">
        <f t="shared" si="27"/>
        <v>72.136864161573968</v>
      </c>
      <c r="AW33" s="181">
        <f t="shared" si="31"/>
        <v>8</v>
      </c>
      <c r="AX33" s="588"/>
    </row>
    <row r="34" spans="2:50" ht="14.25" customHeight="1">
      <c r="B34" s="586"/>
      <c r="C34" s="179">
        <v>8</v>
      </c>
      <c r="D34" s="182" t="s">
        <v>524</v>
      </c>
      <c r="E34" s="179">
        <v>20</v>
      </c>
      <c r="F34" s="179">
        <v>2000</v>
      </c>
      <c r="G34" s="184">
        <f t="shared" si="16"/>
        <v>100</v>
      </c>
      <c r="H34" s="588"/>
      <c r="I34" s="185">
        <f t="shared" si="18"/>
        <v>20</v>
      </c>
      <c r="J34" s="185">
        <f t="shared" si="18"/>
        <v>1801.7891523454018</v>
      </c>
      <c r="K34" s="186">
        <f t="shared" si="18"/>
        <v>90.089457617270099</v>
      </c>
      <c r="L34" s="589"/>
      <c r="M34" s="185">
        <f>RANK(K34, K$27:$K$41)</f>
        <v>1</v>
      </c>
      <c r="N34" s="586"/>
      <c r="O34" s="586"/>
      <c r="P34" s="187">
        <v>20</v>
      </c>
      <c r="Q34" s="187">
        <v>1800.6459067643752</v>
      </c>
      <c r="R34" s="184">
        <f t="shared" si="19"/>
        <v>90.032295338218759</v>
      </c>
      <c r="S34" s="181">
        <f t="shared" si="20"/>
        <v>1</v>
      </c>
      <c r="T34" s="588"/>
      <c r="U34" s="187">
        <v>20</v>
      </c>
      <c r="V34" s="187">
        <v>1801.1796932755731</v>
      </c>
      <c r="W34" s="184">
        <f t="shared" si="17"/>
        <v>90.058984663778659</v>
      </c>
      <c r="X34" s="181">
        <f t="shared" si="21"/>
        <v>1</v>
      </c>
      <c r="Y34" s="588"/>
      <c r="Z34" s="187">
        <v>20</v>
      </c>
      <c r="AA34" s="187">
        <v>1801.5796932755732</v>
      </c>
      <c r="AB34" s="184">
        <f t="shared" si="22"/>
        <v>90.078984663778655</v>
      </c>
      <c r="AC34" s="181">
        <f t="shared" si="23"/>
        <v>1</v>
      </c>
      <c r="AD34" s="588"/>
      <c r="AE34" s="187">
        <v>20</v>
      </c>
      <c r="AF34" s="187">
        <v>1801.5796932755732</v>
      </c>
      <c r="AG34" s="184">
        <f t="shared" si="24"/>
        <v>90.078984663778655</v>
      </c>
      <c r="AH34" s="181">
        <f t="shared" si="28"/>
        <v>1</v>
      </c>
      <c r="AI34" s="588"/>
      <c r="AJ34" s="187">
        <v>20</v>
      </c>
      <c r="AK34" s="187">
        <v>1802.1796932755731</v>
      </c>
      <c r="AL34" s="184">
        <f t="shared" si="25"/>
        <v>90.108984663778656</v>
      </c>
      <c r="AM34" s="181">
        <f t="shared" si="29"/>
        <v>1</v>
      </c>
      <c r="AN34" s="588"/>
      <c r="AO34" s="187">
        <v>20</v>
      </c>
      <c r="AP34" s="187">
        <v>1802.5796932755732</v>
      </c>
      <c r="AQ34" s="184">
        <f t="shared" si="26"/>
        <v>90.128984663778652</v>
      </c>
      <c r="AR34" s="181">
        <f t="shared" si="30"/>
        <v>1</v>
      </c>
      <c r="AS34" s="588"/>
      <c r="AT34" s="187">
        <v>20</v>
      </c>
      <c r="AU34" s="187">
        <v>1802.7796932755728</v>
      </c>
      <c r="AV34" s="184">
        <f t="shared" si="27"/>
        <v>90.138984663778643</v>
      </c>
      <c r="AW34" s="181">
        <f t="shared" si="31"/>
        <v>1</v>
      </c>
      <c r="AX34" s="588"/>
    </row>
    <row r="35" spans="2:50" ht="14.25" customHeight="1">
      <c r="B35" s="586"/>
      <c r="C35" s="179">
        <v>9</v>
      </c>
      <c r="D35" s="182" t="s">
        <v>562</v>
      </c>
      <c r="E35" s="179">
        <v>24</v>
      </c>
      <c r="F35" s="179">
        <v>2000</v>
      </c>
      <c r="G35" s="184">
        <f t="shared" si="16"/>
        <v>83.333333333333329</v>
      </c>
      <c r="H35" s="588"/>
      <c r="I35" s="185">
        <f t="shared" si="18"/>
        <v>24</v>
      </c>
      <c r="J35" s="185">
        <f t="shared" si="18"/>
        <v>1803.5262314693098</v>
      </c>
      <c r="K35" s="186">
        <f t="shared" si="18"/>
        <v>75.146926311221236</v>
      </c>
      <c r="L35" s="589"/>
      <c r="M35" s="185">
        <f>RANK(K35, K$27:$K$41)</f>
        <v>7</v>
      </c>
      <c r="N35" s="586"/>
      <c r="O35" s="586"/>
      <c r="P35" s="187">
        <v>24</v>
      </c>
      <c r="Q35" s="187">
        <v>1801.4841751572374</v>
      </c>
      <c r="R35" s="184">
        <f t="shared" si="19"/>
        <v>75.061840631551561</v>
      </c>
      <c r="S35" s="181">
        <f t="shared" si="20"/>
        <v>8</v>
      </c>
      <c r="T35" s="588"/>
      <c r="U35" s="187">
        <v>24</v>
      </c>
      <c r="V35" s="187">
        <v>1803.1665741879888</v>
      </c>
      <c r="W35" s="184">
        <f t="shared" si="17"/>
        <v>75.131940591166199</v>
      </c>
      <c r="X35" s="181">
        <f t="shared" si="21"/>
        <v>7</v>
      </c>
      <c r="Y35" s="588"/>
      <c r="Z35" s="187">
        <v>24</v>
      </c>
      <c r="AA35" s="187">
        <v>1803.7665741879889</v>
      </c>
      <c r="AB35" s="184">
        <f t="shared" si="22"/>
        <v>75.156940591166205</v>
      </c>
      <c r="AC35" s="181">
        <f t="shared" si="23"/>
        <v>6</v>
      </c>
      <c r="AD35" s="588"/>
      <c r="AE35" s="187">
        <v>24</v>
      </c>
      <c r="AF35" s="187">
        <v>1803.7665741879887</v>
      </c>
      <c r="AG35" s="184">
        <f t="shared" si="24"/>
        <v>75.15694059116619</v>
      </c>
      <c r="AH35" s="181">
        <f t="shared" si="28"/>
        <v>6</v>
      </c>
      <c r="AI35" s="588"/>
      <c r="AJ35" s="187">
        <v>24</v>
      </c>
      <c r="AK35" s="187">
        <v>1803.7665741879887</v>
      </c>
      <c r="AL35" s="184">
        <f t="shared" si="25"/>
        <v>75.15694059116619</v>
      </c>
      <c r="AM35" s="181">
        <f t="shared" si="29"/>
        <v>6</v>
      </c>
      <c r="AN35" s="588"/>
      <c r="AO35" s="187">
        <v>24</v>
      </c>
      <c r="AP35" s="187">
        <v>1804.1665741879883</v>
      </c>
      <c r="AQ35" s="184">
        <f t="shared" si="26"/>
        <v>75.173607257832842</v>
      </c>
      <c r="AR35" s="181">
        <f t="shared" si="30"/>
        <v>6</v>
      </c>
      <c r="AS35" s="588"/>
      <c r="AT35" s="187">
        <v>24</v>
      </c>
      <c r="AU35" s="187">
        <v>1804.5665741879882</v>
      </c>
      <c r="AV35" s="184">
        <f t="shared" si="27"/>
        <v>75.190273924499508</v>
      </c>
      <c r="AW35" s="181">
        <f t="shared" si="31"/>
        <v>6</v>
      </c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137</v>
      </c>
      <c r="C47" s="179">
        <v>1</v>
      </c>
      <c r="D47" s="182" t="s">
        <v>330</v>
      </c>
      <c r="E47" s="183">
        <v>24</v>
      </c>
      <c r="F47" s="179">
        <v>2000</v>
      </c>
      <c r="G47" s="184">
        <f t="shared" ref="G47:G54" si="32">IFERROR(F47/E47,"")</f>
        <v>83.333333333333329</v>
      </c>
      <c r="H47" s="588">
        <f>AVERAGE(G47:G61)</f>
        <v>88.936100131752312</v>
      </c>
      <c r="I47" s="185">
        <f>AVERAGE(P47,U47,Z47,AE47,AJ47,AO47,AT47)</f>
        <v>24</v>
      </c>
      <c r="J47" s="185">
        <f>AVERAGE(Q47,V47,AA47,AF47,AK47,AP47,AU47)</f>
        <v>1804.3103701457853</v>
      </c>
      <c r="K47" s="186">
        <f>AVERAGE(R47,W47,AB47,AG47,AL47,AQ47,AV47)</f>
        <v>75.179598756074384</v>
      </c>
      <c r="L47" s="589">
        <f>IFERROR(AVERAGE(K47:K61),"-")</f>
        <v>80.159881732420288</v>
      </c>
      <c r="M47" s="185">
        <f>RANK(K47, K$47:$K$61)</f>
        <v>6</v>
      </c>
      <c r="N47" s="586"/>
      <c r="O47" s="586"/>
      <c r="P47" s="187">
        <v>24</v>
      </c>
      <c r="Q47" s="187">
        <v>1804.1103701457851</v>
      </c>
      <c r="R47" s="184">
        <f>IFERROR(Q47/P47,"")</f>
        <v>75.171265422741044</v>
      </c>
      <c r="S47" s="181">
        <f>RANK(R47, R$47:R$61)</f>
        <v>7</v>
      </c>
      <c r="T47" s="588">
        <f>AVERAGE(R47:R61)</f>
        <v>80.168733393440405</v>
      </c>
      <c r="U47" s="187">
        <v>24</v>
      </c>
      <c r="V47" s="187">
        <v>1803.5103701457856</v>
      </c>
      <c r="W47" s="184">
        <f t="shared" ref="W47:W54" si="33">IFERROR(V47/U47,"")</f>
        <v>75.146265422741067</v>
      </c>
      <c r="X47" s="181">
        <f>RANK(W47, W$47:W$61)</f>
        <v>7</v>
      </c>
      <c r="Y47" s="588">
        <f>AVERAGE(W47:W61)</f>
        <v>80.170157141793524</v>
      </c>
      <c r="Z47" s="187">
        <v>24</v>
      </c>
      <c r="AA47" s="187">
        <v>1803.9103701457857</v>
      </c>
      <c r="AB47" s="184">
        <f>IFERROR(AA47/Z47,"")</f>
        <v>75.162932089407732</v>
      </c>
      <c r="AC47" s="181">
        <f>RANK(AB47, AB$47:AB$61)</f>
        <v>6</v>
      </c>
      <c r="AD47" s="588">
        <f>AVERAGE(AB47:AB61)</f>
        <v>80.157536917814582</v>
      </c>
      <c r="AE47" s="187">
        <v>24</v>
      </c>
      <c r="AF47" s="187">
        <v>1804.9103701457855</v>
      </c>
      <c r="AG47" s="184">
        <f>IFERROR(AF47/AE47,"")</f>
        <v>75.20459875607439</v>
      </c>
      <c r="AH47" s="181">
        <f>RANK(AG47, AG$47:AG$61)</f>
        <v>6</v>
      </c>
      <c r="AI47" s="588">
        <f>AVERAGE(AG47:AG61)</f>
        <v>80.150905165508917</v>
      </c>
      <c r="AJ47" s="187">
        <v>24</v>
      </c>
      <c r="AK47" s="187">
        <v>1804.7103701457854</v>
      </c>
      <c r="AL47" s="184">
        <f>IFERROR(AK47/AJ47,"")</f>
        <v>75.196265422741064</v>
      </c>
      <c r="AM47" s="181">
        <f>RANK(AL47, AL$47:AL$61)</f>
        <v>6</v>
      </c>
      <c r="AN47" s="588">
        <f>AVERAGE(AL47:AL61)</f>
        <v>80.159431351279679</v>
      </c>
      <c r="AO47" s="187">
        <v>24</v>
      </c>
      <c r="AP47" s="187">
        <v>1804.1103701457857</v>
      </c>
      <c r="AQ47" s="184">
        <f>IFERROR(AP47/AO47,"")</f>
        <v>75.171265422741072</v>
      </c>
      <c r="AR47" s="181">
        <f>RANK(AQ47, AQ$47:AQ$61)</f>
        <v>7</v>
      </c>
      <c r="AS47" s="588">
        <f>AVERAGE(AQ47:AQ61)</f>
        <v>80.15625645009392</v>
      </c>
      <c r="AT47" s="187">
        <v>24</v>
      </c>
      <c r="AU47" s="187">
        <v>1804.9103701457857</v>
      </c>
      <c r="AV47" s="184">
        <f>IFERROR(AU47/AT47,"")</f>
        <v>75.204598756074404</v>
      </c>
      <c r="AW47" s="181">
        <f>RANK(AV47, AV$47:AV$61)</f>
        <v>7</v>
      </c>
      <c r="AX47" s="588">
        <f>AVERAGE(AV47:AV61)</f>
        <v>80.156151707010906</v>
      </c>
    </row>
    <row r="48" spans="2:50" ht="14.25" customHeight="1">
      <c r="B48" s="586"/>
      <c r="C48" s="179">
        <v>2</v>
      </c>
      <c r="D48" s="182" t="s">
        <v>331</v>
      </c>
      <c r="E48" s="179">
        <v>23</v>
      </c>
      <c r="F48" s="179">
        <v>2000</v>
      </c>
      <c r="G48" s="184">
        <f t="shared" si="32"/>
        <v>86.956521739130437</v>
      </c>
      <c r="H48" s="588"/>
      <c r="I48" s="185">
        <f t="shared" ref="I48:K54" si="34">AVERAGE(P48,U48,Z48,AE48,AJ48,AO48,AT48)</f>
        <v>23</v>
      </c>
      <c r="J48" s="185">
        <f t="shared" si="34"/>
        <v>1801.8330089793192</v>
      </c>
      <c r="K48" s="186">
        <f t="shared" si="34"/>
        <v>78.340565607796492</v>
      </c>
      <c r="L48" s="589"/>
      <c r="M48" s="185">
        <f>RANK(K48, K$47:$K$61)</f>
        <v>5</v>
      </c>
      <c r="N48" s="586"/>
      <c r="O48" s="586"/>
      <c r="P48" s="187">
        <v>23</v>
      </c>
      <c r="Q48" s="187">
        <v>1802.0615804078907</v>
      </c>
      <c r="R48" s="184">
        <f t="shared" ref="R48:R54" si="35">IFERROR(Q48/P48,"")</f>
        <v>78.350503495995241</v>
      </c>
      <c r="S48" s="181">
        <f t="shared" ref="S48:S54" si="36">RANK(R48, R$47:R$61)</f>
        <v>5</v>
      </c>
      <c r="T48" s="588"/>
      <c r="U48" s="187">
        <v>23</v>
      </c>
      <c r="V48" s="187">
        <v>1803.0615804078905</v>
      </c>
      <c r="W48" s="184">
        <f t="shared" si="33"/>
        <v>78.393981756864804</v>
      </c>
      <c r="X48" s="181">
        <f t="shared" ref="X48:X54" si="37">RANK(W48, W$47:W$61)</f>
        <v>4</v>
      </c>
      <c r="Y48" s="588"/>
      <c r="Z48" s="187">
        <v>23</v>
      </c>
      <c r="AA48" s="187">
        <v>1802.2615804078905</v>
      </c>
      <c r="AB48" s="184">
        <f t="shared" ref="AB48:AB54" si="38">IFERROR(AA48/Z48,"")</f>
        <v>78.359199148169154</v>
      </c>
      <c r="AC48" s="181">
        <f t="shared" ref="AC48:AC54" si="39">RANK(AB48, AB$47:AB$61)</f>
        <v>4</v>
      </c>
      <c r="AD48" s="588"/>
      <c r="AE48" s="187">
        <v>23</v>
      </c>
      <c r="AF48" s="187">
        <v>1801.8615804078906</v>
      </c>
      <c r="AG48" s="184">
        <f t="shared" ref="AG48:AG54" si="40">IFERROR(AF48/AE48,"")</f>
        <v>78.341807843821329</v>
      </c>
      <c r="AH48" s="181">
        <f t="shared" ref="AH48:AH54" si="41">RANK(AG48, AG$47:AG$61)</f>
        <v>4</v>
      </c>
      <c r="AI48" s="588"/>
      <c r="AJ48" s="187">
        <v>23</v>
      </c>
      <c r="AK48" s="187">
        <v>1801.261580407891</v>
      </c>
      <c r="AL48" s="184">
        <f t="shared" ref="AL48:AL54" si="42">IFERROR(AK48/AJ48,"")</f>
        <v>78.315720887299605</v>
      </c>
      <c r="AM48" s="181">
        <f t="shared" ref="AM48:AM54" si="43">RANK(AL48, AL$47:AL$61)</f>
        <v>5</v>
      </c>
      <c r="AN48" s="588"/>
      <c r="AO48" s="187">
        <v>23</v>
      </c>
      <c r="AP48" s="187">
        <v>1801.6615804078904</v>
      </c>
      <c r="AQ48" s="184">
        <f t="shared" ref="AQ48:AQ54" si="44">IFERROR(AP48/AO48,"")</f>
        <v>78.333112191647402</v>
      </c>
      <c r="AR48" s="181">
        <f t="shared" ref="AR48:AR54" si="45">RANK(AQ48, AQ$47:AQ$61)</f>
        <v>5</v>
      </c>
      <c r="AS48" s="588"/>
      <c r="AT48" s="187">
        <v>23</v>
      </c>
      <c r="AU48" s="187">
        <v>1800.6615804078904</v>
      </c>
      <c r="AV48" s="184">
        <f t="shared" ref="AV48:AV54" si="46">IFERROR(AU48/AT48,"")</f>
        <v>78.289633930777839</v>
      </c>
      <c r="AW48" s="181">
        <f t="shared" ref="AW48:AW54" si="47">RANK(AV48, AV$47:AV$61)</f>
        <v>5</v>
      </c>
      <c r="AX48" s="588"/>
    </row>
    <row r="49" spans="2:50" ht="14.25" customHeight="1">
      <c r="B49" s="586"/>
      <c r="C49" s="179">
        <v>3</v>
      </c>
      <c r="D49" s="182" t="s">
        <v>411</v>
      </c>
      <c r="E49" s="179">
        <v>23</v>
      </c>
      <c r="F49" s="179">
        <v>2000</v>
      </c>
      <c r="G49" s="184">
        <f t="shared" si="32"/>
        <v>86.956521739130437</v>
      </c>
      <c r="H49" s="588"/>
      <c r="I49" s="185">
        <f t="shared" si="34"/>
        <v>23</v>
      </c>
      <c r="J49" s="185">
        <f t="shared" si="34"/>
        <v>1802.2653912242042</v>
      </c>
      <c r="K49" s="186">
        <f t="shared" si="34"/>
        <v>78.359364835834981</v>
      </c>
      <c r="L49" s="589"/>
      <c r="M49" s="185">
        <f>RANK(K49, K$47:$K$61)</f>
        <v>4</v>
      </c>
      <c r="N49" s="586"/>
      <c r="O49" s="586"/>
      <c r="P49" s="187">
        <v>23</v>
      </c>
      <c r="Q49" s="187">
        <v>1802.77967693849</v>
      </c>
      <c r="R49" s="184">
        <f t="shared" si="35"/>
        <v>78.381725084282166</v>
      </c>
      <c r="S49" s="181">
        <f t="shared" si="36"/>
        <v>4</v>
      </c>
      <c r="T49" s="588"/>
      <c r="U49" s="187">
        <v>23</v>
      </c>
      <c r="V49" s="187">
        <v>1802.3796769384901</v>
      </c>
      <c r="W49" s="184">
        <f t="shared" si="33"/>
        <v>78.364333779934356</v>
      </c>
      <c r="X49" s="181">
        <f t="shared" si="37"/>
        <v>5</v>
      </c>
      <c r="Y49" s="588"/>
      <c r="Z49" s="187">
        <v>23</v>
      </c>
      <c r="AA49" s="187">
        <v>1801.9796769384902</v>
      </c>
      <c r="AB49" s="184">
        <f t="shared" si="38"/>
        <v>78.34694247558653</v>
      </c>
      <c r="AC49" s="181">
        <f t="shared" si="39"/>
        <v>5</v>
      </c>
      <c r="AD49" s="588"/>
      <c r="AE49" s="187">
        <v>23</v>
      </c>
      <c r="AF49" s="187">
        <v>1801.3796769384903</v>
      </c>
      <c r="AG49" s="184">
        <f t="shared" si="40"/>
        <v>78.320855519064793</v>
      </c>
      <c r="AH49" s="181">
        <f t="shared" si="41"/>
        <v>5</v>
      </c>
      <c r="AI49" s="588"/>
      <c r="AJ49" s="187">
        <v>23</v>
      </c>
      <c r="AK49" s="187">
        <v>1802.3796769384903</v>
      </c>
      <c r="AL49" s="184">
        <f t="shared" si="42"/>
        <v>78.364333779934356</v>
      </c>
      <c r="AM49" s="181">
        <f t="shared" si="43"/>
        <v>4</v>
      </c>
      <c r="AN49" s="588"/>
      <c r="AO49" s="187">
        <v>23</v>
      </c>
      <c r="AP49" s="187">
        <v>1802.77967693849</v>
      </c>
      <c r="AQ49" s="184">
        <f t="shared" si="44"/>
        <v>78.381725084282166</v>
      </c>
      <c r="AR49" s="181">
        <f t="shared" si="45"/>
        <v>4</v>
      </c>
      <c r="AS49" s="588"/>
      <c r="AT49" s="187">
        <v>23</v>
      </c>
      <c r="AU49" s="187">
        <v>1802.17967693849</v>
      </c>
      <c r="AV49" s="184">
        <f t="shared" si="46"/>
        <v>78.355638127760443</v>
      </c>
      <c r="AW49" s="181">
        <f t="shared" si="47"/>
        <v>4</v>
      </c>
      <c r="AX49" s="588"/>
    </row>
    <row r="50" spans="2:50" ht="14.25" customHeight="1">
      <c r="B50" s="586"/>
      <c r="C50" s="179">
        <v>4</v>
      </c>
      <c r="D50" s="182" t="s">
        <v>413</v>
      </c>
      <c r="E50" s="179">
        <v>22</v>
      </c>
      <c r="F50" s="179">
        <v>2000</v>
      </c>
      <c r="G50" s="184">
        <f t="shared" si="32"/>
        <v>90.909090909090907</v>
      </c>
      <c r="H50" s="588"/>
      <c r="I50" s="185">
        <f t="shared" si="34"/>
        <v>22</v>
      </c>
      <c r="J50" s="185">
        <f t="shared" si="34"/>
        <v>1801.356663867203</v>
      </c>
      <c r="K50" s="186">
        <f t="shared" si="34"/>
        <v>81.879848357600139</v>
      </c>
      <c r="L50" s="589"/>
      <c r="M50" s="185">
        <f>RANK(K50, K$47:$K$61)</f>
        <v>3</v>
      </c>
      <c r="N50" s="586"/>
      <c r="O50" s="586"/>
      <c r="P50" s="187">
        <v>22</v>
      </c>
      <c r="Q50" s="187">
        <v>1803.0138067243454</v>
      </c>
      <c r="R50" s="184">
        <f t="shared" si="35"/>
        <v>81.95517303292479</v>
      </c>
      <c r="S50" s="181">
        <f t="shared" si="36"/>
        <v>3</v>
      </c>
      <c r="T50" s="588"/>
      <c r="U50" s="187">
        <v>22</v>
      </c>
      <c r="V50" s="187">
        <v>1802.2138067243454</v>
      </c>
      <c r="W50" s="184">
        <f t="shared" si="33"/>
        <v>81.918809396561159</v>
      </c>
      <c r="X50" s="181">
        <f t="shared" si="37"/>
        <v>3</v>
      </c>
      <c r="Y50" s="588"/>
      <c r="Z50" s="187">
        <v>22</v>
      </c>
      <c r="AA50" s="187">
        <v>1801.2138067243454</v>
      </c>
      <c r="AB50" s="184">
        <f t="shared" si="38"/>
        <v>81.873354851106612</v>
      </c>
      <c r="AC50" s="181">
        <f t="shared" si="39"/>
        <v>3</v>
      </c>
      <c r="AD50" s="588"/>
      <c r="AE50" s="187">
        <v>22</v>
      </c>
      <c r="AF50" s="187">
        <v>1801.4138067243455</v>
      </c>
      <c r="AG50" s="184">
        <f t="shared" si="40"/>
        <v>81.882445760197527</v>
      </c>
      <c r="AH50" s="181">
        <f t="shared" si="41"/>
        <v>3</v>
      </c>
      <c r="AI50" s="588"/>
      <c r="AJ50" s="187">
        <v>22</v>
      </c>
      <c r="AK50" s="187">
        <v>1801.0138067243458</v>
      </c>
      <c r="AL50" s="184">
        <f t="shared" si="42"/>
        <v>81.864263942015725</v>
      </c>
      <c r="AM50" s="181">
        <f t="shared" si="43"/>
        <v>3</v>
      </c>
      <c r="AN50" s="588"/>
      <c r="AO50" s="187">
        <v>22</v>
      </c>
      <c r="AP50" s="187">
        <v>1800.613806724346</v>
      </c>
      <c r="AQ50" s="184">
        <f t="shared" si="44"/>
        <v>81.846082123833909</v>
      </c>
      <c r="AR50" s="181">
        <f t="shared" si="45"/>
        <v>3</v>
      </c>
      <c r="AS50" s="588"/>
      <c r="AT50" s="187">
        <v>22</v>
      </c>
      <c r="AU50" s="187">
        <v>1800.0138067243463</v>
      </c>
      <c r="AV50" s="184">
        <f t="shared" si="46"/>
        <v>81.818809396561193</v>
      </c>
      <c r="AW50" s="181">
        <f t="shared" si="47"/>
        <v>3</v>
      </c>
      <c r="AX50" s="588"/>
    </row>
    <row r="51" spans="2:50" ht="14.25" customHeight="1">
      <c r="B51" s="586"/>
      <c r="C51" s="179">
        <v>5</v>
      </c>
      <c r="D51" s="182" t="s">
        <v>415</v>
      </c>
      <c r="E51" s="179">
        <v>20</v>
      </c>
      <c r="F51" s="179">
        <v>2000</v>
      </c>
      <c r="G51" s="184">
        <f t="shared" si="32"/>
        <v>100</v>
      </c>
      <c r="H51" s="588"/>
      <c r="I51" s="185">
        <f t="shared" si="34"/>
        <v>20</v>
      </c>
      <c r="J51" s="185">
        <f t="shared" si="34"/>
        <v>1802.1482139012248</v>
      </c>
      <c r="K51" s="186">
        <f t="shared" si="34"/>
        <v>90.107410695061262</v>
      </c>
      <c r="L51" s="589"/>
      <c r="M51" s="185">
        <f>RANK(K51, K$47:$K$61)</f>
        <v>1</v>
      </c>
      <c r="N51" s="586"/>
      <c r="O51" s="586"/>
      <c r="P51" s="187">
        <v>20</v>
      </c>
      <c r="Q51" s="187">
        <v>1801.948213901225</v>
      </c>
      <c r="R51" s="184">
        <f t="shared" si="35"/>
        <v>90.097410695061257</v>
      </c>
      <c r="S51" s="181">
        <f t="shared" si="36"/>
        <v>2</v>
      </c>
      <c r="T51" s="588"/>
      <c r="U51" s="187">
        <v>20</v>
      </c>
      <c r="V51" s="187">
        <v>1802.3482139012251</v>
      </c>
      <c r="W51" s="184">
        <f t="shared" si="33"/>
        <v>90.117410695061253</v>
      </c>
      <c r="X51" s="181">
        <f t="shared" si="37"/>
        <v>2</v>
      </c>
      <c r="Y51" s="588"/>
      <c r="Z51" s="187">
        <v>20</v>
      </c>
      <c r="AA51" s="187">
        <v>1802.1482139012251</v>
      </c>
      <c r="AB51" s="184">
        <f t="shared" si="38"/>
        <v>90.107410695061247</v>
      </c>
      <c r="AC51" s="181">
        <f t="shared" si="39"/>
        <v>2</v>
      </c>
      <c r="AD51" s="588"/>
      <c r="AE51" s="187">
        <v>20</v>
      </c>
      <c r="AF51" s="187">
        <v>1802.3482139012253</v>
      </c>
      <c r="AG51" s="184">
        <f t="shared" si="40"/>
        <v>90.117410695061267</v>
      </c>
      <c r="AH51" s="181">
        <f t="shared" si="41"/>
        <v>1</v>
      </c>
      <c r="AI51" s="588"/>
      <c r="AJ51" s="187">
        <v>20</v>
      </c>
      <c r="AK51" s="187">
        <v>1802.3482139012253</v>
      </c>
      <c r="AL51" s="184">
        <f t="shared" si="42"/>
        <v>90.117410695061267</v>
      </c>
      <c r="AM51" s="181">
        <f t="shared" si="43"/>
        <v>1</v>
      </c>
      <c r="AN51" s="588"/>
      <c r="AO51" s="187">
        <v>20</v>
      </c>
      <c r="AP51" s="187">
        <v>1801.7482139012252</v>
      </c>
      <c r="AQ51" s="184">
        <f t="shared" si="44"/>
        <v>90.087410695061266</v>
      </c>
      <c r="AR51" s="181">
        <f t="shared" si="45"/>
        <v>1</v>
      </c>
      <c r="AS51" s="588"/>
      <c r="AT51" s="187">
        <v>20</v>
      </c>
      <c r="AU51" s="187">
        <v>1802.1482139012251</v>
      </c>
      <c r="AV51" s="184">
        <f t="shared" si="46"/>
        <v>90.107410695061247</v>
      </c>
      <c r="AW51" s="181">
        <f t="shared" si="47"/>
        <v>1</v>
      </c>
      <c r="AX51" s="588"/>
    </row>
    <row r="52" spans="2:50" ht="14.25" customHeight="1">
      <c r="B52" s="586"/>
      <c r="C52" s="179">
        <v>6</v>
      </c>
      <c r="D52" s="182" t="s">
        <v>471</v>
      </c>
      <c r="E52" s="179">
        <v>25</v>
      </c>
      <c r="F52" s="179">
        <v>2000</v>
      </c>
      <c r="G52" s="184">
        <f t="shared" si="32"/>
        <v>80</v>
      </c>
      <c r="H52" s="588"/>
      <c r="I52" s="185">
        <f t="shared" si="34"/>
        <v>25</v>
      </c>
      <c r="J52" s="185">
        <f t="shared" si="34"/>
        <v>1803.5930326107775</v>
      </c>
      <c r="K52" s="186">
        <f t="shared" si="34"/>
        <v>72.143721304431082</v>
      </c>
      <c r="L52" s="589"/>
      <c r="M52" s="185">
        <f>RANK(K52, K$47:$K$61)</f>
        <v>8</v>
      </c>
      <c r="N52" s="586"/>
      <c r="O52" s="586"/>
      <c r="P52" s="187">
        <v>25</v>
      </c>
      <c r="Q52" s="187">
        <v>1802.8216040393493</v>
      </c>
      <c r="R52" s="184">
        <f t="shared" si="35"/>
        <v>72.112864161573967</v>
      </c>
      <c r="S52" s="181">
        <f t="shared" si="36"/>
        <v>8</v>
      </c>
      <c r="T52" s="588"/>
      <c r="U52" s="187">
        <v>25</v>
      </c>
      <c r="V52" s="187">
        <v>1803.8216040393488</v>
      </c>
      <c r="W52" s="184">
        <f t="shared" si="33"/>
        <v>72.152864161573959</v>
      </c>
      <c r="X52" s="181">
        <f t="shared" si="37"/>
        <v>8</v>
      </c>
      <c r="Y52" s="588"/>
      <c r="Z52" s="187">
        <v>25</v>
      </c>
      <c r="AA52" s="187">
        <v>1803.8216040393486</v>
      </c>
      <c r="AB52" s="184">
        <f t="shared" si="38"/>
        <v>72.152864161573945</v>
      </c>
      <c r="AC52" s="181">
        <f t="shared" si="39"/>
        <v>8</v>
      </c>
      <c r="AD52" s="588"/>
      <c r="AE52" s="187">
        <v>25</v>
      </c>
      <c r="AF52" s="187">
        <v>1803.0216040393489</v>
      </c>
      <c r="AG52" s="184">
        <f t="shared" si="40"/>
        <v>72.120864161573948</v>
      </c>
      <c r="AH52" s="181">
        <f t="shared" si="41"/>
        <v>8</v>
      </c>
      <c r="AI52" s="588"/>
      <c r="AJ52" s="187">
        <v>25</v>
      </c>
      <c r="AK52" s="187">
        <v>1803.6216040393488</v>
      </c>
      <c r="AL52" s="184">
        <f t="shared" si="42"/>
        <v>72.144864161573949</v>
      </c>
      <c r="AM52" s="181">
        <f t="shared" si="43"/>
        <v>8</v>
      </c>
      <c r="AN52" s="588"/>
      <c r="AO52" s="187">
        <v>25</v>
      </c>
      <c r="AP52" s="187">
        <v>1803.8216040393486</v>
      </c>
      <c r="AQ52" s="184">
        <f t="shared" si="44"/>
        <v>72.152864161573945</v>
      </c>
      <c r="AR52" s="181">
        <f t="shared" si="45"/>
        <v>8</v>
      </c>
      <c r="AS52" s="588"/>
      <c r="AT52" s="187">
        <v>25</v>
      </c>
      <c r="AU52" s="187">
        <v>1804.2216040393487</v>
      </c>
      <c r="AV52" s="184">
        <f t="shared" si="46"/>
        <v>72.16886416157395</v>
      </c>
      <c r="AW52" s="181">
        <f t="shared" si="47"/>
        <v>8</v>
      </c>
      <c r="AX52" s="588"/>
    </row>
    <row r="53" spans="2:50" ht="14.25" customHeight="1">
      <c r="B53" s="586"/>
      <c r="C53" s="179">
        <v>7</v>
      </c>
      <c r="D53" s="182" t="s">
        <v>524</v>
      </c>
      <c r="E53" s="179">
        <v>20</v>
      </c>
      <c r="F53" s="179">
        <v>2000</v>
      </c>
      <c r="G53" s="184">
        <f t="shared" si="32"/>
        <v>100</v>
      </c>
      <c r="H53" s="588"/>
      <c r="I53" s="185">
        <f t="shared" si="34"/>
        <v>20</v>
      </c>
      <c r="J53" s="185">
        <f t="shared" si="34"/>
        <v>1801.9225504184299</v>
      </c>
      <c r="K53" s="186">
        <f t="shared" si="34"/>
        <v>90.096127520921513</v>
      </c>
      <c r="L53" s="589"/>
      <c r="M53" s="185">
        <f>RANK(K53, K$47:$K$61)</f>
        <v>2</v>
      </c>
      <c r="N53" s="586"/>
      <c r="O53" s="586"/>
      <c r="P53" s="187">
        <v>20</v>
      </c>
      <c r="Q53" s="187">
        <v>1801.979693275573</v>
      </c>
      <c r="R53" s="184">
        <f t="shared" si="35"/>
        <v>90.098984663778651</v>
      </c>
      <c r="S53" s="181">
        <f t="shared" si="36"/>
        <v>1</v>
      </c>
      <c r="T53" s="588"/>
      <c r="U53" s="187">
        <v>20</v>
      </c>
      <c r="V53" s="187">
        <v>1802.3796932755727</v>
      </c>
      <c r="W53" s="184">
        <f t="shared" si="33"/>
        <v>90.118984663778633</v>
      </c>
      <c r="X53" s="181">
        <f t="shared" si="37"/>
        <v>1</v>
      </c>
      <c r="Y53" s="588"/>
      <c r="Z53" s="187">
        <v>20</v>
      </c>
      <c r="AA53" s="187">
        <v>1802.1796932755726</v>
      </c>
      <c r="AB53" s="184">
        <f t="shared" si="38"/>
        <v>90.108984663778628</v>
      </c>
      <c r="AC53" s="181">
        <f t="shared" si="39"/>
        <v>1</v>
      </c>
      <c r="AD53" s="588"/>
      <c r="AE53" s="187">
        <v>20</v>
      </c>
      <c r="AF53" s="187">
        <v>1801.5796932755729</v>
      </c>
      <c r="AG53" s="184">
        <f t="shared" si="40"/>
        <v>90.078984663778641</v>
      </c>
      <c r="AH53" s="181">
        <f t="shared" si="41"/>
        <v>2</v>
      </c>
      <c r="AI53" s="588"/>
      <c r="AJ53" s="187">
        <v>20</v>
      </c>
      <c r="AK53" s="187">
        <v>1801.9796932755728</v>
      </c>
      <c r="AL53" s="184">
        <f t="shared" si="42"/>
        <v>90.098984663778637</v>
      </c>
      <c r="AM53" s="181">
        <f t="shared" si="43"/>
        <v>2</v>
      </c>
      <c r="AN53" s="588"/>
      <c r="AO53" s="187">
        <v>20</v>
      </c>
      <c r="AP53" s="187">
        <v>1801.5796932755727</v>
      </c>
      <c r="AQ53" s="184">
        <f t="shared" si="44"/>
        <v>90.078984663778641</v>
      </c>
      <c r="AR53" s="181">
        <f t="shared" si="45"/>
        <v>2</v>
      </c>
      <c r="AS53" s="588"/>
      <c r="AT53" s="187">
        <v>20</v>
      </c>
      <c r="AU53" s="187">
        <v>1801.7796932755728</v>
      </c>
      <c r="AV53" s="184">
        <f t="shared" si="46"/>
        <v>90.088984663778632</v>
      </c>
      <c r="AW53" s="181">
        <f t="shared" si="47"/>
        <v>2</v>
      </c>
      <c r="AX53" s="588"/>
    </row>
    <row r="54" spans="2:50" ht="14.25" customHeight="1">
      <c r="B54" s="586"/>
      <c r="C54" s="179">
        <v>8</v>
      </c>
      <c r="D54" s="182" t="s">
        <v>562</v>
      </c>
      <c r="E54" s="179">
        <v>24</v>
      </c>
      <c r="F54" s="179">
        <v>2000</v>
      </c>
      <c r="G54" s="184">
        <f t="shared" si="32"/>
        <v>83.333333333333329</v>
      </c>
      <c r="H54" s="588"/>
      <c r="I54" s="185">
        <f t="shared" si="34"/>
        <v>24</v>
      </c>
      <c r="J54" s="185">
        <f t="shared" si="34"/>
        <v>1804.1380027594175</v>
      </c>
      <c r="K54" s="186">
        <f t="shared" si="34"/>
        <v>75.172416781642383</v>
      </c>
      <c r="L54" s="589"/>
      <c r="M54" s="185">
        <f>RANK(K54, K$47:$K$61)</f>
        <v>7</v>
      </c>
      <c r="N54" s="586"/>
      <c r="O54" s="586"/>
      <c r="P54" s="187">
        <v>24</v>
      </c>
      <c r="Q54" s="187">
        <v>1804.3665741879886</v>
      </c>
      <c r="R54" s="184">
        <f t="shared" si="35"/>
        <v>75.181940591166196</v>
      </c>
      <c r="S54" s="181">
        <f t="shared" si="36"/>
        <v>6</v>
      </c>
      <c r="T54" s="588"/>
      <c r="U54" s="187">
        <v>24</v>
      </c>
      <c r="V54" s="187">
        <v>1803.5665741879889</v>
      </c>
      <c r="W54" s="184">
        <f t="shared" si="33"/>
        <v>75.148607257832865</v>
      </c>
      <c r="X54" s="181">
        <f t="shared" si="37"/>
        <v>6</v>
      </c>
      <c r="Y54" s="588"/>
      <c r="Z54" s="187">
        <v>24</v>
      </c>
      <c r="AA54" s="187">
        <v>1803.5665741879889</v>
      </c>
      <c r="AB54" s="184">
        <f t="shared" si="38"/>
        <v>75.148607257832865</v>
      </c>
      <c r="AC54" s="181">
        <f t="shared" si="39"/>
        <v>7</v>
      </c>
      <c r="AD54" s="588"/>
      <c r="AE54" s="187">
        <v>24</v>
      </c>
      <c r="AF54" s="187">
        <v>1803.366574187989</v>
      </c>
      <c r="AG54" s="184">
        <f t="shared" si="40"/>
        <v>75.140273924499539</v>
      </c>
      <c r="AH54" s="181">
        <f t="shared" si="41"/>
        <v>7</v>
      </c>
      <c r="AI54" s="588"/>
      <c r="AJ54" s="187">
        <v>24</v>
      </c>
      <c r="AK54" s="187">
        <v>1804.1665741879888</v>
      </c>
      <c r="AL54" s="184">
        <f t="shared" si="42"/>
        <v>75.17360725783287</v>
      </c>
      <c r="AM54" s="181">
        <f t="shared" si="43"/>
        <v>7</v>
      </c>
      <c r="AN54" s="588"/>
      <c r="AO54" s="187">
        <v>24</v>
      </c>
      <c r="AP54" s="187">
        <v>1804.7665741879891</v>
      </c>
      <c r="AQ54" s="184">
        <f t="shared" si="44"/>
        <v>75.198607257832876</v>
      </c>
      <c r="AR54" s="181">
        <f t="shared" si="45"/>
        <v>6</v>
      </c>
      <c r="AS54" s="588"/>
      <c r="AT54" s="187">
        <v>24</v>
      </c>
      <c r="AU54" s="187">
        <v>1805.166574187989</v>
      </c>
      <c r="AV54" s="184">
        <f t="shared" si="46"/>
        <v>75.215273924499542</v>
      </c>
      <c r="AW54" s="181">
        <f t="shared" si="47"/>
        <v>6</v>
      </c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137</v>
      </c>
      <c r="C67" s="179">
        <v>1</v>
      </c>
      <c r="D67" s="182" t="s">
        <v>330</v>
      </c>
      <c r="E67" s="183">
        <v>24</v>
      </c>
      <c r="F67" s="179">
        <v>2000</v>
      </c>
      <c r="G67" s="184">
        <f t="shared" ref="G67:G76" si="48">IFERROR(F67/E67,"")</f>
        <v>83.333333333333329</v>
      </c>
      <c r="H67" s="588">
        <f>AVERAGE(G67:G81)</f>
        <v>87.815546772068529</v>
      </c>
      <c r="I67" s="185">
        <f>AVERAGE(P67,U67,Z67,AE67,AJ67,AO67,AT67)</f>
        <v>24</v>
      </c>
      <c r="J67" s="185">
        <f>AVERAGE(Q67,V67,AA67,AF67,AK67,AP67,AU67)</f>
        <v>1804.4246558600719</v>
      </c>
      <c r="K67" s="186">
        <f>AVERAGE(R67,W67,AB67,AG67,AL67,AQ67,AV67)</f>
        <v>75.184360660836333</v>
      </c>
      <c r="L67" s="589">
        <f>IFERROR(AVERAGE(K67:K81),"-")</f>
        <v>78.664488425164365</v>
      </c>
      <c r="M67" s="185">
        <f>RANK(K67, K$67:$K$81)</f>
        <v>7</v>
      </c>
      <c r="N67" s="586"/>
      <c r="O67" s="586"/>
      <c r="P67" s="187">
        <v>24</v>
      </c>
      <c r="Q67" s="187">
        <v>1804.9103701457857</v>
      </c>
      <c r="R67" s="184">
        <f>IFERROR(Q67/P67,"")</f>
        <v>75.204598756074404</v>
      </c>
      <c r="S67" s="181">
        <f>RANK(R67, R$67:R$81)</f>
        <v>7</v>
      </c>
      <c r="T67" s="588">
        <f>AVERAGE(R67:R81)</f>
        <v>77.79535982044986</v>
      </c>
      <c r="U67" s="187">
        <v>24</v>
      </c>
      <c r="V67" s="187">
        <v>1804.9103701457861</v>
      </c>
      <c r="W67" s="184">
        <f t="shared" ref="W67:W76" si="49">IFERROR(V67/U67,"")</f>
        <v>75.204598756074418</v>
      </c>
      <c r="X67" s="181">
        <f>RANK(W67, W$67:W$81)</f>
        <v>7</v>
      </c>
      <c r="Y67" s="588">
        <f>AVERAGE(W67:W81)</f>
        <v>78.729168712653546</v>
      </c>
      <c r="Z67" s="187">
        <v>24</v>
      </c>
      <c r="AA67" s="187">
        <v>1804.5103701457858</v>
      </c>
      <c r="AB67" s="184">
        <f>IFERROR(AA67/Z67,"")</f>
        <v>75.187932089407738</v>
      </c>
      <c r="AC67" s="181">
        <f>RANK(AB67, AB$67:AB$81)</f>
        <v>7</v>
      </c>
      <c r="AD67" s="588">
        <f>AVERAGE(AB67:AB81)</f>
        <v>79.068394395377467</v>
      </c>
      <c r="AE67" s="187">
        <v>24</v>
      </c>
      <c r="AF67" s="187">
        <v>1804.3103701457858</v>
      </c>
      <c r="AG67" s="184">
        <f>IFERROR(AF67/AE67,"")</f>
        <v>75.179598756074412</v>
      </c>
      <c r="AH67" s="181">
        <f>RANK(AG67, AG$67:AG$81)</f>
        <v>7</v>
      </c>
      <c r="AI67" s="588">
        <f>AVERAGE(AG67:AG81)</f>
        <v>79.430988031285082</v>
      </c>
      <c r="AJ67" s="187">
        <v>24</v>
      </c>
      <c r="AK67" s="187">
        <v>1803.9103701457861</v>
      </c>
      <c r="AL67" s="184">
        <f>IFERROR(AK67/AJ67,"")</f>
        <v>75.162932089407761</v>
      </c>
      <c r="AM67" s="181">
        <f>RANK(AL67, AL$67:AL$81)</f>
        <v>7</v>
      </c>
      <c r="AN67" s="588">
        <f>AVERAGE(AL67:AL81)</f>
        <v>79.914412937184338</v>
      </c>
      <c r="AO67" s="187">
        <v>24</v>
      </c>
      <c r="AP67" s="187">
        <v>1804.5103701457863</v>
      </c>
      <c r="AQ67" s="184">
        <f>IFERROR(AP67/AO67,"")</f>
        <v>75.187932089407767</v>
      </c>
      <c r="AR67" s="181">
        <f>RANK(AQ67, AQ$67:AQ$81)</f>
        <v>9</v>
      </c>
      <c r="AS67" s="588">
        <f>AVERAGE(AQ67:AQ81)</f>
        <v>80.070958058365193</v>
      </c>
      <c r="AT67" s="187">
        <v>24</v>
      </c>
      <c r="AU67" s="187">
        <v>1803.9103701457868</v>
      </c>
      <c r="AV67" s="184">
        <f>IFERROR(AU67/AT67,"")</f>
        <v>75.162932089407789</v>
      </c>
      <c r="AW67" s="181">
        <f>RANK(AV67, AV$67:AV$81)</f>
        <v>9</v>
      </c>
      <c r="AX67" s="588">
        <f>AVERAGE(AV67:AV81)</f>
        <v>80.069123041530176</v>
      </c>
    </row>
    <row r="68" spans="2:50" ht="14.25" customHeight="1">
      <c r="B68" s="586"/>
      <c r="C68" s="179">
        <v>2</v>
      </c>
      <c r="D68" s="182" t="s">
        <v>331</v>
      </c>
      <c r="E68" s="179">
        <v>23</v>
      </c>
      <c r="F68" s="179">
        <v>2000</v>
      </c>
      <c r="G68" s="184">
        <f t="shared" si="48"/>
        <v>86.956521739130437</v>
      </c>
      <c r="H68" s="588"/>
      <c r="I68" s="185">
        <f t="shared" ref="I68:K76" si="50">AVERAGE(P68,U68,Z68,AE68,AJ68,AO68,AT68)</f>
        <v>23</v>
      </c>
      <c r="J68" s="185">
        <f t="shared" si="50"/>
        <v>1801.5849236846666</v>
      </c>
      <c r="K68" s="186">
        <f t="shared" si="50"/>
        <v>78.329779290637674</v>
      </c>
      <c r="L68" s="589"/>
      <c r="M68" s="185">
        <f>RANK(K68, K$67:$K$81)</f>
        <v>5</v>
      </c>
      <c r="N68" s="586"/>
      <c r="O68" s="586"/>
      <c r="P68" s="187">
        <v>23</v>
      </c>
      <c r="Q68" s="187">
        <v>1800.2615804078903</v>
      </c>
      <c r="R68" s="184">
        <f t="shared" ref="R68:R76" si="51">IFERROR(Q68/P68,"")</f>
        <v>78.272242626430014</v>
      </c>
      <c r="S68" s="181">
        <f t="shared" ref="S68:S76" si="52">RANK(R68, R$67:R$81)</f>
        <v>5</v>
      </c>
      <c r="T68" s="588"/>
      <c r="U68" s="187">
        <v>23</v>
      </c>
      <c r="V68" s="187">
        <v>1799.8615804078904</v>
      </c>
      <c r="W68" s="184">
        <f t="shared" si="49"/>
        <v>78.254851322082189</v>
      </c>
      <c r="X68" s="181">
        <f t="shared" ref="X68:X76" si="53">RANK(W68, W$67:W$81)</f>
        <v>5</v>
      </c>
      <c r="Y68" s="588"/>
      <c r="Z68" s="187">
        <v>23</v>
      </c>
      <c r="AA68" s="187">
        <v>1800.0615804078905</v>
      </c>
      <c r="AB68" s="184">
        <f t="shared" ref="AB68:AB76" si="54">IFERROR(AA68/Z68,"")</f>
        <v>78.263546974256101</v>
      </c>
      <c r="AC68" s="181">
        <f t="shared" ref="AC68:AC76" si="55">RANK(AB68, AB$67:AB$81)</f>
        <v>5</v>
      </c>
      <c r="AD68" s="588"/>
      <c r="AE68" s="187">
        <v>23</v>
      </c>
      <c r="AF68" s="187">
        <v>1801.0615804078902</v>
      </c>
      <c r="AG68" s="184">
        <f t="shared" ref="AG68:AG76" si="56">IFERROR(AF68/AE68,"")</f>
        <v>78.307025235125664</v>
      </c>
      <c r="AH68" s="181">
        <f t="shared" ref="AH68:AH76" si="57">RANK(AG68, AG$67:AG$81)</f>
        <v>5</v>
      </c>
      <c r="AI68" s="588"/>
      <c r="AJ68" s="187">
        <v>23</v>
      </c>
      <c r="AK68" s="187">
        <v>1803.5493813870348</v>
      </c>
      <c r="AL68" s="184">
        <f t="shared" ref="AL68:AL76" si="58">IFERROR(AK68/AJ68,"")</f>
        <v>78.415190495088467</v>
      </c>
      <c r="AM68" s="181">
        <f t="shared" ref="AM68:AM76" si="59">RANK(AL68, AL$67:AL$81)</f>
        <v>5</v>
      </c>
      <c r="AN68" s="588"/>
      <c r="AO68" s="187">
        <v>23</v>
      </c>
      <c r="AP68" s="187">
        <v>1803.3493813870348</v>
      </c>
      <c r="AQ68" s="184">
        <f t="shared" ref="AQ68:AQ76" si="60">IFERROR(AP68/AO68,"")</f>
        <v>78.406494842914555</v>
      </c>
      <c r="AR68" s="181">
        <f t="shared" ref="AR68:AR76" si="61">RANK(AQ68, AQ$67:AQ$81)</f>
        <v>5</v>
      </c>
      <c r="AS68" s="588"/>
      <c r="AT68" s="187">
        <v>23</v>
      </c>
      <c r="AU68" s="187">
        <v>1802.9493813870349</v>
      </c>
      <c r="AV68" s="184">
        <f t="shared" ref="AV68:AV76" si="62">IFERROR(AU68/AT68,"")</f>
        <v>78.389103538566729</v>
      </c>
      <c r="AW68" s="181">
        <f t="shared" ref="AW68:AW76" si="63">RANK(AV68, AV$67:AV$81)</f>
        <v>5</v>
      </c>
      <c r="AX68" s="588"/>
    </row>
    <row r="69" spans="2:50" ht="14.25" customHeight="1">
      <c r="B69" s="586"/>
      <c r="C69" s="179">
        <v>3</v>
      </c>
      <c r="D69" s="182" t="s">
        <v>411</v>
      </c>
      <c r="E69" s="179">
        <v>23</v>
      </c>
      <c r="F69" s="179">
        <v>2000</v>
      </c>
      <c r="G69" s="184">
        <f t="shared" si="48"/>
        <v>86.956521739130437</v>
      </c>
      <c r="H69" s="588"/>
      <c r="I69" s="185">
        <f t="shared" si="50"/>
        <v>23</v>
      </c>
      <c r="J69" s="185">
        <f t="shared" si="50"/>
        <v>1803.6517244595427</v>
      </c>
      <c r="K69" s="186">
        <f t="shared" si="50"/>
        <v>78.419640193893173</v>
      </c>
      <c r="L69" s="589"/>
      <c r="M69" s="185">
        <f>RANK(K69, K$67:$K$81)</f>
        <v>4</v>
      </c>
      <c r="N69" s="586"/>
      <c r="O69" s="586"/>
      <c r="P69" s="187">
        <v>23</v>
      </c>
      <c r="Q69" s="187">
        <v>1801.9796769384905</v>
      </c>
      <c r="R69" s="184">
        <f t="shared" si="51"/>
        <v>78.346942475586545</v>
      </c>
      <c r="S69" s="181">
        <f t="shared" si="52"/>
        <v>4</v>
      </c>
      <c r="T69" s="588"/>
      <c r="U69" s="187">
        <v>23</v>
      </c>
      <c r="V69" s="187">
        <v>1801.7796769384904</v>
      </c>
      <c r="W69" s="184">
        <f t="shared" si="49"/>
        <v>78.338246823412632</v>
      </c>
      <c r="X69" s="181">
        <f t="shared" si="53"/>
        <v>4</v>
      </c>
      <c r="Y69" s="588"/>
      <c r="Z69" s="187">
        <v>23</v>
      </c>
      <c r="AA69" s="187">
        <v>1802.1796769384903</v>
      </c>
      <c r="AB69" s="184">
        <f t="shared" si="54"/>
        <v>78.355638127760443</v>
      </c>
      <c r="AC69" s="181">
        <f t="shared" si="55"/>
        <v>4</v>
      </c>
      <c r="AD69" s="588"/>
      <c r="AE69" s="187">
        <v>23</v>
      </c>
      <c r="AF69" s="187">
        <v>1801.3796769384903</v>
      </c>
      <c r="AG69" s="184">
        <f t="shared" si="56"/>
        <v>78.320855519064793</v>
      </c>
      <c r="AH69" s="181">
        <f t="shared" si="57"/>
        <v>4</v>
      </c>
      <c r="AI69" s="588"/>
      <c r="AJ69" s="187">
        <v>23</v>
      </c>
      <c r="AK69" s="187">
        <v>1805.8144544876125</v>
      </c>
      <c r="AL69" s="184">
        <f t="shared" si="58"/>
        <v>78.513671934244016</v>
      </c>
      <c r="AM69" s="181">
        <f t="shared" si="59"/>
        <v>4</v>
      </c>
      <c r="AN69" s="588"/>
      <c r="AO69" s="187">
        <v>23</v>
      </c>
      <c r="AP69" s="187">
        <v>1806.0144544876123</v>
      </c>
      <c r="AQ69" s="184">
        <f t="shared" si="60"/>
        <v>78.522367586417928</v>
      </c>
      <c r="AR69" s="181">
        <f t="shared" si="61"/>
        <v>4</v>
      </c>
      <c r="AS69" s="588"/>
      <c r="AT69" s="187">
        <v>23</v>
      </c>
      <c r="AU69" s="187">
        <v>1806.4144544876121</v>
      </c>
      <c r="AV69" s="184">
        <f t="shared" si="62"/>
        <v>78.539758890765739</v>
      </c>
      <c r="AW69" s="181">
        <f t="shared" si="63"/>
        <v>4</v>
      </c>
      <c r="AX69" s="588"/>
    </row>
    <row r="70" spans="2:50" ht="14.25" customHeight="1">
      <c r="B70" s="586"/>
      <c r="C70" s="179">
        <v>4</v>
      </c>
      <c r="D70" s="182" t="s">
        <v>413</v>
      </c>
      <c r="E70" s="179">
        <v>22</v>
      </c>
      <c r="F70" s="179">
        <v>2000</v>
      </c>
      <c r="G70" s="184">
        <f t="shared" si="48"/>
        <v>90.909090909090907</v>
      </c>
      <c r="H70" s="588"/>
      <c r="I70" s="185">
        <f t="shared" si="50"/>
        <v>22</v>
      </c>
      <c r="J70" s="185">
        <f t="shared" si="50"/>
        <v>1802.473000701654</v>
      </c>
      <c r="K70" s="186">
        <f t="shared" si="50"/>
        <v>81.930590940984288</v>
      </c>
      <c r="L70" s="589"/>
      <c r="M70" s="185">
        <f>RANK(K70, K$67:$K$81)</f>
        <v>3</v>
      </c>
      <c r="N70" s="586"/>
      <c r="O70" s="586"/>
      <c r="P70" s="187">
        <v>22</v>
      </c>
      <c r="Q70" s="187">
        <v>1800.6138067243462</v>
      </c>
      <c r="R70" s="184">
        <f t="shared" si="51"/>
        <v>81.846082123833924</v>
      </c>
      <c r="S70" s="181">
        <f t="shared" si="52"/>
        <v>3</v>
      </c>
      <c r="T70" s="588"/>
      <c r="U70" s="187">
        <v>22</v>
      </c>
      <c r="V70" s="187">
        <v>1800.0138067243465</v>
      </c>
      <c r="W70" s="184">
        <f t="shared" si="49"/>
        <v>81.818809396561207</v>
      </c>
      <c r="X70" s="181">
        <f t="shared" si="53"/>
        <v>3</v>
      </c>
      <c r="Y70" s="588"/>
      <c r="Z70" s="187">
        <v>22</v>
      </c>
      <c r="AA70" s="187">
        <v>1799.4138067243466</v>
      </c>
      <c r="AB70" s="184">
        <f t="shared" si="54"/>
        <v>81.791536669288476</v>
      </c>
      <c r="AC70" s="181">
        <f t="shared" si="55"/>
        <v>3</v>
      </c>
      <c r="AD70" s="588"/>
      <c r="AE70" s="187">
        <v>22</v>
      </c>
      <c r="AF70" s="187">
        <v>1799.8138067243465</v>
      </c>
      <c r="AG70" s="184">
        <f t="shared" si="56"/>
        <v>81.809718487470292</v>
      </c>
      <c r="AH70" s="181">
        <f t="shared" si="57"/>
        <v>3</v>
      </c>
      <c r="AI70" s="588"/>
      <c r="AJ70" s="187">
        <v>22</v>
      </c>
      <c r="AK70" s="187">
        <v>1805.4185926713981</v>
      </c>
      <c r="AL70" s="184">
        <f t="shared" si="58"/>
        <v>82.064481485063553</v>
      </c>
      <c r="AM70" s="181">
        <f t="shared" si="59"/>
        <v>3</v>
      </c>
      <c r="AN70" s="588"/>
      <c r="AO70" s="187">
        <v>22</v>
      </c>
      <c r="AP70" s="187">
        <v>1806.218592671398</v>
      </c>
      <c r="AQ70" s="184">
        <f t="shared" si="60"/>
        <v>82.100845121427184</v>
      </c>
      <c r="AR70" s="181">
        <f t="shared" si="61"/>
        <v>3</v>
      </c>
      <c r="AS70" s="588"/>
      <c r="AT70" s="187">
        <v>22</v>
      </c>
      <c r="AU70" s="187">
        <v>1805.8185926713982</v>
      </c>
      <c r="AV70" s="184">
        <f t="shared" si="62"/>
        <v>82.082663303245369</v>
      </c>
      <c r="AW70" s="181">
        <f t="shared" si="63"/>
        <v>3</v>
      </c>
      <c r="AX70" s="588"/>
    </row>
    <row r="71" spans="2:50" ht="14.25" customHeight="1">
      <c r="B71" s="586"/>
      <c r="C71" s="179">
        <v>5</v>
      </c>
      <c r="D71" s="182" t="s">
        <v>415</v>
      </c>
      <c r="E71" s="179">
        <v>20</v>
      </c>
      <c r="F71" s="179">
        <v>2000</v>
      </c>
      <c r="G71" s="184">
        <f t="shared" si="48"/>
        <v>100</v>
      </c>
      <c r="H71" s="588"/>
      <c r="I71" s="185">
        <f t="shared" si="50"/>
        <v>20</v>
      </c>
      <c r="J71" s="185">
        <f t="shared" si="50"/>
        <v>1803.7608602799087</v>
      </c>
      <c r="K71" s="186">
        <f t="shared" si="50"/>
        <v>90.18804301399544</v>
      </c>
      <c r="L71" s="589"/>
      <c r="M71" s="185">
        <f>RANK(K71, K$67:$K$81)</f>
        <v>1</v>
      </c>
      <c r="N71" s="586"/>
      <c r="O71" s="586"/>
      <c r="P71" s="187">
        <v>20</v>
      </c>
      <c r="Q71" s="187">
        <v>1801.748213901225</v>
      </c>
      <c r="R71" s="184">
        <f t="shared" si="51"/>
        <v>90.087410695061251</v>
      </c>
      <c r="S71" s="181">
        <f t="shared" si="52"/>
        <v>1</v>
      </c>
      <c r="T71" s="588"/>
      <c r="U71" s="187">
        <v>20</v>
      </c>
      <c r="V71" s="187">
        <v>1802.1482139012251</v>
      </c>
      <c r="W71" s="184">
        <f t="shared" si="49"/>
        <v>90.107410695061247</v>
      </c>
      <c r="X71" s="181">
        <f t="shared" si="53"/>
        <v>1</v>
      </c>
      <c r="Y71" s="588"/>
      <c r="Z71" s="187">
        <v>20</v>
      </c>
      <c r="AA71" s="187">
        <v>1802.1482139012251</v>
      </c>
      <c r="AB71" s="184">
        <f t="shared" si="54"/>
        <v>90.107410695061247</v>
      </c>
      <c r="AC71" s="181">
        <f t="shared" si="55"/>
        <v>1</v>
      </c>
      <c r="AD71" s="588"/>
      <c r="AE71" s="187">
        <v>20</v>
      </c>
      <c r="AF71" s="187">
        <v>1801.3482139012251</v>
      </c>
      <c r="AG71" s="184">
        <f t="shared" si="56"/>
        <v>90.067410695061255</v>
      </c>
      <c r="AH71" s="181">
        <f t="shared" si="57"/>
        <v>1</v>
      </c>
      <c r="AI71" s="588"/>
      <c r="AJ71" s="187">
        <v>20</v>
      </c>
      <c r="AK71" s="187">
        <v>1805.6443887848204</v>
      </c>
      <c r="AL71" s="184">
        <f t="shared" si="58"/>
        <v>90.282219439241018</v>
      </c>
      <c r="AM71" s="181">
        <f t="shared" si="59"/>
        <v>1</v>
      </c>
      <c r="AN71" s="588"/>
      <c r="AO71" s="187">
        <v>20</v>
      </c>
      <c r="AP71" s="187">
        <v>1806.2443887848203</v>
      </c>
      <c r="AQ71" s="184">
        <f t="shared" si="60"/>
        <v>90.312219439241019</v>
      </c>
      <c r="AR71" s="181">
        <f t="shared" si="61"/>
        <v>1</v>
      </c>
      <c r="AS71" s="588"/>
      <c r="AT71" s="187">
        <v>20</v>
      </c>
      <c r="AU71" s="187">
        <v>1807.0443887848205</v>
      </c>
      <c r="AV71" s="184">
        <f t="shared" si="62"/>
        <v>90.352219439241026</v>
      </c>
      <c r="AW71" s="181">
        <f t="shared" si="63"/>
        <v>1</v>
      </c>
      <c r="AX71" s="588"/>
    </row>
    <row r="72" spans="2:50" ht="14.25" customHeight="1">
      <c r="B72" s="586"/>
      <c r="C72" s="179">
        <v>6</v>
      </c>
      <c r="D72" s="182" t="s">
        <v>471</v>
      </c>
      <c r="E72" s="179">
        <v>25</v>
      </c>
      <c r="F72" s="179">
        <v>2000</v>
      </c>
      <c r="G72" s="184">
        <f t="shared" si="48"/>
        <v>80</v>
      </c>
      <c r="H72" s="588"/>
      <c r="I72" s="185">
        <f t="shared" si="50"/>
        <v>25</v>
      </c>
      <c r="J72" s="185">
        <f t="shared" si="50"/>
        <v>1804.2216040393489</v>
      </c>
      <c r="K72" s="186">
        <f t="shared" si="50"/>
        <v>72.16886416157395</v>
      </c>
      <c r="L72" s="589"/>
      <c r="M72" s="185">
        <f>RANK(K72, K$67:$K$81)</f>
        <v>10</v>
      </c>
      <c r="N72" s="586"/>
      <c r="O72" s="586"/>
      <c r="P72" s="187">
        <v>25</v>
      </c>
      <c r="Q72" s="187">
        <v>1804.2216040393489</v>
      </c>
      <c r="R72" s="184">
        <f t="shared" si="51"/>
        <v>72.16886416157395</v>
      </c>
      <c r="S72" s="181">
        <f t="shared" si="52"/>
        <v>8</v>
      </c>
      <c r="T72" s="588"/>
      <c r="U72" s="187"/>
      <c r="V72" s="187"/>
      <c r="W72" s="184"/>
      <c r="X72" s="181"/>
      <c r="Y72" s="588"/>
      <c r="Z72" s="187"/>
      <c r="AA72" s="187"/>
      <c r="AB72" s="184"/>
      <c r="AC72" s="181"/>
      <c r="AD72" s="588"/>
      <c r="AE72" s="187"/>
      <c r="AF72" s="187"/>
      <c r="AG72" s="184"/>
      <c r="AH72" s="181"/>
      <c r="AI72" s="588"/>
      <c r="AJ72" s="187"/>
      <c r="AK72" s="187"/>
      <c r="AL72" s="184"/>
      <c r="AM72" s="181"/>
      <c r="AN72" s="588"/>
      <c r="AO72" s="187"/>
      <c r="AP72" s="187"/>
      <c r="AQ72" s="184"/>
      <c r="AR72" s="181"/>
      <c r="AS72" s="588"/>
      <c r="AT72" s="187"/>
      <c r="AU72" s="187"/>
      <c r="AV72" s="184"/>
      <c r="AW72" s="181"/>
      <c r="AX72" s="588"/>
    </row>
    <row r="73" spans="2:50" ht="14.25" customHeight="1">
      <c r="B73" s="586"/>
      <c r="C73" s="179">
        <v>7</v>
      </c>
      <c r="D73" s="182" t="s">
        <v>524</v>
      </c>
      <c r="E73" s="179">
        <v>20</v>
      </c>
      <c r="F73" s="179">
        <v>2000</v>
      </c>
      <c r="G73" s="184">
        <f t="shared" si="48"/>
        <v>100</v>
      </c>
      <c r="H73" s="588"/>
      <c r="I73" s="185">
        <f t="shared" si="50"/>
        <v>20</v>
      </c>
      <c r="J73" s="185">
        <f t="shared" si="50"/>
        <v>1802.425894614146</v>
      </c>
      <c r="K73" s="186">
        <f t="shared" si="50"/>
        <v>90.121294730707319</v>
      </c>
      <c r="L73" s="589"/>
      <c r="M73" s="185">
        <f>RANK(K73, K$67:$K$81)</f>
        <v>2</v>
      </c>
      <c r="N73" s="586"/>
      <c r="O73" s="586"/>
      <c r="P73" s="187">
        <v>20</v>
      </c>
      <c r="Q73" s="187">
        <v>1800.979693275573</v>
      </c>
      <c r="R73" s="184">
        <f t="shared" si="51"/>
        <v>90.048984663778654</v>
      </c>
      <c r="S73" s="181">
        <f t="shared" si="52"/>
        <v>2</v>
      </c>
      <c r="T73" s="588"/>
      <c r="U73" s="187">
        <v>20</v>
      </c>
      <c r="V73" s="187">
        <v>1800.9796932755733</v>
      </c>
      <c r="W73" s="184">
        <f t="shared" si="49"/>
        <v>90.048984663778668</v>
      </c>
      <c r="X73" s="181">
        <f t="shared" si="53"/>
        <v>2</v>
      </c>
      <c r="Y73" s="588"/>
      <c r="Z73" s="187">
        <v>20</v>
      </c>
      <c r="AA73" s="187">
        <v>1800.3796932755733</v>
      </c>
      <c r="AB73" s="184">
        <f t="shared" si="54"/>
        <v>90.018984663778667</v>
      </c>
      <c r="AC73" s="181">
        <f t="shared" si="55"/>
        <v>2</v>
      </c>
      <c r="AD73" s="588"/>
      <c r="AE73" s="187">
        <v>20</v>
      </c>
      <c r="AF73" s="187">
        <v>1800.5796932755736</v>
      </c>
      <c r="AG73" s="184">
        <f t="shared" si="56"/>
        <v>90.028984663778687</v>
      </c>
      <c r="AH73" s="181">
        <f t="shared" si="57"/>
        <v>2</v>
      </c>
      <c r="AI73" s="588"/>
      <c r="AJ73" s="187">
        <v>20</v>
      </c>
      <c r="AK73" s="187">
        <v>1804.8208297322428</v>
      </c>
      <c r="AL73" s="184">
        <f t="shared" si="58"/>
        <v>90.241041486612147</v>
      </c>
      <c r="AM73" s="181">
        <f t="shared" si="59"/>
        <v>2</v>
      </c>
      <c r="AN73" s="588"/>
      <c r="AO73" s="187">
        <v>20</v>
      </c>
      <c r="AP73" s="187">
        <v>1804.420829732243</v>
      </c>
      <c r="AQ73" s="184">
        <f t="shared" si="60"/>
        <v>90.221041486612151</v>
      </c>
      <c r="AR73" s="181">
        <f t="shared" si="61"/>
        <v>2</v>
      </c>
      <c r="AS73" s="588"/>
      <c r="AT73" s="187">
        <v>20</v>
      </c>
      <c r="AU73" s="187">
        <v>1804.8208297322431</v>
      </c>
      <c r="AV73" s="184">
        <f t="shared" si="62"/>
        <v>90.241041486612147</v>
      </c>
      <c r="AW73" s="181">
        <f t="shared" si="63"/>
        <v>2</v>
      </c>
      <c r="AX73" s="588"/>
    </row>
    <row r="74" spans="2:50" ht="14.25" customHeight="1">
      <c r="B74" s="586"/>
      <c r="C74" s="179">
        <v>8</v>
      </c>
      <c r="D74" s="182" t="s">
        <v>562</v>
      </c>
      <c r="E74" s="179">
        <v>24</v>
      </c>
      <c r="F74" s="179">
        <v>2000</v>
      </c>
      <c r="G74" s="184">
        <f t="shared" si="48"/>
        <v>83.333333333333329</v>
      </c>
      <c r="H74" s="588"/>
      <c r="I74" s="185">
        <f t="shared" si="50"/>
        <v>24</v>
      </c>
      <c r="J74" s="185">
        <f t="shared" si="50"/>
        <v>1806.138002759418</v>
      </c>
      <c r="K74" s="186">
        <f t="shared" si="50"/>
        <v>75.25575011497574</v>
      </c>
      <c r="L74" s="589"/>
      <c r="M74" s="185">
        <f>RANK(K74, K$67:$K$81)</f>
        <v>6</v>
      </c>
      <c r="N74" s="586"/>
      <c r="O74" s="586"/>
      <c r="P74" s="187">
        <v>24</v>
      </c>
      <c r="Q74" s="187">
        <v>1805.3665741879893</v>
      </c>
      <c r="R74" s="184">
        <f t="shared" si="51"/>
        <v>75.223607257832882</v>
      </c>
      <c r="S74" s="181">
        <f t="shared" si="52"/>
        <v>6</v>
      </c>
      <c r="T74" s="588"/>
      <c r="U74" s="187">
        <v>24</v>
      </c>
      <c r="V74" s="187">
        <v>1805.5665741879891</v>
      </c>
      <c r="W74" s="184">
        <f t="shared" si="49"/>
        <v>75.231940591166207</v>
      </c>
      <c r="X74" s="181">
        <f t="shared" si="53"/>
        <v>6</v>
      </c>
      <c r="Y74" s="588"/>
      <c r="Z74" s="187">
        <v>24</v>
      </c>
      <c r="AA74" s="187">
        <v>1806.366574187989</v>
      </c>
      <c r="AB74" s="184">
        <f t="shared" si="54"/>
        <v>75.265273924499539</v>
      </c>
      <c r="AC74" s="181">
        <f t="shared" si="55"/>
        <v>6</v>
      </c>
      <c r="AD74" s="588"/>
      <c r="AE74" s="187">
        <v>24</v>
      </c>
      <c r="AF74" s="187">
        <v>1806.3665741879893</v>
      </c>
      <c r="AG74" s="184">
        <f t="shared" si="56"/>
        <v>75.265273924499553</v>
      </c>
      <c r="AH74" s="181">
        <f t="shared" si="57"/>
        <v>6</v>
      </c>
      <c r="AI74" s="588"/>
      <c r="AJ74" s="187">
        <v>24</v>
      </c>
      <c r="AK74" s="187">
        <v>1806.3665741879893</v>
      </c>
      <c r="AL74" s="184">
        <f t="shared" si="58"/>
        <v>75.265273924499553</v>
      </c>
      <c r="AM74" s="181">
        <f t="shared" si="59"/>
        <v>6</v>
      </c>
      <c r="AN74" s="588"/>
      <c r="AO74" s="187">
        <v>24</v>
      </c>
      <c r="AP74" s="187">
        <v>1806.3665741879895</v>
      </c>
      <c r="AQ74" s="184">
        <f t="shared" si="60"/>
        <v>75.265273924499567</v>
      </c>
      <c r="AR74" s="181">
        <f t="shared" si="61"/>
        <v>8</v>
      </c>
      <c r="AS74" s="588"/>
      <c r="AT74" s="187">
        <v>24</v>
      </c>
      <c r="AU74" s="187">
        <v>1806.5665741879895</v>
      </c>
      <c r="AV74" s="184">
        <f t="shared" si="62"/>
        <v>75.273607257832893</v>
      </c>
      <c r="AW74" s="181">
        <f t="shared" si="63"/>
        <v>7</v>
      </c>
      <c r="AX74" s="588"/>
    </row>
    <row r="75" spans="2:50" ht="14.25" customHeight="1">
      <c r="B75" s="586"/>
      <c r="C75" s="179">
        <v>9</v>
      </c>
      <c r="D75" s="182" t="s">
        <v>719</v>
      </c>
      <c r="E75" s="179">
        <v>24</v>
      </c>
      <c r="F75" s="179">
        <v>2000</v>
      </c>
      <c r="G75" s="184">
        <f t="shared" si="48"/>
        <v>83.333333333333329</v>
      </c>
      <c r="H75" s="588"/>
      <c r="I75" s="185">
        <f t="shared" si="50"/>
        <v>24</v>
      </c>
      <c r="J75" s="185">
        <f t="shared" si="50"/>
        <v>1739.823368544854</v>
      </c>
      <c r="K75" s="186">
        <f t="shared" si="50"/>
        <v>72.492640356035594</v>
      </c>
      <c r="L75" s="589"/>
      <c r="M75" s="185">
        <f>RANK(K75, K$67:$K$81)</f>
        <v>9</v>
      </c>
      <c r="N75" s="586"/>
      <c r="O75" s="586"/>
      <c r="P75" s="187">
        <v>24</v>
      </c>
      <c r="Q75" s="187">
        <v>1642.1167706638453</v>
      </c>
      <c r="R75" s="184">
        <f t="shared" si="51"/>
        <v>68.421532110993553</v>
      </c>
      <c r="S75" s="181">
        <f t="shared" si="52"/>
        <v>9</v>
      </c>
      <c r="T75" s="588"/>
      <c r="U75" s="187">
        <v>24</v>
      </c>
      <c r="V75" s="187">
        <v>1675.352627977888</v>
      </c>
      <c r="W75" s="184">
        <f t="shared" si="49"/>
        <v>69.806359499078667</v>
      </c>
      <c r="X75" s="181">
        <f t="shared" si="53"/>
        <v>8</v>
      </c>
      <c r="Y75" s="588"/>
      <c r="Z75" s="187">
        <v>24</v>
      </c>
      <c r="AA75" s="187">
        <v>1710.4711071442789</v>
      </c>
      <c r="AB75" s="184">
        <f t="shared" si="54"/>
        <v>71.269629464344959</v>
      </c>
      <c r="AC75" s="181">
        <f t="shared" si="55"/>
        <v>9</v>
      </c>
      <c r="AD75" s="588"/>
      <c r="AE75" s="187">
        <v>24</v>
      </c>
      <c r="AF75" s="187">
        <v>1749.5401168300266</v>
      </c>
      <c r="AG75" s="184">
        <f t="shared" si="56"/>
        <v>72.897504867917775</v>
      </c>
      <c r="AH75" s="181">
        <f t="shared" si="57"/>
        <v>9</v>
      </c>
      <c r="AI75" s="588"/>
      <c r="AJ75" s="187">
        <v>24</v>
      </c>
      <c r="AK75" s="187">
        <v>1789.1062475404833</v>
      </c>
      <c r="AL75" s="184">
        <f t="shared" si="58"/>
        <v>74.546093647520138</v>
      </c>
      <c r="AM75" s="181">
        <f t="shared" si="59"/>
        <v>9</v>
      </c>
      <c r="AN75" s="588"/>
      <c r="AO75" s="187">
        <v>24</v>
      </c>
      <c r="AP75" s="187">
        <v>1806.5883548287277</v>
      </c>
      <c r="AQ75" s="184">
        <f t="shared" si="60"/>
        <v>75.274514784530325</v>
      </c>
      <c r="AR75" s="181">
        <f t="shared" si="61"/>
        <v>7</v>
      </c>
      <c r="AS75" s="588"/>
      <c r="AT75" s="187">
        <v>24</v>
      </c>
      <c r="AU75" s="187">
        <v>1805.5883548287279</v>
      </c>
      <c r="AV75" s="184">
        <f t="shared" si="62"/>
        <v>75.232848117863668</v>
      </c>
      <c r="AW75" s="181">
        <f t="shared" si="63"/>
        <v>8</v>
      </c>
      <c r="AX75" s="588"/>
    </row>
    <row r="76" spans="2:50" ht="14.25" customHeight="1">
      <c r="B76" s="586"/>
      <c r="C76" s="179">
        <v>10</v>
      </c>
      <c r="D76" s="182" t="s">
        <v>720</v>
      </c>
      <c r="E76" s="179">
        <v>24</v>
      </c>
      <c r="F76" s="179">
        <v>2000</v>
      </c>
      <c r="G76" s="184">
        <f t="shared" si="48"/>
        <v>83.333333333333329</v>
      </c>
      <c r="H76" s="588"/>
      <c r="I76" s="185">
        <f t="shared" si="50"/>
        <v>24</v>
      </c>
      <c r="J76" s="185">
        <f t="shared" si="50"/>
        <v>1741.2940989120973</v>
      </c>
      <c r="K76" s="186">
        <f t="shared" si="50"/>
        <v>72.553920788004035</v>
      </c>
      <c r="L76" s="589"/>
      <c r="M76" s="185">
        <f>RANK(K76, K$67:$K$81)</f>
        <v>8</v>
      </c>
      <c r="N76" s="586"/>
      <c r="O76" s="586"/>
      <c r="P76" s="187">
        <v>24</v>
      </c>
      <c r="Q76" s="187">
        <v>1640.0000000000002</v>
      </c>
      <c r="R76" s="184">
        <f t="shared" si="51"/>
        <v>68.333333333333343</v>
      </c>
      <c r="S76" s="181">
        <f t="shared" si="52"/>
        <v>10</v>
      </c>
      <c r="T76" s="588"/>
      <c r="U76" s="187">
        <v>24</v>
      </c>
      <c r="V76" s="187">
        <v>1674.0316000000003</v>
      </c>
      <c r="W76" s="184">
        <f t="shared" si="49"/>
        <v>69.751316666666682</v>
      </c>
      <c r="X76" s="181">
        <f t="shared" si="53"/>
        <v>9</v>
      </c>
      <c r="Y76" s="588"/>
      <c r="Z76" s="187">
        <v>24</v>
      </c>
      <c r="AA76" s="187">
        <v>1712.5343268000004</v>
      </c>
      <c r="AB76" s="184">
        <f t="shared" si="54"/>
        <v>71.35559695000002</v>
      </c>
      <c r="AC76" s="181">
        <f t="shared" si="55"/>
        <v>8</v>
      </c>
      <c r="AD76" s="588"/>
      <c r="AE76" s="187">
        <v>24</v>
      </c>
      <c r="AF76" s="187">
        <v>1752.0604831817609</v>
      </c>
      <c r="AG76" s="184">
        <f t="shared" si="56"/>
        <v>73.002520132573366</v>
      </c>
      <c r="AH76" s="181">
        <f t="shared" si="57"/>
        <v>8</v>
      </c>
      <c r="AI76" s="588"/>
      <c r="AJ76" s="187">
        <v>24</v>
      </c>
      <c r="AK76" s="187">
        <v>1793.7314863915778</v>
      </c>
      <c r="AL76" s="184">
        <f t="shared" si="58"/>
        <v>74.738811932982415</v>
      </c>
      <c r="AM76" s="181">
        <f t="shared" si="59"/>
        <v>8</v>
      </c>
      <c r="AN76" s="588"/>
      <c r="AO76" s="187">
        <v>24</v>
      </c>
      <c r="AP76" s="187">
        <v>1808.3503980056696</v>
      </c>
      <c r="AQ76" s="184">
        <f t="shared" si="60"/>
        <v>75.347933250236238</v>
      </c>
      <c r="AR76" s="181">
        <f t="shared" si="61"/>
        <v>6</v>
      </c>
      <c r="AS76" s="588"/>
      <c r="AT76" s="187">
        <v>24</v>
      </c>
      <c r="AU76" s="187">
        <v>1808.3503980056701</v>
      </c>
      <c r="AV76" s="184">
        <f t="shared" si="62"/>
        <v>75.347933250236252</v>
      </c>
      <c r="AW76" s="181">
        <f t="shared" si="63"/>
        <v>6</v>
      </c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137</v>
      </c>
      <c r="C87" s="179">
        <v>1</v>
      </c>
      <c r="D87" s="182" t="s">
        <v>330</v>
      </c>
      <c r="E87" s="183">
        <v>24</v>
      </c>
      <c r="F87" s="179">
        <v>2000</v>
      </c>
      <c r="G87" s="184">
        <f t="shared" ref="G87:G95" si="64">IFERROR(F87/E87,"")</f>
        <v>83.333333333333329</v>
      </c>
      <c r="H87" s="588">
        <f>AVERAGE(G87:G101)</f>
        <v>88.683940857853912</v>
      </c>
      <c r="I87" s="185">
        <f>AVERAGE(P87,U87,Z87,AE87,AJ87,AO87,AT87)</f>
        <v>24</v>
      </c>
      <c r="J87" s="185">
        <f>AVERAGE(Q87,V87,AA87,AF87,AK87,AP87,AU87)</f>
        <v>1804.2246558600734</v>
      </c>
      <c r="K87" s="186">
        <f>AVERAGE(R87,W87,AB87,AG87,AL87,AQ87,AV87)</f>
        <v>75.176027327503078</v>
      </c>
      <c r="L87" s="589">
        <f>IFERROR(AVERAGE(K87:K101),"-")</f>
        <v>80.0581520479505</v>
      </c>
      <c r="M87" s="185">
        <f>RANK(K87, K$87:$K$101)</f>
        <v>8</v>
      </c>
      <c r="N87" s="586"/>
      <c r="O87" s="586"/>
      <c r="P87" s="187">
        <v>24</v>
      </c>
      <c r="Q87" s="187">
        <v>1803.3103701457871</v>
      </c>
      <c r="R87" s="184">
        <f>IFERROR(Q87/P87,"")</f>
        <v>75.137932089407798</v>
      </c>
      <c r="S87" s="181">
        <f>RANK(R87, R$87:R$101)</f>
        <v>9</v>
      </c>
      <c r="T87" s="588">
        <f>AVERAGE(R87:R101)</f>
        <v>80.053635557999229</v>
      </c>
      <c r="U87" s="187">
        <v>24</v>
      </c>
      <c r="V87" s="187">
        <v>1804.1103701457873</v>
      </c>
      <c r="W87" s="184">
        <f t="shared" ref="W87:W95" si="65">IFERROR(V87/U87,"")</f>
        <v>75.171265422741143</v>
      </c>
      <c r="X87" s="181">
        <f>RANK(W87, W$87:W$101)</f>
        <v>9</v>
      </c>
      <c r="Y87" s="588">
        <f>AVERAGE(W87:W101)</f>
        <v>80.056938149127916</v>
      </c>
      <c r="Z87" s="187">
        <v>24</v>
      </c>
      <c r="AA87" s="187">
        <v>1803.9103701457875</v>
      </c>
      <c r="AB87" s="184">
        <f>IFERROR(AA87/Z87,"")</f>
        <v>75.162932089407818</v>
      </c>
      <c r="AC87" s="181">
        <f>RANK(AB87, AB$87:AB$101)</f>
        <v>9</v>
      </c>
      <c r="AD87" s="588">
        <f>AVERAGE(AB87:AB101)</f>
        <v>80.044415824431667</v>
      </c>
      <c r="AE87" s="187">
        <v>24</v>
      </c>
      <c r="AF87" s="187">
        <v>1804.1103701457878</v>
      </c>
      <c r="AG87" s="184">
        <f>IFERROR(AF87/AE87,"")</f>
        <v>75.171265422741158</v>
      </c>
      <c r="AH87" s="181">
        <f>RANK(AG87, AG$87:AG$101)</f>
        <v>8</v>
      </c>
      <c r="AI87" s="588">
        <f>AVERAGE(AG87:AG101)</f>
        <v>80.054324329774943</v>
      </c>
      <c r="AJ87" s="187">
        <v>24</v>
      </c>
      <c r="AK87" s="187">
        <v>1804.7103701457879</v>
      </c>
      <c r="AL87" s="184">
        <f>IFERROR(AK87/AJ87,"")</f>
        <v>75.196265422741163</v>
      </c>
      <c r="AM87" s="181">
        <f>RANK(AL87, AL$87:AL$101)</f>
        <v>8</v>
      </c>
      <c r="AN87" s="588">
        <f>AVERAGE(AL87:AL101)</f>
        <v>80.066815180309291</v>
      </c>
      <c r="AO87" s="187">
        <v>24</v>
      </c>
      <c r="AP87" s="187">
        <v>1804.7103701457881</v>
      </c>
      <c r="AQ87" s="184">
        <f>IFERROR(AP87/AO87,"")</f>
        <v>75.196265422741178</v>
      </c>
      <c r="AR87" s="181">
        <f>RANK(AQ87, AQ$87:AQ$101)</f>
        <v>8</v>
      </c>
      <c r="AS87" s="588">
        <f>AVERAGE(AQ87:AQ101)</f>
        <v>80.069764236084438</v>
      </c>
      <c r="AT87" s="187">
        <v>24</v>
      </c>
      <c r="AU87" s="187">
        <v>1804.7103701457886</v>
      </c>
      <c r="AV87" s="184">
        <f>IFERROR(AU87/AT87,"")</f>
        <v>75.196265422741192</v>
      </c>
      <c r="AW87" s="181">
        <f>RANK(AV87, AV$87:AV$101)</f>
        <v>8</v>
      </c>
      <c r="AX87" s="588">
        <f>AVERAGE(AV87:AV101)</f>
        <v>80.061171057926046</v>
      </c>
    </row>
    <row r="88" spans="2:50" ht="14.25" customHeight="1">
      <c r="B88" s="586"/>
      <c r="C88" s="179">
        <v>2</v>
      </c>
      <c r="D88" s="182" t="s">
        <v>331</v>
      </c>
      <c r="E88" s="179">
        <v>23</v>
      </c>
      <c r="F88" s="179">
        <v>2000</v>
      </c>
      <c r="G88" s="184">
        <f t="shared" si="64"/>
        <v>86.956521739130437</v>
      </c>
      <c r="H88" s="588"/>
      <c r="I88" s="185">
        <f t="shared" ref="I88:K95" si="66">AVERAGE(P88,U88,Z88,AE88,AJ88,AO88,AT88)</f>
        <v>23</v>
      </c>
      <c r="J88" s="185">
        <f t="shared" si="66"/>
        <v>1803.4065242441777</v>
      </c>
      <c r="K88" s="186">
        <f t="shared" si="66"/>
        <v>78.40897931496427</v>
      </c>
      <c r="L88" s="589"/>
      <c r="M88" s="185">
        <f>RANK(K88, K$87:$K$101)</f>
        <v>5</v>
      </c>
      <c r="N88" s="586"/>
      <c r="O88" s="586"/>
      <c r="P88" s="187">
        <v>23</v>
      </c>
      <c r="Q88" s="187">
        <v>1801.9493813870351</v>
      </c>
      <c r="R88" s="184">
        <f t="shared" ref="R88:R95" si="67">IFERROR(Q88/P88,"")</f>
        <v>78.345625277697181</v>
      </c>
      <c r="S88" s="181">
        <f t="shared" ref="S88:S95" si="68">RANK(R88, R$87:R$101)</f>
        <v>5</v>
      </c>
      <c r="T88" s="588"/>
      <c r="U88" s="187">
        <v>23</v>
      </c>
      <c r="V88" s="187">
        <v>1801.9493813870351</v>
      </c>
      <c r="W88" s="184">
        <f t="shared" si="65"/>
        <v>78.345625277697181</v>
      </c>
      <c r="X88" s="181">
        <f t="shared" ref="X88:X95" si="69">RANK(W88, W$87:W$101)</f>
        <v>5</v>
      </c>
      <c r="Y88" s="588"/>
      <c r="Z88" s="187">
        <v>23</v>
      </c>
      <c r="AA88" s="187">
        <v>1802.7493813870351</v>
      </c>
      <c r="AB88" s="184">
        <f t="shared" ref="AB88:AB95" si="70">IFERROR(AA88/Z88,"")</f>
        <v>78.380407886392831</v>
      </c>
      <c r="AC88" s="181">
        <f t="shared" ref="AC88:AC95" si="71">RANK(AB88, AB$87:AB$101)</f>
        <v>5</v>
      </c>
      <c r="AD88" s="588"/>
      <c r="AE88" s="187">
        <v>23</v>
      </c>
      <c r="AF88" s="187">
        <v>1803.149381387035</v>
      </c>
      <c r="AG88" s="184">
        <f t="shared" ref="AG88:AG95" si="72">IFERROR(AF88/AE88,"")</f>
        <v>78.397799190740656</v>
      </c>
      <c r="AH88" s="181">
        <f t="shared" ref="AH88:AH95" si="73">RANK(AG88, AG$87:AG$101)</f>
        <v>5</v>
      </c>
      <c r="AI88" s="588"/>
      <c r="AJ88" s="187">
        <v>23</v>
      </c>
      <c r="AK88" s="187">
        <v>1804.149381387035</v>
      </c>
      <c r="AL88" s="184">
        <f t="shared" ref="AL88:AL95" si="74">IFERROR(AK88/AJ88,"")</f>
        <v>78.441277451610219</v>
      </c>
      <c r="AM88" s="181">
        <f t="shared" ref="AM88:AM95" si="75">RANK(AL88, AL$87:AL$101)</f>
        <v>5</v>
      </c>
      <c r="AN88" s="588"/>
      <c r="AO88" s="187">
        <v>23</v>
      </c>
      <c r="AP88" s="187">
        <v>1804.7493813870349</v>
      </c>
      <c r="AQ88" s="184">
        <f t="shared" ref="AQ88:AQ95" si="76">IFERROR(AP88/AO88,"")</f>
        <v>78.467364408131957</v>
      </c>
      <c r="AR88" s="181">
        <f t="shared" ref="AR88:AR95" si="77">RANK(AQ88, AQ$87:AQ$101)</f>
        <v>5</v>
      </c>
      <c r="AS88" s="588"/>
      <c r="AT88" s="187">
        <v>23</v>
      </c>
      <c r="AU88" s="187">
        <v>1805.1493813870347</v>
      </c>
      <c r="AV88" s="184">
        <f t="shared" ref="AV88:AV95" si="78">IFERROR(AU88/AT88,"")</f>
        <v>78.484755712479767</v>
      </c>
      <c r="AW88" s="181">
        <f t="shared" ref="AW88:AW95" si="79">RANK(AV88, AV$87:AV$101)</f>
        <v>5</v>
      </c>
      <c r="AX88" s="588"/>
    </row>
    <row r="89" spans="2:50" ht="14.25" customHeight="1">
      <c r="B89" s="586"/>
      <c r="C89" s="179">
        <v>3</v>
      </c>
      <c r="D89" s="182" t="s">
        <v>411</v>
      </c>
      <c r="E89" s="179">
        <v>23</v>
      </c>
      <c r="F89" s="179">
        <v>2000</v>
      </c>
      <c r="G89" s="184">
        <f t="shared" si="64"/>
        <v>86.956521739130437</v>
      </c>
      <c r="H89" s="588"/>
      <c r="I89" s="185">
        <f t="shared" si="66"/>
        <v>23</v>
      </c>
      <c r="J89" s="185">
        <f t="shared" si="66"/>
        <v>1807.0715973447548</v>
      </c>
      <c r="K89" s="186">
        <f t="shared" si="66"/>
        <v>78.568330319337164</v>
      </c>
      <c r="L89" s="589"/>
      <c r="M89" s="185">
        <f>RANK(K89, K$87:$K$101)</f>
        <v>4</v>
      </c>
      <c r="N89" s="586"/>
      <c r="O89" s="586"/>
      <c r="P89" s="187">
        <v>23</v>
      </c>
      <c r="Q89" s="187">
        <v>1806.4144544876119</v>
      </c>
      <c r="R89" s="184">
        <f t="shared" si="67"/>
        <v>78.539758890765739</v>
      </c>
      <c r="S89" s="181">
        <f t="shared" si="68"/>
        <v>4</v>
      </c>
      <c r="T89" s="588"/>
      <c r="U89" s="187">
        <v>23</v>
      </c>
      <c r="V89" s="187">
        <v>1807.0144544876121</v>
      </c>
      <c r="W89" s="184">
        <f t="shared" si="65"/>
        <v>78.565845847287477</v>
      </c>
      <c r="X89" s="181">
        <f t="shared" si="69"/>
        <v>4</v>
      </c>
      <c r="Y89" s="588"/>
      <c r="Z89" s="187">
        <v>23</v>
      </c>
      <c r="AA89" s="187">
        <v>1806.814454487612</v>
      </c>
      <c r="AB89" s="184">
        <f t="shared" si="70"/>
        <v>78.557150195113564</v>
      </c>
      <c r="AC89" s="181">
        <f t="shared" si="71"/>
        <v>4</v>
      </c>
      <c r="AD89" s="588"/>
      <c r="AE89" s="187">
        <v>23</v>
      </c>
      <c r="AF89" s="187">
        <v>1807.2144544876121</v>
      </c>
      <c r="AG89" s="184">
        <f t="shared" si="72"/>
        <v>78.57454149946139</v>
      </c>
      <c r="AH89" s="181">
        <f t="shared" si="73"/>
        <v>4</v>
      </c>
      <c r="AI89" s="588"/>
      <c r="AJ89" s="187">
        <v>23</v>
      </c>
      <c r="AK89" s="187">
        <v>1807.2144544876119</v>
      </c>
      <c r="AL89" s="184">
        <f t="shared" si="74"/>
        <v>78.57454149946139</v>
      </c>
      <c r="AM89" s="181">
        <f t="shared" si="75"/>
        <v>4</v>
      </c>
      <c r="AN89" s="588"/>
      <c r="AO89" s="187">
        <v>23</v>
      </c>
      <c r="AP89" s="187">
        <v>1807.2144544876119</v>
      </c>
      <c r="AQ89" s="184">
        <f t="shared" si="76"/>
        <v>78.57454149946139</v>
      </c>
      <c r="AR89" s="181">
        <f t="shared" si="77"/>
        <v>4</v>
      </c>
      <c r="AS89" s="588"/>
      <c r="AT89" s="187">
        <v>23</v>
      </c>
      <c r="AU89" s="187">
        <v>1807.6144544876117</v>
      </c>
      <c r="AV89" s="184">
        <f t="shared" si="78"/>
        <v>78.5919328038092</v>
      </c>
      <c r="AW89" s="181">
        <f t="shared" si="79"/>
        <v>4</v>
      </c>
      <c r="AX89" s="588"/>
    </row>
    <row r="90" spans="2:50" ht="14.25" customHeight="1">
      <c r="B90" s="586"/>
      <c r="C90" s="179">
        <v>4</v>
      </c>
      <c r="D90" s="182" t="s">
        <v>413</v>
      </c>
      <c r="E90" s="179">
        <v>22</v>
      </c>
      <c r="F90" s="179">
        <v>2000</v>
      </c>
      <c r="G90" s="184">
        <f t="shared" si="64"/>
        <v>90.909090909090907</v>
      </c>
      <c r="H90" s="588"/>
      <c r="I90" s="185">
        <f t="shared" si="66"/>
        <v>22</v>
      </c>
      <c r="J90" s="185">
        <f t="shared" si="66"/>
        <v>1804.6757355285415</v>
      </c>
      <c r="K90" s="186">
        <f t="shared" si="66"/>
        <v>82.030715251297337</v>
      </c>
      <c r="L90" s="589"/>
      <c r="M90" s="185">
        <f>RANK(K90, K$87:$K$101)</f>
        <v>3</v>
      </c>
      <c r="N90" s="586"/>
      <c r="O90" s="586"/>
      <c r="P90" s="187">
        <v>22</v>
      </c>
      <c r="Q90" s="187">
        <v>1806.018592671398</v>
      </c>
      <c r="R90" s="184">
        <f t="shared" si="67"/>
        <v>82.091754212336269</v>
      </c>
      <c r="S90" s="181">
        <f t="shared" si="68"/>
        <v>3</v>
      </c>
      <c r="T90" s="588"/>
      <c r="U90" s="187">
        <v>22</v>
      </c>
      <c r="V90" s="187">
        <v>1805.2185926713983</v>
      </c>
      <c r="W90" s="184">
        <f t="shared" si="65"/>
        <v>82.055390575972652</v>
      </c>
      <c r="X90" s="181">
        <f t="shared" si="69"/>
        <v>3</v>
      </c>
      <c r="Y90" s="588"/>
      <c r="Z90" s="187">
        <v>22</v>
      </c>
      <c r="AA90" s="187">
        <v>1804.2185926713987</v>
      </c>
      <c r="AB90" s="184">
        <f t="shared" si="70"/>
        <v>82.009936030518119</v>
      </c>
      <c r="AC90" s="181">
        <f t="shared" si="71"/>
        <v>3</v>
      </c>
      <c r="AD90" s="588"/>
      <c r="AE90" s="187">
        <v>22</v>
      </c>
      <c r="AF90" s="187">
        <v>1803.6185926713988</v>
      </c>
      <c r="AG90" s="184">
        <f t="shared" si="72"/>
        <v>81.982663303245403</v>
      </c>
      <c r="AH90" s="181">
        <f t="shared" si="73"/>
        <v>3</v>
      </c>
      <c r="AI90" s="588"/>
      <c r="AJ90" s="187">
        <v>22</v>
      </c>
      <c r="AK90" s="187">
        <v>1804.2185926713989</v>
      </c>
      <c r="AL90" s="184">
        <f t="shared" si="74"/>
        <v>82.009936030518134</v>
      </c>
      <c r="AM90" s="181">
        <f t="shared" si="75"/>
        <v>3</v>
      </c>
      <c r="AN90" s="588"/>
      <c r="AO90" s="187">
        <v>22</v>
      </c>
      <c r="AP90" s="187">
        <v>1805.2185926713987</v>
      </c>
      <c r="AQ90" s="184">
        <f t="shared" si="76"/>
        <v>82.055390575972666</v>
      </c>
      <c r="AR90" s="181">
        <f t="shared" si="77"/>
        <v>3</v>
      </c>
      <c r="AS90" s="588"/>
      <c r="AT90" s="187">
        <v>22</v>
      </c>
      <c r="AU90" s="187">
        <v>1804.2185926713989</v>
      </c>
      <c r="AV90" s="184">
        <f t="shared" si="78"/>
        <v>82.009936030518134</v>
      </c>
      <c r="AW90" s="181">
        <f t="shared" si="79"/>
        <v>3</v>
      </c>
      <c r="AX90" s="588"/>
    </row>
    <row r="91" spans="2:50" ht="14.25" customHeight="1">
      <c r="B91" s="586"/>
      <c r="C91" s="179">
        <v>5</v>
      </c>
      <c r="D91" s="182" t="s">
        <v>415</v>
      </c>
      <c r="E91" s="179">
        <v>20</v>
      </c>
      <c r="F91" s="179">
        <v>2000</v>
      </c>
      <c r="G91" s="184">
        <f t="shared" si="64"/>
        <v>100</v>
      </c>
      <c r="H91" s="588"/>
      <c r="I91" s="185">
        <f t="shared" si="66"/>
        <v>20</v>
      </c>
      <c r="J91" s="185">
        <f t="shared" si="66"/>
        <v>1805.7586744991058</v>
      </c>
      <c r="K91" s="186">
        <f t="shared" si="66"/>
        <v>90.287933724955295</v>
      </c>
      <c r="L91" s="589"/>
      <c r="M91" s="185">
        <f>RANK(K91, K$87:$K$101)</f>
        <v>1</v>
      </c>
      <c r="N91" s="586"/>
      <c r="O91" s="586"/>
      <c r="P91" s="187">
        <v>20</v>
      </c>
      <c r="Q91" s="187">
        <v>1806.0443887848205</v>
      </c>
      <c r="R91" s="184">
        <f t="shared" si="67"/>
        <v>90.302219439241028</v>
      </c>
      <c r="S91" s="181">
        <f t="shared" si="68"/>
        <v>1</v>
      </c>
      <c r="T91" s="588"/>
      <c r="U91" s="187">
        <v>20</v>
      </c>
      <c r="V91" s="187">
        <v>1805.2443887848206</v>
      </c>
      <c r="W91" s="184">
        <f t="shared" si="65"/>
        <v>90.262219439241022</v>
      </c>
      <c r="X91" s="181">
        <f t="shared" si="69"/>
        <v>2</v>
      </c>
      <c r="Y91" s="588"/>
      <c r="Z91" s="187">
        <v>20</v>
      </c>
      <c r="AA91" s="187">
        <v>1805.6443887848202</v>
      </c>
      <c r="AB91" s="184">
        <f t="shared" si="70"/>
        <v>90.282219439241004</v>
      </c>
      <c r="AC91" s="181">
        <f t="shared" si="71"/>
        <v>1</v>
      </c>
      <c r="AD91" s="588"/>
      <c r="AE91" s="187">
        <v>20</v>
      </c>
      <c r="AF91" s="187">
        <v>1805.64438878482</v>
      </c>
      <c r="AG91" s="184">
        <f t="shared" si="72"/>
        <v>90.282219439241004</v>
      </c>
      <c r="AH91" s="181">
        <f t="shared" si="73"/>
        <v>2</v>
      </c>
      <c r="AI91" s="588"/>
      <c r="AJ91" s="187">
        <v>20</v>
      </c>
      <c r="AK91" s="187">
        <v>1806.2443887848203</v>
      </c>
      <c r="AL91" s="184">
        <f t="shared" si="74"/>
        <v>90.312219439241019</v>
      </c>
      <c r="AM91" s="181">
        <f t="shared" si="75"/>
        <v>1</v>
      </c>
      <c r="AN91" s="588"/>
      <c r="AO91" s="187">
        <v>20</v>
      </c>
      <c r="AP91" s="187">
        <v>1806.2443887848201</v>
      </c>
      <c r="AQ91" s="184">
        <f t="shared" si="76"/>
        <v>90.312219439241005</v>
      </c>
      <c r="AR91" s="181">
        <f t="shared" si="77"/>
        <v>1</v>
      </c>
      <c r="AS91" s="588"/>
      <c r="AT91" s="187">
        <v>20</v>
      </c>
      <c r="AU91" s="187">
        <v>1805.2443887848199</v>
      </c>
      <c r="AV91" s="184">
        <f t="shared" si="78"/>
        <v>90.262219439240994</v>
      </c>
      <c r="AW91" s="181">
        <f t="shared" si="79"/>
        <v>2</v>
      </c>
      <c r="AX91" s="588"/>
    </row>
    <row r="92" spans="2:50" ht="14.25" customHeight="1">
      <c r="B92" s="586"/>
      <c r="C92" s="179">
        <v>6</v>
      </c>
      <c r="D92" s="182" t="s">
        <v>524</v>
      </c>
      <c r="E92" s="179">
        <v>20</v>
      </c>
      <c r="F92" s="179">
        <v>2000</v>
      </c>
      <c r="G92" s="184">
        <f t="shared" si="64"/>
        <v>100</v>
      </c>
      <c r="H92" s="588"/>
      <c r="I92" s="185">
        <f t="shared" si="66"/>
        <v>20</v>
      </c>
      <c r="J92" s="185">
        <f t="shared" si="66"/>
        <v>1805.5351154465286</v>
      </c>
      <c r="K92" s="186">
        <f t="shared" si="66"/>
        <v>90.276755772326425</v>
      </c>
      <c r="L92" s="589"/>
      <c r="M92" s="185">
        <f>RANK(K92, K$87:$K$101)</f>
        <v>2</v>
      </c>
      <c r="N92" s="586"/>
      <c r="O92" s="586"/>
      <c r="P92" s="187">
        <v>20</v>
      </c>
      <c r="Q92" s="187">
        <v>1805.2208297322429</v>
      </c>
      <c r="R92" s="184">
        <f t="shared" si="67"/>
        <v>90.261041486612143</v>
      </c>
      <c r="S92" s="181">
        <f t="shared" si="68"/>
        <v>2</v>
      </c>
      <c r="T92" s="588"/>
      <c r="U92" s="187">
        <v>20</v>
      </c>
      <c r="V92" s="187">
        <v>1805.8208297322426</v>
      </c>
      <c r="W92" s="184">
        <f t="shared" si="65"/>
        <v>90.29104148661213</v>
      </c>
      <c r="X92" s="181">
        <f t="shared" si="69"/>
        <v>1</v>
      </c>
      <c r="Y92" s="588"/>
      <c r="Z92" s="187">
        <v>20</v>
      </c>
      <c r="AA92" s="187">
        <v>1805.2208297322429</v>
      </c>
      <c r="AB92" s="184">
        <f t="shared" si="70"/>
        <v>90.261041486612143</v>
      </c>
      <c r="AC92" s="181">
        <f t="shared" si="71"/>
        <v>2</v>
      </c>
      <c r="AD92" s="588"/>
      <c r="AE92" s="187">
        <v>20</v>
      </c>
      <c r="AF92" s="187">
        <v>1806.0208297322429</v>
      </c>
      <c r="AG92" s="184">
        <f t="shared" si="72"/>
        <v>90.301041486612149</v>
      </c>
      <c r="AH92" s="181">
        <f t="shared" si="73"/>
        <v>1</v>
      </c>
      <c r="AI92" s="588"/>
      <c r="AJ92" s="187">
        <v>20</v>
      </c>
      <c r="AK92" s="187">
        <v>1805.4208297322432</v>
      </c>
      <c r="AL92" s="184">
        <f t="shared" si="74"/>
        <v>90.271041486612162</v>
      </c>
      <c r="AM92" s="181">
        <f t="shared" si="75"/>
        <v>2</v>
      </c>
      <c r="AN92" s="588"/>
      <c r="AO92" s="187">
        <v>20</v>
      </c>
      <c r="AP92" s="187">
        <v>1805.0208297322431</v>
      </c>
      <c r="AQ92" s="184">
        <f t="shared" si="76"/>
        <v>90.251041486612152</v>
      </c>
      <c r="AR92" s="181">
        <f t="shared" si="77"/>
        <v>2</v>
      </c>
      <c r="AS92" s="588"/>
      <c r="AT92" s="187">
        <v>20</v>
      </c>
      <c r="AU92" s="187">
        <v>1806.0208297322426</v>
      </c>
      <c r="AV92" s="184">
        <f t="shared" si="78"/>
        <v>90.301041486612135</v>
      </c>
      <c r="AW92" s="181">
        <f t="shared" si="79"/>
        <v>1</v>
      </c>
      <c r="AX92" s="588"/>
    </row>
    <row r="93" spans="2:50" ht="14.25" customHeight="1">
      <c r="B93" s="586"/>
      <c r="C93" s="179">
        <v>7</v>
      </c>
      <c r="D93" s="182" t="s">
        <v>562</v>
      </c>
      <c r="E93" s="179">
        <v>24</v>
      </c>
      <c r="F93" s="179">
        <v>2000</v>
      </c>
      <c r="G93" s="184">
        <f t="shared" si="64"/>
        <v>83.333333333333329</v>
      </c>
      <c r="H93" s="588"/>
      <c r="I93" s="185">
        <f t="shared" si="66"/>
        <v>24</v>
      </c>
      <c r="J93" s="185">
        <f t="shared" si="66"/>
        <v>1808.2237170451324</v>
      </c>
      <c r="K93" s="186">
        <f t="shared" si="66"/>
        <v>75.342654876880516</v>
      </c>
      <c r="L93" s="589"/>
      <c r="M93" s="185">
        <f>RANK(K93, K$87:$K$101)</f>
        <v>6</v>
      </c>
      <c r="N93" s="586"/>
      <c r="O93" s="586"/>
      <c r="P93" s="187">
        <v>24</v>
      </c>
      <c r="Q93" s="187">
        <v>1807.1665741879895</v>
      </c>
      <c r="R93" s="184">
        <f t="shared" si="67"/>
        <v>75.298607257832899</v>
      </c>
      <c r="S93" s="181">
        <f t="shared" si="68"/>
        <v>7</v>
      </c>
      <c r="T93" s="588"/>
      <c r="U93" s="187">
        <v>24</v>
      </c>
      <c r="V93" s="187">
        <v>1807.3665741879895</v>
      </c>
      <c r="W93" s="184">
        <f t="shared" si="65"/>
        <v>75.306940591166224</v>
      </c>
      <c r="X93" s="181">
        <f t="shared" si="69"/>
        <v>7</v>
      </c>
      <c r="Y93" s="588"/>
      <c r="Z93" s="187">
        <v>24</v>
      </c>
      <c r="AA93" s="187">
        <v>1807.1665741879895</v>
      </c>
      <c r="AB93" s="184">
        <f t="shared" si="70"/>
        <v>75.298607257832899</v>
      </c>
      <c r="AC93" s="181">
        <f t="shared" si="71"/>
        <v>6</v>
      </c>
      <c r="AD93" s="588"/>
      <c r="AE93" s="187">
        <v>24</v>
      </c>
      <c r="AF93" s="187">
        <v>1808.1665741879895</v>
      </c>
      <c r="AG93" s="184">
        <f t="shared" si="72"/>
        <v>75.340273924499556</v>
      </c>
      <c r="AH93" s="181">
        <f t="shared" si="73"/>
        <v>6</v>
      </c>
      <c r="AI93" s="588"/>
      <c r="AJ93" s="187">
        <v>24</v>
      </c>
      <c r="AK93" s="187">
        <v>1808.9665741879896</v>
      </c>
      <c r="AL93" s="184">
        <f t="shared" si="74"/>
        <v>75.373607257832901</v>
      </c>
      <c r="AM93" s="181">
        <f t="shared" si="75"/>
        <v>6</v>
      </c>
      <c r="AN93" s="588"/>
      <c r="AO93" s="187">
        <v>24</v>
      </c>
      <c r="AP93" s="187">
        <v>1809.5665741879895</v>
      </c>
      <c r="AQ93" s="184">
        <f t="shared" si="76"/>
        <v>75.398607257832893</v>
      </c>
      <c r="AR93" s="181">
        <f t="shared" si="77"/>
        <v>6</v>
      </c>
      <c r="AS93" s="588"/>
      <c r="AT93" s="187">
        <v>24</v>
      </c>
      <c r="AU93" s="187">
        <v>1809.1665741879897</v>
      </c>
      <c r="AV93" s="184">
        <f t="shared" si="78"/>
        <v>75.381940591166241</v>
      </c>
      <c r="AW93" s="181">
        <f t="shared" si="79"/>
        <v>6</v>
      </c>
      <c r="AX93" s="588"/>
    </row>
    <row r="94" spans="2:50" ht="14.25" customHeight="1">
      <c r="B94" s="586"/>
      <c r="C94" s="179">
        <v>8</v>
      </c>
      <c r="D94" s="182" t="s">
        <v>719</v>
      </c>
      <c r="E94" s="179">
        <v>24</v>
      </c>
      <c r="F94" s="179">
        <v>2000</v>
      </c>
      <c r="G94" s="184">
        <f t="shared" si="64"/>
        <v>83.333333333333329</v>
      </c>
      <c r="H94" s="588"/>
      <c r="I94" s="185">
        <f t="shared" si="66"/>
        <v>24</v>
      </c>
      <c r="J94" s="185">
        <f t="shared" si="66"/>
        <v>1803.3312119715854</v>
      </c>
      <c r="K94" s="186">
        <f t="shared" si="66"/>
        <v>75.138800498816067</v>
      </c>
      <c r="L94" s="589"/>
      <c r="M94" s="185">
        <f>RANK(K94, K$87:$K$101)</f>
        <v>9</v>
      </c>
      <c r="N94" s="586"/>
      <c r="O94" s="586"/>
      <c r="P94" s="187">
        <v>24</v>
      </c>
      <c r="Q94" s="187">
        <v>1804.7883548287282</v>
      </c>
      <c r="R94" s="184">
        <f t="shared" si="67"/>
        <v>75.199514784530336</v>
      </c>
      <c r="S94" s="181">
        <f t="shared" si="68"/>
        <v>8</v>
      </c>
      <c r="T94" s="588"/>
      <c r="U94" s="187">
        <v>24</v>
      </c>
      <c r="V94" s="187">
        <v>1804.7883548287282</v>
      </c>
      <c r="W94" s="184">
        <f t="shared" si="65"/>
        <v>75.199514784530336</v>
      </c>
      <c r="X94" s="181">
        <f t="shared" si="69"/>
        <v>8</v>
      </c>
      <c r="Y94" s="588"/>
      <c r="Z94" s="187">
        <v>24</v>
      </c>
      <c r="AA94" s="187">
        <v>1803.9883548287282</v>
      </c>
      <c r="AB94" s="184">
        <f t="shared" si="70"/>
        <v>75.166181451197005</v>
      </c>
      <c r="AC94" s="181">
        <f t="shared" si="71"/>
        <v>8</v>
      </c>
      <c r="AD94" s="588"/>
      <c r="AE94" s="187">
        <v>24</v>
      </c>
      <c r="AF94" s="187">
        <v>1803.5883548287284</v>
      </c>
      <c r="AG94" s="184">
        <f t="shared" si="72"/>
        <v>75.149514784530353</v>
      </c>
      <c r="AH94" s="181">
        <f t="shared" si="73"/>
        <v>9</v>
      </c>
      <c r="AI94" s="588"/>
      <c r="AJ94" s="187">
        <v>24</v>
      </c>
      <c r="AK94" s="187">
        <v>1802.7883548287289</v>
      </c>
      <c r="AL94" s="184">
        <f t="shared" si="74"/>
        <v>75.116181451197036</v>
      </c>
      <c r="AM94" s="181">
        <f t="shared" si="75"/>
        <v>9</v>
      </c>
      <c r="AN94" s="588"/>
      <c r="AO94" s="187">
        <v>24</v>
      </c>
      <c r="AP94" s="187">
        <v>1801.9883548287289</v>
      </c>
      <c r="AQ94" s="184">
        <f t="shared" si="76"/>
        <v>75.082848117863705</v>
      </c>
      <c r="AR94" s="181">
        <f t="shared" si="77"/>
        <v>9</v>
      </c>
      <c r="AS94" s="588"/>
      <c r="AT94" s="187">
        <v>24</v>
      </c>
      <c r="AU94" s="187">
        <v>1801.388354828729</v>
      </c>
      <c r="AV94" s="184">
        <f t="shared" si="78"/>
        <v>75.057848117863713</v>
      </c>
      <c r="AW94" s="181">
        <f t="shared" si="79"/>
        <v>9</v>
      </c>
      <c r="AX94" s="588"/>
    </row>
    <row r="95" spans="2:50" ht="14.25" customHeight="1">
      <c r="B95" s="586"/>
      <c r="C95" s="179">
        <v>9</v>
      </c>
      <c r="D95" s="182" t="s">
        <v>720</v>
      </c>
      <c r="E95" s="179">
        <v>24</v>
      </c>
      <c r="F95" s="179">
        <v>2000</v>
      </c>
      <c r="G95" s="184">
        <f t="shared" si="64"/>
        <v>83.333333333333329</v>
      </c>
      <c r="H95" s="588"/>
      <c r="I95" s="185">
        <f t="shared" si="66"/>
        <v>24</v>
      </c>
      <c r="J95" s="185">
        <f t="shared" si="66"/>
        <v>1807.0361122913848</v>
      </c>
      <c r="K95" s="186">
        <f t="shared" si="66"/>
        <v>75.293171345474363</v>
      </c>
      <c r="L95" s="589"/>
      <c r="M95" s="185">
        <f>RANK(K95, K$87:$K$101)</f>
        <v>7</v>
      </c>
      <c r="N95" s="586"/>
      <c r="O95" s="586"/>
      <c r="P95" s="187">
        <v>24</v>
      </c>
      <c r="Q95" s="187">
        <v>1807.3503980056703</v>
      </c>
      <c r="R95" s="184">
        <f t="shared" si="67"/>
        <v>75.306266583569595</v>
      </c>
      <c r="S95" s="181">
        <f t="shared" si="68"/>
        <v>6</v>
      </c>
      <c r="T95" s="588"/>
      <c r="U95" s="187">
        <v>24</v>
      </c>
      <c r="V95" s="187">
        <v>1807.5503980056703</v>
      </c>
      <c r="W95" s="184">
        <f t="shared" si="65"/>
        <v>75.314599916902935</v>
      </c>
      <c r="X95" s="181">
        <f t="shared" si="69"/>
        <v>6</v>
      </c>
      <c r="Y95" s="588"/>
      <c r="Z95" s="187">
        <v>24</v>
      </c>
      <c r="AA95" s="187">
        <v>1806.7503980056706</v>
      </c>
      <c r="AB95" s="184">
        <f t="shared" si="70"/>
        <v>75.281266583569604</v>
      </c>
      <c r="AC95" s="181">
        <f t="shared" si="71"/>
        <v>7</v>
      </c>
      <c r="AD95" s="588"/>
      <c r="AE95" s="187">
        <v>24</v>
      </c>
      <c r="AF95" s="187">
        <v>1806.9503980056704</v>
      </c>
      <c r="AG95" s="184">
        <f t="shared" si="72"/>
        <v>75.28959991690293</v>
      </c>
      <c r="AH95" s="181">
        <f t="shared" si="73"/>
        <v>7</v>
      </c>
      <c r="AI95" s="588"/>
      <c r="AJ95" s="187">
        <v>24</v>
      </c>
      <c r="AK95" s="187">
        <v>1807.3503980056705</v>
      </c>
      <c r="AL95" s="184">
        <f t="shared" si="74"/>
        <v>75.306266583569609</v>
      </c>
      <c r="AM95" s="181">
        <f t="shared" si="75"/>
        <v>7</v>
      </c>
      <c r="AN95" s="588"/>
      <c r="AO95" s="187">
        <v>24</v>
      </c>
      <c r="AP95" s="187">
        <v>1806.9503980056706</v>
      </c>
      <c r="AQ95" s="184">
        <f t="shared" si="76"/>
        <v>75.289599916902944</v>
      </c>
      <c r="AR95" s="181">
        <f t="shared" si="77"/>
        <v>7</v>
      </c>
      <c r="AS95" s="588"/>
      <c r="AT95" s="187">
        <v>24</v>
      </c>
      <c r="AU95" s="187">
        <v>1806.3503980056707</v>
      </c>
      <c r="AV95" s="184">
        <f t="shared" si="78"/>
        <v>75.264599916902952</v>
      </c>
      <c r="AW95" s="181">
        <f t="shared" si="79"/>
        <v>7</v>
      </c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101"/>
  <sheetViews>
    <sheetView zoomScaleNormal="100" workbookViewId="0">
      <pane xSplit="13" ySplit="1" topLeftCell="N5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49" t="s">
        <v>641</v>
      </c>
      <c r="C1" s="174"/>
    </row>
    <row r="2" spans="1:50" ht="14.25" customHeight="1">
      <c r="B2" s="612" t="s">
        <v>626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f>P2+1</f>
        <v>46232</v>
      </c>
      <c r="V2" s="611"/>
      <c r="W2" s="611"/>
      <c r="X2" s="611"/>
      <c r="Y2" s="611"/>
      <c r="Z2" s="608">
        <f t="shared" ref="Z2" si="0">U2+1</f>
        <v>46233</v>
      </c>
      <c r="AA2" s="609"/>
      <c r="AB2" s="609"/>
      <c r="AC2" s="609"/>
      <c r="AD2" s="609"/>
      <c r="AE2" s="610">
        <f t="shared" ref="AE2" si="1">Z2+1</f>
        <v>46234</v>
      </c>
      <c r="AF2" s="611"/>
      <c r="AG2" s="611"/>
      <c r="AH2" s="611"/>
      <c r="AI2" s="611"/>
      <c r="AJ2" s="592">
        <f t="shared" ref="AJ2" si="2">AE2+1</f>
        <v>46235</v>
      </c>
      <c r="AK2" s="593"/>
      <c r="AL2" s="593"/>
      <c r="AM2" s="593"/>
      <c r="AN2" s="594"/>
      <c r="AO2" s="610">
        <f t="shared" ref="AO2" si="3">AJ2+1</f>
        <v>46236</v>
      </c>
      <c r="AP2" s="611"/>
      <c r="AQ2" s="611"/>
      <c r="AR2" s="611"/>
      <c r="AS2" s="611"/>
      <c r="AT2" s="592">
        <f t="shared" ref="AT2" si="4">AO2+1</f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404</v>
      </c>
      <c r="C7" s="179">
        <v>1</v>
      </c>
      <c r="D7" s="182"/>
      <c r="E7" s="183"/>
      <c r="F7" s="179"/>
      <c r="G7" s="184"/>
      <c r="H7" s="588"/>
      <c r="I7" s="185"/>
      <c r="J7" s="185"/>
      <c r="K7" s="186"/>
      <c r="L7" s="589"/>
      <c r="M7" s="185"/>
      <c r="N7" s="586"/>
      <c r="O7" s="586"/>
      <c r="P7" s="187"/>
      <c r="Q7" s="187"/>
      <c r="R7" s="184"/>
      <c r="S7" s="181"/>
      <c r="T7" s="588"/>
      <c r="U7" s="187"/>
      <c r="V7" s="187"/>
      <c r="W7" s="184"/>
      <c r="X7" s="181"/>
      <c r="Y7" s="588"/>
      <c r="Z7" s="187"/>
      <c r="AA7" s="187"/>
      <c r="AB7" s="184"/>
      <c r="AC7" s="181"/>
      <c r="AD7" s="588"/>
      <c r="AE7" s="187"/>
      <c r="AF7" s="187"/>
      <c r="AG7" s="184"/>
      <c r="AH7" s="181"/>
      <c r="AI7" s="588"/>
      <c r="AJ7" s="187"/>
      <c r="AK7" s="187"/>
      <c r="AL7" s="184"/>
      <c r="AM7" s="181"/>
      <c r="AN7" s="588"/>
      <c r="AO7" s="187"/>
      <c r="AP7" s="187"/>
      <c r="AQ7" s="184"/>
      <c r="AR7" s="181"/>
      <c r="AS7" s="588"/>
      <c r="AT7" s="187"/>
      <c r="AU7" s="187"/>
      <c r="AV7" s="184"/>
      <c r="AW7" s="181"/>
      <c r="AX7" s="588"/>
    </row>
    <row r="8" spans="1:50" ht="14.25" customHeight="1">
      <c r="B8" s="586"/>
      <c r="C8" s="179">
        <v>2</v>
      </c>
      <c r="D8" s="182"/>
      <c r="E8" s="179"/>
      <c r="F8" s="179"/>
      <c r="G8" s="184"/>
      <c r="H8" s="588"/>
      <c r="I8" s="185"/>
      <c r="J8" s="185"/>
      <c r="K8" s="186"/>
      <c r="L8" s="589"/>
      <c r="M8" s="185"/>
      <c r="N8" s="586"/>
      <c r="O8" s="586"/>
      <c r="P8" s="187"/>
      <c r="Q8" s="187"/>
      <c r="R8" s="184"/>
      <c r="S8" s="181"/>
      <c r="T8" s="588"/>
      <c r="U8" s="187"/>
      <c r="V8" s="187"/>
      <c r="W8" s="184"/>
      <c r="X8" s="181"/>
      <c r="Y8" s="588"/>
      <c r="Z8" s="187"/>
      <c r="AA8" s="187"/>
      <c r="AB8" s="184"/>
      <c r="AC8" s="181"/>
      <c r="AD8" s="588"/>
      <c r="AE8" s="187"/>
      <c r="AF8" s="187"/>
      <c r="AG8" s="184"/>
      <c r="AH8" s="181"/>
      <c r="AI8" s="588"/>
      <c r="AJ8" s="187"/>
      <c r="AK8" s="187"/>
      <c r="AL8" s="184"/>
      <c r="AM8" s="181"/>
      <c r="AN8" s="588"/>
      <c r="AO8" s="187"/>
      <c r="AP8" s="187"/>
      <c r="AQ8" s="184"/>
      <c r="AR8" s="181"/>
      <c r="AS8" s="588"/>
      <c r="AT8" s="187"/>
      <c r="AU8" s="187"/>
      <c r="AV8" s="184"/>
      <c r="AW8" s="181"/>
      <c r="AX8" s="588"/>
    </row>
    <row r="9" spans="1:50" ht="14.25" customHeight="1">
      <c r="B9" s="586"/>
      <c r="C9" s="179">
        <v>3</v>
      </c>
      <c r="D9" s="182"/>
      <c r="E9" s="179"/>
      <c r="F9" s="179"/>
      <c r="G9" s="184"/>
      <c r="H9" s="588"/>
      <c r="I9" s="185"/>
      <c r="J9" s="185"/>
      <c r="K9" s="186"/>
      <c r="L9" s="589"/>
      <c r="M9" s="185"/>
      <c r="N9" s="586"/>
      <c r="O9" s="586"/>
      <c r="P9" s="187"/>
      <c r="Q9" s="187"/>
      <c r="R9" s="184"/>
      <c r="S9" s="181"/>
      <c r="T9" s="588"/>
      <c r="U9" s="187"/>
      <c r="V9" s="187"/>
      <c r="W9" s="184"/>
      <c r="X9" s="181"/>
      <c r="Y9" s="588"/>
      <c r="Z9" s="187"/>
      <c r="AA9" s="187"/>
      <c r="AB9" s="184"/>
      <c r="AC9" s="181"/>
      <c r="AD9" s="588"/>
      <c r="AE9" s="187"/>
      <c r="AF9" s="187"/>
      <c r="AG9" s="184"/>
      <c r="AH9" s="181"/>
      <c r="AI9" s="588"/>
      <c r="AJ9" s="187"/>
      <c r="AK9" s="187"/>
      <c r="AL9" s="184"/>
      <c r="AM9" s="181"/>
      <c r="AN9" s="588"/>
      <c r="AO9" s="187"/>
      <c r="AP9" s="187"/>
      <c r="AQ9" s="184"/>
      <c r="AR9" s="181"/>
      <c r="AS9" s="588"/>
      <c r="AT9" s="187"/>
      <c r="AU9" s="187"/>
      <c r="AV9" s="184"/>
      <c r="AW9" s="181"/>
      <c r="AX9" s="588"/>
    </row>
    <row r="10" spans="1:50" ht="14.25" customHeight="1">
      <c r="B10" s="586"/>
      <c r="C10" s="179">
        <v>4</v>
      </c>
      <c r="D10" s="182"/>
      <c r="E10" s="179"/>
      <c r="F10" s="179"/>
      <c r="G10" s="184"/>
      <c r="H10" s="588"/>
      <c r="I10" s="185"/>
      <c r="J10" s="185"/>
      <c r="K10" s="186"/>
      <c r="L10" s="589"/>
      <c r="M10" s="185"/>
      <c r="N10" s="586"/>
      <c r="O10" s="586"/>
      <c r="P10" s="187"/>
      <c r="Q10" s="187"/>
      <c r="R10" s="184"/>
      <c r="S10" s="181"/>
      <c r="T10" s="588"/>
      <c r="U10" s="187"/>
      <c r="V10" s="187"/>
      <c r="W10" s="184"/>
      <c r="X10" s="181"/>
      <c r="Y10" s="588"/>
      <c r="Z10" s="187"/>
      <c r="AA10" s="187"/>
      <c r="AB10" s="184"/>
      <c r="AC10" s="181"/>
      <c r="AD10" s="588"/>
      <c r="AE10" s="187"/>
      <c r="AF10" s="187"/>
      <c r="AG10" s="184"/>
      <c r="AH10" s="181"/>
      <c r="AI10" s="588"/>
      <c r="AJ10" s="187"/>
      <c r="AK10" s="187"/>
      <c r="AL10" s="184"/>
      <c r="AM10" s="181"/>
      <c r="AN10" s="588"/>
      <c r="AO10" s="187"/>
      <c r="AP10" s="187"/>
      <c r="AQ10" s="184"/>
      <c r="AR10" s="181"/>
      <c r="AS10" s="588"/>
      <c r="AT10" s="187"/>
      <c r="AU10" s="187"/>
      <c r="AV10" s="184"/>
      <c r="AW10" s="181"/>
      <c r="AX10" s="588"/>
    </row>
    <row r="11" spans="1:50" ht="14.25" customHeight="1">
      <c r="B11" s="586"/>
      <c r="C11" s="179">
        <v>5</v>
      </c>
      <c r="D11" s="182"/>
      <c r="E11" s="179"/>
      <c r="F11" s="179"/>
      <c r="G11" s="184"/>
      <c r="H11" s="588"/>
      <c r="I11" s="185"/>
      <c r="J11" s="185"/>
      <c r="K11" s="186"/>
      <c r="L11" s="589"/>
      <c r="M11" s="185"/>
      <c r="N11" s="586"/>
      <c r="O11" s="586"/>
      <c r="P11" s="187"/>
      <c r="Q11" s="187"/>
      <c r="R11" s="184"/>
      <c r="S11" s="181"/>
      <c r="T11" s="588"/>
      <c r="U11" s="187"/>
      <c r="V11" s="187"/>
      <c r="W11" s="184"/>
      <c r="X11" s="181"/>
      <c r="Y11" s="588"/>
      <c r="Z11" s="187"/>
      <c r="AA11" s="187"/>
      <c r="AB11" s="184"/>
      <c r="AC11" s="181"/>
      <c r="AD11" s="588"/>
      <c r="AE11" s="187"/>
      <c r="AF11" s="187"/>
      <c r="AG11" s="184"/>
      <c r="AH11" s="181"/>
      <c r="AI11" s="588"/>
      <c r="AJ11" s="187"/>
      <c r="AK11" s="187"/>
      <c r="AL11" s="184"/>
      <c r="AM11" s="181"/>
      <c r="AN11" s="588"/>
      <c r="AO11" s="187"/>
      <c r="AP11" s="187"/>
      <c r="AQ11" s="184"/>
      <c r="AR11" s="181"/>
      <c r="AS11" s="588"/>
      <c r="AT11" s="187"/>
      <c r="AU11" s="187"/>
      <c r="AV11" s="184"/>
      <c r="AW11" s="181"/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f>P22+1</f>
        <v>46239</v>
      </c>
      <c r="V22" s="611"/>
      <c r="W22" s="611"/>
      <c r="X22" s="611"/>
      <c r="Y22" s="611"/>
      <c r="Z22" s="608">
        <f t="shared" ref="Z22" si="5">U22+1</f>
        <v>46240</v>
      </c>
      <c r="AA22" s="609"/>
      <c r="AB22" s="609"/>
      <c r="AC22" s="609"/>
      <c r="AD22" s="609"/>
      <c r="AE22" s="610">
        <f t="shared" ref="AE22" si="6">Z22+1</f>
        <v>46241</v>
      </c>
      <c r="AF22" s="611"/>
      <c r="AG22" s="611"/>
      <c r="AH22" s="611"/>
      <c r="AI22" s="611"/>
      <c r="AJ22" s="592">
        <f t="shared" ref="AJ22" si="7">AE22+1</f>
        <v>46242</v>
      </c>
      <c r="AK22" s="593"/>
      <c r="AL22" s="593"/>
      <c r="AM22" s="593"/>
      <c r="AN22" s="594"/>
      <c r="AO22" s="610">
        <f t="shared" ref="AO22" si="8">AJ22+1</f>
        <v>46243</v>
      </c>
      <c r="AP22" s="611"/>
      <c r="AQ22" s="611"/>
      <c r="AR22" s="611"/>
      <c r="AS22" s="611"/>
      <c r="AT22" s="592">
        <f t="shared" ref="AT22" si="9">AO22+1</f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404</v>
      </c>
      <c r="C27" s="179">
        <v>1</v>
      </c>
      <c r="D27" s="182"/>
      <c r="E27" s="183"/>
      <c r="F27" s="179"/>
      <c r="G27" s="184"/>
      <c r="H27" s="588"/>
      <c r="I27" s="185"/>
      <c r="J27" s="185"/>
      <c r="K27" s="186"/>
      <c r="L27" s="589"/>
      <c r="M27" s="185"/>
      <c r="N27" s="586"/>
      <c r="O27" s="586"/>
      <c r="P27" s="187"/>
      <c r="Q27" s="187"/>
      <c r="R27" s="184"/>
      <c r="S27" s="181"/>
      <c r="T27" s="588"/>
      <c r="U27" s="187"/>
      <c r="V27" s="187"/>
      <c r="W27" s="184"/>
      <c r="X27" s="181"/>
      <c r="Y27" s="588"/>
      <c r="Z27" s="187"/>
      <c r="AA27" s="187"/>
      <c r="AB27" s="184"/>
      <c r="AC27" s="181"/>
      <c r="AD27" s="588"/>
      <c r="AE27" s="187"/>
      <c r="AF27" s="187"/>
      <c r="AG27" s="184"/>
      <c r="AH27" s="181"/>
      <c r="AI27" s="588"/>
      <c r="AJ27" s="187"/>
      <c r="AK27" s="187"/>
      <c r="AL27" s="184"/>
      <c r="AM27" s="181"/>
      <c r="AN27" s="588"/>
      <c r="AO27" s="187"/>
      <c r="AP27" s="187"/>
      <c r="AQ27" s="184"/>
      <c r="AR27" s="181"/>
      <c r="AS27" s="588"/>
      <c r="AT27" s="187"/>
      <c r="AU27" s="187"/>
      <c r="AV27" s="184"/>
      <c r="AW27" s="181"/>
      <c r="AX27" s="588"/>
    </row>
    <row r="28" spans="2:50" ht="14.25" customHeight="1">
      <c r="B28" s="586"/>
      <c r="C28" s="179">
        <v>2</v>
      </c>
      <c r="D28" s="182"/>
      <c r="E28" s="179"/>
      <c r="F28" s="179"/>
      <c r="G28" s="184"/>
      <c r="H28" s="588"/>
      <c r="I28" s="185"/>
      <c r="J28" s="185"/>
      <c r="K28" s="186"/>
      <c r="L28" s="589"/>
      <c r="M28" s="185"/>
      <c r="N28" s="586"/>
      <c r="O28" s="586"/>
      <c r="P28" s="187"/>
      <c r="Q28" s="187"/>
      <c r="R28" s="184"/>
      <c r="S28" s="181"/>
      <c r="T28" s="588"/>
      <c r="U28" s="187"/>
      <c r="V28" s="187"/>
      <c r="W28" s="184"/>
      <c r="X28" s="181"/>
      <c r="Y28" s="588"/>
      <c r="Z28" s="187"/>
      <c r="AA28" s="187"/>
      <c r="AB28" s="184"/>
      <c r="AC28" s="181"/>
      <c r="AD28" s="588"/>
      <c r="AE28" s="187"/>
      <c r="AF28" s="187"/>
      <c r="AG28" s="184"/>
      <c r="AH28" s="181"/>
      <c r="AI28" s="588"/>
      <c r="AJ28" s="187"/>
      <c r="AK28" s="187"/>
      <c r="AL28" s="184"/>
      <c r="AM28" s="181"/>
      <c r="AN28" s="588"/>
      <c r="AO28" s="187"/>
      <c r="AP28" s="187"/>
      <c r="AQ28" s="184"/>
      <c r="AR28" s="181"/>
      <c r="AS28" s="588"/>
      <c r="AT28" s="187"/>
      <c r="AU28" s="187"/>
      <c r="AV28" s="184"/>
      <c r="AW28" s="181"/>
      <c r="AX28" s="588"/>
    </row>
    <row r="29" spans="2:50" ht="14.25" customHeight="1">
      <c r="B29" s="586"/>
      <c r="C29" s="179">
        <v>3</v>
      </c>
      <c r="D29" s="182"/>
      <c r="E29" s="179"/>
      <c r="F29" s="179"/>
      <c r="G29" s="184"/>
      <c r="H29" s="588"/>
      <c r="I29" s="185"/>
      <c r="J29" s="185"/>
      <c r="K29" s="186"/>
      <c r="L29" s="589"/>
      <c r="M29" s="185"/>
      <c r="N29" s="586"/>
      <c r="O29" s="586"/>
      <c r="P29" s="187"/>
      <c r="Q29" s="187"/>
      <c r="R29" s="184"/>
      <c r="S29" s="181"/>
      <c r="T29" s="588"/>
      <c r="U29" s="187"/>
      <c r="V29" s="187"/>
      <c r="W29" s="184"/>
      <c r="X29" s="181"/>
      <c r="Y29" s="588"/>
      <c r="Z29" s="187"/>
      <c r="AA29" s="187"/>
      <c r="AB29" s="184"/>
      <c r="AC29" s="181"/>
      <c r="AD29" s="588"/>
      <c r="AE29" s="187"/>
      <c r="AF29" s="187"/>
      <c r="AG29" s="184"/>
      <c r="AH29" s="181"/>
      <c r="AI29" s="588"/>
      <c r="AJ29" s="187"/>
      <c r="AK29" s="187"/>
      <c r="AL29" s="184"/>
      <c r="AM29" s="181"/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/>
      <c r="E30" s="179"/>
      <c r="F30" s="179"/>
      <c r="G30" s="184"/>
      <c r="H30" s="588"/>
      <c r="I30" s="185"/>
      <c r="J30" s="185"/>
      <c r="K30" s="186"/>
      <c r="L30" s="589"/>
      <c r="M30" s="185"/>
      <c r="N30" s="586"/>
      <c r="O30" s="586"/>
      <c r="P30" s="187"/>
      <c r="Q30" s="187"/>
      <c r="R30" s="184"/>
      <c r="S30" s="181"/>
      <c r="T30" s="588"/>
      <c r="U30" s="187"/>
      <c r="V30" s="187"/>
      <c r="W30" s="184"/>
      <c r="X30" s="181"/>
      <c r="Y30" s="588"/>
      <c r="Z30" s="187"/>
      <c r="AA30" s="187"/>
      <c r="AB30" s="184"/>
      <c r="AC30" s="181"/>
      <c r="AD30" s="588"/>
      <c r="AE30" s="187"/>
      <c r="AF30" s="187"/>
      <c r="AG30" s="184"/>
      <c r="AH30" s="181"/>
      <c r="AI30" s="588"/>
      <c r="AJ30" s="187"/>
      <c r="AK30" s="187"/>
      <c r="AL30" s="184"/>
      <c r="AM30" s="181"/>
      <c r="AN30" s="588"/>
      <c r="AO30" s="187"/>
      <c r="AP30" s="187"/>
      <c r="AQ30" s="184"/>
      <c r="AR30" s="181"/>
      <c r="AS30" s="588"/>
      <c r="AT30" s="187"/>
      <c r="AU30" s="187"/>
      <c r="AV30" s="184"/>
      <c r="AW30" s="181"/>
      <c r="AX30" s="588"/>
    </row>
    <row r="31" spans="2:50" ht="14.25" customHeight="1">
      <c r="B31" s="586"/>
      <c r="C31" s="179">
        <v>5</v>
      </c>
      <c r="D31" s="182"/>
      <c r="E31" s="179"/>
      <c r="F31" s="179"/>
      <c r="G31" s="184"/>
      <c r="H31" s="588"/>
      <c r="I31" s="185"/>
      <c r="J31" s="185"/>
      <c r="K31" s="186"/>
      <c r="L31" s="589"/>
      <c r="M31" s="185"/>
      <c r="N31" s="586"/>
      <c r="O31" s="586"/>
      <c r="P31" s="187"/>
      <c r="Q31" s="187"/>
      <c r="R31" s="184"/>
      <c r="S31" s="181"/>
      <c r="T31" s="588"/>
      <c r="U31" s="187"/>
      <c r="V31" s="187"/>
      <c r="W31" s="184"/>
      <c r="X31" s="181"/>
      <c r="Y31" s="588"/>
      <c r="Z31" s="187"/>
      <c r="AA31" s="187"/>
      <c r="AB31" s="184"/>
      <c r="AC31" s="181"/>
      <c r="AD31" s="588"/>
      <c r="AE31" s="187"/>
      <c r="AF31" s="187"/>
      <c r="AG31" s="184"/>
      <c r="AH31" s="181"/>
      <c r="AI31" s="588"/>
      <c r="AJ31" s="187"/>
      <c r="AK31" s="187"/>
      <c r="AL31" s="184"/>
      <c r="AM31" s="181"/>
      <c r="AN31" s="588"/>
      <c r="AO31" s="187"/>
      <c r="AP31" s="187"/>
      <c r="AQ31" s="184"/>
      <c r="AR31" s="181"/>
      <c r="AS31" s="588"/>
      <c r="AT31" s="187"/>
      <c r="AU31" s="187"/>
      <c r="AV31" s="184"/>
      <c r="AW31" s="181"/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f>P42+1</f>
        <v>46246</v>
      </c>
      <c r="V42" s="611"/>
      <c r="W42" s="611"/>
      <c r="X42" s="611"/>
      <c r="Y42" s="611"/>
      <c r="Z42" s="608">
        <f t="shared" ref="Z42" si="10">U42+1</f>
        <v>46247</v>
      </c>
      <c r="AA42" s="609"/>
      <c r="AB42" s="609"/>
      <c r="AC42" s="609"/>
      <c r="AD42" s="609"/>
      <c r="AE42" s="610">
        <f t="shared" ref="AE42" si="11">Z42+1</f>
        <v>46248</v>
      </c>
      <c r="AF42" s="611"/>
      <c r="AG42" s="611"/>
      <c r="AH42" s="611"/>
      <c r="AI42" s="611"/>
      <c r="AJ42" s="592">
        <f t="shared" ref="AJ42" si="12">AE42+1</f>
        <v>46249</v>
      </c>
      <c r="AK42" s="593"/>
      <c r="AL42" s="593"/>
      <c r="AM42" s="593"/>
      <c r="AN42" s="594"/>
      <c r="AO42" s="610">
        <f t="shared" ref="AO42" si="13">AJ42+1</f>
        <v>46250</v>
      </c>
      <c r="AP42" s="611"/>
      <c r="AQ42" s="611"/>
      <c r="AR42" s="611"/>
      <c r="AS42" s="611"/>
      <c r="AT42" s="592">
        <f t="shared" ref="AT42" si="14">AO42+1</f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404</v>
      </c>
      <c r="C47" s="179">
        <v>1</v>
      </c>
      <c r="D47" s="182"/>
      <c r="E47" s="183"/>
      <c r="F47" s="179"/>
      <c r="G47" s="184"/>
      <c r="H47" s="588"/>
      <c r="I47" s="185"/>
      <c r="J47" s="185"/>
      <c r="K47" s="186"/>
      <c r="L47" s="589"/>
      <c r="M47" s="185"/>
      <c r="N47" s="586"/>
      <c r="O47" s="586"/>
      <c r="P47" s="187"/>
      <c r="Q47" s="187"/>
      <c r="R47" s="184"/>
      <c r="S47" s="181"/>
      <c r="T47" s="588"/>
      <c r="U47" s="187"/>
      <c r="V47" s="187"/>
      <c r="W47" s="184"/>
      <c r="X47" s="181"/>
      <c r="Y47" s="588"/>
      <c r="Z47" s="187"/>
      <c r="AA47" s="187"/>
      <c r="AB47" s="184"/>
      <c r="AC47" s="181"/>
      <c r="AD47" s="588"/>
      <c r="AE47" s="187"/>
      <c r="AF47" s="187"/>
      <c r="AG47" s="184"/>
      <c r="AH47" s="181"/>
      <c r="AI47" s="588"/>
      <c r="AJ47" s="187"/>
      <c r="AK47" s="187"/>
      <c r="AL47" s="184"/>
      <c r="AM47" s="181"/>
      <c r="AN47" s="588"/>
      <c r="AO47" s="187"/>
      <c r="AP47" s="187"/>
      <c r="AQ47" s="184"/>
      <c r="AR47" s="181"/>
      <c r="AS47" s="588"/>
      <c r="AT47" s="187"/>
      <c r="AU47" s="187"/>
      <c r="AV47" s="184"/>
      <c r="AW47" s="181"/>
      <c r="AX47" s="588"/>
    </row>
    <row r="48" spans="2:50" ht="14.25" customHeight="1">
      <c r="B48" s="586"/>
      <c r="C48" s="179">
        <v>2</v>
      </c>
      <c r="D48" s="182"/>
      <c r="E48" s="179"/>
      <c r="F48" s="179"/>
      <c r="G48" s="184"/>
      <c r="H48" s="588"/>
      <c r="I48" s="185"/>
      <c r="J48" s="185"/>
      <c r="K48" s="186"/>
      <c r="L48" s="589"/>
      <c r="M48" s="185"/>
      <c r="N48" s="586"/>
      <c r="O48" s="586"/>
      <c r="P48" s="187"/>
      <c r="Q48" s="187"/>
      <c r="R48" s="184"/>
      <c r="S48" s="181"/>
      <c r="T48" s="588"/>
      <c r="U48" s="187"/>
      <c r="V48" s="187"/>
      <c r="W48" s="184"/>
      <c r="X48" s="181"/>
      <c r="Y48" s="588"/>
      <c r="Z48" s="187"/>
      <c r="AA48" s="187"/>
      <c r="AB48" s="184"/>
      <c r="AC48" s="181"/>
      <c r="AD48" s="588"/>
      <c r="AE48" s="187"/>
      <c r="AF48" s="187"/>
      <c r="AG48" s="184"/>
      <c r="AH48" s="181"/>
      <c r="AI48" s="588"/>
      <c r="AJ48" s="187"/>
      <c r="AK48" s="187"/>
      <c r="AL48" s="184"/>
      <c r="AM48" s="181"/>
      <c r="AN48" s="588"/>
      <c r="AO48" s="187"/>
      <c r="AP48" s="187"/>
      <c r="AQ48" s="184"/>
      <c r="AR48" s="181"/>
      <c r="AS48" s="588"/>
      <c r="AT48" s="187"/>
      <c r="AU48" s="187"/>
      <c r="AV48" s="184"/>
      <c r="AW48" s="181"/>
      <c r="AX48" s="588"/>
    </row>
    <row r="49" spans="2:50" ht="14.25" customHeight="1">
      <c r="B49" s="586"/>
      <c r="C49" s="179">
        <v>3</v>
      </c>
      <c r="D49" s="182"/>
      <c r="E49" s="179"/>
      <c r="F49" s="179"/>
      <c r="G49" s="184"/>
      <c r="H49" s="588"/>
      <c r="I49" s="185"/>
      <c r="J49" s="185"/>
      <c r="K49" s="186"/>
      <c r="L49" s="589"/>
      <c r="M49" s="185"/>
      <c r="N49" s="586"/>
      <c r="O49" s="586"/>
      <c r="P49" s="187"/>
      <c r="Q49" s="187"/>
      <c r="R49" s="184"/>
      <c r="S49" s="181"/>
      <c r="T49" s="588"/>
      <c r="U49" s="187"/>
      <c r="V49" s="187"/>
      <c r="W49" s="184"/>
      <c r="X49" s="181"/>
      <c r="Y49" s="588"/>
      <c r="Z49" s="187"/>
      <c r="AA49" s="187"/>
      <c r="AB49" s="184"/>
      <c r="AC49" s="181"/>
      <c r="AD49" s="588"/>
      <c r="AE49" s="187"/>
      <c r="AF49" s="187"/>
      <c r="AG49" s="184"/>
      <c r="AH49" s="181"/>
      <c r="AI49" s="588"/>
      <c r="AJ49" s="187"/>
      <c r="AK49" s="187"/>
      <c r="AL49" s="184"/>
      <c r="AM49" s="181"/>
      <c r="AN49" s="588"/>
      <c r="AO49" s="187"/>
      <c r="AP49" s="187"/>
      <c r="AQ49" s="184"/>
      <c r="AR49" s="181"/>
      <c r="AS49" s="588"/>
      <c r="AT49" s="187"/>
      <c r="AU49" s="187"/>
      <c r="AV49" s="184"/>
      <c r="AW49" s="181"/>
      <c r="AX49" s="588"/>
    </row>
    <row r="50" spans="2:50" ht="14.25" customHeight="1">
      <c r="B50" s="586"/>
      <c r="C50" s="179">
        <v>4</v>
      </c>
      <c r="D50" s="182"/>
      <c r="E50" s="179"/>
      <c r="F50" s="179"/>
      <c r="G50" s="184"/>
      <c r="H50" s="588"/>
      <c r="I50" s="185"/>
      <c r="J50" s="185"/>
      <c r="K50" s="186"/>
      <c r="L50" s="589"/>
      <c r="M50" s="185"/>
      <c r="N50" s="586"/>
      <c r="O50" s="586"/>
      <c r="P50" s="187"/>
      <c r="Q50" s="187"/>
      <c r="R50" s="184"/>
      <c r="S50" s="181"/>
      <c r="T50" s="588"/>
      <c r="U50" s="187"/>
      <c r="V50" s="187"/>
      <c r="W50" s="184"/>
      <c r="X50" s="181"/>
      <c r="Y50" s="588"/>
      <c r="Z50" s="187"/>
      <c r="AA50" s="187"/>
      <c r="AB50" s="184"/>
      <c r="AC50" s="181"/>
      <c r="AD50" s="588"/>
      <c r="AE50" s="187"/>
      <c r="AF50" s="187"/>
      <c r="AG50" s="184"/>
      <c r="AH50" s="181"/>
      <c r="AI50" s="588"/>
      <c r="AJ50" s="187"/>
      <c r="AK50" s="187"/>
      <c r="AL50" s="184"/>
      <c r="AM50" s="181"/>
      <c r="AN50" s="588"/>
      <c r="AO50" s="187"/>
      <c r="AP50" s="187"/>
      <c r="AQ50" s="184"/>
      <c r="AR50" s="181"/>
      <c r="AS50" s="588"/>
      <c r="AT50" s="187"/>
      <c r="AU50" s="187"/>
      <c r="AV50" s="184"/>
      <c r="AW50" s="181"/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f>P62+1</f>
        <v>46253</v>
      </c>
      <c r="V62" s="611"/>
      <c r="W62" s="611"/>
      <c r="X62" s="611"/>
      <c r="Y62" s="611"/>
      <c r="Z62" s="608">
        <f t="shared" ref="Z62" si="15">U62+1</f>
        <v>46254</v>
      </c>
      <c r="AA62" s="609"/>
      <c r="AB62" s="609"/>
      <c r="AC62" s="609"/>
      <c r="AD62" s="609"/>
      <c r="AE62" s="610">
        <f t="shared" ref="AE62" si="16">Z62+1</f>
        <v>46255</v>
      </c>
      <c r="AF62" s="611"/>
      <c r="AG62" s="611"/>
      <c r="AH62" s="611"/>
      <c r="AI62" s="611"/>
      <c r="AJ62" s="592">
        <f t="shared" ref="AJ62" si="17">AE62+1</f>
        <v>46256</v>
      </c>
      <c r="AK62" s="593"/>
      <c r="AL62" s="593"/>
      <c r="AM62" s="593"/>
      <c r="AN62" s="594"/>
      <c r="AO62" s="610">
        <f t="shared" ref="AO62" si="18">AJ62+1</f>
        <v>46257</v>
      </c>
      <c r="AP62" s="611"/>
      <c r="AQ62" s="611"/>
      <c r="AR62" s="611"/>
      <c r="AS62" s="611"/>
      <c r="AT62" s="592">
        <f t="shared" ref="AT62" si="19">AO62+1</f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404</v>
      </c>
      <c r="C67" s="179">
        <v>1</v>
      </c>
      <c r="D67" s="182"/>
      <c r="E67" s="183"/>
      <c r="F67" s="179"/>
      <c r="G67" s="184"/>
      <c r="H67" s="588"/>
      <c r="I67" s="185"/>
      <c r="J67" s="185"/>
      <c r="K67" s="186"/>
      <c r="L67" s="589"/>
      <c r="M67" s="185"/>
      <c r="N67" s="586"/>
      <c r="O67" s="586"/>
      <c r="P67" s="187"/>
      <c r="Q67" s="187"/>
      <c r="R67" s="184"/>
      <c r="S67" s="181"/>
      <c r="T67" s="588"/>
      <c r="U67" s="187"/>
      <c r="V67" s="187"/>
      <c r="W67" s="184"/>
      <c r="X67" s="181"/>
      <c r="Y67" s="588"/>
      <c r="Z67" s="187"/>
      <c r="AA67" s="187"/>
      <c r="AB67" s="184"/>
      <c r="AC67" s="181"/>
      <c r="AD67" s="588"/>
      <c r="AE67" s="187"/>
      <c r="AF67" s="187"/>
      <c r="AG67" s="184"/>
      <c r="AH67" s="181"/>
      <c r="AI67" s="588"/>
      <c r="AJ67" s="187"/>
      <c r="AK67" s="187"/>
      <c r="AL67" s="184"/>
      <c r="AM67" s="181"/>
      <c r="AN67" s="588"/>
      <c r="AO67" s="187"/>
      <c r="AP67" s="187"/>
      <c r="AQ67" s="184"/>
      <c r="AR67" s="181"/>
      <c r="AS67" s="588"/>
      <c r="AT67" s="187"/>
      <c r="AU67" s="187"/>
      <c r="AV67" s="184"/>
      <c r="AW67" s="181"/>
      <c r="AX67" s="588"/>
    </row>
    <row r="68" spans="2:50" ht="14.25" customHeight="1">
      <c r="B68" s="586"/>
      <c r="C68" s="179">
        <v>2</v>
      </c>
      <c r="D68" s="182"/>
      <c r="E68" s="179"/>
      <c r="F68" s="179"/>
      <c r="G68" s="184"/>
      <c r="H68" s="588"/>
      <c r="I68" s="185"/>
      <c r="J68" s="185"/>
      <c r="K68" s="186"/>
      <c r="L68" s="589"/>
      <c r="M68" s="185"/>
      <c r="N68" s="586"/>
      <c r="O68" s="586"/>
      <c r="P68" s="187"/>
      <c r="Q68" s="187"/>
      <c r="R68" s="184"/>
      <c r="S68" s="181"/>
      <c r="T68" s="588"/>
      <c r="U68" s="187"/>
      <c r="V68" s="187"/>
      <c r="W68" s="184"/>
      <c r="X68" s="181"/>
      <c r="Y68" s="588"/>
      <c r="Z68" s="187"/>
      <c r="AA68" s="187"/>
      <c r="AB68" s="184"/>
      <c r="AC68" s="181"/>
      <c r="AD68" s="588"/>
      <c r="AE68" s="187"/>
      <c r="AF68" s="187"/>
      <c r="AG68" s="184"/>
      <c r="AH68" s="181"/>
      <c r="AI68" s="588"/>
      <c r="AJ68" s="187"/>
      <c r="AK68" s="187"/>
      <c r="AL68" s="184"/>
      <c r="AM68" s="181"/>
      <c r="AN68" s="588"/>
      <c r="AO68" s="187"/>
      <c r="AP68" s="187"/>
      <c r="AQ68" s="184"/>
      <c r="AR68" s="181"/>
      <c r="AS68" s="588"/>
      <c r="AT68" s="187"/>
      <c r="AU68" s="187"/>
      <c r="AV68" s="184"/>
      <c r="AW68" s="181"/>
      <c r="AX68" s="588"/>
    </row>
    <row r="69" spans="2:50" ht="14.25" customHeight="1">
      <c r="B69" s="586"/>
      <c r="C69" s="179">
        <v>3</v>
      </c>
      <c r="D69" s="182"/>
      <c r="E69" s="179"/>
      <c r="F69" s="179"/>
      <c r="G69" s="184"/>
      <c r="H69" s="588"/>
      <c r="I69" s="185"/>
      <c r="J69" s="185"/>
      <c r="K69" s="186"/>
      <c r="L69" s="589"/>
      <c r="M69" s="185"/>
      <c r="N69" s="586"/>
      <c r="O69" s="586"/>
      <c r="P69" s="187"/>
      <c r="Q69" s="187"/>
      <c r="R69" s="184"/>
      <c r="S69" s="181"/>
      <c r="T69" s="588"/>
      <c r="U69" s="187"/>
      <c r="V69" s="187"/>
      <c r="W69" s="184"/>
      <c r="X69" s="181"/>
      <c r="Y69" s="588"/>
      <c r="Z69" s="187"/>
      <c r="AA69" s="187"/>
      <c r="AB69" s="184"/>
      <c r="AC69" s="181"/>
      <c r="AD69" s="588"/>
      <c r="AE69" s="187"/>
      <c r="AF69" s="187"/>
      <c r="AG69" s="184"/>
      <c r="AH69" s="181"/>
      <c r="AI69" s="588"/>
      <c r="AJ69" s="187"/>
      <c r="AK69" s="187"/>
      <c r="AL69" s="184"/>
      <c r="AM69" s="181"/>
      <c r="AN69" s="588"/>
      <c r="AO69" s="187"/>
      <c r="AP69" s="187"/>
      <c r="AQ69" s="184"/>
      <c r="AR69" s="181"/>
      <c r="AS69" s="588"/>
      <c r="AT69" s="187"/>
      <c r="AU69" s="187"/>
      <c r="AV69" s="184"/>
      <c r="AW69" s="181"/>
      <c r="AX69" s="588"/>
    </row>
    <row r="70" spans="2:50" ht="14.25" customHeight="1">
      <c r="B70" s="586"/>
      <c r="C70" s="179">
        <v>4</v>
      </c>
      <c r="D70" s="182"/>
      <c r="E70" s="179"/>
      <c r="F70" s="179"/>
      <c r="G70" s="184"/>
      <c r="H70" s="588"/>
      <c r="I70" s="185"/>
      <c r="J70" s="185"/>
      <c r="K70" s="186"/>
      <c r="L70" s="589"/>
      <c r="M70" s="185"/>
      <c r="N70" s="586"/>
      <c r="O70" s="586"/>
      <c r="P70" s="187"/>
      <c r="Q70" s="187"/>
      <c r="R70" s="184"/>
      <c r="S70" s="181"/>
      <c r="T70" s="588"/>
      <c r="U70" s="187"/>
      <c r="V70" s="187"/>
      <c r="W70" s="184"/>
      <c r="X70" s="181"/>
      <c r="Y70" s="588"/>
      <c r="Z70" s="187"/>
      <c r="AA70" s="187"/>
      <c r="AB70" s="184"/>
      <c r="AC70" s="181"/>
      <c r="AD70" s="588"/>
      <c r="AE70" s="187"/>
      <c r="AF70" s="187"/>
      <c r="AG70" s="184"/>
      <c r="AH70" s="181"/>
      <c r="AI70" s="588"/>
      <c r="AJ70" s="187"/>
      <c r="AK70" s="187"/>
      <c r="AL70" s="184"/>
      <c r="AM70" s="181"/>
      <c r="AN70" s="588"/>
      <c r="AO70" s="187"/>
      <c r="AP70" s="187"/>
      <c r="AQ70" s="184"/>
      <c r="AR70" s="181"/>
      <c r="AS70" s="588"/>
      <c r="AT70" s="187"/>
      <c r="AU70" s="187"/>
      <c r="AV70" s="184"/>
      <c r="AW70" s="181"/>
      <c r="AX70" s="588"/>
    </row>
    <row r="71" spans="2:50" ht="14.25" customHeight="1">
      <c r="B71" s="586"/>
      <c r="C71" s="179">
        <v>5</v>
      </c>
      <c r="D71" s="182"/>
      <c r="E71" s="179"/>
      <c r="F71" s="179"/>
      <c r="G71" s="184"/>
      <c r="H71" s="588"/>
      <c r="I71" s="185"/>
      <c r="J71" s="185"/>
      <c r="K71" s="186"/>
      <c r="L71" s="589"/>
      <c r="M71" s="185"/>
      <c r="N71" s="586"/>
      <c r="O71" s="586"/>
      <c r="P71" s="187"/>
      <c r="Q71" s="187"/>
      <c r="R71" s="184"/>
      <c r="S71" s="181"/>
      <c r="T71" s="588"/>
      <c r="U71" s="187"/>
      <c r="V71" s="187"/>
      <c r="W71" s="184"/>
      <c r="X71" s="181"/>
      <c r="Y71" s="588"/>
      <c r="Z71" s="187"/>
      <c r="AA71" s="187"/>
      <c r="AB71" s="184"/>
      <c r="AC71" s="181"/>
      <c r="AD71" s="588"/>
      <c r="AE71" s="187"/>
      <c r="AF71" s="187"/>
      <c r="AG71" s="184"/>
      <c r="AH71" s="181"/>
      <c r="AI71" s="588"/>
      <c r="AJ71" s="187"/>
      <c r="AK71" s="187"/>
      <c r="AL71" s="184"/>
      <c r="AM71" s="181"/>
      <c r="AN71" s="588"/>
      <c r="AO71" s="187"/>
      <c r="AP71" s="187"/>
      <c r="AQ71" s="184"/>
      <c r="AR71" s="181"/>
      <c r="AS71" s="588"/>
      <c r="AT71" s="187"/>
      <c r="AU71" s="187"/>
      <c r="AV71" s="184"/>
      <c r="AW71" s="181"/>
      <c r="AX71" s="588"/>
    </row>
    <row r="72" spans="2:50" ht="14.25" customHeight="1">
      <c r="B72" s="586"/>
      <c r="C72" s="179">
        <v>6</v>
      </c>
      <c r="D72" s="182"/>
      <c r="E72" s="179"/>
      <c r="F72" s="179"/>
      <c r="G72" s="184"/>
      <c r="H72" s="588"/>
      <c r="I72" s="185"/>
      <c r="J72" s="185"/>
      <c r="K72" s="186"/>
      <c r="L72" s="589"/>
      <c r="M72" s="185"/>
      <c r="N72" s="586"/>
      <c r="O72" s="586"/>
      <c r="P72" s="187"/>
      <c r="Q72" s="187"/>
      <c r="R72" s="184"/>
      <c r="S72" s="181"/>
      <c r="T72" s="588"/>
      <c r="U72" s="187"/>
      <c r="V72" s="187"/>
      <c r="W72" s="184"/>
      <c r="X72" s="181"/>
      <c r="Y72" s="588"/>
      <c r="Z72" s="187"/>
      <c r="AA72" s="187"/>
      <c r="AB72" s="184"/>
      <c r="AC72" s="181"/>
      <c r="AD72" s="588"/>
      <c r="AE72" s="187"/>
      <c r="AF72" s="187"/>
      <c r="AG72" s="184"/>
      <c r="AH72" s="181"/>
      <c r="AI72" s="588"/>
      <c r="AJ72" s="187"/>
      <c r="AK72" s="187"/>
      <c r="AL72" s="184"/>
      <c r="AM72" s="181"/>
      <c r="AN72" s="588"/>
      <c r="AO72" s="187"/>
      <c r="AP72" s="187"/>
      <c r="AQ72" s="184"/>
      <c r="AR72" s="181"/>
      <c r="AS72" s="588"/>
      <c r="AT72" s="187"/>
      <c r="AU72" s="187"/>
      <c r="AV72" s="184"/>
      <c r="AW72" s="181"/>
      <c r="AX72" s="588"/>
    </row>
    <row r="73" spans="2:50" ht="14.25" customHeight="1">
      <c r="B73" s="586"/>
      <c r="C73" s="179">
        <v>7</v>
      </c>
      <c r="D73" s="182"/>
      <c r="E73" s="179"/>
      <c r="F73" s="179"/>
      <c r="G73" s="184"/>
      <c r="H73" s="588"/>
      <c r="I73" s="185"/>
      <c r="J73" s="185"/>
      <c r="K73" s="186"/>
      <c r="L73" s="589"/>
      <c r="M73" s="185"/>
      <c r="N73" s="586"/>
      <c r="O73" s="586"/>
      <c r="P73" s="187"/>
      <c r="Q73" s="187"/>
      <c r="R73" s="184"/>
      <c r="S73" s="181"/>
      <c r="T73" s="588"/>
      <c r="U73" s="187"/>
      <c r="V73" s="187"/>
      <c r="W73" s="184"/>
      <c r="X73" s="181"/>
      <c r="Y73" s="588"/>
      <c r="Z73" s="187"/>
      <c r="AA73" s="187"/>
      <c r="AB73" s="184"/>
      <c r="AC73" s="181"/>
      <c r="AD73" s="588"/>
      <c r="AE73" s="187"/>
      <c r="AF73" s="187"/>
      <c r="AG73" s="184"/>
      <c r="AH73" s="181"/>
      <c r="AI73" s="588"/>
      <c r="AJ73" s="187"/>
      <c r="AK73" s="187"/>
      <c r="AL73" s="184"/>
      <c r="AM73" s="181"/>
      <c r="AN73" s="588"/>
      <c r="AO73" s="187"/>
      <c r="AP73" s="187"/>
      <c r="AQ73" s="184"/>
      <c r="AR73" s="181"/>
      <c r="AS73" s="588"/>
      <c r="AT73" s="187"/>
      <c r="AU73" s="187"/>
      <c r="AV73" s="184"/>
      <c r="AW73" s="181"/>
      <c r="AX73" s="588"/>
    </row>
    <row r="74" spans="2:50" ht="14.25" customHeight="1">
      <c r="B74" s="586"/>
      <c r="C74" s="179">
        <v>8</v>
      </c>
      <c r="D74" s="182"/>
      <c r="E74" s="179"/>
      <c r="F74" s="179"/>
      <c r="G74" s="184"/>
      <c r="H74" s="588"/>
      <c r="I74" s="185"/>
      <c r="J74" s="185"/>
      <c r="K74" s="186"/>
      <c r="L74" s="589"/>
      <c r="M74" s="185"/>
      <c r="N74" s="586"/>
      <c r="O74" s="586"/>
      <c r="P74" s="187"/>
      <c r="Q74" s="187"/>
      <c r="R74" s="184"/>
      <c r="S74" s="181"/>
      <c r="T74" s="588"/>
      <c r="U74" s="187"/>
      <c r="V74" s="187"/>
      <c r="W74" s="184"/>
      <c r="X74" s="181"/>
      <c r="Y74" s="588"/>
      <c r="Z74" s="187"/>
      <c r="AA74" s="187"/>
      <c r="AB74" s="184"/>
      <c r="AC74" s="181"/>
      <c r="AD74" s="588"/>
      <c r="AE74" s="187"/>
      <c r="AF74" s="187"/>
      <c r="AG74" s="184"/>
      <c r="AH74" s="181"/>
      <c r="AI74" s="588"/>
      <c r="AJ74" s="187"/>
      <c r="AK74" s="187"/>
      <c r="AL74" s="184"/>
      <c r="AM74" s="181"/>
      <c r="AN74" s="588"/>
      <c r="AO74" s="187"/>
      <c r="AP74" s="187"/>
      <c r="AQ74" s="184"/>
      <c r="AR74" s="181"/>
      <c r="AS74" s="588"/>
      <c r="AT74" s="187"/>
      <c r="AU74" s="187"/>
      <c r="AV74" s="184"/>
      <c r="AW74" s="181"/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46252</v>
      </c>
      <c r="Q82" s="609"/>
      <c r="R82" s="609"/>
      <c r="S82" s="609"/>
      <c r="T82" s="609"/>
      <c r="U82" s="610">
        <f>P82+1</f>
        <v>46253</v>
      </c>
      <c r="V82" s="611"/>
      <c r="W82" s="611"/>
      <c r="X82" s="611"/>
      <c r="Y82" s="611"/>
      <c r="Z82" s="608">
        <f t="shared" ref="Z82" si="20">U82+1</f>
        <v>46254</v>
      </c>
      <c r="AA82" s="609"/>
      <c r="AB82" s="609"/>
      <c r="AC82" s="609"/>
      <c r="AD82" s="609"/>
      <c r="AE82" s="610">
        <f t="shared" ref="AE82" si="21">Z82+1</f>
        <v>46255</v>
      </c>
      <c r="AF82" s="611"/>
      <c r="AG82" s="611"/>
      <c r="AH82" s="611"/>
      <c r="AI82" s="611"/>
      <c r="AJ82" s="592">
        <f t="shared" ref="AJ82" si="22">AE82+1</f>
        <v>46256</v>
      </c>
      <c r="AK82" s="593"/>
      <c r="AL82" s="593"/>
      <c r="AM82" s="593"/>
      <c r="AN82" s="594"/>
      <c r="AO82" s="610">
        <f t="shared" ref="AO82" si="23">AJ82+1</f>
        <v>46257</v>
      </c>
      <c r="AP82" s="611"/>
      <c r="AQ82" s="611"/>
      <c r="AR82" s="611"/>
      <c r="AS82" s="611"/>
      <c r="AT82" s="592">
        <f t="shared" ref="AT82" si="24">AO82+1</f>
        <v>46258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404</v>
      </c>
      <c r="C87" s="179">
        <v>1</v>
      </c>
      <c r="D87" s="182"/>
      <c r="E87" s="183"/>
      <c r="F87" s="179"/>
      <c r="G87" s="184"/>
      <c r="H87" s="588"/>
      <c r="I87" s="185"/>
      <c r="J87" s="185"/>
      <c r="K87" s="186"/>
      <c r="L87" s="589"/>
      <c r="M87" s="185"/>
      <c r="N87" s="586"/>
      <c r="O87" s="586"/>
      <c r="P87" s="187"/>
      <c r="Q87" s="187"/>
      <c r="R87" s="184"/>
      <c r="S87" s="181"/>
      <c r="T87" s="588"/>
      <c r="U87" s="187"/>
      <c r="V87" s="187"/>
      <c r="W87" s="184"/>
      <c r="X87" s="181"/>
      <c r="Y87" s="588"/>
      <c r="Z87" s="187"/>
      <c r="AA87" s="187"/>
      <c r="AB87" s="184"/>
      <c r="AC87" s="181"/>
      <c r="AD87" s="588"/>
      <c r="AE87" s="187"/>
      <c r="AF87" s="187"/>
      <c r="AG87" s="184"/>
      <c r="AH87" s="181"/>
      <c r="AI87" s="588"/>
      <c r="AJ87" s="187"/>
      <c r="AK87" s="187"/>
      <c r="AL87" s="184"/>
      <c r="AM87" s="181"/>
      <c r="AN87" s="588"/>
      <c r="AO87" s="187"/>
      <c r="AP87" s="187"/>
      <c r="AQ87" s="184"/>
      <c r="AR87" s="181"/>
      <c r="AS87" s="588"/>
      <c r="AT87" s="187"/>
      <c r="AU87" s="187"/>
      <c r="AV87" s="184"/>
      <c r="AW87" s="181"/>
      <c r="AX87" s="588"/>
    </row>
    <row r="88" spans="2:50" ht="14.25" customHeight="1">
      <c r="B88" s="586"/>
      <c r="C88" s="179">
        <v>2</v>
      </c>
      <c r="D88" s="182"/>
      <c r="E88" s="179"/>
      <c r="F88" s="179"/>
      <c r="G88" s="184"/>
      <c r="H88" s="588"/>
      <c r="I88" s="185"/>
      <c r="J88" s="185"/>
      <c r="K88" s="186"/>
      <c r="L88" s="589"/>
      <c r="M88" s="185"/>
      <c r="N88" s="586"/>
      <c r="O88" s="586"/>
      <c r="P88" s="187"/>
      <c r="Q88" s="187"/>
      <c r="R88" s="184"/>
      <c r="S88" s="181"/>
      <c r="T88" s="588"/>
      <c r="U88" s="187"/>
      <c r="V88" s="187"/>
      <c r="W88" s="184"/>
      <c r="X88" s="181"/>
      <c r="Y88" s="588"/>
      <c r="Z88" s="187"/>
      <c r="AA88" s="187"/>
      <c r="AB88" s="184"/>
      <c r="AC88" s="181"/>
      <c r="AD88" s="588"/>
      <c r="AE88" s="187"/>
      <c r="AF88" s="187"/>
      <c r="AG88" s="184"/>
      <c r="AH88" s="181"/>
      <c r="AI88" s="588"/>
      <c r="AJ88" s="187"/>
      <c r="AK88" s="187"/>
      <c r="AL88" s="184"/>
      <c r="AM88" s="181"/>
      <c r="AN88" s="588"/>
      <c r="AO88" s="187"/>
      <c r="AP88" s="187"/>
      <c r="AQ88" s="184"/>
      <c r="AR88" s="181"/>
      <c r="AS88" s="588"/>
      <c r="AT88" s="187"/>
      <c r="AU88" s="187"/>
      <c r="AV88" s="184"/>
      <c r="AW88" s="181"/>
      <c r="AX88" s="588"/>
    </row>
    <row r="89" spans="2:50" ht="14.25" customHeight="1">
      <c r="B89" s="586"/>
      <c r="C89" s="179">
        <v>3</v>
      </c>
      <c r="D89" s="182"/>
      <c r="E89" s="179"/>
      <c r="F89" s="179"/>
      <c r="G89" s="184"/>
      <c r="H89" s="588"/>
      <c r="I89" s="185"/>
      <c r="J89" s="185"/>
      <c r="K89" s="186"/>
      <c r="L89" s="589"/>
      <c r="M89" s="185"/>
      <c r="N89" s="586"/>
      <c r="O89" s="586"/>
      <c r="P89" s="187"/>
      <c r="Q89" s="187"/>
      <c r="R89" s="184"/>
      <c r="S89" s="181"/>
      <c r="T89" s="588"/>
      <c r="U89" s="187"/>
      <c r="V89" s="187"/>
      <c r="W89" s="184"/>
      <c r="X89" s="181"/>
      <c r="Y89" s="588"/>
      <c r="Z89" s="187"/>
      <c r="AA89" s="187"/>
      <c r="AB89" s="184"/>
      <c r="AC89" s="181"/>
      <c r="AD89" s="588"/>
      <c r="AE89" s="187"/>
      <c r="AF89" s="187"/>
      <c r="AG89" s="184"/>
      <c r="AH89" s="181"/>
      <c r="AI89" s="588"/>
      <c r="AJ89" s="187"/>
      <c r="AK89" s="187"/>
      <c r="AL89" s="184"/>
      <c r="AM89" s="181"/>
      <c r="AN89" s="588"/>
      <c r="AO89" s="187"/>
      <c r="AP89" s="187"/>
      <c r="AQ89" s="184"/>
      <c r="AR89" s="181"/>
      <c r="AS89" s="588"/>
      <c r="AT89" s="187"/>
      <c r="AU89" s="187"/>
      <c r="AV89" s="184"/>
      <c r="AW89" s="181"/>
      <c r="AX89" s="588"/>
    </row>
    <row r="90" spans="2:50" ht="14.25" customHeight="1">
      <c r="B90" s="586"/>
      <c r="C90" s="179">
        <v>4</v>
      </c>
      <c r="D90" s="182"/>
      <c r="E90" s="179"/>
      <c r="F90" s="179"/>
      <c r="G90" s="184"/>
      <c r="H90" s="588"/>
      <c r="I90" s="185"/>
      <c r="J90" s="185"/>
      <c r="K90" s="186"/>
      <c r="L90" s="589"/>
      <c r="M90" s="185"/>
      <c r="N90" s="586"/>
      <c r="O90" s="586"/>
      <c r="P90" s="187"/>
      <c r="Q90" s="187"/>
      <c r="R90" s="184"/>
      <c r="S90" s="181"/>
      <c r="T90" s="588"/>
      <c r="U90" s="187"/>
      <c r="V90" s="187"/>
      <c r="W90" s="184"/>
      <c r="X90" s="181"/>
      <c r="Y90" s="588"/>
      <c r="Z90" s="187"/>
      <c r="AA90" s="187"/>
      <c r="AB90" s="184"/>
      <c r="AC90" s="181"/>
      <c r="AD90" s="588"/>
      <c r="AE90" s="187"/>
      <c r="AF90" s="187"/>
      <c r="AG90" s="184"/>
      <c r="AH90" s="181"/>
      <c r="AI90" s="588"/>
      <c r="AJ90" s="187"/>
      <c r="AK90" s="187"/>
      <c r="AL90" s="184"/>
      <c r="AM90" s="181"/>
      <c r="AN90" s="588"/>
      <c r="AO90" s="187"/>
      <c r="AP90" s="187"/>
      <c r="AQ90" s="184"/>
      <c r="AR90" s="181"/>
      <c r="AS90" s="588"/>
      <c r="AT90" s="187"/>
      <c r="AU90" s="187"/>
      <c r="AV90" s="184"/>
      <c r="AW90" s="181"/>
      <c r="AX90" s="588"/>
    </row>
    <row r="91" spans="2:50" ht="14.25" customHeight="1">
      <c r="B91" s="586"/>
      <c r="C91" s="179">
        <v>5</v>
      </c>
      <c r="D91" s="182"/>
      <c r="E91" s="179"/>
      <c r="F91" s="179"/>
      <c r="G91" s="184"/>
      <c r="H91" s="588"/>
      <c r="I91" s="185"/>
      <c r="J91" s="185"/>
      <c r="K91" s="186"/>
      <c r="L91" s="589"/>
      <c r="M91" s="185"/>
      <c r="N91" s="586"/>
      <c r="O91" s="586"/>
      <c r="P91" s="187"/>
      <c r="Q91" s="187"/>
      <c r="R91" s="184"/>
      <c r="S91" s="181"/>
      <c r="T91" s="588"/>
      <c r="U91" s="187"/>
      <c r="V91" s="187"/>
      <c r="W91" s="184"/>
      <c r="X91" s="181"/>
      <c r="Y91" s="588"/>
      <c r="Z91" s="187"/>
      <c r="AA91" s="187"/>
      <c r="AB91" s="184"/>
      <c r="AC91" s="181"/>
      <c r="AD91" s="588"/>
      <c r="AE91" s="187"/>
      <c r="AF91" s="187"/>
      <c r="AG91" s="184"/>
      <c r="AH91" s="181"/>
      <c r="AI91" s="588"/>
      <c r="AJ91" s="187"/>
      <c r="AK91" s="187"/>
      <c r="AL91" s="184"/>
      <c r="AM91" s="181"/>
      <c r="AN91" s="588"/>
      <c r="AO91" s="187"/>
      <c r="AP91" s="187"/>
      <c r="AQ91" s="184"/>
      <c r="AR91" s="181"/>
      <c r="AS91" s="588"/>
      <c r="AT91" s="187"/>
      <c r="AU91" s="187"/>
      <c r="AV91" s="184"/>
      <c r="AW91" s="181"/>
      <c r="AX91" s="588"/>
    </row>
    <row r="92" spans="2:50" ht="14.25" customHeight="1">
      <c r="B92" s="586"/>
      <c r="C92" s="179">
        <v>6</v>
      </c>
      <c r="D92" s="182"/>
      <c r="E92" s="179"/>
      <c r="F92" s="179"/>
      <c r="G92" s="184"/>
      <c r="H92" s="588"/>
      <c r="I92" s="185"/>
      <c r="J92" s="185"/>
      <c r="K92" s="186"/>
      <c r="L92" s="589"/>
      <c r="M92" s="185"/>
      <c r="N92" s="586"/>
      <c r="O92" s="586"/>
      <c r="P92" s="187"/>
      <c r="Q92" s="187"/>
      <c r="R92" s="184"/>
      <c r="S92" s="181"/>
      <c r="T92" s="588"/>
      <c r="U92" s="187"/>
      <c r="V92" s="187"/>
      <c r="W92" s="184"/>
      <c r="X92" s="181"/>
      <c r="Y92" s="588"/>
      <c r="Z92" s="187"/>
      <c r="AA92" s="187"/>
      <c r="AB92" s="184"/>
      <c r="AC92" s="181"/>
      <c r="AD92" s="588"/>
      <c r="AE92" s="187"/>
      <c r="AF92" s="187"/>
      <c r="AG92" s="184"/>
      <c r="AH92" s="181"/>
      <c r="AI92" s="588"/>
      <c r="AJ92" s="187"/>
      <c r="AK92" s="187"/>
      <c r="AL92" s="184"/>
      <c r="AM92" s="181"/>
      <c r="AN92" s="588"/>
      <c r="AO92" s="187"/>
      <c r="AP92" s="187"/>
      <c r="AQ92" s="184"/>
      <c r="AR92" s="181"/>
      <c r="AS92" s="588"/>
      <c r="AT92" s="187"/>
      <c r="AU92" s="187"/>
      <c r="AV92" s="184"/>
      <c r="AW92" s="181"/>
      <c r="AX92" s="588"/>
    </row>
    <row r="93" spans="2:50" ht="14.25" customHeight="1">
      <c r="B93" s="586"/>
      <c r="C93" s="179">
        <v>7</v>
      </c>
      <c r="D93" s="182"/>
      <c r="E93" s="179"/>
      <c r="F93" s="179"/>
      <c r="G93" s="184"/>
      <c r="H93" s="588"/>
      <c r="I93" s="185"/>
      <c r="J93" s="185"/>
      <c r="K93" s="186"/>
      <c r="L93" s="589"/>
      <c r="M93" s="185"/>
      <c r="N93" s="586"/>
      <c r="O93" s="586"/>
      <c r="P93" s="187"/>
      <c r="Q93" s="187"/>
      <c r="R93" s="184"/>
      <c r="S93" s="181"/>
      <c r="T93" s="588"/>
      <c r="U93" s="187"/>
      <c r="V93" s="187"/>
      <c r="W93" s="184"/>
      <c r="X93" s="181"/>
      <c r="Y93" s="588"/>
      <c r="Z93" s="187"/>
      <c r="AA93" s="187"/>
      <c r="AB93" s="184"/>
      <c r="AC93" s="181"/>
      <c r="AD93" s="588"/>
      <c r="AE93" s="187"/>
      <c r="AF93" s="187"/>
      <c r="AG93" s="184"/>
      <c r="AH93" s="181"/>
      <c r="AI93" s="588"/>
      <c r="AJ93" s="187"/>
      <c r="AK93" s="187"/>
      <c r="AL93" s="184"/>
      <c r="AM93" s="181"/>
      <c r="AN93" s="588"/>
      <c r="AO93" s="187"/>
      <c r="AP93" s="187"/>
      <c r="AQ93" s="184"/>
      <c r="AR93" s="181"/>
      <c r="AS93" s="588"/>
      <c r="AT93" s="187"/>
      <c r="AU93" s="187"/>
      <c r="AV93" s="184"/>
      <c r="AW93" s="181"/>
      <c r="AX93" s="588"/>
    </row>
    <row r="94" spans="2:50" ht="14.25" customHeight="1">
      <c r="B94" s="586"/>
      <c r="C94" s="179">
        <v>8</v>
      </c>
      <c r="D94" s="182"/>
      <c r="E94" s="179"/>
      <c r="F94" s="179"/>
      <c r="G94" s="184"/>
      <c r="H94" s="588"/>
      <c r="I94" s="185"/>
      <c r="J94" s="185"/>
      <c r="K94" s="186"/>
      <c r="L94" s="589"/>
      <c r="M94" s="185"/>
      <c r="N94" s="586"/>
      <c r="O94" s="586"/>
      <c r="P94" s="187"/>
      <c r="Q94" s="187"/>
      <c r="R94" s="184"/>
      <c r="S94" s="181"/>
      <c r="T94" s="588"/>
      <c r="U94" s="187"/>
      <c r="V94" s="187"/>
      <c r="W94" s="184"/>
      <c r="X94" s="181"/>
      <c r="Y94" s="588"/>
      <c r="Z94" s="187"/>
      <c r="AA94" s="187"/>
      <c r="AB94" s="184"/>
      <c r="AC94" s="181"/>
      <c r="AD94" s="588"/>
      <c r="AE94" s="187"/>
      <c r="AF94" s="187"/>
      <c r="AG94" s="184"/>
      <c r="AH94" s="181"/>
      <c r="AI94" s="588"/>
      <c r="AJ94" s="187"/>
      <c r="AK94" s="187"/>
      <c r="AL94" s="184"/>
      <c r="AM94" s="181"/>
      <c r="AN94" s="588"/>
      <c r="AO94" s="187"/>
      <c r="AP94" s="187"/>
      <c r="AQ94" s="184"/>
      <c r="AR94" s="181"/>
      <c r="AS94" s="588"/>
      <c r="AT94" s="187"/>
      <c r="AU94" s="187"/>
      <c r="AV94" s="184"/>
      <c r="AW94" s="181"/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101"/>
  <sheetViews>
    <sheetView zoomScaleNormal="100" workbookViewId="0">
      <pane xSplit="13" ySplit="1" topLeftCell="N83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49" t="s">
        <v>641</v>
      </c>
      <c r="C1" s="174">
        <f>AVERAGE(L27,L47,L67,L87)</f>
        <v>158.12481452190781</v>
      </c>
    </row>
    <row r="2" spans="1:50" ht="14.25" customHeight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349</v>
      </c>
      <c r="C7" s="179">
        <v>1</v>
      </c>
      <c r="D7" s="182" t="s">
        <v>492</v>
      </c>
      <c r="E7" s="183">
        <v>20</v>
      </c>
      <c r="F7" s="179">
        <v>3600</v>
      </c>
      <c r="G7" s="184">
        <f t="shared" ref="G7:G14" si="0">IFERROR(F7/E7,"")</f>
        <v>180</v>
      </c>
      <c r="H7" s="588">
        <f>AVERAGE(G7:G21)</f>
        <v>171.75153793574844</v>
      </c>
      <c r="I7" s="185">
        <f>AVERAGE(P7,U7,Z7,AE7,AJ7,AO7,AT7)</f>
        <v>20</v>
      </c>
      <c r="J7" s="185">
        <f>AVERAGE(Q7,V7,AA7,AF7,AK7,AP7,AU7)</f>
        <v>3266.9501893310226</v>
      </c>
      <c r="K7" s="186">
        <f>AVERAGE(R7,W7,AB7,AG7,AL7,AQ7,AV7)</f>
        <v>163.34750946655114</v>
      </c>
      <c r="L7" s="589">
        <f>IFERROR(AVERAGE(K7:K21),"-")</f>
        <v>154.82710267055958</v>
      </c>
      <c r="M7" s="185">
        <f>RANK(K7, K$7:$K$21)</f>
        <v>3</v>
      </c>
      <c r="N7" s="586"/>
      <c r="O7" s="586"/>
      <c r="P7" s="187">
        <v>20</v>
      </c>
      <c r="Q7" s="187">
        <v>3266.0612005177532</v>
      </c>
      <c r="R7" s="184">
        <f>IFERROR(Q7/P7,"")</f>
        <v>163.30306002588765</v>
      </c>
      <c r="S7" s="181">
        <f>RANK(R7, R$7:R$21)</f>
        <v>3</v>
      </c>
      <c r="T7" s="588">
        <f>AVERAGE(R7:R21)</f>
        <v>154.78254767997618</v>
      </c>
      <c r="U7" s="187">
        <v>20</v>
      </c>
      <c r="V7" s="187">
        <v>3267.5012005177532</v>
      </c>
      <c r="W7" s="184">
        <f t="shared" ref="W7:W14" si="1">IFERROR(V7/U7,"")</f>
        <v>163.37506002588765</v>
      </c>
      <c r="X7" s="181">
        <f>RANK(W7, W$7:W$21)</f>
        <v>3</v>
      </c>
      <c r="Y7" s="588">
        <f>AVERAGE(W7:W21)</f>
        <v>154.79905562597753</v>
      </c>
      <c r="Z7" s="187">
        <v>20</v>
      </c>
      <c r="AA7" s="187">
        <v>3268.2212005177525</v>
      </c>
      <c r="AB7" s="184">
        <f>IFERROR(AA7/Z7,"")</f>
        <v>163.41106002588762</v>
      </c>
      <c r="AC7" s="181">
        <f>RANK(AB7, AB$7:AB$21)</f>
        <v>3</v>
      </c>
      <c r="AD7" s="588">
        <f>AVERAGE(AB7:AB21)</f>
        <v>154.85371461374774</v>
      </c>
      <c r="AE7" s="187">
        <v>20</v>
      </c>
      <c r="AF7" s="187">
        <v>3267.1412005177531</v>
      </c>
      <c r="AG7" s="184">
        <f>IFERROR(AF7/AE7,"")</f>
        <v>163.35706002588765</v>
      </c>
      <c r="AH7" s="181">
        <f>RANK(AG7, AG$7:AG$21)</f>
        <v>3</v>
      </c>
      <c r="AI7" s="588">
        <f>AVERAGE(AG7:AG21)</f>
        <v>154.84512370465683</v>
      </c>
      <c r="AJ7" s="187">
        <v>20</v>
      </c>
      <c r="AK7" s="187">
        <v>3267.1412005177531</v>
      </c>
      <c r="AL7" s="184">
        <f>IFERROR(AK7/AJ7,"")</f>
        <v>163.35706002588765</v>
      </c>
      <c r="AM7" s="181">
        <f>RANK(AL7, AL$7:AL$21)</f>
        <v>3</v>
      </c>
      <c r="AN7" s="588">
        <f>AVERAGE(AL7:AL21)</f>
        <v>154.84822669478959</v>
      </c>
      <c r="AO7" s="187">
        <v>20</v>
      </c>
      <c r="AP7" s="187">
        <v>3265.3412005177529</v>
      </c>
      <c r="AQ7" s="184">
        <f>IFERROR(AP7/AO7,"")</f>
        <v>163.26706002588764</v>
      </c>
      <c r="AR7" s="181">
        <f>RANK(AQ7, AQ$7:AQ$21)</f>
        <v>3</v>
      </c>
      <c r="AS7" s="588">
        <f>AVERAGE(AQ7:AQ21)</f>
        <v>154.82572310627285</v>
      </c>
      <c r="AT7" s="187">
        <v>20</v>
      </c>
      <c r="AU7" s="187">
        <v>3267.2441222106399</v>
      </c>
      <c r="AV7" s="184">
        <f>IFERROR(AU7/AT7,"")</f>
        <v>163.36220611053199</v>
      </c>
      <c r="AW7" s="181">
        <f>RANK(AV7, AV$7:AV$21)</f>
        <v>3</v>
      </c>
      <c r="AX7" s="588">
        <f>AVERAGE(AV7:AV21)</f>
        <v>154.83532726849637</v>
      </c>
    </row>
    <row r="8" spans="1:50" ht="14.25" customHeight="1">
      <c r="B8" s="586"/>
      <c r="C8" s="179">
        <v>2</v>
      </c>
      <c r="D8" s="182" t="s">
        <v>493</v>
      </c>
      <c r="E8" s="179">
        <v>21</v>
      </c>
      <c r="F8" s="179">
        <v>3600</v>
      </c>
      <c r="G8" s="184">
        <f t="shared" si="0"/>
        <v>171.42857142857142</v>
      </c>
      <c r="H8" s="588"/>
      <c r="I8" s="185">
        <f t="shared" ref="I8:K14" si="2">AVERAGE(P8,U8,Z8,AE8,AJ8,AO8,AT8)</f>
        <v>21</v>
      </c>
      <c r="J8" s="185">
        <f t="shared" si="2"/>
        <v>3267.3140019737198</v>
      </c>
      <c r="K8" s="186">
        <f t="shared" si="2"/>
        <v>155.58638104636762</v>
      </c>
      <c r="L8" s="589"/>
      <c r="M8" s="185">
        <f>RANK(K8, K$7:$K$21)</f>
        <v>5</v>
      </c>
      <c r="N8" s="586"/>
      <c r="O8" s="586"/>
      <c r="P8" s="187">
        <v>21</v>
      </c>
      <c r="Q8" s="187">
        <v>3264.7089067680158</v>
      </c>
      <c r="R8" s="184">
        <f t="shared" ref="R8:R14" si="3">IFERROR(Q8/P8,"")</f>
        <v>155.46232889371504</v>
      </c>
      <c r="S8" s="181">
        <f t="shared" ref="S8:S14" si="4">RANK(R8, R$7:R$21)</f>
        <v>5</v>
      </c>
      <c r="T8" s="588"/>
      <c r="U8" s="187">
        <v>21</v>
      </c>
      <c r="V8" s="187">
        <v>3263.988906768016</v>
      </c>
      <c r="W8" s="184">
        <f t="shared" si="1"/>
        <v>155.42804317942932</v>
      </c>
      <c r="X8" s="181">
        <f t="shared" ref="X8:X14" si="5">RANK(W8, W$7:W$21)</f>
        <v>5</v>
      </c>
      <c r="Y8" s="588"/>
      <c r="Z8" s="187">
        <v>21</v>
      </c>
      <c r="AA8" s="187">
        <v>3268.2120400560016</v>
      </c>
      <c r="AB8" s="184">
        <f t="shared" ref="AB8:AB14" si="6">IFERROR(AA8/Z8,"")</f>
        <v>155.62914476457149</v>
      </c>
      <c r="AC8" s="181">
        <f t="shared" ref="AC8:AC14" si="7">RANK(AB8, AB$7:AB$21)</f>
        <v>5</v>
      </c>
      <c r="AD8" s="588"/>
      <c r="AE8" s="187">
        <v>21</v>
      </c>
      <c r="AF8" s="187">
        <v>3268.212040056002</v>
      </c>
      <c r="AG8" s="184">
        <f t="shared" ref="AG8:AG14" si="8">IFERROR(AF8/AE8,"")</f>
        <v>155.62914476457152</v>
      </c>
      <c r="AH8" s="181">
        <f t="shared" ref="AH8:AH14" si="9">RANK(AG8, AG$7:AG$21)</f>
        <v>5</v>
      </c>
      <c r="AI8" s="588"/>
      <c r="AJ8" s="187">
        <v>21</v>
      </c>
      <c r="AK8" s="187">
        <v>3268.9320400560023</v>
      </c>
      <c r="AL8" s="184">
        <f t="shared" ref="AL8:AL14" si="10">IFERROR(AK8/AJ8,"")</f>
        <v>155.66343047885726</v>
      </c>
      <c r="AM8" s="181">
        <f t="shared" ref="AM8:AM14" si="11">RANK(AL8, AL$7:AL$21)</f>
        <v>5</v>
      </c>
      <c r="AN8" s="588"/>
      <c r="AO8" s="187">
        <v>21</v>
      </c>
      <c r="AP8" s="187">
        <v>3268.9320400560023</v>
      </c>
      <c r="AQ8" s="184">
        <f t="shared" ref="AQ8:AQ14" si="12">IFERROR(AP8/AO8,"")</f>
        <v>155.66343047885726</v>
      </c>
      <c r="AR8" s="181">
        <f t="shared" ref="AR8:AR14" si="13">RANK(AQ8, AQ$7:AQ$21)</f>
        <v>5</v>
      </c>
      <c r="AS8" s="588"/>
      <c r="AT8" s="187">
        <v>21</v>
      </c>
      <c r="AU8" s="187">
        <v>3268.2120400560029</v>
      </c>
      <c r="AV8" s="184">
        <f t="shared" ref="AV8:AV14" si="14">IFERROR(AU8/AT8,"")</f>
        <v>155.62914476457158</v>
      </c>
      <c r="AW8" s="181">
        <f t="shared" ref="AW8:AW14" si="15">RANK(AV8, AV$7:AV$21)</f>
        <v>5</v>
      </c>
      <c r="AX8" s="588"/>
    </row>
    <row r="9" spans="1:50" ht="14.25" customHeight="1">
      <c r="B9" s="586"/>
      <c r="C9" s="179">
        <v>3</v>
      </c>
      <c r="D9" s="182" t="s">
        <v>535</v>
      </c>
      <c r="E9" s="179">
        <v>19</v>
      </c>
      <c r="F9" s="179">
        <v>3600</v>
      </c>
      <c r="G9" s="184">
        <f t="shared" si="0"/>
        <v>189.47368421052633</v>
      </c>
      <c r="H9" s="588"/>
      <c r="I9" s="185">
        <f t="shared" si="2"/>
        <v>19</v>
      </c>
      <c r="J9" s="185">
        <f t="shared" si="2"/>
        <v>3192.7189541137695</v>
      </c>
      <c r="K9" s="186">
        <f t="shared" si="2"/>
        <v>168.03783969019838</v>
      </c>
      <c r="L9" s="589"/>
      <c r="M9" s="185">
        <f>RANK(K9, K$7:$K$21)</f>
        <v>1</v>
      </c>
      <c r="N9" s="586"/>
      <c r="O9" s="586"/>
      <c r="P9" s="187">
        <v>19</v>
      </c>
      <c r="Q9" s="187">
        <v>3193.4623507936567</v>
      </c>
      <c r="R9" s="184">
        <f t="shared" si="3"/>
        <v>168.07696583124508</v>
      </c>
      <c r="S9" s="181">
        <f t="shared" si="4"/>
        <v>1</v>
      </c>
      <c r="T9" s="588"/>
      <c r="U9" s="187">
        <v>19</v>
      </c>
      <c r="V9" s="187">
        <v>3194.5423507936562</v>
      </c>
      <c r="W9" s="184">
        <f t="shared" si="1"/>
        <v>168.13380793650822</v>
      </c>
      <c r="X9" s="181">
        <f t="shared" si="5"/>
        <v>1</v>
      </c>
      <c r="Y9" s="588"/>
      <c r="Z9" s="187">
        <v>19</v>
      </c>
      <c r="AA9" s="187">
        <v>3193.4623507936558</v>
      </c>
      <c r="AB9" s="184">
        <f t="shared" si="6"/>
        <v>168.07696583124505</v>
      </c>
      <c r="AC9" s="181">
        <f t="shared" si="7"/>
        <v>1</v>
      </c>
      <c r="AD9" s="588"/>
      <c r="AE9" s="187">
        <v>19</v>
      </c>
      <c r="AF9" s="187">
        <v>3192.0223507936553</v>
      </c>
      <c r="AG9" s="184">
        <f t="shared" si="8"/>
        <v>168.00117635756081</v>
      </c>
      <c r="AH9" s="181">
        <f t="shared" si="9"/>
        <v>1</v>
      </c>
      <c r="AI9" s="588"/>
      <c r="AJ9" s="187">
        <v>19</v>
      </c>
      <c r="AK9" s="187">
        <v>3191.4877585405879</v>
      </c>
      <c r="AL9" s="184">
        <f t="shared" si="10"/>
        <v>167.97303992318885</v>
      </c>
      <c r="AM9" s="181">
        <f t="shared" si="11"/>
        <v>2</v>
      </c>
      <c r="AN9" s="588"/>
      <c r="AO9" s="187">
        <v>19</v>
      </c>
      <c r="AP9" s="187">
        <v>3191.8477585405881</v>
      </c>
      <c r="AQ9" s="184">
        <f t="shared" si="12"/>
        <v>167.99198729160989</v>
      </c>
      <c r="AR9" s="181">
        <f t="shared" si="13"/>
        <v>2</v>
      </c>
      <c r="AS9" s="588"/>
      <c r="AT9" s="187">
        <v>19</v>
      </c>
      <c r="AU9" s="187">
        <v>3192.2077585405868</v>
      </c>
      <c r="AV9" s="184">
        <f t="shared" si="14"/>
        <v>168.0109346600309</v>
      </c>
      <c r="AW9" s="181">
        <f t="shared" si="15"/>
        <v>1</v>
      </c>
      <c r="AX9" s="588"/>
    </row>
    <row r="10" spans="1:50" ht="14.25" customHeight="1">
      <c r="B10" s="586"/>
      <c r="C10" s="179">
        <v>4</v>
      </c>
      <c r="D10" s="182" t="s">
        <v>530</v>
      </c>
      <c r="E10" s="179">
        <v>24</v>
      </c>
      <c r="F10" s="179">
        <v>3600</v>
      </c>
      <c r="G10" s="184">
        <f t="shared" si="0"/>
        <v>150</v>
      </c>
      <c r="H10" s="588"/>
      <c r="I10" s="185">
        <f t="shared" si="2"/>
        <v>24</v>
      </c>
      <c r="J10" s="185">
        <f t="shared" si="2"/>
        <v>3267.2659825817213</v>
      </c>
      <c r="K10" s="186">
        <f t="shared" si="2"/>
        <v>136.13608260757172</v>
      </c>
      <c r="L10" s="589"/>
      <c r="M10" s="185">
        <f>RANK(K10, K$7:$K$21)</f>
        <v>7</v>
      </c>
      <c r="N10" s="586"/>
      <c r="O10" s="586"/>
      <c r="P10" s="187">
        <v>24</v>
      </c>
      <c r="Q10" s="187">
        <v>3266.1257077107748</v>
      </c>
      <c r="R10" s="184">
        <f t="shared" si="3"/>
        <v>136.08857115461561</v>
      </c>
      <c r="S10" s="181">
        <f t="shared" si="4"/>
        <v>7</v>
      </c>
      <c r="T10" s="588"/>
      <c r="U10" s="187">
        <v>24</v>
      </c>
      <c r="V10" s="187">
        <v>3266.1257077107743</v>
      </c>
      <c r="W10" s="184">
        <f t="shared" si="1"/>
        <v>136.08857115461561</v>
      </c>
      <c r="X10" s="181">
        <f t="shared" si="5"/>
        <v>7</v>
      </c>
      <c r="Y10" s="588"/>
      <c r="Z10" s="187">
        <v>24</v>
      </c>
      <c r="AA10" s="187">
        <v>3268.7065440095375</v>
      </c>
      <c r="AB10" s="184">
        <f t="shared" si="6"/>
        <v>136.19610600039741</v>
      </c>
      <c r="AC10" s="181">
        <f t="shared" si="7"/>
        <v>7</v>
      </c>
      <c r="AD10" s="588"/>
      <c r="AE10" s="187">
        <v>24</v>
      </c>
      <c r="AF10" s="187">
        <v>3267.6265440095376</v>
      </c>
      <c r="AG10" s="184">
        <f t="shared" si="8"/>
        <v>136.15110600039739</v>
      </c>
      <c r="AH10" s="181">
        <f t="shared" si="9"/>
        <v>8</v>
      </c>
      <c r="AI10" s="588"/>
      <c r="AJ10" s="187">
        <v>24</v>
      </c>
      <c r="AK10" s="187">
        <v>3268.3465440095379</v>
      </c>
      <c r="AL10" s="184">
        <f t="shared" si="10"/>
        <v>136.18110600039742</v>
      </c>
      <c r="AM10" s="181">
        <f t="shared" si="11"/>
        <v>8</v>
      </c>
      <c r="AN10" s="588"/>
      <c r="AO10" s="187">
        <v>24</v>
      </c>
      <c r="AP10" s="187">
        <v>3266.5465440095381</v>
      </c>
      <c r="AQ10" s="184">
        <f t="shared" si="12"/>
        <v>136.10610600039743</v>
      </c>
      <c r="AR10" s="181">
        <f t="shared" si="13"/>
        <v>8</v>
      </c>
      <c r="AS10" s="588"/>
      <c r="AT10" s="187">
        <v>24</v>
      </c>
      <c r="AU10" s="187">
        <v>3267.3842866123496</v>
      </c>
      <c r="AV10" s="184">
        <f t="shared" si="14"/>
        <v>136.14101194218122</v>
      </c>
      <c r="AW10" s="181">
        <f t="shared" si="15"/>
        <v>8</v>
      </c>
      <c r="AX10" s="588"/>
    </row>
    <row r="11" spans="1:50" ht="14.25" customHeight="1">
      <c r="B11" s="586"/>
      <c r="C11" s="179">
        <v>5</v>
      </c>
      <c r="D11" s="182" t="s">
        <v>494</v>
      </c>
      <c r="E11" s="179">
        <v>19</v>
      </c>
      <c r="F11" s="179">
        <v>3600</v>
      </c>
      <c r="G11" s="184">
        <f t="shared" si="0"/>
        <v>189.47368421052633</v>
      </c>
      <c r="H11" s="588"/>
      <c r="I11" s="185">
        <f t="shared" si="2"/>
        <v>19</v>
      </c>
      <c r="J11" s="185">
        <f t="shared" si="2"/>
        <v>3191.5807994668603</v>
      </c>
      <c r="K11" s="186">
        <f t="shared" si="2"/>
        <v>167.97793681404528</v>
      </c>
      <c r="L11" s="589"/>
      <c r="M11" s="185">
        <f>RANK(K11, K$7:$K$21)</f>
        <v>2</v>
      </c>
      <c r="N11" s="586"/>
      <c r="O11" s="586"/>
      <c r="P11" s="187">
        <v>19</v>
      </c>
      <c r="Q11" s="187">
        <v>3191.8379423240031</v>
      </c>
      <c r="R11" s="184">
        <f t="shared" si="3"/>
        <v>167.99147064863175</v>
      </c>
      <c r="S11" s="181">
        <f t="shared" si="4"/>
        <v>2</v>
      </c>
      <c r="T11" s="588"/>
      <c r="U11" s="187">
        <v>19</v>
      </c>
      <c r="V11" s="187">
        <v>3191.4779423240034</v>
      </c>
      <c r="W11" s="184">
        <f t="shared" si="1"/>
        <v>167.97252328021071</v>
      </c>
      <c r="X11" s="181">
        <f t="shared" si="5"/>
        <v>2</v>
      </c>
      <c r="Y11" s="588"/>
      <c r="Z11" s="187">
        <v>19</v>
      </c>
      <c r="AA11" s="187">
        <v>3190.0379423240033</v>
      </c>
      <c r="AB11" s="184">
        <f t="shared" si="6"/>
        <v>167.8967338065265</v>
      </c>
      <c r="AC11" s="181">
        <f t="shared" si="7"/>
        <v>2</v>
      </c>
      <c r="AD11" s="588"/>
      <c r="AE11" s="187">
        <v>19</v>
      </c>
      <c r="AF11" s="187">
        <v>3191.4779423240034</v>
      </c>
      <c r="AG11" s="184">
        <f t="shared" si="8"/>
        <v>167.97252328021071</v>
      </c>
      <c r="AH11" s="181">
        <f t="shared" si="9"/>
        <v>2</v>
      </c>
      <c r="AI11" s="588"/>
      <c r="AJ11" s="187">
        <v>19</v>
      </c>
      <c r="AK11" s="187">
        <v>3191.8379423240026</v>
      </c>
      <c r="AL11" s="184">
        <f t="shared" si="10"/>
        <v>167.99147064863172</v>
      </c>
      <c r="AM11" s="181">
        <f t="shared" si="11"/>
        <v>1</v>
      </c>
      <c r="AN11" s="588"/>
      <c r="AO11" s="187">
        <v>19</v>
      </c>
      <c r="AP11" s="187">
        <v>3192.9179423240021</v>
      </c>
      <c r="AQ11" s="184">
        <f t="shared" si="12"/>
        <v>168.04831275389483</v>
      </c>
      <c r="AR11" s="181">
        <f t="shared" si="13"/>
        <v>1</v>
      </c>
      <c r="AS11" s="588"/>
      <c r="AT11" s="187">
        <v>19</v>
      </c>
      <c r="AU11" s="187">
        <v>3191.477942324002</v>
      </c>
      <c r="AV11" s="184">
        <f t="shared" si="14"/>
        <v>167.97252328021062</v>
      </c>
      <c r="AW11" s="181">
        <f t="shared" si="15"/>
        <v>2</v>
      </c>
      <c r="AX11" s="588"/>
    </row>
    <row r="12" spans="1:50" ht="14.25" customHeight="1">
      <c r="B12" s="586"/>
      <c r="C12" s="179">
        <v>6</v>
      </c>
      <c r="D12" s="182" t="s">
        <v>542</v>
      </c>
      <c r="E12" s="179">
        <v>24</v>
      </c>
      <c r="F12" s="179">
        <v>3600</v>
      </c>
      <c r="G12" s="184">
        <f t="shared" si="0"/>
        <v>150</v>
      </c>
      <c r="H12" s="588"/>
      <c r="I12" s="185">
        <f t="shared" si="2"/>
        <v>24</v>
      </c>
      <c r="J12" s="185">
        <f t="shared" si="2"/>
        <v>3267.1187397653316</v>
      </c>
      <c r="K12" s="186">
        <f t="shared" si="2"/>
        <v>136.12994749022218</v>
      </c>
      <c r="L12" s="589"/>
      <c r="M12" s="185">
        <f>RANK(K12, K$7:$K$21)</f>
        <v>8</v>
      </c>
      <c r="N12" s="586"/>
      <c r="O12" s="586"/>
      <c r="P12" s="187">
        <v>24</v>
      </c>
      <c r="Q12" s="187">
        <v>3263.8648111128136</v>
      </c>
      <c r="R12" s="184">
        <f t="shared" si="3"/>
        <v>135.99436712970058</v>
      </c>
      <c r="S12" s="181">
        <f t="shared" si="4"/>
        <v>8</v>
      </c>
      <c r="T12" s="588"/>
      <c r="U12" s="187">
        <v>24</v>
      </c>
      <c r="V12" s="187">
        <v>3264.9448111128131</v>
      </c>
      <c r="W12" s="184">
        <f t="shared" si="1"/>
        <v>136.03936712970054</v>
      </c>
      <c r="X12" s="181">
        <f t="shared" si="5"/>
        <v>8</v>
      </c>
      <c r="Y12" s="588"/>
      <c r="Z12" s="187">
        <v>24</v>
      </c>
      <c r="AA12" s="187">
        <v>3268.3483112263402</v>
      </c>
      <c r="AB12" s="184">
        <f t="shared" si="6"/>
        <v>136.18117963443083</v>
      </c>
      <c r="AC12" s="181">
        <f t="shared" si="7"/>
        <v>8</v>
      </c>
      <c r="AD12" s="588"/>
      <c r="AE12" s="187">
        <v>24</v>
      </c>
      <c r="AF12" s="187">
        <v>3269.4283112263402</v>
      </c>
      <c r="AG12" s="184">
        <f t="shared" si="8"/>
        <v>136.22617963443085</v>
      </c>
      <c r="AH12" s="181">
        <f t="shared" si="9"/>
        <v>7</v>
      </c>
      <c r="AI12" s="588"/>
      <c r="AJ12" s="187">
        <v>24</v>
      </c>
      <c r="AK12" s="187">
        <v>3268.3483112263402</v>
      </c>
      <c r="AL12" s="184">
        <f t="shared" si="10"/>
        <v>136.18117963443083</v>
      </c>
      <c r="AM12" s="181">
        <f t="shared" si="11"/>
        <v>7</v>
      </c>
      <c r="AN12" s="588"/>
      <c r="AO12" s="187">
        <v>24</v>
      </c>
      <c r="AP12" s="187">
        <v>3267.2683112263394</v>
      </c>
      <c r="AQ12" s="184">
        <f t="shared" si="12"/>
        <v>136.13617963443082</v>
      </c>
      <c r="AR12" s="181">
        <f t="shared" si="13"/>
        <v>7</v>
      </c>
      <c r="AS12" s="588"/>
      <c r="AT12" s="187">
        <v>24</v>
      </c>
      <c r="AU12" s="187">
        <v>3267.6283112263391</v>
      </c>
      <c r="AV12" s="184">
        <f t="shared" si="14"/>
        <v>136.1511796344308</v>
      </c>
      <c r="AW12" s="181">
        <f t="shared" si="15"/>
        <v>7</v>
      </c>
      <c r="AX12" s="588"/>
    </row>
    <row r="13" spans="1:50" ht="14.25" customHeight="1">
      <c r="B13" s="586"/>
      <c r="C13" s="179">
        <v>7</v>
      </c>
      <c r="D13" s="182" t="s">
        <v>578</v>
      </c>
      <c r="E13" s="179">
        <v>20</v>
      </c>
      <c r="F13" s="179">
        <v>3600</v>
      </c>
      <c r="G13" s="184">
        <f t="shared" si="0"/>
        <v>180</v>
      </c>
      <c r="H13" s="588"/>
      <c r="I13" s="185">
        <f t="shared" si="2"/>
        <v>20</v>
      </c>
      <c r="J13" s="185">
        <f t="shared" si="2"/>
        <v>3260.9709961494686</v>
      </c>
      <c r="K13" s="186">
        <f t="shared" si="2"/>
        <v>163.04854980747339</v>
      </c>
      <c r="L13" s="589"/>
      <c r="M13" s="185">
        <f>RANK(K13, K$7:$K$21)</f>
        <v>4</v>
      </c>
      <c r="N13" s="586"/>
      <c r="O13" s="586"/>
      <c r="P13" s="187">
        <v>20</v>
      </c>
      <c r="Q13" s="187">
        <v>3261.176710435182</v>
      </c>
      <c r="R13" s="184">
        <f t="shared" si="3"/>
        <v>163.05883552175911</v>
      </c>
      <c r="S13" s="181">
        <f t="shared" si="4"/>
        <v>4</v>
      </c>
      <c r="T13" s="588"/>
      <c r="U13" s="187">
        <v>20</v>
      </c>
      <c r="V13" s="187">
        <v>3260.0967104351826</v>
      </c>
      <c r="W13" s="184">
        <f t="shared" si="1"/>
        <v>163.00483552175913</v>
      </c>
      <c r="X13" s="181">
        <f t="shared" si="5"/>
        <v>4</v>
      </c>
      <c r="Y13" s="588"/>
      <c r="Z13" s="187">
        <v>20</v>
      </c>
      <c r="AA13" s="187">
        <v>3260.4567104351827</v>
      </c>
      <c r="AB13" s="184">
        <f t="shared" si="6"/>
        <v>163.02283552175913</v>
      </c>
      <c r="AC13" s="181">
        <f t="shared" si="7"/>
        <v>4</v>
      </c>
      <c r="AD13" s="588"/>
      <c r="AE13" s="187">
        <v>20</v>
      </c>
      <c r="AF13" s="187">
        <v>3260.8167104351828</v>
      </c>
      <c r="AG13" s="184">
        <f t="shared" si="8"/>
        <v>163.04083552175913</v>
      </c>
      <c r="AH13" s="181">
        <f t="shared" si="9"/>
        <v>4</v>
      </c>
      <c r="AI13" s="588"/>
      <c r="AJ13" s="187">
        <v>20</v>
      </c>
      <c r="AK13" s="187">
        <v>3260.4567104351827</v>
      </c>
      <c r="AL13" s="184">
        <f t="shared" si="10"/>
        <v>163.02283552175913</v>
      </c>
      <c r="AM13" s="181">
        <f t="shared" si="11"/>
        <v>4</v>
      </c>
      <c r="AN13" s="588"/>
      <c r="AO13" s="187">
        <v>20</v>
      </c>
      <c r="AP13" s="187">
        <v>3261.1767104351829</v>
      </c>
      <c r="AQ13" s="184">
        <f t="shared" si="12"/>
        <v>163.05883552175914</v>
      </c>
      <c r="AR13" s="181">
        <f t="shared" si="13"/>
        <v>4</v>
      </c>
      <c r="AS13" s="588"/>
      <c r="AT13" s="187">
        <v>20</v>
      </c>
      <c r="AU13" s="187">
        <v>3262.6167104351825</v>
      </c>
      <c r="AV13" s="184">
        <f t="shared" si="14"/>
        <v>163.13083552175914</v>
      </c>
      <c r="AW13" s="181">
        <f t="shared" si="15"/>
        <v>4</v>
      </c>
      <c r="AX13" s="588"/>
    </row>
    <row r="14" spans="1:50" ht="14.25" customHeight="1">
      <c r="B14" s="586"/>
      <c r="C14" s="179">
        <v>8</v>
      </c>
      <c r="D14" s="182" t="s">
        <v>610</v>
      </c>
      <c r="E14" s="179">
        <v>22</v>
      </c>
      <c r="F14" s="179">
        <v>3600</v>
      </c>
      <c r="G14" s="184">
        <f t="shared" si="0"/>
        <v>163.63636363636363</v>
      </c>
      <c r="H14" s="588"/>
      <c r="I14" s="185">
        <f t="shared" si="2"/>
        <v>22</v>
      </c>
      <c r="J14" s="185">
        <f t="shared" si="2"/>
        <v>3263.7566377250323</v>
      </c>
      <c r="K14" s="186">
        <f t="shared" si="2"/>
        <v>148.35257444204692</v>
      </c>
      <c r="L14" s="589"/>
      <c r="M14" s="185">
        <f>RANK(K14, K$7:$K$21)</f>
        <v>6</v>
      </c>
      <c r="N14" s="586"/>
      <c r="O14" s="586"/>
      <c r="P14" s="187">
        <v>22</v>
      </c>
      <c r="Q14" s="187">
        <v>3262.2652091536029</v>
      </c>
      <c r="R14" s="184">
        <f t="shared" si="3"/>
        <v>148.28478223425466</v>
      </c>
      <c r="S14" s="181">
        <f t="shared" si="4"/>
        <v>6</v>
      </c>
      <c r="T14" s="588"/>
      <c r="U14" s="187">
        <v>22</v>
      </c>
      <c r="V14" s="187">
        <v>3263.7052091536034</v>
      </c>
      <c r="W14" s="184">
        <f t="shared" si="1"/>
        <v>148.35023677970923</v>
      </c>
      <c r="X14" s="181">
        <f t="shared" si="5"/>
        <v>6</v>
      </c>
      <c r="Y14" s="588"/>
      <c r="Z14" s="187">
        <v>22</v>
      </c>
      <c r="AA14" s="187">
        <v>3265.1452091536034</v>
      </c>
      <c r="AB14" s="184">
        <f t="shared" si="6"/>
        <v>148.41569132516381</v>
      </c>
      <c r="AC14" s="181">
        <f t="shared" si="7"/>
        <v>6</v>
      </c>
      <c r="AD14" s="588"/>
      <c r="AE14" s="187">
        <v>22</v>
      </c>
      <c r="AF14" s="187">
        <v>3264.4252091536036</v>
      </c>
      <c r="AG14" s="184">
        <f t="shared" si="8"/>
        <v>148.38296405243653</v>
      </c>
      <c r="AH14" s="181">
        <f t="shared" si="9"/>
        <v>6</v>
      </c>
      <c r="AI14" s="588"/>
      <c r="AJ14" s="187">
        <v>22</v>
      </c>
      <c r="AK14" s="187">
        <v>3265.1452091536039</v>
      </c>
      <c r="AL14" s="184">
        <f t="shared" si="10"/>
        <v>148.41569132516381</v>
      </c>
      <c r="AM14" s="181">
        <f t="shared" si="11"/>
        <v>6</v>
      </c>
      <c r="AN14" s="588"/>
      <c r="AO14" s="187">
        <v>22</v>
      </c>
      <c r="AP14" s="187">
        <v>3263.3452091536046</v>
      </c>
      <c r="AQ14" s="184">
        <f t="shared" si="12"/>
        <v>148.33387314334567</v>
      </c>
      <c r="AR14" s="181">
        <f t="shared" si="13"/>
        <v>6</v>
      </c>
      <c r="AS14" s="588"/>
      <c r="AT14" s="187">
        <v>22</v>
      </c>
      <c r="AU14" s="187">
        <v>3262.2652091536047</v>
      </c>
      <c r="AV14" s="184">
        <f t="shared" si="14"/>
        <v>148.28478223425475</v>
      </c>
      <c r="AW14" s="181">
        <f t="shared" si="15"/>
        <v>6</v>
      </c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349</v>
      </c>
      <c r="C27" s="179">
        <v>1</v>
      </c>
      <c r="D27" s="182" t="s">
        <v>492</v>
      </c>
      <c r="E27" s="183">
        <v>20</v>
      </c>
      <c r="F27" s="179">
        <v>3600</v>
      </c>
      <c r="G27" s="184">
        <f t="shared" ref="G27:G35" si="16">IFERROR(F27/E27,"")</f>
        <v>180</v>
      </c>
      <c r="H27" s="588">
        <f>AVERAGE(G27:G41)</f>
        <v>171.71565276828431</v>
      </c>
      <c r="I27" s="185">
        <f>AVERAGE(P27,U27,Z27,AE27,AJ27,AO27,AT27)</f>
        <v>20</v>
      </c>
      <c r="J27" s="185">
        <f>AVERAGE(Q27,V27,AA27,AF27,AK27,AP27,AU27)</f>
        <v>3267.3469793534973</v>
      </c>
      <c r="K27" s="186">
        <f>AVERAGE(R27,W27,AB27,AG27,AL27,AQ27,AV27)</f>
        <v>163.3673489676749</v>
      </c>
      <c r="L27" s="589">
        <f>IFERROR(AVERAGE(K27:K41),"-")</f>
        <v>154.09484780900738</v>
      </c>
      <c r="M27" s="185">
        <f>RANK(K27, K$27:$K$41)</f>
        <v>3</v>
      </c>
      <c r="N27" s="586"/>
      <c r="O27" s="586"/>
      <c r="P27" s="187">
        <v>20</v>
      </c>
      <c r="Q27" s="187">
        <v>3266.8841222106394</v>
      </c>
      <c r="R27" s="184">
        <f>IFERROR(Q27/P27,"")</f>
        <v>163.34420611053196</v>
      </c>
      <c r="S27" s="181">
        <f>RANK(R27, R$27:R$41)</f>
        <v>3</v>
      </c>
      <c r="T27" s="588">
        <f>AVERAGE(R27:R41)</f>
        <v>153.18009253254951</v>
      </c>
      <c r="U27" s="187">
        <v>20</v>
      </c>
      <c r="V27" s="187">
        <v>3267.2441222106395</v>
      </c>
      <c r="W27" s="184">
        <f t="shared" ref="W27:W35" si="17">IFERROR(V27/U27,"")</f>
        <v>163.36220611053199</v>
      </c>
      <c r="X27" s="181">
        <f>RANK(W27, W$27:W$41)</f>
        <v>3</v>
      </c>
      <c r="Y27" s="588">
        <f>AVERAGE(W27:W41)</f>
        <v>153.5647531857677</v>
      </c>
      <c r="Z27" s="187">
        <v>20</v>
      </c>
      <c r="AA27" s="187">
        <v>3266.16412221064</v>
      </c>
      <c r="AB27" s="184">
        <f>IFERROR(AA27/Z27,"")</f>
        <v>163.30820611053201</v>
      </c>
      <c r="AC27" s="181">
        <f>RANK(AB27, AB$27:AB$41)</f>
        <v>3</v>
      </c>
      <c r="AD27" s="588">
        <f>AVERAGE(AB27:AB41)</f>
        <v>153.91175102444055</v>
      </c>
      <c r="AE27" s="187">
        <v>20</v>
      </c>
      <c r="AF27" s="187">
        <v>3266.8841222106407</v>
      </c>
      <c r="AG27" s="184">
        <f>IFERROR(AF27/AE27,"")</f>
        <v>163.34420611053204</v>
      </c>
      <c r="AH27" s="181">
        <f>RANK(AG27, AG$27:AG$41)</f>
        <v>3</v>
      </c>
      <c r="AI27" s="588">
        <f>AVERAGE(AG27:AG41)</f>
        <v>154.32142093100643</v>
      </c>
      <c r="AJ27" s="187">
        <v>20</v>
      </c>
      <c r="AK27" s="187">
        <v>3267.9641222106407</v>
      </c>
      <c r="AL27" s="184">
        <f>IFERROR(AK27/AJ27,"")</f>
        <v>163.39820611053204</v>
      </c>
      <c r="AM27" s="181">
        <f>RANK(AL27, AL$27:AL$41)</f>
        <v>3</v>
      </c>
      <c r="AN27" s="588">
        <f>AVERAGE(AL27:AL41)</f>
        <v>154.5629560626609</v>
      </c>
      <c r="AO27" s="187">
        <v>20</v>
      </c>
      <c r="AP27" s="187">
        <v>3267.9641222106411</v>
      </c>
      <c r="AQ27" s="184">
        <f>IFERROR(AP27/AO27,"")</f>
        <v>163.39820611053204</v>
      </c>
      <c r="AR27" s="181">
        <f>RANK(AQ27, AQ$27:AQ$41)</f>
        <v>3</v>
      </c>
      <c r="AS27" s="588">
        <f>AVERAGE(AQ27:AQ41)</f>
        <v>154.5716849302845</v>
      </c>
      <c r="AT27" s="187">
        <v>20</v>
      </c>
      <c r="AU27" s="187">
        <v>3268.3241222106408</v>
      </c>
      <c r="AV27" s="184">
        <f>IFERROR(AU27/AT27,"")</f>
        <v>163.41620611053204</v>
      </c>
      <c r="AW27" s="181">
        <f>RANK(AV27, AV$27:AV$41)</f>
        <v>3</v>
      </c>
      <c r="AX27" s="588">
        <f>AVERAGE(AV27:AV41)</f>
        <v>155.32947408023927</v>
      </c>
    </row>
    <row r="28" spans="2:50" ht="14.25" customHeight="1">
      <c r="B28" s="586"/>
      <c r="C28" s="179">
        <v>2</v>
      </c>
      <c r="D28" s="182" t="s">
        <v>493</v>
      </c>
      <c r="E28" s="179">
        <v>21</v>
      </c>
      <c r="F28" s="179">
        <v>3600</v>
      </c>
      <c r="G28" s="184">
        <f t="shared" si="16"/>
        <v>171.42857142857142</v>
      </c>
      <c r="H28" s="588"/>
      <c r="I28" s="185">
        <f t="shared" ref="I28:K35" si="18">AVERAGE(P28,U28,Z28,AE28,AJ28,AO28,AT28)</f>
        <v>21</v>
      </c>
      <c r="J28" s="185">
        <f t="shared" si="18"/>
        <v>3268.7777543417183</v>
      </c>
      <c r="K28" s="186">
        <f t="shared" si="18"/>
        <v>155.65608354008182</v>
      </c>
      <c r="L28" s="589"/>
      <c r="M28" s="185">
        <f>RANK(K28, K$27:$K$41)</f>
        <v>5</v>
      </c>
      <c r="N28" s="586"/>
      <c r="O28" s="586"/>
      <c r="P28" s="187">
        <v>21</v>
      </c>
      <c r="Q28" s="187">
        <v>3268.9320400560036</v>
      </c>
      <c r="R28" s="184">
        <f t="shared" ref="R28:R35" si="19">IFERROR(Q28/P28,"")</f>
        <v>155.66343047885732</v>
      </c>
      <c r="S28" s="181">
        <f t="shared" ref="S28:S35" si="20">RANK(R28, R$27:R$41)</f>
        <v>5</v>
      </c>
      <c r="T28" s="588"/>
      <c r="U28" s="187">
        <v>21</v>
      </c>
      <c r="V28" s="187">
        <v>3270.0120400560036</v>
      </c>
      <c r="W28" s="184">
        <f t="shared" si="17"/>
        <v>155.7148590502859</v>
      </c>
      <c r="X28" s="181">
        <f t="shared" ref="X28:X35" si="21">RANK(W28, W$27:W$41)</f>
        <v>5</v>
      </c>
      <c r="Y28" s="588"/>
      <c r="Z28" s="187">
        <v>21</v>
      </c>
      <c r="AA28" s="187">
        <v>3268.572040056004</v>
      </c>
      <c r="AB28" s="184">
        <f t="shared" ref="AB28:AB35" si="22">IFERROR(AA28/Z28,"")</f>
        <v>155.64628762171446</v>
      </c>
      <c r="AC28" s="181">
        <f t="shared" ref="AC28:AC35" si="23">RANK(AB28, AB$27:AB$41)</f>
        <v>5</v>
      </c>
      <c r="AD28" s="588"/>
      <c r="AE28" s="187">
        <v>21</v>
      </c>
      <c r="AF28" s="187">
        <v>3269.6520400560039</v>
      </c>
      <c r="AG28" s="184">
        <f t="shared" ref="AG28:AG35" si="24">IFERROR(AF28/AE28,"")</f>
        <v>155.69771619314304</v>
      </c>
      <c r="AH28" s="181">
        <f t="shared" ref="AH28:AH35" si="25">RANK(AG28, AG$27:AG$41)</f>
        <v>5</v>
      </c>
      <c r="AI28" s="588"/>
      <c r="AJ28" s="187">
        <v>21</v>
      </c>
      <c r="AK28" s="187">
        <v>3268.572040056004</v>
      </c>
      <c r="AL28" s="184">
        <f t="shared" ref="AL28:AL35" si="26">IFERROR(AK28/AJ28,"")</f>
        <v>155.64628762171446</v>
      </c>
      <c r="AM28" s="181">
        <f t="shared" ref="AM28:AM35" si="27">RANK(AL28, AL$27:AL$41)</f>
        <v>5</v>
      </c>
      <c r="AN28" s="588"/>
      <c r="AO28" s="187">
        <v>21</v>
      </c>
      <c r="AP28" s="187">
        <v>3268.572040056004</v>
      </c>
      <c r="AQ28" s="184">
        <f t="shared" ref="AQ28:AQ35" si="28">IFERROR(AP28/AO28,"")</f>
        <v>155.64628762171446</v>
      </c>
      <c r="AR28" s="181">
        <f t="shared" ref="AR28:AR35" si="29">RANK(AQ28, AQ$27:AQ$41)</f>
        <v>5</v>
      </c>
      <c r="AS28" s="588"/>
      <c r="AT28" s="187">
        <v>21</v>
      </c>
      <c r="AU28" s="187">
        <v>3267.1320400560039</v>
      </c>
      <c r="AV28" s="184">
        <f t="shared" ref="AV28:AV35" si="30">IFERROR(AU28/AT28,"")</f>
        <v>155.57771619314303</v>
      </c>
      <c r="AW28" s="181">
        <f t="shared" ref="AW28:AW35" si="31">RANK(AV28, AV$27:AV$41)</f>
        <v>5</v>
      </c>
      <c r="AX28" s="588"/>
    </row>
    <row r="29" spans="2:50" ht="14.25" customHeight="1">
      <c r="B29" s="586"/>
      <c r="C29" s="179">
        <v>3</v>
      </c>
      <c r="D29" s="182" t="s">
        <v>535</v>
      </c>
      <c r="E29" s="179">
        <v>19</v>
      </c>
      <c r="F29" s="179">
        <v>3600</v>
      </c>
      <c r="G29" s="184">
        <f t="shared" si="16"/>
        <v>189.47368421052633</v>
      </c>
      <c r="H29" s="588"/>
      <c r="I29" s="185">
        <f t="shared" si="18"/>
        <v>19</v>
      </c>
      <c r="J29" s="185">
        <f t="shared" si="18"/>
        <v>3192.2953150191497</v>
      </c>
      <c r="K29" s="186">
        <f t="shared" si="18"/>
        <v>168.01554289574474</v>
      </c>
      <c r="L29" s="589"/>
      <c r="M29" s="185">
        <f>RANK(K29, K$27:$K$41)</f>
        <v>2</v>
      </c>
      <c r="N29" s="586"/>
      <c r="O29" s="586"/>
      <c r="P29" s="187">
        <v>19</v>
      </c>
      <c r="Q29" s="187">
        <v>3192.5677585405865</v>
      </c>
      <c r="R29" s="184">
        <f t="shared" si="19"/>
        <v>168.02988202845191</v>
      </c>
      <c r="S29" s="181">
        <f t="shared" si="20"/>
        <v>2</v>
      </c>
      <c r="T29" s="588"/>
      <c r="U29" s="187">
        <v>19</v>
      </c>
      <c r="V29" s="187">
        <v>3191.4877585405857</v>
      </c>
      <c r="W29" s="184">
        <f t="shared" si="17"/>
        <v>167.97303992318871</v>
      </c>
      <c r="X29" s="181">
        <f t="shared" si="21"/>
        <v>2</v>
      </c>
      <c r="Y29" s="588"/>
      <c r="Z29" s="187">
        <v>19</v>
      </c>
      <c r="AA29" s="187">
        <v>3191.8477585405849</v>
      </c>
      <c r="AB29" s="184">
        <f t="shared" si="22"/>
        <v>167.99198729160972</v>
      </c>
      <c r="AC29" s="181">
        <f t="shared" si="23"/>
        <v>2</v>
      </c>
      <c r="AD29" s="588"/>
      <c r="AE29" s="187">
        <v>19</v>
      </c>
      <c r="AF29" s="187">
        <v>3192.9909823780736</v>
      </c>
      <c r="AG29" s="184">
        <f t="shared" si="24"/>
        <v>168.05215696726702</v>
      </c>
      <c r="AH29" s="181">
        <f t="shared" si="25"/>
        <v>2</v>
      </c>
      <c r="AI29" s="588"/>
      <c r="AJ29" s="187">
        <v>19</v>
      </c>
      <c r="AK29" s="187">
        <v>3191.9109823780732</v>
      </c>
      <c r="AL29" s="184">
        <f t="shared" si="26"/>
        <v>167.99531486200385</v>
      </c>
      <c r="AM29" s="181">
        <f t="shared" si="27"/>
        <v>2</v>
      </c>
      <c r="AN29" s="588"/>
      <c r="AO29" s="187">
        <v>19</v>
      </c>
      <c r="AP29" s="187">
        <v>3192.9909823780727</v>
      </c>
      <c r="AQ29" s="184">
        <f t="shared" si="28"/>
        <v>168.052156967267</v>
      </c>
      <c r="AR29" s="181">
        <f t="shared" si="29"/>
        <v>2</v>
      </c>
      <c r="AS29" s="588"/>
      <c r="AT29" s="187">
        <v>19</v>
      </c>
      <c r="AU29" s="187">
        <v>3192.2709823780729</v>
      </c>
      <c r="AV29" s="184">
        <f t="shared" si="30"/>
        <v>168.01426223042489</v>
      </c>
      <c r="AW29" s="181">
        <f t="shared" si="31"/>
        <v>2</v>
      </c>
      <c r="AX29" s="588"/>
    </row>
    <row r="30" spans="2:50" ht="14.25" customHeight="1">
      <c r="B30" s="586"/>
      <c r="C30" s="179">
        <v>4</v>
      </c>
      <c r="D30" s="182" t="s">
        <v>530</v>
      </c>
      <c r="E30" s="179">
        <v>24</v>
      </c>
      <c r="F30" s="179">
        <v>3600</v>
      </c>
      <c r="G30" s="184">
        <f t="shared" si="16"/>
        <v>150</v>
      </c>
      <c r="H30" s="588"/>
      <c r="I30" s="185">
        <f t="shared" si="18"/>
        <v>24</v>
      </c>
      <c r="J30" s="185">
        <f t="shared" si="18"/>
        <v>3267.7442866123492</v>
      </c>
      <c r="K30" s="186">
        <f t="shared" si="18"/>
        <v>136.15601194218124</v>
      </c>
      <c r="L30" s="589"/>
      <c r="M30" s="185">
        <f>RANK(K30, K$27:$K$41)</f>
        <v>9</v>
      </c>
      <c r="N30" s="586"/>
      <c r="O30" s="586"/>
      <c r="P30" s="187">
        <v>24</v>
      </c>
      <c r="Q30" s="187">
        <v>3267.3842866123496</v>
      </c>
      <c r="R30" s="184">
        <f t="shared" si="19"/>
        <v>136.14101194218122</v>
      </c>
      <c r="S30" s="181">
        <f t="shared" si="20"/>
        <v>9</v>
      </c>
      <c r="T30" s="588"/>
      <c r="U30" s="187">
        <v>24</v>
      </c>
      <c r="V30" s="187">
        <v>3268.4642866123495</v>
      </c>
      <c r="W30" s="184">
        <f t="shared" si="17"/>
        <v>136.18601194218124</v>
      </c>
      <c r="X30" s="181">
        <f t="shared" si="21"/>
        <v>9</v>
      </c>
      <c r="Y30" s="588"/>
      <c r="Z30" s="187">
        <v>24</v>
      </c>
      <c r="AA30" s="187">
        <v>3268.46428661235</v>
      </c>
      <c r="AB30" s="184">
        <f t="shared" si="22"/>
        <v>136.18601194218124</v>
      </c>
      <c r="AC30" s="181">
        <f t="shared" si="23"/>
        <v>8</v>
      </c>
      <c r="AD30" s="588"/>
      <c r="AE30" s="187">
        <v>24</v>
      </c>
      <c r="AF30" s="187">
        <v>3268.8242866123496</v>
      </c>
      <c r="AG30" s="184">
        <f t="shared" si="24"/>
        <v>136.20101194218122</v>
      </c>
      <c r="AH30" s="181">
        <f t="shared" si="25"/>
        <v>9</v>
      </c>
      <c r="AI30" s="588"/>
      <c r="AJ30" s="187">
        <v>24</v>
      </c>
      <c r="AK30" s="187">
        <v>3267.7442866123492</v>
      </c>
      <c r="AL30" s="184">
        <f t="shared" si="26"/>
        <v>136.15601194218121</v>
      </c>
      <c r="AM30" s="181">
        <f t="shared" si="27"/>
        <v>9</v>
      </c>
      <c r="AN30" s="588"/>
      <c r="AO30" s="187">
        <v>24</v>
      </c>
      <c r="AP30" s="187">
        <v>3266.3042866123492</v>
      </c>
      <c r="AQ30" s="184">
        <f t="shared" si="28"/>
        <v>136.09601194218121</v>
      </c>
      <c r="AR30" s="181">
        <f t="shared" si="29"/>
        <v>9</v>
      </c>
      <c r="AS30" s="588"/>
      <c r="AT30" s="187">
        <v>24</v>
      </c>
      <c r="AU30" s="187">
        <v>3267.024286612349</v>
      </c>
      <c r="AV30" s="184">
        <f t="shared" si="30"/>
        <v>136.12601194218121</v>
      </c>
      <c r="AW30" s="181">
        <f t="shared" si="31"/>
        <v>8</v>
      </c>
      <c r="AX30" s="588"/>
    </row>
    <row r="31" spans="2:50" ht="14.25" customHeight="1">
      <c r="B31" s="586"/>
      <c r="C31" s="179">
        <v>5</v>
      </c>
      <c r="D31" s="182" t="s">
        <v>494</v>
      </c>
      <c r="E31" s="179">
        <v>19</v>
      </c>
      <c r="F31" s="179">
        <v>3600</v>
      </c>
      <c r="G31" s="184">
        <f t="shared" si="16"/>
        <v>189.47368421052633</v>
      </c>
      <c r="H31" s="588"/>
      <c r="I31" s="185">
        <f t="shared" si="18"/>
        <v>19</v>
      </c>
      <c r="J31" s="185">
        <f t="shared" si="18"/>
        <v>3193.9944520161762</v>
      </c>
      <c r="K31" s="186">
        <f t="shared" si="18"/>
        <v>168.10497115874614</v>
      </c>
      <c r="L31" s="589"/>
      <c r="M31" s="185">
        <f>RANK(K31, K$27:$K$41)</f>
        <v>1</v>
      </c>
      <c r="N31" s="586"/>
      <c r="O31" s="586"/>
      <c r="P31" s="187">
        <v>19</v>
      </c>
      <c r="Q31" s="187">
        <v>3193.4287377304627</v>
      </c>
      <c r="R31" s="184">
        <f t="shared" si="19"/>
        <v>168.07519672265593</v>
      </c>
      <c r="S31" s="181">
        <f t="shared" si="20"/>
        <v>1</v>
      </c>
      <c r="T31" s="588"/>
      <c r="U31" s="187">
        <v>19</v>
      </c>
      <c r="V31" s="187">
        <v>3194.5087377304626</v>
      </c>
      <c r="W31" s="184">
        <f t="shared" si="17"/>
        <v>168.13203882791908</v>
      </c>
      <c r="X31" s="181">
        <f t="shared" si="21"/>
        <v>1</v>
      </c>
      <c r="Y31" s="588"/>
      <c r="Z31" s="187">
        <v>19</v>
      </c>
      <c r="AA31" s="187">
        <v>3194.5087377304626</v>
      </c>
      <c r="AB31" s="184">
        <f t="shared" si="22"/>
        <v>168.13203882791908</v>
      </c>
      <c r="AC31" s="181">
        <f t="shared" si="23"/>
        <v>1</v>
      </c>
      <c r="AD31" s="588"/>
      <c r="AE31" s="187">
        <v>19</v>
      </c>
      <c r="AF31" s="187">
        <v>3194.1487377304625</v>
      </c>
      <c r="AG31" s="184">
        <f t="shared" si="24"/>
        <v>168.11309145949804</v>
      </c>
      <c r="AH31" s="181">
        <f t="shared" si="25"/>
        <v>1</v>
      </c>
      <c r="AI31" s="588"/>
      <c r="AJ31" s="187">
        <v>19</v>
      </c>
      <c r="AK31" s="187">
        <v>3194.8687377304618</v>
      </c>
      <c r="AL31" s="184">
        <f t="shared" si="26"/>
        <v>168.15098619634009</v>
      </c>
      <c r="AM31" s="181">
        <f t="shared" si="27"/>
        <v>1</v>
      </c>
      <c r="AN31" s="588"/>
      <c r="AO31" s="187">
        <v>19</v>
      </c>
      <c r="AP31" s="187">
        <v>3193.0687377304621</v>
      </c>
      <c r="AQ31" s="184">
        <f t="shared" si="28"/>
        <v>168.05624935423484</v>
      </c>
      <c r="AR31" s="181">
        <f t="shared" si="29"/>
        <v>1</v>
      </c>
      <c r="AS31" s="588"/>
      <c r="AT31" s="187">
        <v>19</v>
      </c>
      <c r="AU31" s="187">
        <v>3193.4287377304613</v>
      </c>
      <c r="AV31" s="184">
        <f t="shared" si="30"/>
        <v>168.07519672265585</v>
      </c>
      <c r="AW31" s="181">
        <f t="shared" si="31"/>
        <v>1</v>
      </c>
      <c r="AX31" s="588"/>
    </row>
    <row r="32" spans="2:50" ht="14.25" customHeight="1">
      <c r="B32" s="586"/>
      <c r="C32" s="179">
        <v>6</v>
      </c>
      <c r="D32" s="182" t="s">
        <v>542</v>
      </c>
      <c r="E32" s="179">
        <v>24</v>
      </c>
      <c r="F32" s="179">
        <v>3600</v>
      </c>
      <c r="G32" s="184">
        <f t="shared" si="16"/>
        <v>150</v>
      </c>
      <c r="H32" s="588"/>
      <c r="I32" s="185">
        <f t="shared" si="18"/>
        <v>24</v>
      </c>
      <c r="J32" s="185">
        <f t="shared" si="18"/>
        <v>3269.0295530584544</v>
      </c>
      <c r="K32" s="186">
        <f t="shared" si="18"/>
        <v>136.20956471076894</v>
      </c>
      <c r="L32" s="589"/>
      <c r="M32" s="185">
        <f>RANK(K32, K$27:$K$41)</f>
        <v>8</v>
      </c>
      <c r="N32" s="586"/>
      <c r="O32" s="586"/>
      <c r="P32" s="187">
        <v>24</v>
      </c>
      <c r="Q32" s="187">
        <v>3267.9883112263387</v>
      </c>
      <c r="R32" s="184">
        <f t="shared" si="19"/>
        <v>136.16617963443079</v>
      </c>
      <c r="S32" s="181">
        <f t="shared" si="20"/>
        <v>8</v>
      </c>
      <c r="T32" s="588"/>
      <c r="U32" s="187">
        <v>24</v>
      </c>
      <c r="V32" s="187">
        <v>3269.0683112263391</v>
      </c>
      <c r="W32" s="184">
        <f t="shared" si="17"/>
        <v>136.21117963443081</v>
      </c>
      <c r="X32" s="181">
        <f t="shared" si="21"/>
        <v>8</v>
      </c>
      <c r="Y32" s="588"/>
      <c r="Z32" s="187">
        <v>24</v>
      </c>
      <c r="AA32" s="187">
        <v>3267.6283112263391</v>
      </c>
      <c r="AB32" s="184">
        <f t="shared" si="22"/>
        <v>136.1511796344308</v>
      </c>
      <c r="AC32" s="181">
        <f t="shared" si="23"/>
        <v>9</v>
      </c>
      <c r="AD32" s="588"/>
      <c r="AE32" s="187">
        <v>24</v>
      </c>
      <c r="AF32" s="187">
        <v>3269.4283112263388</v>
      </c>
      <c r="AG32" s="184">
        <f t="shared" si="24"/>
        <v>136.22617963443079</v>
      </c>
      <c r="AH32" s="181">
        <f t="shared" si="25"/>
        <v>8</v>
      </c>
      <c r="AI32" s="588"/>
      <c r="AJ32" s="187">
        <v>24</v>
      </c>
      <c r="AK32" s="187">
        <v>3269.0683112263391</v>
      </c>
      <c r="AL32" s="184">
        <f t="shared" si="26"/>
        <v>136.21117963443081</v>
      </c>
      <c r="AM32" s="181">
        <f t="shared" si="27"/>
        <v>8</v>
      </c>
      <c r="AN32" s="588"/>
      <c r="AO32" s="187">
        <v>24</v>
      </c>
      <c r="AP32" s="187">
        <v>3270.8683112263393</v>
      </c>
      <c r="AQ32" s="184">
        <f t="shared" si="28"/>
        <v>136.28617963443079</v>
      </c>
      <c r="AR32" s="181">
        <f t="shared" si="29"/>
        <v>8</v>
      </c>
      <c r="AS32" s="588"/>
      <c r="AT32" s="187">
        <v>24</v>
      </c>
      <c r="AU32" s="187">
        <v>3269.1570040511479</v>
      </c>
      <c r="AV32" s="184">
        <f t="shared" si="30"/>
        <v>136.21487516879782</v>
      </c>
      <c r="AW32" s="181">
        <f t="shared" si="31"/>
        <v>7</v>
      </c>
      <c r="AX32" s="588"/>
    </row>
    <row r="33" spans="2:50" ht="14.25" customHeight="1">
      <c r="B33" s="586"/>
      <c r="C33" s="179">
        <v>7</v>
      </c>
      <c r="D33" s="182" t="s">
        <v>578</v>
      </c>
      <c r="E33" s="179">
        <v>20</v>
      </c>
      <c r="F33" s="179">
        <v>3600</v>
      </c>
      <c r="G33" s="184">
        <f t="shared" si="16"/>
        <v>180</v>
      </c>
      <c r="H33" s="588"/>
      <c r="I33" s="185">
        <f t="shared" si="18"/>
        <v>20</v>
      </c>
      <c r="J33" s="185">
        <f t="shared" si="18"/>
        <v>3261.4338532923257</v>
      </c>
      <c r="K33" s="186">
        <f t="shared" si="18"/>
        <v>163.07169266461628</v>
      </c>
      <c r="L33" s="589"/>
      <c r="M33" s="185">
        <f>RANK(K33, K$27:$K$41)</f>
        <v>4</v>
      </c>
      <c r="N33" s="586"/>
      <c r="O33" s="586"/>
      <c r="P33" s="187">
        <v>20</v>
      </c>
      <c r="Q33" s="187">
        <v>3261.1767104351829</v>
      </c>
      <c r="R33" s="184">
        <f t="shared" si="19"/>
        <v>163.05883552175914</v>
      </c>
      <c r="S33" s="181">
        <f t="shared" si="20"/>
        <v>4</v>
      </c>
      <c r="T33" s="588"/>
      <c r="U33" s="187">
        <v>20</v>
      </c>
      <c r="V33" s="187">
        <v>3261.8967104351827</v>
      </c>
      <c r="W33" s="184">
        <f t="shared" si="17"/>
        <v>163.09483552175914</v>
      </c>
      <c r="X33" s="181">
        <f t="shared" si="21"/>
        <v>4</v>
      </c>
      <c r="Y33" s="588"/>
      <c r="Z33" s="187">
        <v>20</v>
      </c>
      <c r="AA33" s="187">
        <v>3261.1767104351829</v>
      </c>
      <c r="AB33" s="184">
        <f t="shared" si="22"/>
        <v>163.05883552175914</v>
      </c>
      <c r="AC33" s="181">
        <f t="shared" si="23"/>
        <v>4</v>
      </c>
      <c r="AD33" s="588"/>
      <c r="AE33" s="187">
        <v>20</v>
      </c>
      <c r="AF33" s="187">
        <v>3260.8167104351833</v>
      </c>
      <c r="AG33" s="184">
        <f t="shared" si="24"/>
        <v>163.04083552175916</v>
      </c>
      <c r="AH33" s="181">
        <f t="shared" si="25"/>
        <v>4</v>
      </c>
      <c r="AI33" s="588"/>
      <c r="AJ33" s="187">
        <v>20</v>
      </c>
      <c r="AK33" s="187">
        <v>3261.1767104351834</v>
      </c>
      <c r="AL33" s="184">
        <f t="shared" si="26"/>
        <v>163.05883552175916</v>
      </c>
      <c r="AM33" s="181">
        <f t="shared" si="27"/>
        <v>4</v>
      </c>
      <c r="AN33" s="588"/>
      <c r="AO33" s="187">
        <v>20</v>
      </c>
      <c r="AP33" s="187">
        <v>3261.8967104351832</v>
      </c>
      <c r="AQ33" s="184">
        <f t="shared" si="28"/>
        <v>163.09483552175917</v>
      </c>
      <c r="AR33" s="181">
        <f t="shared" si="29"/>
        <v>4</v>
      </c>
      <c r="AS33" s="588"/>
      <c r="AT33" s="187">
        <v>20</v>
      </c>
      <c r="AU33" s="187">
        <v>3261.8967104351832</v>
      </c>
      <c r="AV33" s="184">
        <f t="shared" si="30"/>
        <v>163.09483552175917</v>
      </c>
      <c r="AW33" s="181">
        <f t="shared" si="31"/>
        <v>4</v>
      </c>
      <c r="AX33" s="588"/>
    </row>
    <row r="34" spans="2:50" ht="14.25" customHeight="1">
      <c r="B34" s="586"/>
      <c r="C34" s="179">
        <v>8</v>
      </c>
      <c r="D34" s="182" t="s">
        <v>610</v>
      </c>
      <c r="E34" s="179">
        <v>22</v>
      </c>
      <c r="F34" s="179">
        <v>3600</v>
      </c>
      <c r="G34" s="184">
        <f t="shared" si="16"/>
        <v>163.63636363636363</v>
      </c>
      <c r="H34" s="588"/>
      <c r="I34" s="185">
        <f t="shared" si="18"/>
        <v>22</v>
      </c>
      <c r="J34" s="185">
        <f t="shared" si="18"/>
        <v>3263.1652091536039</v>
      </c>
      <c r="K34" s="186">
        <f t="shared" si="18"/>
        <v>148.32569132516383</v>
      </c>
      <c r="L34" s="589"/>
      <c r="M34" s="185">
        <f>RANK(K34, K$27:$K$41)</f>
        <v>6</v>
      </c>
      <c r="N34" s="586"/>
      <c r="O34" s="586"/>
      <c r="P34" s="187">
        <v>22</v>
      </c>
      <c r="Q34" s="187">
        <v>3260.4652091536045</v>
      </c>
      <c r="R34" s="184">
        <f t="shared" si="19"/>
        <v>148.20296405243656</v>
      </c>
      <c r="S34" s="181">
        <f t="shared" si="20"/>
        <v>6</v>
      </c>
      <c r="T34" s="588"/>
      <c r="U34" s="187">
        <v>22</v>
      </c>
      <c r="V34" s="187">
        <v>3261.9052091536041</v>
      </c>
      <c r="W34" s="184">
        <f t="shared" si="17"/>
        <v>148.2684185978911</v>
      </c>
      <c r="X34" s="181">
        <f t="shared" si="21"/>
        <v>6</v>
      </c>
      <c r="Y34" s="588"/>
      <c r="Z34" s="187">
        <v>22</v>
      </c>
      <c r="AA34" s="187">
        <v>3263.3452091536042</v>
      </c>
      <c r="AB34" s="184">
        <f t="shared" si="22"/>
        <v>148.33387314334564</v>
      </c>
      <c r="AC34" s="181">
        <f t="shared" si="23"/>
        <v>6</v>
      </c>
      <c r="AD34" s="588"/>
      <c r="AE34" s="187">
        <v>22</v>
      </c>
      <c r="AF34" s="187">
        <v>3264.4252091536036</v>
      </c>
      <c r="AG34" s="184">
        <f t="shared" si="24"/>
        <v>148.38296405243653</v>
      </c>
      <c r="AH34" s="181">
        <f t="shared" si="25"/>
        <v>7</v>
      </c>
      <c r="AI34" s="588"/>
      <c r="AJ34" s="187">
        <v>22</v>
      </c>
      <c r="AK34" s="187">
        <v>3263.7052091536043</v>
      </c>
      <c r="AL34" s="184">
        <f t="shared" si="26"/>
        <v>148.35023677970929</v>
      </c>
      <c r="AM34" s="181">
        <f t="shared" si="27"/>
        <v>7</v>
      </c>
      <c r="AN34" s="588"/>
      <c r="AO34" s="187">
        <v>22</v>
      </c>
      <c r="AP34" s="187">
        <v>3265.1452091536044</v>
      </c>
      <c r="AQ34" s="184">
        <f t="shared" si="28"/>
        <v>148.41569132516383</v>
      </c>
      <c r="AR34" s="181">
        <f t="shared" si="29"/>
        <v>7</v>
      </c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 t="s">
        <v>659</v>
      </c>
      <c r="E35" s="179">
        <v>21</v>
      </c>
      <c r="F35" s="179">
        <v>3600</v>
      </c>
      <c r="G35" s="184">
        <f t="shared" si="16"/>
        <v>171.42857142857142</v>
      </c>
      <c r="H35" s="588"/>
      <c r="I35" s="185">
        <f t="shared" si="18"/>
        <v>21</v>
      </c>
      <c r="J35" s="185">
        <f t="shared" si="18"/>
        <v>3106.8811845978585</v>
      </c>
      <c r="K35" s="186">
        <f t="shared" si="18"/>
        <v>147.94672307608852</v>
      </c>
      <c r="L35" s="589"/>
      <c r="M35" s="185">
        <f>RANK(K35, K$27:$K$41)</f>
        <v>7</v>
      </c>
      <c r="N35" s="586"/>
      <c r="O35" s="586"/>
      <c r="P35" s="187">
        <v>21</v>
      </c>
      <c r="Q35" s="187">
        <v>2938.721652334455</v>
      </c>
      <c r="R35" s="184">
        <f t="shared" si="19"/>
        <v>139.93912630164073</v>
      </c>
      <c r="S35" s="181">
        <f t="shared" si="20"/>
        <v>7</v>
      </c>
      <c r="T35" s="588"/>
      <c r="U35" s="187">
        <v>21</v>
      </c>
      <c r="V35" s="187">
        <v>3005.9439703381481</v>
      </c>
      <c r="W35" s="184">
        <f t="shared" si="17"/>
        <v>143.14018906372135</v>
      </c>
      <c r="X35" s="181">
        <f t="shared" si="21"/>
        <v>7</v>
      </c>
      <c r="Y35" s="588"/>
      <c r="Z35" s="187">
        <v>21</v>
      </c>
      <c r="AA35" s="187">
        <v>3074.3441216559258</v>
      </c>
      <c r="AB35" s="184">
        <f t="shared" si="22"/>
        <v>146.39733912647267</v>
      </c>
      <c r="AC35" s="181">
        <f t="shared" si="23"/>
        <v>7</v>
      </c>
      <c r="AD35" s="588"/>
      <c r="AE35" s="187">
        <v>21</v>
      </c>
      <c r="AF35" s="187">
        <v>3146.5271564540126</v>
      </c>
      <c r="AG35" s="184">
        <f t="shared" si="24"/>
        <v>149.83462649781012</v>
      </c>
      <c r="AH35" s="181">
        <f t="shared" si="25"/>
        <v>6</v>
      </c>
      <c r="AI35" s="588"/>
      <c r="AJ35" s="187">
        <v>21</v>
      </c>
      <c r="AK35" s="187">
        <v>3194.0904638008224</v>
      </c>
      <c r="AL35" s="184">
        <f t="shared" si="26"/>
        <v>152.09954589527726</v>
      </c>
      <c r="AM35" s="181">
        <f t="shared" si="27"/>
        <v>6</v>
      </c>
      <c r="AN35" s="588"/>
      <c r="AO35" s="187">
        <v>21</v>
      </c>
      <c r="AP35" s="187">
        <v>3194.0904638008228</v>
      </c>
      <c r="AQ35" s="184">
        <f t="shared" si="28"/>
        <v>152.09954589527729</v>
      </c>
      <c r="AR35" s="181">
        <f t="shared" si="29"/>
        <v>6</v>
      </c>
      <c r="AS35" s="588"/>
      <c r="AT35" s="187">
        <v>21</v>
      </c>
      <c r="AU35" s="187">
        <v>3194.4504638008229</v>
      </c>
      <c r="AV35" s="184">
        <f t="shared" si="30"/>
        <v>152.11668875242015</v>
      </c>
      <c r="AW35" s="181">
        <f t="shared" si="31"/>
        <v>6</v>
      </c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349</v>
      </c>
      <c r="C47" s="179">
        <v>1</v>
      </c>
      <c r="D47" s="182" t="s">
        <v>492</v>
      </c>
      <c r="E47" s="183">
        <v>20</v>
      </c>
      <c r="F47" s="179">
        <v>3600</v>
      </c>
      <c r="G47" s="184">
        <f t="shared" ref="G47:G54" si="32">IFERROR(F47/E47,"")</f>
        <v>180</v>
      </c>
      <c r="H47" s="588">
        <f>AVERAGE(G47:G61)</f>
        <v>172.72556390977442</v>
      </c>
      <c r="I47" s="185">
        <f>AVERAGE(P47,U47,Z47,AE47,AJ47,AO47,AT47)</f>
        <v>20</v>
      </c>
      <c r="J47" s="185">
        <f>AVERAGE(Q47,V47,AA47,AF47,AK47,AP47,AU47)</f>
        <v>3268.8898364963547</v>
      </c>
      <c r="K47" s="186">
        <f>AVERAGE(R47,W47,AB47,AG47,AL47,AQ47,AV47)</f>
        <v>163.44449182481776</v>
      </c>
      <c r="L47" s="589">
        <f>IFERROR(AVERAGE(K47:K61),"-")</f>
        <v>155.30589627338261</v>
      </c>
      <c r="M47" s="185">
        <f>RANK(K47, K$47:$K$61)</f>
        <v>3</v>
      </c>
      <c r="N47" s="586"/>
      <c r="O47" s="586"/>
      <c r="P47" s="187">
        <v>20</v>
      </c>
      <c r="Q47" s="187">
        <v>3267.9641222106407</v>
      </c>
      <c r="R47" s="184">
        <f>IFERROR(Q47/P47,"")</f>
        <v>163.39820611053204</v>
      </c>
      <c r="S47" s="181">
        <f>RANK(R47, R$47:R$61)</f>
        <v>3</v>
      </c>
      <c r="T47" s="588">
        <f>AVERAGE(R47:R61)</f>
        <v>155.32949663663024</v>
      </c>
      <c r="U47" s="187">
        <v>20</v>
      </c>
      <c r="V47" s="187">
        <v>3268.6841222106405</v>
      </c>
      <c r="W47" s="184">
        <f t="shared" ref="W47:W54" si="33">IFERROR(V47/U47,"")</f>
        <v>163.43420611053202</v>
      </c>
      <c r="X47" s="181">
        <f>RANK(W47, W$47:W$61)</f>
        <v>3</v>
      </c>
      <c r="Y47" s="588">
        <f>AVERAGE(W47:W61)</f>
        <v>155.3142992682092</v>
      </c>
      <c r="Z47" s="187">
        <v>20</v>
      </c>
      <c r="AA47" s="187">
        <v>3269.0441222106401</v>
      </c>
      <c r="AB47" s="184">
        <f>IFERROR(AA47/Z47,"")</f>
        <v>163.45220611053202</v>
      </c>
      <c r="AC47" s="181">
        <f>RANK(AB47, AB$47:AB$61)</f>
        <v>3</v>
      </c>
      <c r="AD47" s="588">
        <f>AVERAGE(AB47:AB61)</f>
        <v>155.28592614790841</v>
      </c>
      <c r="AE47" s="187">
        <v>20</v>
      </c>
      <c r="AF47" s="187">
        <v>3268.3241222106408</v>
      </c>
      <c r="AG47" s="184">
        <f>IFERROR(AF47/AE47,"")</f>
        <v>163.41620611053204</v>
      </c>
      <c r="AH47" s="181">
        <f>RANK(AG47, AG$47:AG$61)</f>
        <v>3</v>
      </c>
      <c r="AI47" s="588">
        <f>AVERAGE(AG47:AG61)</f>
        <v>155.31064492706406</v>
      </c>
      <c r="AJ47" s="187">
        <v>20</v>
      </c>
      <c r="AK47" s="187">
        <v>3269.4041222106412</v>
      </c>
      <c r="AL47" s="184">
        <f>IFERROR(AK47/AJ47,"")</f>
        <v>163.47020611053205</v>
      </c>
      <c r="AM47" s="181">
        <f>RANK(AL47, AL$47:AL$61)</f>
        <v>3</v>
      </c>
      <c r="AN47" s="588">
        <f>AVERAGE(AL47:AL61)</f>
        <v>155.30034460452185</v>
      </c>
      <c r="AO47" s="187">
        <v>20</v>
      </c>
      <c r="AP47" s="187">
        <v>3269.044122210641</v>
      </c>
      <c r="AQ47" s="184">
        <f>IFERROR(AP47/AO47,"")</f>
        <v>163.45220611053205</v>
      </c>
      <c r="AR47" s="181">
        <f>RANK(AQ47, AQ$47:AQ$61)</f>
        <v>3</v>
      </c>
      <c r="AS47" s="588">
        <f>AVERAGE(AQ47:AQ61)</f>
        <v>155.29265287519851</v>
      </c>
      <c r="AT47" s="187">
        <v>20</v>
      </c>
      <c r="AU47" s="187">
        <v>3269.7641222106408</v>
      </c>
      <c r="AV47" s="184">
        <f>IFERROR(AU47/AT47,"")</f>
        <v>163.48820611053205</v>
      </c>
      <c r="AW47" s="181">
        <f>RANK(AV47, AV$47:AV$61)</f>
        <v>3</v>
      </c>
      <c r="AX47" s="588">
        <f>AVERAGE(AV47:AV61)</f>
        <v>155.30790945414589</v>
      </c>
    </row>
    <row r="48" spans="2:50" ht="14.25" customHeight="1">
      <c r="B48" s="586"/>
      <c r="C48" s="179">
        <v>2</v>
      </c>
      <c r="D48" s="182" t="s">
        <v>493</v>
      </c>
      <c r="E48" s="179">
        <v>21</v>
      </c>
      <c r="F48" s="179">
        <v>3600</v>
      </c>
      <c r="G48" s="184">
        <f t="shared" si="32"/>
        <v>171.42857142857142</v>
      </c>
      <c r="H48" s="588"/>
      <c r="I48" s="185">
        <f t="shared" ref="I48:K54" si="34">AVERAGE(P48,U48,Z48,AE48,AJ48,AO48,AT48)</f>
        <v>21</v>
      </c>
      <c r="J48" s="185">
        <f t="shared" si="34"/>
        <v>3268.7777543417178</v>
      </c>
      <c r="K48" s="186">
        <f t="shared" si="34"/>
        <v>155.65608354008182</v>
      </c>
      <c r="L48" s="589"/>
      <c r="M48" s="185">
        <f>RANK(K48, K$47:$K$61)</f>
        <v>5</v>
      </c>
      <c r="N48" s="586"/>
      <c r="O48" s="586"/>
      <c r="P48" s="187">
        <v>21</v>
      </c>
      <c r="Q48" s="187">
        <v>3268.2120400560038</v>
      </c>
      <c r="R48" s="184">
        <f t="shared" ref="R48:R54" si="35">IFERROR(Q48/P48,"")</f>
        <v>155.62914476457161</v>
      </c>
      <c r="S48" s="181">
        <f t="shared" ref="S48:S54" si="36">RANK(R48, R$47:R$61)</f>
        <v>5</v>
      </c>
      <c r="T48" s="588"/>
      <c r="U48" s="187">
        <v>21</v>
      </c>
      <c r="V48" s="187">
        <v>3267.1320400560039</v>
      </c>
      <c r="W48" s="184">
        <f t="shared" si="33"/>
        <v>155.57771619314303</v>
      </c>
      <c r="X48" s="181">
        <f t="shared" ref="X48:X54" si="37">RANK(W48, W$47:W$61)</f>
        <v>5</v>
      </c>
      <c r="Y48" s="588"/>
      <c r="Z48" s="187">
        <v>21</v>
      </c>
      <c r="AA48" s="187">
        <v>3268.572040056004</v>
      </c>
      <c r="AB48" s="184">
        <f t="shared" ref="AB48:AB54" si="38">IFERROR(AA48/Z48,"")</f>
        <v>155.64628762171446</v>
      </c>
      <c r="AC48" s="181">
        <f t="shared" ref="AC48:AC54" si="39">RANK(AB48, AB$47:AB$61)</f>
        <v>5</v>
      </c>
      <c r="AD48" s="588"/>
      <c r="AE48" s="187">
        <v>21</v>
      </c>
      <c r="AF48" s="187">
        <v>3270.0120400560031</v>
      </c>
      <c r="AG48" s="184">
        <f t="shared" ref="AG48:AG54" si="40">IFERROR(AF48/AE48,"")</f>
        <v>155.71485905028587</v>
      </c>
      <c r="AH48" s="181">
        <f t="shared" ref="AH48:AH54" si="41">RANK(AG48, AG$47:AG$61)</f>
        <v>5</v>
      </c>
      <c r="AI48" s="588"/>
      <c r="AJ48" s="187">
        <v>21</v>
      </c>
      <c r="AK48" s="187">
        <v>3268.5720400560035</v>
      </c>
      <c r="AL48" s="184">
        <f t="shared" ref="AL48:AL54" si="42">IFERROR(AK48/AJ48,"")</f>
        <v>155.64628762171446</v>
      </c>
      <c r="AM48" s="181">
        <f t="shared" ref="AM48:AM54" si="43">RANK(AL48, AL$47:AL$61)</f>
        <v>5</v>
      </c>
      <c r="AN48" s="588"/>
      <c r="AO48" s="187">
        <v>21</v>
      </c>
      <c r="AP48" s="187">
        <v>3269.2920400560038</v>
      </c>
      <c r="AQ48" s="184">
        <f t="shared" ref="AQ48:AQ54" si="44">IFERROR(AP48/AO48,"")</f>
        <v>155.68057333600018</v>
      </c>
      <c r="AR48" s="181">
        <f t="shared" ref="AR48:AR54" si="45">RANK(AQ48, AQ$47:AQ$61)</f>
        <v>5</v>
      </c>
      <c r="AS48" s="588"/>
      <c r="AT48" s="187">
        <v>21</v>
      </c>
      <c r="AU48" s="187">
        <v>3269.6520400560039</v>
      </c>
      <c r="AV48" s="184">
        <f t="shared" ref="AV48:AV54" si="46">IFERROR(AU48/AT48,"")</f>
        <v>155.69771619314304</v>
      </c>
      <c r="AW48" s="181">
        <f t="shared" ref="AW48:AW54" si="47">RANK(AV48, AV$47:AV$61)</f>
        <v>5</v>
      </c>
      <c r="AX48" s="588"/>
    </row>
    <row r="49" spans="2:50" ht="14.25" customHeight="1">
      <c r="B49" s="586"/>
      <c r="C49" s="179">
        <v>3</v>
      </c>
      <c r="D49" s="182" t="s">
        <v>535</v>
      </c>
      <c r="E49" s="179">
        <v>19</v>
      </c>
      <c r="F49" s="179">
        <v>3600</v>
      </c>
      <c r="G49" s="184">
        <f t="shared" si="32"/>
        <v>189.47368421052633</v>
      </c>
      <c r="H49" s="588"/>
      <c r="I49" s="185">
        <f t="shared" si="34"/>
        <v>19</v>
      </c>
      <c r="J49" s="185">
        <f t="shared" si="34"/>
        <v>3191.6695649779685</v>
      </c>
      <c r="K49" s="186">
        <f t="shared" si="34"/>
        <v>167.98260868305098</v>
      </c>
      <c r="L49" s="589"/>
      <c r="M49" s="185">
        <f>RANK(K49, K$47:$K$61)</f>
        <v>2</v>
      </c>
      <c r="N49" s="586"/>
      <c r="O49" s="586"/>
      <c r="P49" s="187">
        <v>19</v>
      </c>
      <c r="Q49" s="187">
        <v>3191.9109823780727</v>
      </c>
      <c r="R49" s="184">
        <f t="shared" si="35"/>
        <v>167.99531486200382</v>
      </c>
      <c r="S49" s="181">
        <f t="shared" si="36"/>
        <v>2</v>
      </c>
      <c r="T49" s="588"/>
      <c r="U49" s="187">
        <v>19</v>
      </c>
      <c r="V49" s="187">
        <v>3190.8309823780723</v>
      </c>
      <c r="W49" s="184">
        <f t="shared" si="33"/>
        <v>167.93847275674065</v>
      </c>
      <c r="X49" s="181">
        <f t="shared" si="37"/>
        <v>2</v>
      </c>
      <c r="Y49" s="588"/>
      <c r="Z49" s="187">
        <v>19</v>
      </c>
      <c r="AA49" s="187">
        <v>3189.7509823780724</v>
      </c>
      <c r="AB49" s="184">
        <f t="shared" si="38"/>
        <v>167.88163065147751</v>
      </c>
      <c r="AC49" s="181">
        <f t="shared" si="39"/>
        <v>2</v>
      </c>
      <c r="AD49" s="588"/>
      <c r="AE49" s="187">
        <v>19</v>
      </c>
      <c r="AF49" s="187">
        <v>3192.7485019278911</v>
      </c>
      <c r="AG49" s="184">
        <f t="shared" si="40"/>
        <v>168.03939483831005</v>
      </c>
      <c r="AH49" s="181">
        <f t="shared" si="41"/>
        <v>2</v>
      </c>
      <c r="AI49" s="588"/>
      <c r="AJ49" s="187">
        <v>19</v>
      </c>
      <c r="AK49" s="187">
        <v>3191.6685019278907</v>
      </c>
      <c r="AL49" s="184">
        <f t="shared" si="42"/>
        <v>167.98255273304687</v>
      </c>
      <c r="AM49" s="181">
        <f t="shared" si="43"/>
        <v>1</v>
      </c>
      <c r="AN49" s="588"/>
      <c r="AO49" s="187">
        <v>19</v>
      </c>
      <c r="AP49" s="187">
        <v>3191.6685019278907</v>
      </c>
      <c r="AQ49" s="184">
        <f t="shared" si="44"/>
        <v>167.98255273304687</v>
      </c>
      <c r="AR49" s="181">
        <f t="shared" si="45"/>
        <v>2</v>
      </c>
      <c r="AS49" s="588"/>
      <c r="AT49" s="187">
        <v>19</v>
      </c>
      <c r="AU49" s="187">
        <v>3193.1085019278903</v>
      </c>
      <c r="AV49" s="184">
        <f t="shared" si="46"/>
        <v>168.05834220673106</v>
      </c>
      <c r="AW49" s="181">
        <f t="shared" si="47"/>
        <v>1</v>
      </c>
      <c r="AX49" s="588"/>
    </row>
    <row r="50" spans="2:50" ht="14.25" customHeight="1">
      <c r="B50" s="586"/>
      <c r="C50" s="179">
        <v>4</v>
      </c>
      <c r="D50" s="182" t="s">
        <v>530</v>
      </c>
      <c r="E50" s="179">
        <v>24</v>
      </c>
      <c r="F50" s="179">
        <v>3600</v>
      </c>
      <c r="G50" s="184">
        <f t="shared" si="32"/>
        <v>150</v>
      </c>
      <c r="H50" s="588"/>
      <c r="I50" s="185">
        <f t="shared" si="34"/>
        <v>24</v>
      </c>
      <c r="J50" s="185">
        <f t="shared" si="34"/>
        <v>3264.7614294694918</v>
      </c>
      <c r="K50" s="186">
        <f t="shared" si="34"/>
        <v>136.03172622789549</v>
      </c>
      <c r="L50" s="589"/>
      <c r="M50" s="185">
        <f>RANK(K50, K$47:$K$61)</f>
        <v>8</v>
      </c>
      <c r="N50" s="586"/>
      <c r="O50" s="586"/>
      <c r="P50" s="187">
        <v>24</v>
      </c>
      <c r="Q50" s="187">
        <v>3265.9442866123491</v>
      </c>
      <c r="R50" s="184">
        <f t="shared" si="35"/>
        <v>136.08101194218122</v>
      </c>
      <c r="S50" s="181">
        <f t="shared" si="36"/>
        <v>8</v>
      </c>
      <c r="T50" s="588"/>
      <c r="U50" s="187">
        <v>24</v>
      </c>
      <c r="V50" s="187">
        <v>3266.6642866123489</v>
      </c>
      <c r="W50" s="184">
        <f t="shared" si="33"/>
        <v>136.11101194218119</v>
      </c>
      <c r="X50" s="181">
        <f t="shared" si="37"/>
        <v>8</v>
      </c>
      <c r="Y50" s="588"/>
      <c r="Z50" s="187">
        <v>24</v>
      </c>
      <c r="AA50" s="187">
        <v>3265.2242866123488</v>
      </c>
      <c r="AB50" s="184">
        <f t="shared" si="38"/>
        <v>136.05101194218119</v>
      </c>
      <c r="AC50" s="181">
        <f t="shared" si="39"/>
        <v>8</v>
      </c>
      <c r="AD50" s="588"/>
      <c r="AE50" s="187">
        <v>24</v>
      </c>
      <c r="AF50" s="187">
        <v>3264.504286612349</v>
      </c>
      <c r="AG50" s="184">
        <f t="shared" si="40"/>
        <v>136.02101194218122</v>
      </c>
      <c r="AH50" s="181">
        <f t="shared" si="41"/>
        <v>8</v>
      </c>
      <c r="AI50" s="588"/>
      <c r="AJ50" s="187">
        <v>24</v>
      </c>
      <c r="AK50" s="187">
        <v>3264.5042866123495</v>
      </c>
      <c r="AL50" s="184">
        <f t="shared" si="42"/>
        <v>136.02101194218122</v>
      </c>
      <c r="AM50" s="181">
        <f t="shared" si="43"/>
        <v>8</v>
      </c>
      <c r="AN50" s="588"/>
      <c r="AO50" s="187">
        <v>24</v>
      </c>
      <c r="AP50" s="187">
        <v>3262.7042866123497</v>
      </c>
      <c r="AQ50" s="184">
        <f t="shared" si="44"/>
        <v>135.94601194218123</v>
      </c>
      <c r="AR50" s="181">
        <f t="shared" si="45"/>
        <v>8</v>
      </c>
      <c r="AS50" s="588"/>
      <c r="AT50" s="187">
        <v>24</v>
      </c>
      <c r="AU50" s="187">
        <v>3263.7842866123497</v>
      </c>
      <c r="AV50" s="184">
        <f t="shared" si="46"/>
        <v>135.99101194218125</v>
      </c>
      <c r="AW50" s="181">
        <f t="shared" si="47"/>
        <v>8</v>
      </c>
      <c r="AX50" s="588"/>
    </row>
    <row r="51" spans="2:50" ht="14.25" customHeight="1">
      <c r="B51" s="586"/>
      <c r="C51" s="179">
        <v>5</v>
      </c>
      <c r="D51" s="182" t="s">
        <v>494</v>
      </c>
      <c r="E51" s="179">
        <v>19</v>
      </c>
      <c r="F51" s="179">
        <v>3600</v>
      </c>
      <c r="G51" s="184">
        <f t="shared" si="32"/>
        <v>189.47368421052633</v>
      </c>
      <c r="H51" s="588"/>
      <c r="I51" s="185">
        <f t="shared" si="34"/>
        <v>19</v>
      </c>
      <c r="J51" s="185">
        <f t="shared" si="34"/>
        <v>3192.4429535813078</v>
      </c>
      <c r="K51" s="186">
        <f t="shared" si="34"/>
        <v>168.02331334638464</v>
      </c>
      <c r="L51" s="589"/>
      <c r="M51" s="185">
        <f>RANK(K51, K$47:$K$61)</f>
        <v>1</v>
      </c>
      <c r="N51" s="586"/>
      <c r="O51" s="586"/>
      <c r="P51" s="187">
        <v>19</v>
      </c>
      <c r="Q51" s="187">
        <v>3194.5087377304608</v>
      </c>
      <c r="R51" s="184">
        <f t="shared" si="35"/>
        <v>168.13203882791899</v>
      </c>
      <c r="S51" s="181">
        <f t="shared" si="36"/>
        <v>1</v>
      </c>
      <c r="T51" s="588"/>
      <c r="U51" s="187">
        <v>19</v>
      </c>
      <c r="V51" s="187">
        <v>3192.7087377304611</v>
      </c>
      <c r="W51" s="184">
        <f t="shared" si="33"/>
        <v>168.03730198581374</v>
      </c>
      <c r="X51" s="181">
        <f t="shared" si="37"/>
        <v>1</v>
      </c>
      <c r="Y51" s="588"/>
      <c r="Z51" s="187">
        <v>19</v>
      </c>
      <c r="AA51" s="187">
        <v>3192.7087377304606</v>
      </c>
      <c r="AB51" s="184">
        <f t="shared" si="38"/>
        <v>168.03730198581371</v>
      </c>
      <c r="AC51" s="181">
        <f t="shared" si="39"/>
        <v>1</v>
      </c>
      <c r="AD51" s="588"/>
      <c r="AE51" s="187">
        <v>19</v>
      </c>
      <c r="AF51" s="187">
        <v>3192.963615469444</v>
      </c>
      <c r="AG51" s="184">
        <f t="shared" si="40"/>
        <v>168.05071660365493</v>
      </c>
      <c r="AH51" s="181">
        <f t="shared" si="41"/>
        <v>1</v>
      </c>
      <c r="AI51" s="588"/>
      <c r="AJ51" s="187">
        <v>19</v>
      </c>
      <c r="AK51" s="187">
        <v>3191.5236154694435</v>
      </c>
      <c r="AL51" s="184">
        <f t="shared" si="42"/>
        <v>167.97492712997072</v>
      </c>
      <c r="AM51" s="181">
        <f t="shared" si="43"/>
        <v>2</v>
      </c>
      <c r="AN51" s="588"/>
      <c r="AO51" s="187">
        <v>19</v>
      </c>
      <c r="AP51" s="187">
        <v>3192.2436154694437</v>
      </c>
      <c r="AQ51" s="184">
        <f t="shared" si="44"/>
        <v>168.01282186681283</v>
      </c>
      <c r="AR51" s="181">
        <f t="shared" si="45"/>
        <v>1</v>
      </c>
      <c r="AS51" s="588"/>
      <c r="AT51" s="187">
        <v>19</v>
      </c>
      <c r="AU51" s="187">
        <v>3190.4436154694436</v>
      </c>
      <c r="AV51" s="184">
        <f t="shared" si="46"/>
        <v>167.91808502470755</v>
      </c>
      <c r="AW51" s="181">
        <f t="shared" si="47"/>
        <v>2</v>
      </c>
      <c r="AX51" s="588"/>
    </row>
    <row r="52" spans="2:50" ht="14.25" customHeight="1">
      <c r="B52" s="586"/>
      <c r="C52" s="179">
        <v>6</v>
      </c>
      <c r="D52" s="182" t="s">
        <v>542</v>
      </c>
      <c r="E52" s="179">
        <v>24</v>
      </c>
      <c r="F52" s="179">
        <v>3600</v>
      </c>
      <c r="G52" s="184">
        <f t="shared" si="32"/>
        <v>150</v>
      </c>
      <c r="H52" s="588"/>
      <c r="I52" s="185">
        <f t="shared" si="34"/>
        <v>24</v>
      </c>
      <c r="J52" s="185">
        <f t="shared" si="34"/>
        <v>3267.5112897654326</v>
      </c>
      <c r="K52" s="186">
        <f t="shared" si="34"/>
        <v>136.14630374022639</v>
      </c>
      <c r="L52" s="589"/>
      <c r="M52" s="185">
        <f>RANK(K52, K$47:$K$61)</f>
        <v>7</v>
      </c>
      <c r="N52" s="586"/>
      <c r="O52" s="586"/>
      <c r="P52" s="187">
        <v>24</v>
      </c>
      <c r="Q52" s="187">
        <v>3268.077004051147</v>
      </c>
      <c r="R52" s="184">
        <f t="shared" si="35"/>
        <v>136.1698751687978</v>
      </c>
      <c r="S52" s="181">
        <f t="shared" si="36"/>
        <v>7</v>
      </c>
      <c r="T52" s="588"/>
      <c r="U52" s="187">
        <v>24</v>
      </c>
      <c r="V52" s="187">
        <v>3268.077004051147</v>
      </c>
      <c r="W52" s="184">
        <f t="shared" si="33"/>
        <v>136.1698751687978</v>
      </c>
      <c r="X52" s="181">
        <f t="shared" si="37"/>
        <v>7</v>
      </c>
      <c r="Y52" s="588"/>
      <c r="Z52" s="187">
        <v>24</v>
      </c>
      <c r="AA52" s="187">
        <v>3266.2770040511477</v>
      </c>
      <c r="AB52" s="184">
        <f t="shared" si="38"/>
        <v>136.09487516879781</v>
      </c>
      <c r="AC52" s="181">
        <f t="shared" si="39"/>
        <v>7</v>
      </c>
      <c r="AD52" s="588"/>
      <c r="AE52" s="187">
        <v>24</v>
      </c>
      <c r="AF52" s="187">
        <v>3267.7170040511473</v>
      </c>
      <c r="AG52" s="184">
        <f t="shared" si="40"/>
        <v>136.15487516879782</v>
      </c>
      <c r="AH52" s="181">
        <f t="shared" si="41"/>
        <v>7</v>
      </c>
      <c r="AI52" s="588"/>
      <c r="AJ52" s="187">
        <v>24</v>
      </c>
      <c r="AK52" s="187">
        <v>3268.4370040511476</v>
      </c>
      <c r="AL52" s="184">
        <f t="shared" si="42"/>
        <v>136.18487516879782</v>
      </c>
      <c r="AM52" s="181">
        <f t="shared" si="43"/>
        <v>7</v>
      </c>
      <c r="AN52" s="588"/>
      <c r="AO52" s="187">
        <v>24</v>
      </c>
      <c r="AP52" s="187">
        <v>3267.3570040511477</v>
      </c>
      <c r="AQ52" s="184">
        <f t="shared" si="44"/>
        <v>136.13987516879783</v>
      </c>
      <c r="AR52" s="181">
        <f t="shared" si="45"/>
        <v>7</v>
      </c>
      <c r="AS52" s="588"/>
      <c r="AT52" s="187">
        <v>24</v>
      </c>
      <c r="AU52" s="187">
        <v>3266.6370040511479</v>
      </c>
      <c r="AV52" s="184">
        <f t="shared" si="46"/>
        <v>136.10987516879783</v>
      </c>
      <c r="AW52" s="181">
        <f t="shared" si="47"/>
        <v>7</v>
      </c>
      <c r="AX52" s="588"/>
    </row>
    <row r="53" spans="2:50" ht="14.25" customHeight="1">
      <c r="B53" s="586"/>
      <c r="C53" s="179">
        <v>7</v>
      </c>
      <c r="D53" s="182" t="s">
        <v>578</v>
      </c>
      <c r="E53" s="179">
        <v>20</v>
      </c>
      <c r="F53" s="179">
        <v>3600</v>
      </c>
      <c r="G53" s="184">
        <f t="shared" si="32"/>
        <v>180</v>
      </c>
      <c r="H53" s="588"/>
      <c r="I53" s="185">
        <f t="shared" si="34"/>
        <v>20</v>
      </c>
      <c r="J53" s="185">
        <f t="shared" si="34"/>
        <v>3262.4624247208967</v>
      </c>
      <c r="K53" s="186">
        <f t="shared" si="34"/>
        <v>163.12312123604485</v>
      </c>
      <c r="L53" s="589"/>
      <c r="M53" s="185">
        <f>RANK(K53, K$47:$K$61)</f>
        <v>4</v>
      </c>
      <c r="N53" s="586"/>
      <c r="O53" s="586"/>
      <c r="P53" s="187">
        <v>20</v>
      </c>
      <c r="Q53" s="187">
        <v>3262.616710435183</v>
      </c>
      <c r="R53" s="184">
        <f t="shared" si="35"/>
        <v>163.13083552175914</v>
      </c>
      <c r="S53" s="181">
        <f t="shared" si="36"/>
        <v>4</v>
      </c>
      <c r="T53" s="588"/>
      <c r="U53" s="187">
        <v>20</v>
      </c>
      <c r="V53" s="187">
        <v>3261.8967104351827</v>
      </c>
      <c r="W53" s="184">
        <f t="shared" si="33"/>
        <v>163.09483552175914</v>
      </c>
      <c r="X53" s="181">
        <f t="shared" si="37"/>
        <v>4</v>
      </c>
      <c r="Y53" s="588"/>
      <c r="Z53" s="187">
        <v>20</v>
      </c>
      <c r="AA53" s="187">
        <v>3261.1767104351829</v>
      </c>
      <c r="AB53" s="184">
        <f t="shared" si="38"/>
        <v>163.05883552175914</v>
      </c>
      <c r="AC53" s="181">
        <f t="shared" si="39"/>
        <v>4</v>
      </c>
      <c r="AD53" s="588"/>
      <c r="AE53" s="187">
        <v>20</v>
      </c>
      <c r="AF53" s="187">
        <v>3260.4567104351827</v>
      </c>
      <c r="AG53" s="184">
        <f t="shared" si="40"/>
        <v>163.02283552175913</v>
      </c>
      <c r="AH53" s="181">
        <f t="shared" si="41"/>
        <v>4</v>
      </c>
      <c r="AI53" s="588"/>
      <c r="AJ53" s="187">
        <v>20</v>
      </c>
      <c r="AK53" s="187">
        <v>3261.8967104351827</v>
      </c>
      <c r="AL53" s="184">
        <f t="shared" si="42"/>
        <v>163.09483552175914</v>
      </c>
      <c r="AM53" s="181">
        <f t="shared" si="43"/>
        <v>4</v>
      </c>
      <c r="AN53" s="588"/>
      <c r="AO53" s="187">
        <v>20</v>
      </c>
      <c r="AP53" s="187">
        <v>3263.696710435182</v>
      </c>
      <c r="AQ53" s="184">
        <f t="shared" si="44"/>
        <v>163.18483552175911</v>
      </c>
      <c r="AR53" s="181">
        <f t="shared" si="45"/>
        <v>4</v>
      </c>
      <c r="AS53" s="588"/>
      <c r="AT53" s="187">
        <v>20</v>
      </c>
      <c r="AU53" s="187">
        <v>3265.4967104351817</v>
      </c>
      <c r="AV53" s="184">
        <f t="shared" si="46"/>
        <v>163.27483552175909</v>
      </c>
      <c r="AW53" s="181">
        <f t="shared" si="47"/>
        <v>4</v>
      </c>
      <c r="AX53" s="588"/>
    </row>
    <row r="54" spans="2:50" ht="14.25" customHeight="1">
      <c r="B54" s="586"/>
      <c r="C54" s="179">
        <v>8</v>
      </c>
      <c r="D54" s="182" t="s">
        <v>659</v>
      </c>
      <c r="E54" s="179">
        <v>21</v>
      </c>
      <c r="F54" s="179">
        <v>3600</v>
      </c>
      <c r="G54" s="184">
        <f t="shared" si="32"/>
        <v>171.42857142857142</v>
      </c>
      <c r="H54" s="588"/>
      <c r="I54" s="185">
        <f t="shared" si="34"/>
        <v>21</v>
      </c>
      <c r="J54" s="185">
        <f t="shared" si="34"/>
        <v>3192.8299533597356</v>
      </c>
      <c r="K54" s="186">
        <f t="shared" si="34"/>
        <v>152.03952158855887</v>
      </c>
      <c r="L54" s="589"/>
      <c r="M54" s="185">
        <f>RANK(K54, K$47:$K$61)</f>
        <v>6</v>
      </c>
      <c r="N54" s="586"/>
      <c r="O54" s="586"/>
      <c r="P54" s="187">
        <v>21</v>
      </c>
      <c r="Q54" s="187">
        <v>3194.0904638008233</v>
      </c>
      <c r="R54" s="184">
        <f t="shared" si="35"/>
        <v>152.09954589527729</v>
      </c>
      <c r="S54" s="181">
        <f t="shared" si="36"/>
        <v>6</v>
      </c>
      <c r="T54" s="588"/>
      <c r="U54" s="187">
        <v>21</v>
      </c>
      <c r="V54" s="187">
        <v>3195.1704638008232</v>
      </c>
      <c r="W54" s="184">
        <f t="shared" si="33"/>
        <v>152.15097446670586</v>
      </c>
      <c r="X54" s="181">
        <f t="shared" si="37"/>
        <v>6</v>
      </c>
      <c r="Y54" s="588"/>
      <c r="Z54" s="187">
        <v>21</v>
      </c>
      <c r="AA54" s="187">
        <v>3193.3704638008239</v>
      </c>
      <c r="AB54" s="184">
        <f t="shared" si="38"/>
        <v>152.06526018099163</v>
      </c>
      <c r="AC54" s="181">
        <f t="shared" si="39"/>
        <v>6</v>
      </c>
      <c r="AD54" s="588"/>
      <c r="AE54" s="187">
        <v>21</v>
      </c>
      <c r="AF54" s="187">
        <v>3193.3704638008244</v>
      </c>
      <c r="AG54" s="184">
        <f t="shared" si="40"/>
        <v>152.06526018099163</v>
      </c>
      <c r="AH54" s="181">
        <f t="shared" si="41"/>
        <v>6</v>
      </c>
      <c r="AI54" s="588"/>
      <c r="AJ54" s="187">
        <v>21</v>
      </c>
      <c r="AK54" s="187">
        <v>3192.5892727716182</v>
      </c>
      <c r="AL54" s="184">
        <f t="shared" si="42"/>
        <v>152.0280606081723</v>
      </c>
      <c r="AM54" s="181">
        <f t="shared" si="43"/>
        <v>6</v>
      </c>
      <c r="AN54" s="588"/>
      <c r="AO54" s="187">
        <v>21</v>
      </c>
      <c r="AP54" s="187">
        <v>3190.7892727716189</v>
      </c>
      <c r="AQ54" s="184">
        <f t="shared" si="44"/>
        <v>151.94234632245804</v>
      </c>
      <c r="AR54" s="181">
        <f t="shared" si="45"/>
        <v>6</v>
      </c>
      <c r="AS54" s="588"/>
      <c r="AT54" s="187">
        <v>21</v>
      </c>
      <c r="AU54" s="187">
        <v>3190.4292727716193</v>
      </c>
      <c r="AV54" s="184">
        <f t="shared" si="46"/>
        <v>151.92520346531521</v>
      </c>
      <c r="AW54" s="181">
        <f t="shared" si="47"/>
        <v>6</v>
      </c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349</v>
      </c>
      <c r="C67" s="179">
        <v>1</v>
      </c>
      <c r="D67" s="182" t="s">
        <v>492</v>
      </c>
      <c r="E67" s="183">
        <v>19</v>
      </c>
      <c r="F67" s="179">
        <v>3600</v>
      </c>
      <c r="G67" s="184">
        <f t="shared" ref="G67:G74" si="48">IFERROR(F67/E67,"")</f>
        <v>189.47368421052633</v>
      </c>
      <c r="H67" s="588">
        <f>AVERAGE(G67:G81)</f>
        <v>180.42742726381169</v>
      </c>
      <c r="I67" s="185">
        <f>AVERAGE(P67,U67,Z67,AE67,AJ67,AO67,AT67)</f>
        <v>19.714285714285715</v>
      </c>
      <c r="J67" s="185">
        <f>AVERAGE(Q67,V67,AA67,AF67,AK67,AP67,AU67)</f>
        <v>3268.8566148898717</v>
      </c>
      <c r="K67" s="186">
        <f>AVERAGE(R67,W67,AB67,AG67,AL67,AQ67,AV67)</f>
        <v>165.90016909035822</v>
      </c>
      <c r="L67" s="589">
        <f>IFERROR(AVERAGE(K67:K81),"-")</f>
        <v>160.80443802187071</v>
      </c>
      <c r="M67" s="185">
        <f>RANK(K67, K$67:$K$81)</f>
        <v>4</v>
      </c>
      <c r="N67" s="586"/>
      <c r="O67" s="586"/>
      <c r="P67" s="187">
        <v>20</v>
      </c>
      <c r="Q67" s="187">
        <v>3270.2763042290967</v>
      </c>
      <c r="R67" s="184">
        <f>IFERROR(Q67/P67,"")</f>
        <v>163.51381521145484</v>
      </c>
      <c r="S67" s="181">
        <f>RANK(R67, R$67:R$81)</f>
        <v>4</v>
      </c>
      <c r="T67" s="588">
        <f>AVERAGE(R67:R81)</f>
        <v>160.20793736259918</v>
      </c>
      <c r="U67" s="187">
        <v>20</v>
      </c>
      <c r="V67" s="187">
        <v>3268.8000000000006</v>
      </c>
      <c r="W67" s="184">
        <f t="shared" ref="W67:W74" si="49">IFERROR(V67/U67,"")</f>
        <v>163.44000000000003</v>
      </c>
      <c r="X67" s="181">
        <f>RANK(W67, W$67:W$81)</f>
        <v>4</v>
      </c>
      <c r="Y67" s="588">
        <f>AVERAGE(W67:W81)</f>
        <v>160.18113721612565</v>
      </c>
      <c r="Z67" s="187">
        <v>20</v>
      </c>
      <c r="AA67" s="187">
        <v>3268.8</v>
      </c>
      <c r="AB67" s="184">
        <f>IFERROR(AA67/Z67,"")</f>
        <v>163.44</v>
      </c>
      <c r="AC67" s="181">
        <f>RANK(AB67, AB$67:AB$81)</f>
        <v>4</v>
      </c>
      <c r="AD67" s="588">
        <f>AVERAGE(AB67:AB81)</f>
        <v>160.21524828888687</v>
      </c>
      <c r="AE67" s="187">
        <v>20</v>
      </c>
      <c r="AF67" s="187">
        <v>3268.8</v>
      </c>
      <c r="AG67" s="184">
        <f>IFERROR(AF67/AE67,"")</f>
        <v>163.44</v>
      </c>
      <c r="AH67" s="181">
        <f>RANK(AG67, AG$67:AG$81)</f>
        <v>4</v>
      </c>
      <c r="AI67" s="588">
        <f>AVERAGE(AG67:AG81)</f>
        <v>160.22219827254168</v>
      </c>
      <c r="AJ67" s="187">
        <v>20</v>
      </c>
      <c r="AK67" s="187">
        <v>3268.8000000000006</v>
      </c>
      <c r="AL67" s="184">
        <f>IFERROR(AK67/AJ67,"")</f>
        <v>163.44000000000003</v>
      </c>
      <c r="AM67" s="181">
        <f>RANK(AL67, AL$67:AL$81)</f>
        <v>4</v>
      </c>
      <c r="AN67" s="588">
        <f>AVERAGE(AL67:AL81)</f>
        <v>160.21642867805417</v>
      </c>
      <c r="AO67" s="187">
        <v>19</v>
      </c>
      <c r="AP67" s="187">
        <v>3268.8</v>
      </c>
      <c r="AQ67" s="184">
        <f>IFERROR(AP67/AO67,"")</f>
        <v>172.04210526315791</v>
      </c>
      <c r="AR67" s="181">
        <f>RANK(AQ67, AQ$67:AQ$81)</f>
        <v>3</v>
      </c>
      <c r="AS67" s="588">
        <f>AVERAGE(AQ67:AQ81)</f>
        <v>162.29136349598249</v>
      </c>
      <c r="AT67" s="187">
        <v>19</v>
      </c>
      <c r="AU67" s="187">
        <v>3267.7200000000007</v>
      </c>
      <c r="AV67" s="184">
        <f>IFERROR(AU67/AT67,"")</f>
        <v>171.98526315789476</v>
      </c>
      <c r="AW67" s="181">
        <f>RANK(AV67, AV$67:AV$81)</f>
        <v>3</v>
      </c>
      <c r="AX67" s="588">
        <f>AVERAGE(AV67:AV81)</f>
        <v>162.29675283890501</v>
      </c>
    </row>
    <row r="68" spans="2:50" ht="14.25" customHeight="1">
      <c r="B68" s="586"/>
      <c r="C68" s="179">
        <v>2</v>
      </c>
      <c r="D68" s="182" t="s">
        <v>493</v>
      </c>
      <c r="E68" s="179">
        <v>20</v>
      </c>
      <c r="F68" s="179">
        <v>3600</v>
      </c>
      <c r="G68" s="184">
        <f t="shared" si="48"/>
        <v>180</v>
      </c>
      <c r="H68" s="588"/>
      <c r="I68" s="185">
        <f t="shared" ref="I68:K74" si="50">AVERAGE(P68,U68,Z68,AE68,AJ68,AO68,AT68)</f>
        <v>20.714285714285715</v>
      </c>
      <c r="J68" s="185">
        <f t="shared" si="50"/>
        <v>3269.2102443144759</v>
      </c>
      <c r="K68" s="186">
        <f t="shared" si="50"/>
        <v>157.90084156599545</v>
      </c>
      <c r="L68" s="589"/>
      <c r="M68" s="185">
        <f>RANK(K68, K$67:$K$81)</f>
        <v>5</v>
      </c>
      <c r="N68" s="586"/>
      <c r="O68" s="586"/>
      <c r="P68" s="187">
        <v>21</v>
      </c>
      <c r="Q68" s="187">
        <v>3270.2317102013308</v>
      </c>
      <c r="R68" s="184">
        <f t="shared" ref="R68:R74" si="51">IFERROR(Q68/P68,"")</f>
        <v>155.72531953339671</v>
      </c>
      <c r="S68" s="181">
        <f t="shared" ref="S68:S74" si="52">RANK(R68, R$67:R$81)</f>
        <v>5</v>
      </c>
      <c r="T68" s="588"/>
      <c r="U68" s="187">
        <v>21</v>
      </c>
      <c r="V68" s="187">
        <v>3268.7999999999997</v>
      </c>
      <c r="W68" s="184">
        <f t="shared" si="49"/>
        <v>155.65714285714284</v>
      </c>
      <c r="X68" s="181">
        <f t="shared" ref="X68:X74" si="53">RANK(W68, W$67:W$81)</f>
        <v>5</v>
      </c>
      <c r="Y68" s="588"/>
      <c r="Z68" s="187">
        <v>21</v>
      </c>
      <c r="AA68" s="187">
        <v>3268.8</v>
      </c>
      <c r="AB68" s="184">
        <f t="shared" ref="AB68:AB74" si="54">IFERROR(AA68/Z68,"")</f>
        <v>155.65714285714287</v>
      </c>
      <c r="AC68" s="181">
        <f t="shared" ref="AC68:AC74" si="55">RANK(AB68, AB$67:AB$81)</f>
        <v>5</v>
      </c>
      <c r="AD68" s="588"/>
      <c r="AE68" s="187">
        <v>21</v>
      </c>
      <c r="AF68" s="187">
        <v>3268.8</v>
      </c>
      <c r="AG68" s="184">
        <f t="shared" ref="AG68:AG74" si="56">IFERROR(AF68/AE68,"")</f>
        <v>155.65714285714287</v>
      </c>
      <c r="AH68" s="181">
        <f t="shared" ref="AH68:AH74" si="57">RANK(AG68, AG$67:AG$81)</f>
        <v>5</v>
      </c>
      <c r="AI68" s="588"/>
      <c r="AJ68" s="187">
        <v>21</v>
      </c>
      <c r="AK68" s="187">
        <v>3268.8</v>
      </c>
      <c r="AL68" s="184">
        <f t="shared" ref="AL68:AL74" si="58">IFERROR(AK68/AJ68,"")</f>
        <v>155.65714285714287</v>
      </c>
      <c r="AM68" s="181">
        <f t="shared" ref="AM68:AM74" si="59">RANK(AL68, AL$67:AL$81)</f>
        <v>5</v>
      </c>
      <c r="AN68" s="588"/>
      <c r="AO68" s="187">
        <v>20</v>
      </c>
      <c r="AP68" s="187">
        <v>3268.7999999999997</v>
      </c>
      <c r="AQ68" s="184">
        <f t="shared" ref="AQ68:AQ74" si="60">IFERROR(AP68/AO68,"")</f>
        <v>163.44</v>
      </c>
      <c r="AR68" s="181">
        <f t="shared" ref="AR68:AR74" si="61">RANK(AQ68, AQ$67:AQ$81)</f>
        <v>5</v>
      </c>
      <c r="AS68" s="588"/>
      <c r="AT68" s="187">
        <v>20</v>
      </c>
      <c r="AU68" s="187">
        <v>3270.24</v>
      </c>
      <c r="AV68" s="184">
        <f t="shared" ref="AV68:AV74" si="62">IFERROR(AU68/AT68,"")</f>
        <v>163.512</v>
      </c>
      <c r="AW68" s="181">
        <f t="shared" ref="AW68:AW74" si="63">RANK(AV68, AV$67:AV$81)</f>
        <v>5</v>
      </c>
      <c r="AX68" s="588"/>
    </row>
    <row r="69" spans="2:50" ht="14.25" customHeight="1">
      <c r="B69" s="586"/>
      <c r="C69" s="179">
        <v>3</v>
      </c>
      <c r="D69" s="182" t="s">
        <v>535</v>
      </c>
      <c r="E69" s="179">
        <v>18</v>
      </c>
      <c r="F69" s="179">
        <v>3600</v>
      </c>
      <c r="G69" s="184">
        <f t="shared" si="48"/>
        <v>200</v>
      </c>
      <c r="H69" s="588"/>
      <c r="I69" s="185">
        <f t="shared" si="50"/>
        <v>18</v>
      </c>
      <c r="J69" s="185">
        <f t="shared" si="50"/>
        <v>3192.5429648050526</v>
      </c>
      <c r="K69" s="186">
        <f t="shared" si="50"/>
        <v>177.36349804472516</v>
      </c>
      <c r="L69" s="589"/>
      <c r="M69" s="185">
        <f>RANK(K69, K$67:$K$81)</f>
        <v>1</v>
      </c>
      <c r="N69" s="586"/>
      <c r="O69" s="586"/>
      <c r="P69" s="187">
        <v>18</v>
      </c>
      <c r="Q69" s="187">
        <v>3192.38850192789</v>
      </c>
      <c r="R69" s="184">
        <f t="shared" si="51"/>
        <v>177.35491677377166</v>
      </c>
      <c r="S69" s="181">
        <f t="shared" si="52"/>
        <v>1</v>
      </c>
      <c r="T69" s="588"/>
      <c r="U69" s="187">
        <v>18</v>
      </c>
      <c r="V69" s="187">
        <v>3190.9485019278904</v>
      </c>
      <c r="W69" s="184">
        <f t="shared" si="49"/>
        <v>177.27491677377168</v>
      </c>
      <c r="X69" s="181">
        <f t="shared" si="53"/>
        <v>2</v>
      </c>
      <c r="Y69" s="588"/>
      <c r="Z69" s="187">
        <v>18</v>
      </c>
      <c r="AA69" s="187">
        <v>3192.088751619372</v>
      </c>
      <c r="AB69" s="184">
        <f t="shared" si="54"/>
        <v>177.338263978854</v>
      </c>
      <c r="AC69" s="181">
        <f t="shared" si="55"/>
        <v>1</v>
      </c>
      <c r="AD69" s="588"/>
      <c r="AE69" s="187">
        <v>18</v>
      </c>
      <c r="AF69" s="187">
        <v>3191.7287516193724</v>
      </c>
      <c r="AG69" s="184">
        <f t="shared" si="56"/>
        <v>177.31826397885402</v>
      </c>
      <c r="AH69" s="181">
        <f t="shared" si="57"/>
        <v>2</v>
      </c>
      <c r="AI69" s="588"/>
      <c r="AJ69" s="187">
        <v>18</v>
      </c>
      <c r="AK69" s="187">
        <v>3192.8287488469491</v>
      </c>
      <c r="AL69" s="184">
        <f t="shared" si="58"/>
        <v>177.37937493594163</v>
      </c>
      <c r="AM69" s="181">
        <f t="shared" si="59"/>
        <v>1</v>
      </c>
      <c r="AN69" s="588"/>
      <c r="AO69" s="187">
        <v>18</v>
      </c>
      <c r="AP69" s="187">
        <v>3194.2687488469487</v>
      </c>
      <c r="AQ69" s="184">
        <f t="shared" si="60"/>
        <v>177.45937493594158</v>
      </c>
      <c r="AR69" s="181">
        <f t="shared" si="61"/>
        <v>1</v>
      </c>
      <c r="AS69" s="588"/>
      <c r="AT69" s="187">
        <v>18</v>
      </c>
      <c r="AU69" s="187">
        <v>3193.5487488469485</v>
      </c>
      <c r="AV69" s="184">
        <f t="shared" si="62"/>
        <v>177.41937493594159</v>
      </c>
      <c r="AW69" s="181">
        <f t="shared" si="63"/>
        <v>2</v>
      </c>
      <c r="AX69" s="588"/>
    </row>
    <row r="70" spans="2:50" ht="14.25" customHeight="1">
      <c r="B70" s="586"/>
      <c r="C70" s="179">
        <v>4</v>
      </c>
      <c r="D70" s="182" t="s">
        <v>530</v>
      </c>
      <c r="E70" s="179">
        <v>23</v>
      </c>
      <c r="F70" s="179">
        <v>3600</v>
      </c>
      <c r="G70" s="184">
        <f t="shared" si="48"/>
        <v>156.52173913043478</v>
      </c>
      <c r="H70" s="588"/>
      <c r="I70" s="185">
        <f t="shared" si="50"/>
        <v>23</v>
      </c>
      <c r="J70" s="185">
        <f t="shared" si="50"/>
        <v>3264.4603718554549</v>
      </c>
      <c r="K70" s="186">
        <f t="shared" si="50"/>
        <v>141.93305964588936</v>
      </c>
      <c r="L70" s="589"/>
      <c r="M70" s="185">
        <f>RANK(K70, K$67:$K$81)</f>
        <v>8</v>
      </c>
      <c r="N70" s="586"/>
      <c r="O70" s="586"/>
      <c r="P70" s="187">
        <v>23</v>
      </c>
      <c r="Q70" s="187">
        <v>3263.42428661235</v>
      </c>
      <c r="R70" s="184">
        <f t="shared" si="51"/>
        <v>141.88801246140653</v>
      </c>
      <c r="S70" s="181">
        <f t="shared" si="52"/>
        <v>8</v>
      </c>
      <c r="T70" s="588"/>
      <c r="U70" s="187">
        <v>23</v>
      </c>
      <c r="V70" s="187">
        <v>3262.344286612351</v>
      </c>
      <c r="W70" s="184">
        <f t="shared" si="49"/>
        <v>141.84105593966743</v>
      </c>
      <c r="X70" s="181">
        <f t="shared" si="53"/>
        <v>8</v>
      </c>
      <c r="Y70" s="588"/>
      <c r="Z70" s="187">
        <v>23</v>
      </c>
      <c r="AA70" s="187">
        <v>3265.450805952697</v>
      </c>
      <c r="AB70" s="184">
        <f t="shared" si="54"/>
        <v>141.97612199794335</v>
      </c>
      <c r="AC70" s="181">
        <f t="shared" si="55"/>
        <v>8</v>
      </c>
      <c r="AD70" s="588"/>
      <c r="AE70" s="187">
        <v>23</v>
      </c>
      <c r="AF70" s="187">
        <v>3264.7308059526972</v>
      </c>
      <c r="AG70" s="184">
        <f t="shared" si="56"/>
        <v>141.94481765011727</v>
      </c>
      <c r="AH70" s="181">
        <f t="shared" si="57"/>
        <v>8</v>
      </c>
      <c r="AI70" s="588"/>
      <c r="AJ70" s="187">
        <v>23</v>
      </c>
      <c r="AK70" s="187">
        <v>3264.3708059526971</v>
      </c>
      <c r="AL70" s="184">
        <f t="shared" si="58"/>
        <v>141.92916547620422</v>
      </c>
      <c r="AM70" s="181">
        <f t="shared" si="59"/>
        <v>8</v>
      </c>
      <c r="AN70" s="588"/>
      <c r="AO70" s="187">
        <v>23</v>
      </c>
      <c r="AP70" s="187">
        <v>3266.1708059526977</v>
      </c>
      <c r="AQ70" s="184">
        <f t="shared" si="60"/>
        <v>142.00742634576946</v>
      </c>
      <c r="AR70" s="181">
        <f t="shared" si="61"/>
        <v>8</v>
      </c>
      <c r="AS70" s="588"/>
      <c r="AT70" s="187">
        <v>23</v>
      </c>
      <c r="AU70" s="187">
        <v>3264.7308059526972</v>
      </c>
      <c r="AV70" s="184">
        <f t="shared" si="62"/>
        <v>141.94481765011727</v>
      </c>
      <c r="AW70" s="181">
        <f t="shared" si="63"/>
        <v>8</v>
      </c>
      <c r="AX70" s="588"/>
    </row>
    <row r="71" spans="2:50" ht="14.25" customHeight="1">
      <c r="B71" s="586"/>
      <c r="C71" s="179">
        <v>5</v>
      </c>
      <c r="D71" s="182" t="s">
        <v>494</v>
      </c>
      <c r="E71" s="179">
        <v>18</v>
      </c>
      <c r="F71" s="179">
        <v>3600</v>
      </c>
      <c r="G71" s="184">
        <f t="shared" si="48"/>
        <v>200</v>
      </c>
      <c r="H71" s="588"/>
      <c r="I71" s="185">
        <f t="shared" si="50"/>
        <v>18</v>
      </c>
      <c r="J71" s="185">
        <f t="shared" si="50"/>
        <v>3192.4662703610566</v>
      </c>
      <c r="K71" s="186">
        <f t="shared" si="50"/>
        <v>177.35923724228093</v>
      </c>
      <c r="L71" s="589"/>
      <c r="M71" s="185">
        <f>RANK(K71, K$67:$K$81)</f>
        <v>2</v>
      </c>
      <c r="N71" s="586"/>
      <c r="O71" s="586"/>
      <c r="P71" s="187">
        <v>18</v>
      </c>
      <c r="Q71" s="187">
        <v>3191.5236154694426</v>
      </c>
      <c r="R71" s="184">
        <f t="shared" si="51"/>
        <v>177.30686752608014</v>
      </c>
      <c r="S71" s="181">
        <f t="shared" si="52"/>
        <v>2</v>
      </c>
      <c r="T71" s="588"/>
      <c r="U71" s="187">
        <v>18</v>
      </c>
      <c r="V71" s="187">
        <v>3192.603615469443</v>
      </c>
      <c r="W71" s="184">
        <f t="shared" si="49"/>
        <v>177.36686752608017</v>
      </c>
      <c r="X71" s="181">
        <f t="shared" si="53"/>
        <v>1</v>
      </c>
      <c r="Y71" s="588"/>
      <c r="Z71" s="187">
        <v>18</v>
      </c>
      <c r="AA71" s="187">
        <v>3191.5236154694426</v>
      </c>
      <c r="AB71" s="184">
        <f t="shared" si="54"/>
        <v>177.30686752608014</v>
      </c>
      <c r="AC71" s="181">
        <f t="shared" si="55"/>
        <v>2</v>
      </c>
      <c r="AD71" s="588"/>
      <c r="AE71" s="187">
        <v>18</v>
      </c>
      <c r="AF71" s="187">
        <v>3193.3236154694423</v>
      </c>
      <c r="AG71" s="184">
        <f t="shared" si="56"/>
        <v>177.40686752608013</v>
      </c>
      <c r="AH71" s="181">
        <f t="shared" si="57"/>
        <v>1</v>
      </c>
      <c r="AI71" s="588"/>
      <c r="AJ71" s="187">
        <v>18</v>
      </c>
      <c r="AK71" s="187">
        <v>3191.8836154694422</v>
      </c>
      <c r="AL71" s="184">
        <f t="shared" si="58"/>
        <v>177.32686752608012</v>
      </c>
      <c r="AM71" s="181">
        <f t="shared" si="59"/>
        <v>2</v>
      </c>
      <c r="AN71" s="588"/>
      <c r="AO71" s="187">
        <v>18</v>
      </c>
      <c r="AP71" s="187">
        <v>3192.4829075900921</v>
      </c>
      <c r="AQ71" s="184">
        <f t="shared" si="60"/>
        <v>177.36016153278288</v>
      </c>
      <c r="AR71" s="181">
        <f t="shared" si="61"/>
        <v>2</v>
      </c>
      <c r="AS71" s="588"/>
      <c r="AT71" s="187">
        <v>18</v>
      </c>
      <c r="AU71" s="187">
        <v>3193.9229075900912</v>
      </c>
      <c r="AV71" s="184">
        <f t="shared" si="62"/>
        <v>177.44016153278284</v>
      </c>
      <c r="AW71" s="181">
        <f t="shared" si="63"/>
        <v>1</v>
      </c>
      <c r="AX71" s="588"/>
    </row>
    <row r="72" spans="2:50" ht="14.25" customHeight="1">
      <c r="B72" s="586"/>
      <c r="C72" s="179">
        <v>6</v>
      </c>
      <c r="D72" s="182" t="s">
        <v>542</v>
      </c>
      <c r="E72" s="179">
        <v>23</v>
      </c>
      <c r="F72" s="179">
        <v>3600</v>
      </c>
      <c r="G72" s="184">
        <f t="shared" si="48"/>
        <v>156.52173913043478</v>
      </c>
      <c r="H72" s="588"/>
      <c r="I72" s="185">
        <f t="shared" si="50"/>
        <v>23</v>
      </c>
      <c r="J72" s="185">
        <f t="shared" si="50"/>
        <v>3267.2541469082912</v>
      </c>
      <c r="K72" s="186">
        <f t="shared" si="50"/>
        <v>142.05452812644742</v>
      </c>
      <c r="L72" s="589"/>
      <c r="M72" s="185">
        <f>RANK(K72, K$67:$K$81)</f>
        <v>7</v>
      </c>
      <c r="N72" s="586"/>
      <c r="O72" s="586"/>
      <c r="P72" s="187">
        <v>23</v>
      </c>
      <c r="Q72" s="187">
        <v>3267.7170040511478</v>
      </c>
      <c r="R72" s="184">
        <f t="shared" si="51"/>
        <v>142.07465235004992</v>
      </c>
      <c r="S72" s="181">
        <f t="shared" si="52"/>
        <v>7</v>
      </c>
      <c r="T72" s="588"/>
      <c r="U72" s="187">
        <v>23</v>
      </c>
      <c r="V72" s="187">
        <v>3266.6370040511483</v>
      </c>
      <c r="W72" s="184">
        <f t="shared" si="49"/>
        <v>142.02769582831078</v>
      </c>
      <c r="X72" s="181">
        <f t="shared" si="53"/>
        <v>7</v>
      </c>
      <c r="Y72" s="588"/>
      <c r="Z72" s="187">
        <v>23</v>
      </c>
      <c r="AA72" s="187">
        <v>3267.7170040511478</v>
      </c>
      <c r="AB72" s="184">
        <f t="shared" si="54"/>
        <v>142.07465235004992</v>
      </c>
      <c r="AC72" s="181">
        <f t="shared" si="55"/>
        <v>7</v>
      </c>
      <c r="AD72" s="588"/>
      <c r="AE72" s="187">
        <v>23</v>
      </c>
      <c r="AF72" s="187">
        <v>3267.3570040511486</v>
      </c>
      <c r="AG72" s="184">
        <f t="shared" si="56"/>
        <v>142.05900017613689</v>
      </c>
      <c r="AH72" s="181">
        <f t="shared" si="57"/>
        <v>7</v>
      </c>
      <c r="AI72" s="588"/>
      <c r="AJ72" s="187">
        <v>23</v>
      </c>
      <c r="AK72" s="187">
        <v>3266.2770040511482</v>
      </c>
      <c r="AL72" s="184">
        <f t="shared" si="58"/>
        <v>142.01204365439776</v>
      </c>
      <c r="AM72" s="181">
        <f t="shared" si="59"/>
        <v>7</v>
      </c>
      <c r="AN72" s="588"/>
      <c r="AO72" s="187">
        <v>23</v>
      </c>
      <c r="AP72" s="187">
        <v>3266.9970040511485</v>
      </c>
      <c r="AQ72" s="184">
        <f t="shared" si="60"/>
        <v>142.04334800222384</v>
      </c>
      <c r="AR72" s="181">
        <f t="shared" si="61"/>
        <v>7</v>
      </c>
      <c r="AS72" s="588"/>
      <c r="AT72" s="187">
        <v>23</v>
      </c>
      <c r="AU72" s="187">
        <v>3268.0770040511479</v>
      </c>
      <c r="AV72" s="184">
        <f t="shared" si="62"/>
        <v>142.09030452396294</v>
      </c>
      <c r="AW72" s="181">
        <f t="shared" si="63"/>
        <v>7</v>
      </c>
      <c r="AX72" s="588"/>
    </row>
    <row r="73" spans="2:50" ht="14.25" customHeight="1">
      <c r="B73" s="586"/>
      <c r="C73" s="179">
        <v>7</v>
      </c>
      <c r="D73" s="182" t="s">
        <v>578</v>
      </c>
      <c r="E73" s="179">
        <v>19</v>
      </c>
      <c r="F73" s="179">
        <v>3600</v>
      </c>
      <c r="G73" s="184">
        <f t="shared" si="48"/>
        <v>189.47368421052633</v>
      </c>
      <c r="H73" s="588"/>
      <c r="I73" s="185">
        <f t="shared" si="50"/>
        <v>19</v>
      </c>
      <c r="J73" s="185">
        <f t="shared" si="50"/>
        <v>3266.0685622503356</v>
      </c>
      <c r="K73" s="186">
        <f t="shared" si="50"/>
        <v>171.89834538159661</v>
      </c>
      <c r="L73" s="589"/>
      <c r="M73" s="185">
        <f>RANK(K73, K$67:$K$81)</f>
        <v>3</v>
      </c>
      <c r="N73" s="586"/>
      <c r="O73" s="586"/>
      <c r="P73" s="187">
        <v>19</v>
      </c>
      <c r="Q73" s="187">
        <v>3264.0567104351826</v>
      </c>
      <c r="R73" s="184">
        <f t="shared" si="51"/>
        <v>171.79245844395697</v>
      </c>
      <c r="S73" s="181">
        <f t="shared" si="52"/>
        <v>3</v>
      </c>
      <c r="T73" s="588"/>
      <c r="U73" s="187">
        <v>19</v>
      </c>
      <c r="V73" s="187">
        <v>3265.4967104351817</v>
      </c>
      <c r="W73" s="184">
        <f t="shared" si="49"/>
        <v>171.86824791764116</v>
      </c>
      <c r="X73" s="181">
        <f t="shared" si="53"/>
        <v>3</v>
      </c>
      <c r="Y73" s="588"/>
      <c r="Z73" s="187">
        <v>19</v>
      </c>
      <c r="AA73" s="187">
        <v>3265.8567104351823</v>
      </c>
      <c r="AB73" s="184">
        <f t="shared" si="54"/>
        <v>171.88719528606222</v>
      </c>
      <c r="AC73" s="181">
        <f t="shared" si="55"/>
        <v>3</v>
      </c>
      <c r="AD73" s="588"/>
      <c r="AE73" s="187">
        <v>19</v>
      </c>
      <c r="AF73" s="187">
        <v>3266.9367104351822</v>
      </c>
      <c r="AG73" s="184">
        <f t="shared" si="56"/>
        <v>171.94403739132539</v>
      </c>
      <c r="AH73" s="181">
        <f t="shared" si="57"/>
        <v>3</v>
      </c>
      <c r="AI73" s="588"/>
      <c r="AJ73" s="187">
        <v>19</v>
      </c>
      <c r="AK73" s="187">
        <v>3266.5767104351821</v>
      </c>
      <c r="AL73" s="184">
        <f t="shared" si="58"/>
        <v>171.92509002290433</v>
      </c>
      <c r="AM73" s="181">
        <f t="shared" si="59"/>
        <v>3</v>
      </c>
      <c r="AN73" s="588"/>
      <c r="AO73" s="187">
        <v>19</v>
      </c>
      <c r="AP73" s="187">
        <v>3266.4181917882188</v>
      </c>
      <c r="AQ73" s="184">
        <f t="shared" si="60"/>
        <v>171.91674693622204</v>
      </c>
      <c r="AR73" s="181">
        <f t="shared" si="61"/>
        <v>4</v>
      </c>
      <c r="AS73" s="588"/>
      <c r="AT73" s="187">
        <v>19</v>
      </c>
      <c r="AU73" s="187">
        <v>3267.1381917882186</v>
      </c>
      <c r="AV73" s="184">
        <f t="shared" si="62"/>
        <v>171.95464167306415</v>
      </c>
      <c r="AW73" s="181">
        <f t="shared" si="63"/>
        <v>4</v>
      </c>
      <c r="AX73" s="588"/>
    </row>
    <row r="74" spans="2:50" ht="14.25" customHeight="1">
      <c r="B74" s="586"/>
      <c r="C74" s="179">
        <v>8</v>
      </c>
      <c r="D74" s="182" t="s">
        <v>659</v>
      </c>
      <c r="E74" s="179">
        <v>21</v>
      </c>
      <c r="F74" s="179">
        <v>3600</v>
      </c>
      <c r="G74" s="184">
        <f t="shared" si="48"/>
        <v>171.42857142857142</v>
      </c>
      <c r="H74" s="588"/>
      <c r="I74" s="185">
        <f t="shared" si="50"/>
        <v>21</v>
      </c>
      <c r="J74" s="185">
        <f t="shared" si="50"/>
        <v>3192.542326631125</v>
      </c>
      <c r="K74" s="186">
        <f t="shared" si="50"/>
        <v>152.02582507767261</v>
      </c>
      <c r="L74" s="589"/>
      <c r="M74" s="185">
        <f>RANK(K74, K$67:$K$81)</f>
        <v>6</v>
      </c>
      <c r="N74" s="586"/>
      <c r="O74" s="586"/>
      <c r="P74" s="187">
        <v>21</v>
      </c>
      <c r="Q74" s="187">
        <v>3192.1565886142121</v>
      </c>
      <c r="R74" s="184">
        <f t="shared" si="51"/>
        <v>152.00745660067676</v>
      </c>
      <c r="S74" s="181">
        <f t="shared" si="52"/>
        <v>6</v>
      </c>
      <c r="T74" s="588"/>
      <c r="U74" s="187">
        <v>21</v>
      </c>
      <c r="V74" s="187">
        <v>3191.4365886142127</v>
      </c>
      <c r="W74" s="184">
        <f t="shared" si="49"/>
        <v>151.97317088639107</v>
      </c>
      <c r="X74" s="181">
        <f t="shared" si="53"/>
        <v>6</v>
      </c>
      <c r="Y74" s="588"/>
      <c r="Z74" s="187">
        <v>21</v>
      </c>
      <c r="AA74" s="187">
        <v>3192.8765886142123</v>
      </c>
      <c r="AB74" s="184">
        <f t="shared" si="54"/>
        <v>152.04174231496251</v>
      </c>
      <c r="AC74" s="181">
        <f t="shared" si="55"/>
        <v>6</v>
      </c>
      <c r="AD74" s="588"/>
      <c r="AE74" s="187">
        <v>21</v>
      </c>
      <c r="AF74" s="187">
        <v>3192.156588614213</v>
      </c>
      <c r="AG74" s="184">
        <f t="shared" si="56"/>
        <v>152.00745660067682</v>
      </c>
      <c r="AH74" s="181">
        <f t="shared" si="57"/>
        <v>6</v>
      </c>
      <c r="AI74" s="588"/>
      <c r="AJ74" s="187">
        <v>21</v>
      </c>
      <c r="AK74" s="187">
        <v>3193.2966439870074</v>
      </c>
      <c r="AL74" s="184">
        <f t="shared" si="58"/>
        <v>152.06174495176225</v>
      </c>
      <c r="AM74" s="181">
        <f t="shared" si="59"/>
        <v>6</v>
      </c>
      <c r="AN74" s="588"/>
      <c r="AO74" s="187">
        <v>21</v>
      </c>
      <c r="AP74" s="187">
        <v>3193.2966439870079</v>
      </c>
      <c r="AQ74" s="184">
        <f t="shared" si="60"/>
        <v>152.06174495176228</v>
      </c>
      <c r="AR74" s="181">
        <f t="shared" si="61"/>
        <v>6</v>
      </c>
      <c r="AS74" s="588"/>
      <c r="AT74" s="187">
        <v>21</v>
      </c>
      <c r="AU74" s="187">
        <v>3192.5766439870081</v>
      </c>
      <c r="AV74" s="184">
        <f t="shared" si="62"/>
        <v>152.02745923747656</v>
      </c>
      <c r="AW74" s="181">
        <f t="shared" si="63"/>
        <v>6</v>
      </c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349</v>
      </c>
      <c r="C87" s="179">
        <v>1</v>
      </c>
      <c r="D87" s="182" t="s">
        <v>492</v>
      </c>
      <c r="E87" s="183">
        <v>19</v>
      </c>
      <c r="F87" s="179">
        <v>3600</v>
      </c>
      <c r="G87" s="184">
        <f t="shared" ref="G87:G94" si="64">IFERROR(F87/E87,"")</f>
        <v>189.47368421052633</v>
      </c>
      <c r="H87" s="588">
        <f>AVERAGE(G87:G101)</f>
        <v>180.42742726381169</v>
      </c>
      <c r="I87" s="185">
        <f>AVERAGE(P87,U87,Z87,AE87,AJ87,AO87,AT87)</f>
        <v>19</v>
      </c>
      <c r="J87" s="185">
        <f>AVERAGE(Q87,V87,AA87,AF87,AK87,AP87,AU87)</f>
        <v>3267.6685714285704</v>
      </c>
      <c r="K87" s="186">
        <f>AVERAGE(R87,W87,AB87,AG87,AL87,AQ87,AV87)</f>
        <v>171.98255639097738</v>
      </c>
      <c r="L87" s="589">
        <f>IFERROR(AVERAGE(K87:K101),"-")</f>
        <v>162.29407598337048</v>
      </c>
      <c r="M87" s="185">
        <f>RANK(K87, K$87:$K$101)</f>
        <v>3</v>
      </c>
      <c r="N87" s="586"/>
      <c r="O87" s="586"/>
      <c r="P87" s="187">
        <v>19</v>
      </c>
      <c r="Q87" s="187">
        <v>3268.0800000000004</v>
      </c>
      <c r="R87" s="184">
        <f>IFERROR(Q87/P87,"")</f>
        <v>172.0042105263158</v>
      </c>
      <c r="S87" s="181">
        <f>RANK(R87, R$87:R$101)</f>
        <v>3</v>
      </c>
      <c r="T87" s="588">
        <f>AVERAGE(R87:R101)</f>
        <v>162.28030522530582</v>
      </c>
      <c r="U87" s="187">
        <v>19</v>
      </c>
      <c r="V87" s="187">
        <v>3269.52</v>
      </c>
      <c r="W87" s="184">
        <f t="shared" ref="W87:W94" si="65">IFERROR(V87/U87,"")</f>
        <v>172.08</v>
      </c>
      <c r="X87" s="181">
        <f>RANK(W87, W$87:W$101)</f>
        <v>3</v>
      </c>
      <c r="Y87" s="588">
        <f>AVERAGE(W87:W101)</f>
        <v>162.32697780307839</v>
      </c>
      <c r="Z87" s="187">
        <v>19</v>
      </c>
      <c r="AA87" s="187">
        <v>3268.0800000000004</v>
      </c>
      <c r="AB87" s="184">
        <f>IFERROR(AA87/Z87,"")</f>
        <v>172.0042105263158</v>
      </c>
      <c r="AC87" s="181">
        <f>RANK(AB87, AB$87:AB$101)</f>
        <v>3</v>
      </c>
      <c r="AD87" s="588">
        <f>AVERAGE(AB87:AB101)</f>
        <v>162.28462401098949</v>
      </c>
      <c r="AE87" s="187">
        <v>19</v>
      </c>
      <c r="AF87" s="187">
        <v>3267.3599999999997</v>
      </c>
      <c r="AG87" s="184">
        <f>IFERROR(AF87/AE87,"")</f>
        <v>171.96631578947367</v>
      </c>
      <c r="AH87" s="181">
        <f>RANK(AG87, AG$87:AG$101)</f>
        <v>3</v>
      </c>
      <c r="AI87" s="588">
        <f>AVERAGE(AG87:AG101)</f>
        <v>162.28684483478813</v>
      </c>
      <c r="AJ87" s="187">
        <v>19</v>
      </c>
      <c r="AK87" s="187">
        <v>3266.6399999999994</v>
      </c>
      <c r="AL87" s="184">
        <f>IFERROR(AK87/AJ87,"")</f>
        <v>171.92842105263153</v>
      </c>
      <c r="AM87" s="181">
        <f>RANK(AL87, AL$87:AL$101)</f>
        <v>3</v>
      </c>
      <c r="AN87" s="588">
        <f>AVERAGE(AL87:AL101)</f>
        <v>162.29334859418663</v>
      </c>
      <c r="AO87" s="187">
        <v>19</v>
      </c>
      <c r="AP87" s="187">
        <v>3267.3599999999983</v>
      </c>
      <c r="AQ87" s="184">
        <f>IFERROR(AP87/AO87,"")</f>
        <v>171.96631578947358</v>
      </c>
      <c r="AR87" s="181">
        <f>RANK(AQ87, AQ$87:AQ$101)</f>
        <v>3</v>
      </c>
      <c r="AS87" s="588">
        <f>AVERAGE(AQ87:AQ101)</f>
        <v>162.3051406013785</v>
      </c>
      <c r="AT87" s="187">
        <v>19</v>
      </c>
      <c r="AU87" s="187">
        <v>3266.6399999999976</v>
      </c>
      <c r="AV87" s="184">
        <f>IFERROR(AU87/AT87,"")</f>
        <v>171.92842105263145</v>
      </c>
      <c r="AW87" s="181">
        <f>RANK(AV87, AV$87:AV$101)</f>
        <v>3</v>
      </c>
      <c r="AX87" s="588">
        <f>AVERAGE(AV87:AV101)</f>
        <v>162.28129081386624</v>
      </c>
    </row>
    <row r="88" spans="2:50" ht="14.25" customHeight="1">
      <c r="B88" s="586"/>
      <c r="C88" s="179">
        <v>2</v>
      </c>
      <c r="D88" s="182" t="s">
        <v>493</v>
      </c>
      <c r="E88" s="179">
        <v>20</v>
      </c>
      <c r="F88" s="179">
        <v>3600</v>
      </c>
      <c r="G88" s="184">
        <f t="shared" si="64"/>
        <v>180</v>
      </c>
      <c r="H88" s="588"/>
      <c r="I88" s="185">
        <f t="shared" ref="I88:K94" si="66">AVERAGE(P88,U88,Z88,AE88,AJ88,AO88,AT88)</f>
        <v>20</v>
      </c>
      <c r="J88" s="185">
        <f t="shared" si="66"/>
        <v>3270.2400000000007</v>
      </c>
      <c r="K88" s="186">
        <f t="shared" si="66"/>
        <v>163.512</v>
      </c>
      <c r="L88" s="589"/>
      <c r="M88" s="185">
        <f>RANK(K88, K$87:$K$101)</f>
        <v>5</v>
      </c>
      <c r="N88" s="586"/>
      <c r="O88" s="586"/>
      <c r="P88" s="187">
        <v>20</v>
      </c>
      <c r="Q88" s="187">
        <v>3269.16</v>
      </c>
      <c r="R88" s="184">
        <f t="shared" ref="R88:R94" si="67">IFERROR(Q88/P88,"")</f>
        <v>163.458</v>
      </c>
      <c r="S88" s="181">
        <f t="shared" ref="S88:S94" si="68">RANK(R88, R$87:R$101)</f>
        <v>5</v>
      </c>
      <c r="T88" s="588"/>
      <c r="U88" s="187">
        <v>20</v>
      </c>
      <c r="V88" s="187">
        <v>3269.88</v>
      </c>
      <c r="W88" s="184">
        <f t="shared" si="65"/>
        <v>163.494</v>
      </c>
      <c r="X88" s="181">
        <f t="shared" ref="X88:X94" si="69">RANK(W88, W$87:W$101)</f>
        <v>5</v>
      </c>
      <c r="Y88" s="588"/>
      <c r="Z88" s="187">
        <v>20</v>
      </c>
      <c r="AA88" s="187">
        <v>3269.5200000000004</v>
      </c>
      <c r="AB88" s="184">
        <f t="shared" ref="AB88:AB94" si="70">IFERROR(AA88/Z88,"")</f>
        <v>163.47600000000003</v>
      </c>
      <c r="AC88" s="181">
        <f t="shared" ref="AC88:AC94" si="71">RANK(AB88, AB$87:AB$101)</f>
        <v>5</v>
      </c>
      <c r="AD88" s="588"/>
      <c r="AE88" s="187">
        <v>20</v>
      </c>
      <c r="AF88" s="187">
        <v>3270.9600000000005</v>
      </c>
      <c r="AG88" s="184">
        <f t="shared" ref="AG88:AG94" si="72">IFERROR(AF88/AE88,"")</f>
        <v>163.54800000000003</v>
      </c>
      <c r="AH88" s="181">
        <f t="shared" ref="AH88:AH94" si="73">RANK(AG88, AG$87:AG$101)</f>
        <v>5</v>
      </c>
      <c r="AI88" s="588"/>
      <c r="AJ88" s="187">
        <v>20</v>
      </c>
      <c r="AK88" s="187">
        <v>3270.9600000000005</v>
      </c>
      <c r="AL88" s="184">
        <f t="shared" ref="AL88:AL94" si="74">IFERROR(AK88/AJ88,"")</f>
        <v>163.54800000000003</v>
      </c>
      <c r="AM88" s="181">
        <f t="shared" ref="AM88:AM94" si="75">RANK(AL88, AL$87:AL$101)</f>
        <v>5</v>
      </c>
      <c r="AN88" s="588"/>
      <c r="AO88" s="187">
        <v>20</v>
      </c>
      <c r="AP88" s="187">
        <v>3269.88</v>
      </c>
      <c r="AQ88" s="184">
        <f t="shared" ref="AQ88:AQ94" si="76">IFERROR(AP88/AO88,"")</f>
        <v>163.494</v>
      </c>
      <c r="AR88" s="181">
        <f t="shared" ref="AR88:AR94" si="77">RANK(AQ88, AQ$87:AQ$101)</f>
        <v>5</v>
      </c>
      <c r="AS88" s="588"/>
      <c r="AT88" s="187">
        <v>20</v>
      </c>
      <c r="AU88" s="187">
        <v>3271.3199999999997</v>
      </c>
      <c r="AV88" s="184">
        <f t="shared" ref="AV88:AV94" si="78">IFERROR(AU88/AT88,"")</f>
        <v>163.56599999999997</v>
      </c>
      <c r="AW88" s="181">
        <f t="shared" ref="AW88:AW94" si="79">RANK(AV88, AV$87:AV$101)</f>
        <v>5</v>
      </c>
      <c r="AX88" s="588"/>
    </row>
    <row r="89" spans="2:50" ht="14.25" customHeight="1">
      <c r="B89" s="586"/>
      <c r="C89" s="179">
        <v>3</v>
      </c>
      <c r="D89" s="182" t="s">
        <v>535</v>
      </c>
      <c r="E89" s="179">
        <v>18</v>
      </c>
      <c r="F89" s="179">
        <v>3600</v>
      </c>
      <c r="G89" s="184">
        <f t="shared" si="64"/>
        <v>200</v>
      </c>
      <c r="H89" s="588"/>
      <c r="I89" s="185">
        <f t="shared" si="66"/>
        <v>18</v>
      </c>
      <c r="J89" s="185">
        <f t="shared" si="66"/>
        <v>3193.1890176192533</v>
      </c>
      <c r="K89" s="186">
        <f t="shared" si="66"/>
        <v>177.39938986773629</v>
      </c>
      <c r="L89" s="589"/>
      <c r="M89" s="185">
        <f>RANK(K89, K$87:$K$101)</f>
        <v>2</v>
      </c>
      <c r="N89" s="586"/>
      <c r="O89" s="586"/>
      <c r="P89" s="187">
        <v>18</v>
      </c>
      <c r="Q89" s="187">
        <v>3192.1087488469493</v>
      </c>
      <c r="R89" s="184">
        <f t="shared" si="67"/>
        <v>177.33937493594163</v>
      </c>
      <c r="S89" s="181">
        <f t="shared" si="68"/>
        <v>2</v>
      </c>
      <c r="T89" s="588"/>
      <c r="U89" s="187">
        <v>18</v>
      </c>
      <c r="V89" s="187">
        <v>3194.0290624146369</v>
      </c>
      <c r="W89" s="184">
        <f t="shared" si="65"/>
        <v>177.44605902303539</v>
      </c>
      <c r="X89" s="181">
        <f t="shared" si="69"/>
        <v>2</v>
      </c>
      <c r="Y89" s="588"/>
      <c r="Z89" s="187">
        <v>18</v>
      </c>
      <c r="AA89" s="187">
        <v>3193.6690624146368</v>
      </c>
      <c r="AB89" s="184">
        <f t="shared" si="70"/>
        <v>177.42605902303538</v>
      </c>
      <c r="AC89" s="181">
        <f t="shared" si="71"/>
        <v>2</v>
      </c>
      <c r="AD89" s="588"/>
      <c r="AE89" s="187">
        <v>18</v>
      </c>
      <c r="AF89" s="187">
        <v>3192.9490624146374</v>
      </c>
      <c r="AG89" s="184">
        <f t="shared" si="72"/>
        <v>177.38605902303541</v>
      </c>
      <c r="AH89" s="181">
        <f t="shared" si="73"/>
        <v>2</v>
      </c>
      <c r="AI89" s="588"/>
      <c r="AJ89" s="187">
        <v>18</v>
      </c>
      <c r="AK89" s="187">
        <v>3194.0290624146378</v>
      </c>
      <c r="AL89" s="184">
        <f t="shared" si="74"/>
        <v>177.44605902303545</v>
      </c>
      <c r="AM89" s="181">
        <f t="shared" si="75"/>
        <v>2</v>
      </c>
      <c r="AN89" s="588"/>
      <c r="AO89" s="187">
        <v>18</v>
      </c>
      <c r="AP89" s="187">
        <v>3193.6690624146381</v>
      </c>
      <c r="AQ89" s="184">
        <f t="shared" si="76"/>
        <v>177.42605902303546</v>
      </c>
      <c r="AR89" s="181">
        <f t="shared" si="77"/>
        <v>2</v>
      </c>
      <c r="AS89" s="588"/>
      <c r="AT89" s="187">
        <v>18</v>
      </c>
      <c r="AU89" s="187">
        <v>3191.8690624146379</v>
      </c>
      <c r="AV89" s="184">
        <f t="shared" si="78"/>
        <v>177.32605902303544</v>
      </c>
      <c r="AW89" s="181">
        <f t="shared" si="79"/>
        <v>2</v>
      </c>
      <c r="AX89" s="588"/>
    </row>
    <row r="90" spans="2:50" ht="14.25" customHeight="1">
      <c r="B90" s="586"/>
      <c r="C90" s="179">
        <v>4</v>
      </c>
      <c r="D90" s="182" t="s">
        <v>530</v>
      </c>
      <c r="E90" s="179">
        <v>23</v>
      </c>
      <c r="F90" s="179">
        <v>3600</v>
      </c>
      <c r="G90" s="184">
        <f t="shared" si="64"/>
        <v>156.52173913043478</v>
      </c>
      <c r="H90" s="588"/>
      <c r="I90" s="185">
        <f t="shared" si="66"/>
        <v>23</v>
      </c>
      <c r="J90" s="185">
        <f t="shared" si="66"/>
        <v>3263.4450916669825</v>
      </c>
      <c r="K90" s="186">
        <f t="shared" si="66"/>
        <v>141.88891702899926</v>
      </c>
      <c r="L90" s="589"/>
      <c r="M90" s="185">
        <f>RANK(K90, K$87:$K$101)</f>
        <v>8</v>
      </c>
      <c r="N90" s="586"/>
      <c r="O90" s="586"/>
      <c r="P90" s="187">
        <v>23</v>
      </c>
      <c r="Q90" s="187">
        <v>3263.6508059526968</v>
      </c>
      <c r="R90" s="184">
        <f t="shared" si="67"/>
        <v>141.89786112837811</v>
      </c>
      <c r="S90" s="181">
        <f t="shared" si="68"/>
        <v>8</v>
      </c>
      <c r="T90" s="588"/>
      <c r="U90" s="187">
        <v>23</v>
      </c>
      <c r="V90" s="187">
        <v>3264.3708059526966</v>
      </c>
      <c r="W90" s="184">
        <f t="shared" si="65"/>
        <v>141.92916547620419</v>
      </c>
      <c r="X90" s="181">
        <f t="shared" si="69"/>
        <v>8</v>
      </c>
      <c r="Y90" s="588"/>
      <c r="Z90" s="187">
        <v>23</v>
      </c>
      <c r="AA90" s="187">
        <v>3263.6508059526968</v>
      </c>
      <c r="AB90" s="184">
        <f t="shared" si="70"/>
        <v>141.89786112837811</v>
      </c>
      <c r="AC90" s="181">
        <f t="shared" si="71"/>
        <v>8</v>
      </c>
      <c r="AD90" s="588"/>
      <c r="AE90" s="187">
        <v>23</v>
      </c>
      <c r="AF90" s="187">
        <v>3263.2908059526967</v>
      </c>
      <c r="AG90" s="184">
        <f t="shared" si="72"/>
        <v>141.88220895446509</v>
      </c>
      <c r="AH90" s="181">
        <f t="shared" si="73"/>
        <v>8</v>
      </c>
      <c r="AI90" s="588"/>
      <c r="AJ90" s="187">
        <v>23</v>
      </c>
      <c r="AK90" s="187">
        <v>3263.2908059526972</v>
      </c>
      <c r="AL90" s="184">
        <f t="shared" si="74"/>
        <v>141.88220895446509</v>
      </c>
      <c r="AM90" s="181">
        <f t="shared" si="75"/>
        <v>8</v>
      </c>
      <c r="AN90" s="588"/>
      <c r="AO90" s="187">
        <v>23</v>
      </c>
      <c r="AP90" s="187">
        <v>3263.6508059526968</v>
      </c>
      <c r="AQ90" s="184">
        <f t="shared" si="76"/>
        <v>141.89786112837811</v>
      </c>
      <c r="AR90" s="181">
        <f t="shared" si="77"/>
        <v>8</v>
      </c>
      <c r="AS90" s="588"/>
      <c r="AT90" s="187">
        <v>23</v>
      </c>
      <c r="AU90" s="187">
        <v>3262.2108059526968</v>
      </c>
      <c r="AV90" s="184">
        <f t="shared" si="78"/>
        <v>141.83525243272595</v>
      </c>
      <c r="AW90" s="181">
        <f t="shared" si="79"/>
        <v>8</v>
      </c>
      <c r="AX90" s="588"/>
    </row>
    <row r="91" spans="2:50" ht="14.25" customHeight="1">
      <c r="B91" s="586"/>
      <c r="C91" s="179">
        <v>5</v>
      </c>
      <c r="D91" s="182" t="s">
        <v>494</v>
      </c>
      <c r="E91" s="179">
        <v>18</v>
      </c>
      <c r="F91" s="179">
        <v>3600</v>
      </c>
      <c r="G91" s="184">
        <f t="shared" si="64"/>
        <v>200</v>
      </c>
      <c r="H91" s="588"/>
      <c r="I91" s="185">
        <f t="shared" si="66"/>
        <v>18</v>
      </c>
      <c r="J91" s="185">
        <f t="shared" si="66"/>
        <v>3194.2829075900913</v>
      </c>
      <c r="K91" s="186">
        <f t="shared" si="66"/>
        <v>177.46016153278285</v>
      </c>
      <c r="L91" s="589"/>
      <c r="M91" s="185">
        <f>RANK(K91, K$87:$K$101)</f>
        <v>1</v>
      </c>
      <c r="N91" s="586"/>
      <c r="O91" s="586"/>
      <c r="P91" s="187">
        <v>18</v>
      </c>
      <c r="Q91" s="187">
        <v>3194.6429075900905</v>
      </c>
      <c r="R91" s="184">
        <f t="shared" si="67"/>
        <v>177.4801615327828</v>
      </c>
      <c r="S91" s="181">
        <f t="shared" si="68"/>
        <v>1</v>
      </c>
      <c r="T91" s="588"/>
      <c r="U91" s="187">
        <v>18</v>
      </c>
      <c r="V91" s="187">
        <v>3195.0029075900911</v>
      </c>
      <c r="W91" s="184">
        <f t="shared" si="65"/>
        <v>177.50016153278284</v>
      </c>
      <c r="X91" s="181">
        <f t="shared" si="69"/>
        <v>1</v>
      </c>
      <c r="Y91" s="588"/>
      <c r="Z91" s="187">
        <v>18</v>
      </c>
      <c r="AA91" s="187">
        <v>3194.2829075900909</v>
      </c>
      <c r="AB91" s="184">
        <f t="shared" si="70"/>
        <v>177.46016153278282</v>
      </c>
      <c r="AC91" s="181">
        <f t="shared" si="71"/>
        <v>1</v>
      </c>
      <c r="AD91" s="588"/>
      <c r="AE91" s="187">
        <v>18</v>
      </c>
      <c r="AF91" s="187">
        <v>3193.9229075900912</v>
      </c>
      <c r="AG91" s="184">
        <f t="shared" si="72"/>
        <v>177.44016153278284</v>
      </c>
      <c r="AH91" s="181">
        <f t="shared" si="73"/>
        <v>1</v>
      </c>
      <c r="AI91" s="588"/>
      <c r="AJ91" s="187">
        <v>18</v>
      </c>
      <c r="AK91" s="187">
        <v>3194.2829075900909</v>
      </c>
      <c r="AL91" s="184">
        <f t="shared" si="74"/>
        <v>177.46016153278282</v>
      </c>
      <c r="AM91" s="181">
        <f t="shared" si="75"/>
        <v>1</v>
      </c>
      <c r="AN91" s="588"/>
      <c r="AO91" s="187">
        <v>18</v>
      </c>
      <c r="AP91" s="187">
        <v>3193.9229075900907</v>
      </c>
      <c r="AQ91" s="184">
        <f t="shared" si="76"/>
        <v>177.44016153278281</v>
      </c>
      <c r="AR91" s="181">
        <f t="shared" si="77"/>
        <v>1</v>
      </c>
      <c r="AS91" s="588"/>
      <c r="AT91" s="187">
        <v>18</v>
      </c>
      <c r="AU91" s="187">
        <v>3193.9229075900907</v>
      </c>
      <c r="AV91" s="184">
        <f t="shared" si="78"/>
        <v>177.44016153278281</v>
      </c>
      <c r="AW91" s="181">
        <f t="shared" si="79"/>
        <v>1</v>
      </c>
      <c r="AX91" s="588"/>
    </row>
    <row r="92" spans="2:50" ht="14.25" customHeight="1">
      <c r="B92" s="586"/>
      <c r="C92" s="179">
        <v>6</v>
      </c>
      <c r="D92" s="182" t="s">
        <v>542</v>
      </c>
      <c r="E92" s="179">
        <v>23</v>
      </c>
      <c r="F92" s="179">
        <v>3600</v>
      </c>
      <c r="G92" s="184">
        <f t="shared" si="64"/>
        <v>156.52173913043478</v>
      </c>
      <c r="H92" s="588"/>
      <c r="I92" s="185">
        <f t="shared" si="66"/>
        <v>23</v>
      </c>
      <c r="J92" s="185">
        <f t="shared" si="66"/>
        <v>3270.082718336861</v>
      </c>
      <c r="K92" s="186">
        <f t="shared" si="66"/>
        <v>142.17750949290698</v>
      </c>
      <c r="L92" s="589"/>
      <c r="M92" s="185">
        <f>RANK(K92, K$87:$K$101)</f>
        <v>7</v>
      </c>
      <c r="N92" s="586"/>
      <c r="O92" s="586"/>
      <c r="P92" s="187">
        <v>23</v>
      </c>
      <c r="Q92" s="187">
        <v>3269.5170040511475</v>
      </c>
      <c r="R92" s="184">
        <f t="shared" si="67"/>
        <v>142.1529132196151</v>
      </c>
      <c r="S92" s="181">
        <f t="shared" si="68"/>
        <v>7</v>
      </c>
      <c r="T92" s="588"/>
      <c r="U92" s="187">
        <v>23</v>
      </c>
      <c r="V92" s="187">
        <v>3269.8770040511467</v>
      </c>
      <c r="W92" s="184">
        <f t="shared" si="65"/>
        <v>142.16856539352813</v>
      </c>
      <c r="X92" s="181">
        <f t="shared" si="69"/>
        <v>7</v>
      </c>
      <c r="Y92" s="588"/>
      <c r="Z92" s="187">
        <v>23</v>
      </c>
      <c r="AA92" s="187">
        <v>3268.4370040511467</v>
      </c>
      <c r="AB92" s="184">
        <f t="shared" si="70"/>
        <v>142.10595669787594</v>
      </c>
      <c r="AC92" s="181">
        <f t="shared" si="71"/>
        <v>7</v>
      </c>
      <c r="AD92" s="588"/>
      <c r="AE92" s="187">
        <v>23</v>
      </c>
      <c r="AF92" s="187">
        <v>3270.2370040511464</v>
      </c>
      <c r="AG92" s="184">
        <f t="shared" si="72"/>
        <v>142.18421756744115</v>
      </c>
      <c r="AH92" s="181">
        <f t="shared" si="73"/>
        <v>7</v>
      </c>
      <c r="AI92" s="588"/>
      <c r="AJ92" s="187">
        <v>23</v>
      </c>
      <c r="AK92" s="187">
        <v>3270.2370040511464</v>
      </c>
      <c r="AL92" s="184">
        <f t="shared" si="74"/>
        <v>142.18421756744115</v>
      </c>
      <c r="AM92" s="181">
        <f t="shared" si="75"/>
        <v>7</v>
      </c>
      <c r="AN92" s="588"/>
      <c r="AO92" s="187">
        <v>23</v>
      </c>
      <c r="AP92" s="187">
        <v>3271.6770040511465</v>
      </c>
      <c r="AQ92" s="184">
        <f t="shared" si="76"/>
        <v>142.24682626309331</v>
      </c>
      <c r="AR92" s="181">
        <f t="shared" si="77"/>
        <v>7</v>
      </c>
      <c r="AS92" s="588"/>
      <c r="AT92" s="187">
        <v>23</v>
      </c>
      <c r="AU92" s="187">
        <v>3270.5970040511461</v>
      </c>
      <c r="AV92" s="184">
        <f t="shared" si="78"/>
        <v>142.19986974135418</v>
      </c>
      <c r="AW92" s="181">
        <f t="shared" si="79"/>
        <v>7</v>
      </c>
      <c r="AX92" s="588"/>
    </row>
    <row r="93" spans="2:50" ht="14.25" customHeight="1">
      <c r="B93" s="586"/>
      <c r="C93" s="179">
        <v>7</v>
      </c>
      <c r="D93" s="182" t="s">
        <v>578</v>
      </c>
      <c r="E93" s="179">
        <v>19</v>
      </c>
      <c r="F93" s="179">
        <v>3600</v>
      </c>
      <c r="G93" s="184">
        <f t="shared" si="64"/>
        <v>189.47368421052633</v>
      </c>
      <c r="H93" s="588"/>
      <c r="I93" s="185">
        <f t="shared" si="66"/>
        <v>19</v>
      </c>
      <c r="J93" s="185">
        <f t="shared" si="66"/>
        <v>3265.3896203596464</v>
      </c>
      <c r="K93" s="186">
        <f t="shared" si="66"/>
        <v>171.86261159787614</v>
      </c>
      <c r="L93" s="589"/>
      <c r="M93" s="185">
        <f>RANK(K93, K$87:$K$101)</f>
        <v>4</v>
      </c>
      <c r="N93" s="586"/>
      <c r="O93" s="586"/>
      <c r="P93" s="187">
        <v>19</v>
      </c>
      <c r="Q93" s="187">
        <v>3266.4181917882188</v>
      </c>
      <c r="R93" s="184">
        <f t="shared" si="67"/>
        <v>171.91674693622204</v>
      </c>
      <c r="S93" s="181">
        <f t="shared" si="68"/>
        <v>4</v>
      </c>
      <c r="T93" s="588"/>
      <c r="U93" s="187">
        <v>19</v>
      </c>
      <c r="V93" s="187">
        <v>3266.7781917882185</v>
      </c>
      <c r="W93" s="184">
        <f t="shared" si="65"/>
        <v>171.93569430464308</v>
      </c>
      <c r="X93" s="181">
        <f t="shared" si="69"/>
        <v>4</v>
      </c>
      <c r="Y93" s="588"/>
      <c r="Z93" s="187">
        <v>19</v>
      </c>
      <c r="AA93" s="187">
        <v>3265.6981917882181</v>
      </c>
      <c r="AB93" s="184">
        <f t="shared" si="70"/>
        <v>171.87885219937991</v>
      </c>
      <c r="AC93" s="181">
        <f t="shared" si="71"/>
        <v>4</v>
      </c>
      <c r="AD93" s="588"/>
      <c r="AE93" s="187">
        <v>19</v>
      </c>
      <c r="AF93" s="187">
        <v>3265.338191788218</v>
      </c>
      <c r="AG93" s="184">
        <f t="shared" si="72"/>
        <v>171.85990483095884</v>
      </c>
      <c r="AH93" s="181">
        <f t="shared" si="73"/>
        <v>4</v>
      </c>
      <c r="AI93" s="588"/>
      <c r="AJ93" s="187">
        <v>19</v>
      </c>
      <c r="AK93" s="187">
        <v>3263.8981917882174</v>
      </c>
      <c r="AL93" s="184">
        <f t="shared" si="74"/>
        <v>171.7841153572746</v>
      </c>
      <c r="AM93" s="181">
        <f t="shared" si="75"/>
        <v>4</v>
      </c>
      <c r="AN93" s="588"/>
      <c r="AO93" s="187">
        <v>19</v>
      </c>
      <c r="AP93" s="187">
        <v>3264.6181917882172</v>
      </c>
      <c r="AQ93" s="184">
        <f t="shared" si="76"/>
        <v>171.82201009411671</v>
      </c>
      <c r="AR93" s="181">
        <f t="shared" si="77"/>
        <v>4</v>
      </c>
      <c r="AS93" s="588"/>
      <c r="AT93" s="187">
        <v>19</v>
      </c>
      <c r="AU93" s="187">
        <v>3264.9781917882178</v>
      </c>
      <c r="AV93" s="184">
        <f t="shared" si="78"/>
        <v>171.84095746253777</v>
      </c>
      <c r="AW93" s="181">
        <f t="shared" si="79"/>
        <v>4</v>
      </c>
      <c r="AX93" s="588"/>
    </row>
    <row r="94" spans="2:50" ht="14.25" customHeight="1">
      <c r="B94" s="586"/>
      <c r="C94" s="179">
        <v>8</v>
      </c>
      <c r="D94" s="182" t="s">
        <v>659</v>
      </c>
      <c r="E94" s="179">
        <v>21</v>
      </c>
      <c r="F94" s="179">
        <v>3600</v>
      </c>
      <c r="G94" s="184">
        <f t="shared" si="64"/>
        <v>171.42857142857142</v>
      </c>
      <c r="H94" s="588"/>
      <c r="I94" s="185">
        <f t="shared" si="66"/>
        <v>21</v>
      </c>
      <c r="J94" s="185">
        <f t="shared" si="66"/>
        <v>3193.4587010693799</v>
      </c>
      <c r="K94" s="186">
        <f t="shared" si="66"/>
        <v>152.06946195568474</v>
      </c>
      <c r="L94" s="589"/>
      <c r="M94" s="185">
        <f>RANK(K94, K$87:$K$101)</f>
        <v>6</v>
      </c>
      <c r="N94" s="586"/>
      <c r="O94" s="586"/>
      <c r="P94" s="187">
        <v>21</v>
      </c>
      <c r="Q94" s="187">
        <v>3191.8566439870083</v>
      </c>
      <c r="R94" s="184">
        <f t="shared" si="67"/>
        <v>151.99317352319088</v>
      </c>
      <c r="S94" s="181">
        <f t="shared" si="68"/>
        <v>6</v>
      </c>
      <c r="T94" s="588"/>
      <c r="U94" s="187">
        <v>21</v>
      </c>
      <c r="V94" s="187">
        <v>3193.3057105831081</v>
      </c>
      <c r="W94" s="184">
        <f t="shared" si="65"/>
        <v>152.06217669443373</v>
      </c>
      <c r="X94" s="181">
        <f t="shared" si="69"/>
        <v>6</v>
      </c>
      <c r="Y94" s="588"/>
      <c r="Z94" s="187">
        <v>21</v>
      </c>
      <c r="AA94" s="187">
        <v>3192.5857105831083</v>
      </c>
      <c r="AB94" s="184">
        <f t="shared" si="70"/>
        <v>152.02789098014802</v>
      </c>
      <c r="AC94" s="181">
        <f t="shared" si="71"/>
        <v>6</v>
      </c>
      <c r="AD94" s="588"/>
      <c r="AE94" s="187">
        <v>21</v>
      </c>
      <c r="AF94" s="187">
        <v>3192.5857105831083</v>
      </c>
      <c r="AG94" s="184">
        <f t="shared" si="72"/>
        <v>152.02789098014802</v>
      </c>
      <c r="AH94" s="181">
        <f t="shared" si="73"/>
        <v>6</v>
      </c>
      <c r="AI94" s="588"/>
      <c r="AJ94" s="187">
        <v>21</v>
      </c>
      <c r="AK94" s="187">
        <v>3194.385710583108</v>
      </c>
      <c r="AL94" s="184">
        <f t="shared" si="74"/>
        <v>152.11360526586228</v>
      </c>
      <c r="AM94" s="181">
        <f t="shared" si="75"/>
        <v>6</v>
      </c>
      <c r="AN94" s="588"/>
      <c r="AO94" s="187">
        <v>21</v>
      </c>
      <c r="AP94" s="187">
        <v>3195.1057105831087</v>
      </c>
      <c r="AQ94" s="184">
        <f t="shared" si="76"/>
        <v>152.14789098014802</v>
      </c>
      <c r="AR94" s="181">
        <f t="shared" si="77"/>
        <v>6</v>
      </c>
      <c r="AS94" s="588"/>
      <c r="AT94" s="187">
        <v>21</v>
      </c>
      <c r="AU94" s="187">
        <v>3194.3857105831084</v>
      </c>
      <c r="AV94" s="184">
        <f t="shared" si="78"/>
        <v>152.1136052658623</v>
      </c>
      <c r="AW94" s="181">
        <f t="shared" si="79"/>
        <v>6</v>
      </c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101"/>
  <sheetViews>
    <sheetView zoomScaleNormal="100" workbookViewId="0">
      <pane xSplit="13" ySplit="1" topLeftCell="AJ7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49" t="s">
        <v>641</v>
      </c>
      <c r="C1" s="174">
        <f>AVERAGE(L27,L47,L67,L87)</f>
        <v>102.5938619423931</v>
      </c>
    </row>
    <row r="2" spans="1:50" ht="14.25" customHeight="1">
      <c r="B2" s="612" t="s">
        <v>624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8">
        <v>46231</v>
      </c>
      <c r="Q2" s="609"/>
      <c r="R2" s="609"/>
      <c r="S2" s="609"/>
      <c r="T2" s="609"/>
      <c r="U2" s="610">
        <v>46232</v>
      </c>
      <c r="V2" s="611"/>
      <c r="W2" s="611"/>
      <c r="X2" s="611"/>
      <c r="Y2" s="611"/>
      <c r="Z2" s="608">
        <v>46233</v>
      </c>
      <c r="AA2" s="609"/>
      <c r="AB2" s="609"/>
      <c r="AC2" s="609"/>
      <c r="AD2" s="609"/>
      <c r="AE2" s="610">
        <v>46234</v>
      </c>
      <c r="AF2" s="611"/>
      <c r="AG2" s="611"/>
      <c r="AH2" s="611"/>
      <c r="AI2" s="611"/>
      <c r="AJ2" s="592">
        <v>46235</v>
      </c>
      <c r="AK2" s="593"/>
      <c r="AL2" s="593"/>
      <c r="AM2" s="593"/>
      <c r="AN2" s="594"/>
      <c r="AO2" s="610">
        <v>46236</v>
      </c>
      <c r="AP2" s="611"/>
      <c r="AQ2" s="611"/>
      <c r="AR2" s="611"/>
      <c r="AS2" s="611"/>
      <c r="AT2" s="592">
        <v>46237</v>
      </c>
      <c r="AU2" s="593"/>
      <c r="AV2" s="593"/>
      <c r="AW2" s="593"/>
      <c r="AX2" s="594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595">
        <v>46196</v>
      </c>
      <c r="Q3" s="595"/>
      <c r="R3" s="595"/>
      <c r="S3" s="595"/>
      <c r="T3" s="595"/>
      <c r="U3" s="596">
        <v>46197</v>
      </c>
      <c r="V3" s="596"/>
      <c r="W3" s="596"/>
      <c r="X3" s="596"/>
      <c r="Y3" s="596"/>
      <c r="Z3" s="595">
        <v>46198</v>
      </c>
      <c r="AA3" s="595"/>
      <c r="AB3" s="595"/>
      <c r="AC3" s="595"/>
      <c r="AD3" s="595"/>
      <c r="AE3" s="596">
        <v>46199</v>
      </c>
      <c r="AF3" s="596"/>
      <c r="AG3" s="596"/>
      <c r="AH3" s="596"/>
      <c r="AI3" s="596"/>
      <c r="AJ3" s="597">
        <v>46200</v>
      </c>
      <c r="AK3" s="598"/>
      <c r="AL3" s="598"/>
      <c r="AM3" s="598"/>
      <c r="AN3" s="599"/>
      <c r="AO3" s="596">
        <v>46201</v>
      </c>
      <c r="AP3" s="596"/>
      <c r="AQ3" s="596"/>
      <c r="AR3" s="596"/>
      <c r="AS3" s="596"/>
      <c r="AT3" s="597">
        <v>46202</v>
      </c>
      <c r="AU3" s="598"/>
      <c r="AV3" s="598"/>
      <c r="AW3" s="598"/>
      <c r="AX3" s="599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1" t="s">
        <v>342</v>
      </c>
      <c r="J4" s="591"/>
      <c r="K4" s="591"/>
      <c r="L4" s="591" t="s">
        <v>163</v>
      </c>
      <c r="M4" s="591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1" t="s">
        <v>343</v>
      </c>
      <c r="J5" s="591"/>
      <c r="K5" s="591"/>
      <c r="L5" s="591"/>
      <c r="M5" s="591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1"/>
      <c r="M6" s="591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143</v>
      </c>
      <c r="C7" s="179">
        <v>1</v>
      </c>
      <c r="D7" s="182" t="s">
        <v>549</v>
      </c>
      <c r="E7" s="183">
        <v>19</v>
      </c>
      <c r="F7" s="179">
        <v>2000</v>
      </c>
      <c r="G7" s="184">
        <f t="shared" ref="G7:G11" si="0">IFERROR(F7/E7,"")</f>
        <v>105.26315789473684</v>
      </c>
      <c r="H7" s="588">
        <f>AVERAGE(G7:G21)</f>
        <v>130.42326094957676</v>
      </c>
      <c r="I7" s="185">
        <f>AVERAGE(P7,U7,Z7,AE7,AJ7,AO7,AT7)</f>
        <v>19</v>
      </c>
      <c r="J7" s="185">
        <f>AVERAGE(Q7,V7,AA7,AF7,AK7,AP7,AU7)</f>
        <v>1801.9709154418076</v>
      </c>
      <c r="K7" s="186">
        <f>AVERAGE(R7,W7,AB7,AG7,AL7,AQ7,AV7)</f>
        <v>94.840574496937251</v>
      </c>
      <c r="L7" s="589">
        <f>IFERROR(AVERAGE(K7:K21),"-")</f>
        <v>117.75467132365129</v>
      </c>
      <c r="M7" s="185">
        <f>RANK(K7, K$7:$K$21)</f>
        <v>3</v>
      </c>
      <c r="N7" s="586"/>
      <c r="O7" s="586"/>
      <c r="P7" s="187">
        <v>19</v>
      </c>
      <c r="Q7" s="187">
        <v>1801.3709154418077</v>
      </c>
      <c r="R7" s="184">
        <f>IFERROR(Q7/P7,"")</f>
        <v>94.80899554956882</v>
      </c>
      <c r="S7" s="181">
        <f>RANK(R7, R$7:R$21)</f>
        <v>3</v>
      </c>
      <c r="T7" s="588">
        <f>AVERAGE(R7:R21)</f>
        <v>117.73039349621554</v>
      </c>
      <c r="U7" s="187">
        <v>19</v>
      </c>
      <c r="V7" s="187">
        <v>1801.5709154418075</v>
      </c>
      <c r="W7" s="184">
        <f t="shared" ref="W7:W11" si="1">IFERROR(V7/U7,"")</f>
        <v>94.819521865358297</v>
      </c>
      <c r="X7" s="181">
        <f>RANK(W7, W$7:W$21)</f>
        <v>3</v>
      </c>
      <c r="Y7" s="588">
        <f>AVERAGE(W7:W21)</f>
        <v>117.74533792021262</v>
      </c>
      <c r="Z7" s="187">
        <v>19</v>
      </c>
      <c r="AA7" s="187">
        <v>1801.3709154418079</v>
      </c>
      <c r="AB7" s="184">
        <f>IFERROR(AA7/Z7,"")</f>
        <v>94.808995549568834</v>
      </c>
      <c r="AC7" s="181">
        <f>RANK(AB7, AB$7:AB$21)</f>
        <v>3</v>
      </c>
      <c r="AD7" s="588">
        <f>AVERAGE(AB7:AB21)</f>
        <v>117.7322396500617</v>
      </c>
      <c r="AE7" s="187">
        <v>19</v>
      </c>
      <c r="AF7" s="187">
        <v>1801.3709154418077</v>
      </c>
      <c r="AG7" s="184">
        <f>IFERROR(AF7/AE7,"")</f>
        <v>94.80899554956882</v>
      </c>
      <c r="AH7" s="181">
        <f>RANK(AG7, AG$7:AG$21)</f>
        <v>3</v>
      </c>
      <c r="AI7" s="588">
        <f>AVERAGE(AG7:AG21)</f>
        <v>117.76868720250926</v>
      </c>
      <c r="AJ7" s="187">
        <v>19</v>
      </c>
      <c r="AK7" s="187">
        <v>1802.1709154418077</v>
      </c>
      <c r="AL7" s="184">
        <f>IFERROR(AK7/AJ7,"")</f>
        <v>94.851100812726713</v>
      </c>
      <c r="AM7" s="181">
        <f>RANK(AL7, AL$7:AL$21)</f>
        <v>3</v>
      </c>
      <c r="AN7" s="588">
        <f>AVERAGE(AL7:AL21)</f>
        <v>117.77154182157442</v>
      </c>
      <c r="AO7" s="187">
        <v>19</v>
      </c>
      <c r="AP7" s="187">
        <v>1802.7709154418078</v>
      </c>
      <c r="AQ7" s="184">
        <f>IFERROR(AP7/AO7,"")</f>
        <v>94.882679760095144</v>
      </c>
      <c r="AR7" s="181">
        <f>RANK(AQ7, AQ$7:AQ$21)</f>
        <v>3</v>
      </c>
      <c r="AS7" s="588">
        <f>AVERAGE(AQ7:AQ21)</f>
        <v>117.75791355510405</v>
      </c>
      <c r="AT7" s="187">
        <v>19</v>
      </c>
      <c r="AU7" s="187">
        <v>1803.1709154418081</v>
      </c>
      <c r="AV7" s="184">
        <f>IFERROR(AU7/AT7,"")</f>
        <v>94.903732391674112</v>
      </c>
      <c r="AW7" s="181">
        <f>RANK(AV7, AV$7:AV$21)</f>
        <v>3</v>
      </c>
      <c r="AX7" s="588">
        <f>AVERAGE(AV7:AV21)</f>
        <v>117.77658561988139</v>
      </c>
    </row>
    <row r="8" spans="1:50" ht="14.25" customHeight="1">
      <c r="B8" s="586"/>
      <c r="C8" s="179">
        <v>2</v>
      </c>
      <c r="D8" s="182" t="s">
        <v>332</v>
      </c>
      <c r="E8" s="179">
        <v>13</v>
      </c>
      <c r="F8" s="179">
        <v>1200</v>
      </c>
      <c r="G8" s="184">
        <f t="shared" si="0"/>
        <v>92.307692307692307</v>
      </c>
      <c r="H8" s="588"/>
      <c r="I8" s="185">
        <f t="shared" ref="I8:K11" si="2">AVERAGE(P8,U8,Z8,AE8,AJ8,AO8,AT8)</f>
        <v>13</v>
      </c>
      <c r="J8" s="185">
        <f t="shared" si="2"/>
        <v>1083.2587167482773</v>
      </c>
      <c r="K8" s="186">
        <f t="shared" si="2"/>
        <v>83.32759359602133</v>
      </c>
      <c r="L8" s="589"/>
      <c r="M8" s="185">
        <f>RANK(K8, K$7:$K$21)</f>
        <v>4</v>
      </c>
      <c r="N8" s="586"/>
      <c r="O8" s="586"/>
      <c r="P8" s="187">
        <v>13</v>
      </c>
      <c r="Q8" s="187">
        <v>1083.0872881768487</v>
      </c>
      <c r="R8" s="184">
        <f t="shared" ref="R8:R11" si="3">IFERROR(Q8/P8,"")</f>
        <v>83.31440678283451</v>
      </c>
      <c r="S8" s="181">
        <f t="shared" ref="S8:S11" si="4">RANK(R8, R$7:R$21)</f>
        <v>4</v>
      </c>
      <c r="T8" s="588"/>
      <c r="U8" s="187">
        <v>13</v>
      </c>
      <c r="V8" s="187">
        <v>1083.5672881768487</v>
      </c>
      <c r="W8" s="184">
        <f t="shared" si="1"/>
        <v>83.351329859757598</v>
      </c>
      <c r="X8" s="181">
        <f t="shared" ref="X8:X11" si="5">RANK(W8, W$7:W$21)</f>
        <v>4</v>
      </c>
      <c r="Y8" s="588"/>
      <c r="Z8" s="187">
        <v>13</v>
      </c>
      <c r="AA8" s="187">
        <v>1083.2072881768488</v>
      </c>
      <c r="AB8" s="184">
        <f t="shared" ref="AB8:AB11" si="6">IFERROR(AA8/Z8,"")</f>
        <v>83.323637552065293</v>
      </c>
      <c r="AC8" s="181">
        <f t="shared" ref="AC8:AC11" si="7">RANK(AB8, AB$7:AB$21)</f>
        <v>4</v>
      </c>
      <c r="AD8" s="588"/>
      <c r="AE8" s="187">
        <v>13</v>
      </c>
      <c r="AF8" s="187">
        <v>1083.5672881768487</v>
      </c>
      <c r="AG8" s="184">
        <f t="shared" ref="AG8:AG11" si="8">IFERROR(AF8/AE8,"")</f>
        <v>83.351329859757598</v>
      </c>
      <c r="AH8" s="181">
        <f t="shared" ref="AH8:AH11" si="9">RANK(AG8, AG$7:AG$21)</f>
        <v>4</v>
      </c>
      <c r="AI8" s="588"/>
      <c r="AJ8" s="187">
        <v>13</v>
      </c>
      <c r="AK8" s="187">
        <v>1083.0872881768487</v>
      </c>
      <c r="AL8" s="184">
        <f t="shared" ref="AL8:AL11" si="10">IFERROR(AK8/AJ8,"")</f>
        <v>83.31440678283451</v>
      </c>
      <c r="AM8" s="181">
        <f t="shared" ref="AM8:AM11" si="11">RANK(AL8, AL$7:AL$21)</f>
        <v>4</v>
      </c>
      <c r="AN8" s="588"/>
      <c r="AO8" s="187">
        <v>13</v>
      </c>
      <c r="AP8" s="187">
        <v>1083.3272881768489</v>
      </c>
      <c r="AQ8" s="184">
        <f t="shared" ref="AQ8:AQ11" si="12">IFERROR(AP8/AO8,"")</f>
        <v>83.332868321296075</v>
      </c>
      <c r="AR8" s="181">
        <f t="shared" ref="AR8:AR11" si="13">RANK(AQ8, AQ$7:AQ$21)</f>
        <v>4</v>
      </c>
      <c r="AS8" s="588"/>
      <c r="AT8" s="187">
        <v>13</v>
      </c>
      <c r="AU8" s="187">
        <v>1082.967288176849</v>
      </c>
      <c r="AV8" s="184">
        <f t="shared" ref="AV8:AV11" si="14">IFERROR(AU8/AT8,"")</f>
        <v>83.30517601360377</v>
      </c>
      <c r="AW8" s="181">
        <f t="shared" ref="AW8:AW11" si="15">RANK(AV8, AV$7:AV$21)</f>
        <v>4</v>
      </c>
      <c r="AX8" s="588"/>
    </row>
    <row r="9" spans="1:50" ht="14.25" customHeight="1">
      <c r="B9" s="586"/>
      <c r="C9" s="179">
        <v>3</v>
      </c>
      <c r="D9" s="182" t="s">
        <v>536</v>
      </c>
      <c r="E9" s="179">
        <v>11</v>
      </c>
      <c r="F9" s="179">
        <v>2000</v>
      </c>
      <c r="G9" s="184">
        <f t="shared" si="0"/>
        <v>181.81818181818181</v>
      </c>
      <c r="H9" s="588"/>
      <c r="I9" s="185">
        <f t="shared" si="2"/>
        <v>11</v>
      </c>
      <c r="J9" s="185">
        <f t="shared" si="2"/>
        <v>1807.6010354301091</v>
      </c>
      <c r="K9" s="186">
        <f t="shared" si="2"/>
        <v>164.32736685728267</v>
      </c>
      <c r="L9" s="589"/>
      <c r="M9" s="185">
        <f>RANK(K9, K$7:$K$21)</f>
        <v>2</v>
      </c>
      <c r="N9" s="586"/>
      <c r="O9" s="586"/>
      <c r="P9" s="187">
        <v>11</v>
      </c>
      <c r="Q9" s="187">
        <v>1807.7724640015379</v>
      </c>
      <c r="R9" s="184">
        <f t="shared" si="3"/>
        <v>164.34295127286708</v>
      </c>
      <c r="S9" s="181">
        <f t="shared" si="4"/>
        <v>2</v>
      </c>
      <c r="T9" s="588"/>
      <c r="U9" s="187">
        <v>11</v>
      </c>
      <c r="V9" s="187">
        <v>1807.5724640015378</v>
      </c>
      <c r="W9" s="184">
        <f t="shared" si="1"/>
        <v>164.32476945468525</v>
      </c>
      <c r="X9" s="181">
        <f t="shared" si="5"/>
        <v>2</v>
      </c>
      <c r="Y9" s="588"/>
      <c r="Z9" s="187">
        <v>11</v>
      </c>
      <c r="AA9" s="187">
        <v>1807.3724640015378</v>
      </c>
      <c r="AB9" s="184">
        <f t="shared" si="6"/>
        <v>164.30658763650342</v>
      </c>
      <c r="AC9" s="181">
        <f t="shared" si="7"/>
        <v>2</v>
      </c>
      <c r="AD9" s="588"/>
      <c r="AE9" s="187">
        <v>11</v>
      </c>
      <c r="AF9" s="187">
        <v>1807.9724640015377</v>
      </c>
      <c r="AG9" s="184">
        <f t="shared" si="8"/>
        <v>164.36113309104888</v>
      </c>
      <c r="AH9" s="181">
        <f t="shared" si="9"/>
        <v>2</v>
      </c>
      <c r="AI9" s="588"/>
      <c r="AJ9" s="187">
        <v>11</v>
      </c>
      <c r="AK9" s="187">
        <v>1807.5724640015378</v>
      </c>
      <c r="AL9" s="184">
        <f t="shared" si="10"/>
        <v>164.32476945468525</v>
      </c>
      <c r="AM9" s="181">
        <f t="shared" si="11"/>
        <v>2</v>
      </c>
      <c r="AN9" s="588"/>
      <c r="AO9" s="187">
        <v>11</v>
      </c>
      <c r="AP9" s="187">
        <v>1806.9724640015379</v>
      </c>
      <c r="AQ9" s="184">
        <f t="shared" si="12"/>
        <v>164.27022400013982</v>
      </c>
      <c r="AR9" s="181">
        <f t="shared" si="13"/>
        <v>2</v>
      </c>
      <c r="AS9" s="588"/>
      <c r="AT9" s="187">
        <v>11</v>
      </c>
      <c r="AU9" s="187">
        <v>1807.9724640015379</v>
      </c>
      <c r="AV9" s="184">
        <f t="shared" si="14"/>
        <v>164.36113309104891</v>
      </c>
      <c r="AW9" s="181">
        <f t="shared" si="15"/>
        <v>2</v>
      </c>
      <c r="AX9" s="588"/>
    </row>
    <row r="10" spans="1:50" ht="14.25" customHeight="1">
      <c r="B10" s="586"/>
      <c r="C10" s="179">
        <v>4</v>
      </c>
      <c r="D10" s="182" t="s">
        <v>537</v>
      </c>
      <c r="E10" s="179">
        <v>22</v>
      </c>
      <c r="F10" s="179">
        <v>2000</v>
      </c>
      <c r="G10" s="184">
        <f t="shared" si="0"/>
        <v>90.909090909090907</v>
      </c>
      <c r="H10" s="588"/>
      <c r="I10" s="185">
        <f t="shared" si="2"/>
        <v>22</v>
      </c>
      <c r="J10" s="185">
        <f t="shared" si="2"/>
        <v>1800.827514282724</v>
      </c>
      <c r="K10" s="186">
        <f t="shared" si="2"/>
        <v>81.855796103760184</v>
      </c>
      <c r="L10" s="589"/>
      <c r="M10" s="185">
        <f>RANK(K10, K$7:$K$21)</f>
        <v>5</v>
      </c>
      <c r="N10" s="586"/>
      <c r="O10" s="586"/>
      <c r="P10" s="187">
        <v>22</v>
      </c>
      <c r="Q10" s="187">
        <v>1800.2275142827236</v>
      </c>
      <c r="R10" s="184">
        <f t="shared" si="3"/>
        <v>81.828523376487439</v>
      </c>
      <c r="S10" s="181">
        <f t="shared" si="4"/>
        <v>5</v>
      </c>
      <c r="T10" s="588"/>
      <c r="U10" s="187">
        <v>22</v>
      </c>
      <c r="V10" s="187">
        <v>1800.0275142827238</v>
      </c>
      <c r="W10" s="184">
        <f t="shared" si="1"/>
        <v>81.819432467396538</v>
      </c>
      <c r="X10" s="181">
        <f t="shared" si="5"/>
        <v>5</v>
      </c>
      <c r="Y10" s="588"/>
      <c r="Z10" s="187">
        <v>22</v>
      </c>
      <c r="AA10" s="187">
        <v>1799.8275142827238</v>
      </c>
      <c r="AB10" s="184">
        <f t="shared" si="6"/>
        <v>81.810341558305623</v>
      </c>
      <c r="AC10" s="181">
        <f t="shared" si="7"/>
        <v>5</v>
      </c>
      <c r="AD10" s="588"/>
      <c r="AE10" s="187">
        <v>22</v>
      </c>
      <c r="AF10" s="187">
        <v>1800.8275142827238</v>
      </c>
      <c r="AG10" s="184">
        <f t="shared" si="8"/>
        <v>81.85579610376017</v>
      </c>
      <c r="AH10" s="181">
        <f t="shared" si="9"/>
        <v>5</v>
      </c>
      <c r="AI10" s="588"/>
      <c r="AJ10" s="187">
        <v>22</v>
      </c>
      <c r="AK10" s="187">
        <v>1801.4275142827237</v>
      </c>
      <c r="AL10" s="184">
        <f t="shared" si="10"/>
        <v>81.883068831032901</v>
      </c>
      <c r="AM10" s="181">
        <f t="shared" si="11"/>
        <v>5</v>
      </c>
      <c r="AN10" s="588"/>
      <c r="AO10" s="187">
        <v>22</v>
      </c>
      <c r="AP10" s="187">
        <v>1801.2275142827239</v>
      </c>
      <c r="AQ10" s="184">
        <f t="shared" si="12"/>
        <v>81.873977921942</v>
      </c>
      <c r="AR10" s="181">
        <f t="shared" si="13"/>
        <v>5</v>
      </c>
      <c r="AS10" s="588"/>
      <c r="AT10" s="187">
        <v>22</v>
      </c>
      <c r="AU10" s="187">
        <v>1802.2275142827241</v>
      </c>
      <c r="AV10" s="184">
        <f t="shared" si="14"/>
        <v>81.919432467396547</v>
      </c>
      <c r="AW10" s="181">
        <f t="shared" si="15"/>
        <v>5</v>
      </c>
      <c r="AX10" s="588"/>
    </row>
    <row r="11" spans="1:50" ht="14.25" customHeight="1">
      <c r="B11" s="586"/>
      <c r="C11" s="179">
        <v>5</v>
      </c>
      <c r="D11" s="182" t="s">
        <v>538</v>
      </c>
      <c r="E11" s="179">
        <v>11</v>
      </c>
      <c r="F11" s="179">
        <v>2000</v>
      </c>
      <c r="G11" s="184">
        <f t="shared" si="0"/>
        <v>181.81818181818181</v>
      </c>
      <c r="H11" s="588"/>
      <c r="I11" s="185">
        <f t="shared" si="2"/>
        <v>11</v>
      </c>
      <c r="J11" s="185">
        <f t="shared" si="2"/>
        <v>1808.6422812068051</v>
      </c>
      <c r="K11" s="186">
        <f t="shared" si="2"/>
        <v>164.42202556425499</v>
      </c>
      <c r="L11" s="589"/>
      <c r="M11" s="185">
        <f>RANK(K11, K$7:$K$21)</f>
        <v>1</v>
      </c>
      <c r="N11" s="586"/>
      <c r="O11" s="586"/>
      <c r="P11" s="187">
        <v>11</v>
      </c>
      <c r="Q11" s="187">
        <v>1807.9279954925189</v>
      </c>
      <c r="R11" s="184">
        <f t="shared" si="3"/>
        <v>164.3570904993199</v>
      </c>
      <c r="S11" s="181">
        <f t="shared" si="4"/>
        <v>1</v>
      </c>
      <c r="T11" s="588"/>
      <c r="U11" s="187">
        <v>11</v>
      </c>
      <c r="V11" s="187">
        <v>1808.5279954925188</v>
      </c>
      <c r="W11" s="184">
        <f t="shared" si="1"/>
        <v>164.41163595386536</v>
      </c>
      <c r="X11" s="181">
        <f t="shared" si="5"/>
        <v>1</v>
      </c>
      <c r="Y11" s="588"/>
      <c r="Z11" s="187">
        <v>11</v>
      </c>
      <c r="AA11" s="187">
        <v>1808.5279954925188</v>
      </c>
      <c r="AB11" s="184">
        <f t="shared" si="6"/>
        <v>164.41163595386536</v>
      </c>
      <c r="AC11" s="181">
        <f t="shared" si="7"/>
        <v>1</v>
      </c>
      <c r="AD11" s="588"/>
      <c r="AE11" s="187">
        <v>11</v>
      </c>
      <c r="AF11" s="187">
        <v>1809.1279954925192</v>
      </c>
      <c r="AG11" s="184">
        <f t="shared" si="8"/>
        <v>164.46618140841085</v>
      </c>
      <c r="AH11" s="181">
        <f t="shared" si="9"/>
        <v>1</v>
      </c>
      <c r="AI11" s="588"/>
      <c r="AJ11" s="187">
        <v>11</v>
      </c>
      <c r="AK11" s="187">
        <v>1809.3279954925194</v>
      </c>
      <c r="AL11" s="184">
        <f t="shared" si="10"/>
        <v>164.48436322659268</v>
      </c>
      <c r="AM11" s="181">
        <f t="shared" si="11"/>
        <v>1</v>
      </c>
      <c r="AN11" s="588"/>
      <c r="AO11" s="187">
        <v>11</v>
      </c>
      <c r="AP11" s="187">
        <v>1808.7279954925195</v>
      </c>
      <c r="AQ11" s="184">
        <f t="shared" si="12"/>
        <v>164.42981777204724</v>
      </c>
      <c r="AR11" s="181">
        <f t="shared" si="13"/>
        <v>1</v>
      </c>
      <c r="AS11" s="588"/>
      <c r="AT11" s="187">
        <v>11</v>
      </c>
      <c r="AU11" s="187">
        <v>1808.3279954925199</v>
      </c>
      <c r="AV11" s="184">
        <f t="shared" si="14"/>
        <v>164.39345413568364</v>
      </c>
      <c r="AW11" s="181">
        <f t="shared" si="15"/>
        <v>1</v>
      </c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658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8">
        <v>46238</v>
      </c>
      <c r="Q22" s="609"/>
      <c r="R22" s="609"/>
      <c r="S22" s="609"/>
      <c r="T22" s="609"/>
      <c r="U22" s="610">
        <v>46239</v>
      </c>
      <c r="V22" s="611"/>
      <c r="W22" s="611"/>
      <c r="X22" s="611"/>
      <c r="Y22" s="611"/>
      <c r="Z22" s="608">
        <v>46240</v>
      </c>
      <c r="AA22" s="609"/>
      <c r="AB22" s="609"/>
      <c r="AC22" s="609"/>
      <c r="AD22" s="609"/>
      <c r="AE22" s="610">
        <v>46241</v>
      </c>
      <c r="AF22" s="611"/>
      <c r="AG22" s="611"/>
      <c r="AH22" s="611"/>
      <c r="AI22" s="611"/>
      <c r="AJ22" s="592">
        <v>46242</v>
      </c>
      <c r="AK22" s="593"/>
      <c r="AL22" s="593"/>
      <c r="AM22" s="593"/>
      <c r="AN22" s="594"/>
      <c r="AO22" s="610">
        <v>46243</v>
      </c>
      <c r="AP22" s="611"/>
      <c r="AQ22" s="611"/>
      <c r="AR22" s="611"/>
      <c r="AS22" s="611"/>
      <c r="AT22" s="592">
        <v>46244</v>
      </c>
      <c r="AU22" s="593"/>
      <c r="AV22" s="593"/>
      <c r="AW22" s="593"/>
      <c r="AX22" s="594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595">
        <v>46196</v>
      </c>
      <c r="Q23" s="595"/>
      <c r="R23" s="595"/>
      <c r="S23" s="595"/>
      <c r="T23" s="595"/>
      <c r="U23" s="596">
        <v>46197</v>
      </c>
      <c r="V23" s="596"/>
      <c r="W23" s="596"/>
      <c r="X23" s="596"/>
      <c r="Y23" s="596"/>
      <c r="Z23" s="595">
        <v>46198</v>
      </c>
      <c r="AA23" s="595"/>
      <c r="AB23" s="595"/>
      <c r="AC23" s="595"/>
      <c r="AD23" s="595"/>
      <c r="AE23" s="596">
        <v>46199</v>
      </c>
      <c r="AF23" s="596"/>
      <c r="AG23" s="596"/>
      <c r="AH23" s="596"/>
      <c r="AI23" s="596"/>
      <c r="AJ23" s="597">
        <v>46200</v>
      </c>
      <c r="AK23" s="598"/>
      <c r="AL23" s="598"/>
      <c r="AM23" s="598"/>
      <c r="AN23" s="599"/>
      <c r="AO23" s="596">
        <v>46201</v>
      </c>
      <c r="AP23" s="596"/>
      <c r="AQ23" s="596"/>
      <c r="AR23" s="596"/>
      <c r="AS23" s="596"/>
      <c r="AT23" s="597">
        <v>46202</v>
      </c>
      <c r="AU23" s="598"/>
      <c r="AV23" s="598"/>
      <c r="AW23" s="598"/>
      <c r="AX23" s="599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1" t="s">
        <v>342</v>
      </c>
      <c r="J24" s="591"/>
      <c r="K24" s="591"/>
      <c r="L24" s="591" t="s">
        <v>163</v>
      </c>
      <c r="M24" s="591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1" t="s">
        <v>343</v>
      </c>
      <c r="J25" s="591"/>
      <c r="K25" s="591"/>
      <c r="L25" s="591"/>
      <c r="M25" s="591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1"/>
      <c r="M26" s="591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143</v>
      </c>
      <c r="C27" s="179">
        <v>1</v>
      </c>
      <c r="D27" s="182" t="s">
        <v>549</v>
      </c>
      <c r="E27" s="183">
        <v>19</v>
      </c>
      <c r="F27" s="179">
        <v>2000</v>
      </c>
      <c r="G27" s="184">
        <f t="shared" ref="G27:G31" si="16">IFERROR(F27/E27,"")</f>
        <v>105.26315789473684</v>
      </c>
      <c r="H27" s="588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1804.3994868703796</v>
      </c>
      <c r="K27" s="186">
        <f>AVERAGE(R27,W27,AB27,AG27,AL27,AQ27,AV27)</f>
        <v>94.968394045809461</v>
      </c>
      <c r="L27" s="589">
        <f>IFERROR(AVERAGE(K27:K41),"-")</f>
        <v>117.80385480032255</v>
      </c>
      <c r="M27" s="185">
        <f>RANK(K27, K$27:$K$41)</f>
        <v>3</v>
      </c>
      <c r="N27" s="586"/>
      <c r="O27" s="586"/>
      <c r="P27" s="187">
        <v>19</v>
      </c>
      <c r="Q27" s="187">
        <v>1803.5709154418082</v>
      </c>
      <c r="R27" s="184">
        <f>IFERROR(Q27/P27,"")</f>
        <v>94.924785023253065</v>
      </c>
      <c r="S27" s="181">
        <f>RANK(R27, R$27:R$41)</f>
        <v>3</v>
      </c>
      <c r="T27" s="588">
        <f>AVERAGE(R27:R41)</f>
        <v>117.78437656577762</v>
      </c>
      <c r="U27" s="187">
        <v>19</v>
      </c>
      <c r="V27" s="187">
        <v>1803.7709154418083</v>
      </c>
      <c r="W27" s="184">
        <f t="shared" ref="W27:W31" si="17">IFERROR(V27/U27,"")</f>
        <v>94.935311339042542</v>
      </c>
      <c r="X27" s="181">
        <f>RANK(W27, W$27:W$41)</f>
        <v>3</v>
      </c>
      <c r="Y27" s="588">
        <f>AVERAGE(W27:W41)</f>
        <v>117.79785144240165</v>
      </c>
      <c r="Z27" s="187">
        <v>19</v>
      </c>
      <c r="AA27" s="187">
        <v>1804.3709154418084</v>
      </c>
      <c r="AB27" s="184">
        <f>IFERROR(AA27/Z27,"")</f>
        <v>94.966890286410973</v>
      </c>
      <c r="AC27" s="181">
        <f>RANK(AB27, AB$27:AB$41)</f>
        <v>3</v>
      </c>
      <c r="AD27" s="588">
        <f>AVERAGE(AB27:AB41)</f>
        <v>117.81692247663059</v>
      </c>
      <c r="AE27" s="187">
        <v>19</v>
      </c>
      <c r="AF27" s="187">
        <v>1804.3709154418084</v>
      </c>
      <c r="AG27" s="184">
        <f>IFERROR(AF27/AE27,"")</f>
        <v>94.966890286410973</v>
      </c>
      <c r="AH27" s="181">
        <f>RANK(AG27, AG$27:AG$41)</f>
        <v>3</v>
      </c>
      <c r="AI27" s="588">
        <f>AVERAGE(AG27:AG41)</f>
        <v>117.81337002907813</v>
      </c>
      <c r="AJ27" s="187">
        <v>19</v>
      </c>
      <c r="AK27" s="187">
        <v>1804.7709154418083</v>
      </c>
      <c r="AL27" s="184">
        <f>IFERROR(AK27/AJ27,"")</f>
        <v>94.987942917989912</v>
      </c>
      <c r="AM27" s="181">
        <f>RANK(AL27, AL$27:AL$41)</f>
        <v>3</v>
      </c>
      <c r="AN27" s="588">
        <f>AVERAGE(AL27:AL41)</f>
        <v>117.80655957637296</v>
      </c>
      <c r="AO27" s="187">
        <v>19</v>
      </c>
      <c r="AP27" s="187">
        <v>1804.7709154418083</v>
      </c>
      <c r="AQ27" s="184">
        <f>IFERROR(AP27/AO27,"")</f>
        <v>94.987942917989912</v>
      </c>
      <c r="AR27" s="181">
        <f>RANK(AQ27, AQ$27:AQ$41)</f>
        <v>2</v>
      </c>
      <c r="AS27" s="588">
        <f>AVERAGE(AQ27:AQ41)</f>
        <v>106.14922865639574</v>
      </c>
      <c r="AT27" s="187">
        <v>19</v>
      </c>
      <c r="AU27" s="187">
        <v>1805.1709154418086</v>
      </c>
      <c r="AV27" s="184">
        <f>IFERROR(AU27/AT27,"")</f>
        <v>95.008995549568866</v>
      </c>
      <c r="AW27" s="181">
        <f>RANK(AV27, AV$27:AV$41)</f>
        <v>2</v>
      </c>
      <c r="AX27" s="588">
        <f>AVERAGE(AV27:AV41)</f>
        <v>106.18637992617857</v>
      </c>
    </row>
    <row r="28" spans="2:50" ht="14.25" customHeight="1">
      <c r="B28" s="586"/>
      <c r="C28" s="179">
        <v>2</v>
      </c>
      <c r="D28" s="182" t="s">
        <v>332</v>
      </c>
      <c r="E28" s="179">
        <v>13</v>
      </c>
      <c r="F28" s="179">
        <v>1200</v>
      </c>
      <c r="G28" s="184">
        <f t="shared" si="16"/>
        <v>92.307692307692307</v>
      </c>
      <c r="H28" s="588"/>
      <c r="I28" s="185">
        <f t="shared" ref="I28:K31" si="18">AVERAGE(P28,U28,Z28,AE28,AJ28,AO28,AT28)</f>
        <v>13</v>
      </c>
      <c r="J28" s="185">
        <f t="shared" si="18"/>
        <v>1082.8472881768489</v>
      </c>
      <c r="K28" s="186">
        <f t="shared" si="18"/>
        <v>83.295945244373002</v>
      </c>
      <c r="L28" s="589"/>
      <c r="M28" s="185">
        <f>RANK(K28, K$27:$K$41)</f>
        <v>4</v>
      </c>
      <c r="N28" s="586"/>
      <c r="O28" s="586"/>
      <c r="P28" s="187">
        <v>13</v>
      </c>
      <c r="Q28" s="187">
        <v>1082.727288176849</v>
      </c>
      <c r="R28" s="184">
        <f t="shared" ref="R28:R31" si="19">IFERROR(Q28/P28,"")</f>
        <v>83.286714475142233</v>
      </c>
      <c r="S28" s="181">
        <f t="shared" ref="S28:S31" si="20">RANK(R28, R$27:R$41)</f>
        <v>4</v>
      </c>
      <c r="T28" s="588"/>
      <c r="U28" s="187">
        <v>13</v>
      </c>
      <c r="V28" s="187">
        <v>1082.6072881768491</v>
      </c>
      <c r="W28" s="184">
        <f t="shared" si="17"/>
        <v>83.277483705911465</v>
      </c>
      <c r="X28" s="181">
        <f t="shared" ref="X28:X31" si="21">RANK(W28, W$27:W$41)</f>
        <v>4</v>
      </c>
      <c r="Y28" s="588"/>
      <c r="Z28" s="187">
        <v>13</v>
      </c>
      <c r="AA28" s="187">
        <v>1082.727288176849</v>
      </c>
      <c r="AB28" s="184">
        <f t="shared" ref="AB28:AB31" si="22">IFERROR(AA28/Z28,"")</f>
        <v>83.286714475142233</v>
      </c>
      <c r="AC28" s="181">
        <f t="shared" ref="AC28:AC31" si="23">RANK(AB28, AB$27:AB$41)</f>
        <v>4</v>
      </c>
      <c r="AD28" s="588"/>
      <c r="AE28" s="187">
        <v>13</v>
      </c>
      <c r="AF28" s="187">
        <v>1083.0872881768491</v>
      </c>
      <c r="AG28" s="184">
        <f t="shared" ref="AG28:AG31" si="24">IFERROR(AF28/AE28,"")</f>
        <v>83.314406782834553</v>
      </c>
      <c r="AH28" s="181">
        <f t="shared" ref="AH28:AH31" si="25">RANK(AG28, AG$27:AG$41)</f>
        <v>4</v>
      </c>
      <c r="AI28" s="588"/>
      <c r="AJ28" s="187">
        <v>13</v>
      </c>
      <c r="AK28" s="187">
        <v>1082.6072881768489</v>
      </c>
      <c r="AL28" s="184">
        <f t="shared" ref="AL28:AL31" si="26">IFERROR(AK28/AJ28,"")</f>
        <v>83.27748370591145</v>
      </c>
      <c r="AM28" s="181">
        <f t="shared" ref="AM28:AM31" si="27">RANK(AL28, AL$27:AL$41)</f>
        <v>4</v>
      </c>
      <c r="AN28" s="588"/>
      <c r="AO28" s="187">
        <v>13</v>
      </c>
      <c r="AP28" s="187">
        <v>1082.9672881768488</v>
      </c>
      <c r="AQ28" s="184">
        <f t="shared" ref="AQ28:AQ31" si="28">IFERROR(AP28/AO28,"")</f>
        <v>83.305176013603756</v>
      </c>
      <c r="AR28" s="181">
        <f t="shared" ref="AR28:AR31" si="29">RANK(AQ28, AQ$27:AQ$41)</f>
        <v>3</v>
      </c>
      <c r="AS28" s="588"/>
      <c r="AT28" s="187">
        <v>13</v>
      </c>
      <c r="AU28" s="187">
        <v>1083.2072881768488</v>
      </c>
      <c r="AV28" s="184">
        <f t="shared" ref="AV28:AV31" si="30">IFERROR(AU28/AT28,"")</f>
        <v>83.323637552065293</v>
      </c>
      <c r="AW28" s="181">
        <f t="shared" ref="AW28:AW31" si="31">RANK(AV28, AV$27:AV$41)</f>
        <v>3</v>
      </c>
      <c r="AX28" s="588"/>
    </row>
    <row r="29" spans="2:50" ht="14.25" customHeight="1">
      <c r="B29" s="586"/>
      <c r="C29" s="179">
        <v>3</v>
      </c>
      <c r="D29" s="182" t="s">
        <v>536</v>
      </c>
      <c r="E29" s="179">
        <v>11</v>
      </c>
      <c r="F29" s="179">
        <v>2000</v>
      </c>
      <c r="G29" s="184">
        <f t="shared" si="16"/>
        <v>181.81818181818181</v>
      </c>
      <c r="H29" s="588"/>
      <c r="I29" s="185">
        <f t="shared" si="18"/>
        <v>11</v>
      </c>
      <c r="J29" s="185">
        <f t="shared" si="18"/>
        <v>1807.8339577632796</v>
      </c>
      <c r="K29" s="186">
        <f t="shared" si="18"/>
        <v>164.34854161484358</v>
      </c>
      <c r="L29" s="589"/>
      <c r="M29" s="185">
        <f>RANK(K29, K$27:$K$41)</f>
        <v>2</v>
      </c>
      <c r="N29" s="586"/>
      <c r="O29" s="586"/>
      <c r="P29" s="187">
        <v>11</v>
      </c>
      <c r="Q29" s="187">
        <v>1807.372464001538</v>
      </c>
      <c r="R29" s="184">
        <f t="shared" si="19"/>
        <v>164.30658763650345</v>
      </c>
      <c r="S29" s="181">
        <f t="shared" si="20"/>
        <v>2</v>
      </c>
      <c r="T29" s="588"/>
      <c r="U29" s="187">
        <v>11</v>
      </c>
      <c r="V29" s="187">
        <v>1807.7993312037147</v>
      </c>
      <c r="W29" s="184">
        <f t="shared" si="17"/>
        <v>164.34539374579225</v>
      </c>
      <c r="X29" s="181">
        <f t="shared" si="21"/>
        <v>2</v>
      </c>
      <c r="Y29" s="588"/>
      <c r="Z29" s="187">
        <v>11</v>
      </c>
      <c r="AA29" s="187">
        <v>1808.1993312037146</v>
      </c>
      <c r="AB29" s="184">
        <f t="shared" si="22"/>
        <v>164.38175738215588</v>
      </c>
      <c r="AC29" s="181">
        <f t="shared" si="23"/>
        <v>2</v>
      </c>
      <c r="AD29" s="588"/>
      <c r="AE29" s="187">
        <v>11</v>
      </c>
      <c r="AF29" s="187">
        <v>1807.5993312037149</v>
      </c>
      <c r="AG29" s="184">
        <f t="shared" si="24"/>
        <v>164.32721192761045</v>
      </c>
      <c r="AH29" s="181">
        <f t="shared" si="25"/>
        <v>2</v>
      </c>
      <c r="AI29" s="588"/>
      <c r="AJ29" s="187">
        <v>11</v>
      </c>
      <c r="AK29" s="187">
        <v>1808.199331203715</v>
      </c>
      <c r="AL29" s="184">
        <f t="shared" si="26"/>
        <v>164.38175738215591</v>
      </c>
      <c r="AM29" s="181">
        <f t="shared" si="27"/>
        <v>1</v>
      </c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 t="s">
        <v>537</v>
      </c>
      <c r="E30" s="179">
        <v>22</v>
      </c>
      <c r="F30" s="179">
        <v>2000</v>
      </c>
      <c r="G30" s="184">
        <f t="shared" si="16"/>
        <v>90.909090909090907</v>
      </c>
      <c r="H30" s="588"/>
      <c r="I30" s="185">
        <f t="shared" si="18"/>
        <v>22</v>
      </c>
      <c r="J30" s="185">
        <f t="shared" si="18"/>
        <v>1803.9989428541526</v>
      </c>
      <c r="K30" s="186">
        <f t="shared" si="18"/>
        <v>81.999951947916017</v>
      </c>
      <c r="L30" s="589"/>
      <c r="M30" s="185">
        <f>RANK(K30, K$27:$K$41)</f>
        <v>5</v>
      </c>
      <c r="N30" s="586"/>
      <c r="O30" s="586"/>
      <c r="P30" s="187">
        <v>22</v>
      </c>
      <c r="Q30" s="187">
        <v>1803.0275142827238</v>
      </c>
      <c r="R30" s="184">
        <f t="shared" si="19"/>
        <v>81.955796103760179</v>
      </c>
      <c r="S30" s="181">
        <f t="shared" si="20"/>
        <v>5</v>
      </c>
      <c r="T30" s="588"/>
      <c r="U30" s="187">
        <v>22</v>
      </c>
      <c r="V30" s="187">
        <v>1803.2275142827241</v>
      </c>
      <c r="W30" s="184">
        <f t="shared" si="17"/>
        <v>81.964887012851094</v>
      </c>
      <c r="X30" s="181">
        <f t="shared" si="21"/>
        <v>5</v>
      </c>
      <c r="Y30" s="588"/>
      <c r="Z30" s="187">
        <v>22</v>
      </c>
      <c r="AA30" s="187">
        <v>1804.027514282724</v>
      </c>
      <c r="AB30" s="184">
        <f t="shared" si="22"/>
        <v>82.001250649214725</v>
      </c>
      <c r="AC30" s="181">
        <f t="shared" si="23"/>
        <v>5</v>
      </c>
      <c r="AD30" s="588"/>
      <c r="AE30" s="187">
        <v>22</v>
      </c>
      <c r="AF30" s="187">
        <v>1804.627514282724</v>
      </c>
      <c r="AG30" s="184">
        <f t="shared" si="24"/>
        <v>82.028523376487456</v>
      </c>
      <c r="AH30" s="181">
        <f t="shared" si="25"/>
        <v>5</v>
      </c>
      <c r="AI30" s="588"/>
      <c r="AJ30" s="187">
        <v>22</v>
      </c>
      <c r="AK30" s="187">
        <v>1804.2275142827243</v>
      </c>
      <c r="AL30" s="184">
        <f t="shared" si="26"/>
        <v>82.010341558305655</v>
      </c>
      <c r="AM30" s="181">
        <f t="shared" si="27"/>
        <v>5</v>
      </c>
      <c r="AN30" s="588"/>
      <c r="AO30" s="187">
        <v>22</v>
      </c>
      <c r="AP30" s="187">
        <v>1804.0275142827245</v>
      </c>
      <c r="AQ30" s="184">
        <f t="shared" si="28"/>
        <v>82.001250649214754</v>
      </c>
      <c r="AR30" s="181">
        <f t="shared" si="29"/>
        <v>4</v>
      </c>
      <c r="AS30" s="588"/>
      <c r="AT30" s="187">
        <v>22</v>
      </c>
      <c r="AU30" s="187">
        <v>1804.8275142827247</v>
      </c>
      <c r="AV30" s="184">
        <f t="shared" si="30"/>
        <v>82.0376142855784</v>
      </c>
      <c r="AW30" s="181">
        <f t="shared" si="31"/>
        <v>4</v>
      </c>
      <c r="AX30" s="588"/>
    </row>
    <row r="31" spans="2:50" ht="14.25" customHeight="1">
      <c r="B31" s="586"/>
      <c r="C31" s="179">
        <v>5</v>
      </c>
      <c r="D31" s="182" t="s">
        <v>538</v>
      </c>
      <c r="E31" s="179">
        <v>11</v>
      </c>
      <c r="F31" s="179">
        <v>2000</v>
      </c>
      <c r="G31" s="184">
        <f t="shared" si="16"/>
        <v>181.81818181818181</v>
      </c>
      <c r="H31" s="588"/>
      <c r="I31" s="185">
        <f t="shared" si="18"/>
        <v>11</v>
      </c>
      <c r="J31" s="185">
        <f t="shared" si="18"/>
        <v>1808.470852635377</v>
      </c>
      <c r="K31" s="186">
        <f t="shared" si="18"/>
        <v>164.40644114867064</v>
      </c>
      <c r="L31" s="589"/>
      <c r="M31" s="185">
        <f>RANK(K31, K$27:$K$41)</f>
        <v>1</v>
      </c>
      <c r="N31" s="586"/>
      <c r="O31" s="586"/>
      <c r="P31" s="187">
        <v>11</v>
      </c>
      <c r="Q31" s="187">
        <v>1808.92799549252</v>
      </c>
      <c r="R31" s="184">
        <f t="shared" si="19"/>
        <v>164.4479995902291</v>
      </c>
      <c r="S31" s="181">
        <f t="shared" si="20"/>
        <v>1</v>
      </c>
      <c r="T31" s="588"/>
      <c r="U31" s="187">
        <v>11</v>
      </c>
      <c r="V31" s="187">
        <v>1809.1279954925201</v>
      </c>
      <c r="W31" s="184">
        <f t="shared" si="17"/>
        <v>164.4661814084109</v>
      </c>
      <c r="X31" s="181">
        <f t="shared" si="21"/>
        <v>1</v>
      </c>
      <c r="Y31" s="588"/>
      <c r="Z31" s="187">
        <v>11</v>
      </c>
      <c r="AA31" s="187">
        <v>1808.9279954925198</v>
      </c>
      <c r="AB31" s="184">
        <f t="shared" si="22"/>
        <v>164.44799959022907</v>
      </c>
      <c r="AC31" s="181">
        <f t="shared" si="23"/>
        <v>1</v>
      </c>
      <c r="AD31" s="588"/>
      <c r="AE31" s="187">
        <v>11</v>
      </c>
      <c r="AF31" s="187">
        <v>1808.7279954925198</v>
      </c>
      <c r="AG31" s="184">
        <f t="shared" si="24"/>
        <v>164.42981777204724</v>
      </c>
      <c r="AH31" s="181">
        <f t="shared" si="25"/>
        <v>1</v>
      </c>
      <c r="AI31" s="588"/>
      <c r="AJ31" s="187">
        <v>11</v>
      </c>
      <c r="AK31" s="187">
        <v>1808.1279954925199</v>
      </c>
      <c r="AL31" s="184">
        <f t="shared" si="26"/>
        <v>164.37527231750181</v>
      </c>
      <c r="AM31" s="181">
        <f t="shared" si="27"/>
        <v>2</v>
      </c>
      <c r="AN31" s="588"/>
      <c r="AO31" s="187">
        <v>11</v>
      </c>
      <c r="AP31" s="187">
        <v>1807.3279954925199</v>
      </c>
      <c r="AQ31" s="184">
        <f t="shared" si="28"/>
        <v>164.30254504477455</v>
      </c>
      <c r="AR31" s="181">
        <f t="shared" si="29"/>
        <v>1</v>
      </c>
      <c r="AS31" s="588"/>
      <c r="AT31" s="187">
        <v>11</v>
      </c>
      <c r="AU31" s="187">
        <v>1808.1279954925196</v>
      </c>
      <c r="AV31" s="184">
        <f t="shared" si="30"/>
        <v>164.37527231750178</v>
      </c>
      <c r="AW31" s="181">
        <f t="shared" si="31"/>
        <v>1</v>
      </c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680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8">
        <v>46245</v>
      </c>
      <c r="Q42" s="609"/>
      <c r="R42" s="609"/>
      <c r="S42" s="609"/>
      <c r="T42" s="609"/>
      <c r="U42" s="610">
        <v>46246</v>
      </c>
      <c r="V42" s="611"/>
      <c r="W42" s="611"/>
      <c r="X42" s="611"/>
      <c r="Y42" s="611"/>
      <c r="Z42" s="608">
        <v>46247</v>
      </c>
      <c r="AA42" s="609"/>
      <c r="AB42" s="609"/>
      <c r="AC42" s="609"/>
      <c r="AD42" s="609"/>
      <c r="AE42" s="610">
        <v>46248</v>
      </c>
      <c r="AF42" s="611"/>
      <c r="AG42" s="611"/>
      <c r="AH42" s="611"/>
      <c r="AI42" s="611"/>
      <c r="AJ42" s="592">
        <v>46249</v>
      </c>
      <c r="AK42" s="593"/>
      <c r="AL42" s="593"/>
      <c r="AM42" s="593"/>
      <c r="AN42" s="594"/>
      <c r="AO42" s="610">
        <v>46250</v>
      </c>
      <c r="AP42" s="611"/>
      <c r="AQ42" s="611"/>
      <c r="AR42" s="611"/>
      <c r="AS42" s="611"/>
      <c r="AT42" s="592">
        <v>46251</v>
      </c>
      <c r="AU42" s="593"/>
      <c r="AV42" s="593"/>
      <c r="AW42" s="593"/>
      <c r="AX42" s="594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595">
        <v>46196</v>
      </c>
      <c r="Q43" s="595"/>
      <c r="R43" s="595"/>
      <c r="S43" s="595"/>
      <c r="T43" s="595"/>
      <c r="U43" s="596">
        <v>46197</v>
      </c>
      <c r="V43" s="596"/>
      <c r="W43" s="596"/>
      <c r="X43" s="596"/>
      <c r="Y43" s="596"/>
      <c r="Z43" s="595">
        <v>46198</v>
      </c>
      <c r="AA43" s="595"/>
      <c r="AB43" s="595"/>
      <c r="AC43" s="595"/>
      <c r="AD43" s="595"/>
      <c r="AE43" s="596">
        <v>46199</v>
      </c>
      <c r="AF43" s="596"/>
      <c r="AG43" s="596"/>
      <c r="AH43" s="596"/>
      <c r="AI43" s="596"/>
      <c r="AJ43" s="597">
        <v>46200</v>
      </c>
      <c r="AK43" s="598"/>
      <c r="AL43" s="598"/>
      <c r="AM43" s="598"/>
      <c r="AN43" s="599"/>
      <c r="AO43" s="596">
        <v>46201</v>
      </c>
      <c r="AP43" s="596"/>
      <c r="AQ43" s="596"/>
      <c r="AR43" s="596"/>
      <c r="AS43" s="596"/>
      <c r="AT43" s="597">
        <v>46202</v>
      </c>
      <c r="AU43" s="598"/>
      <c r="AV43" s="598"/>
      <c r="AW43" s="598"/>
      <c r="AX43" s="599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1" t="s">
        <v>342</v>
      </c>
      <c r="J44" s="591"/>
      <c r="K44" s="591"/>
      <c r="L44" s="591" t="s">
        <v>163</v>
      </c>
      <c r="M44" s="591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1" t="s">
        <v>343</v>
      </c>
      <c r="J45" s="591"/>
      <c r="K45" s="591"/>
      <c r="L45" s="591"/>
      <c r="M45" s="591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1"/>
      <c r="M46" s="591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143</v>
      </c>
      <c r="C47" s="179">
        <v>1</v>
      </c>
      <c r="D47" s="182" t="s">
        <v>549</v>
      </c>
      <c r="E47" s="183">
        <v>19</v>
      </c>
      <c r="F47" s="179">
        <v>2000</v>
      </c>
      <c r="G47" s="184">
        <f t="shared" ref="G47:G49" si="32">IFERROR(F47/E47,"")</f>
        <v>105.26315789473684</v>
      </c>
      <c r="H47" s="588">
        <f>AVERAGE(G47:G61)</f>
        <v>126.46301067353698</v>
      </c>
      <c r="I47" s="185">
        <f>AVERAGE(P47,U47,Z47,AE47,AJ47,AO47,AT47)</f>
        <v>19</v>
      </c>
      <c r="J47" s="185">
        <f>AVERAGE(Q47,V47,AA47,AF47,AK47,AP47,AU47)</f>
        <v>1805.3137725846659</v>
      </c>
      <c r="K47" s="186">
        <f>AVERAGE(R47,W47,AB47,AG47,AL47,AQ47,AV47)</f>
        <v>95.016514346561351</v>
      </c>
      <c r="L47" s="589">
        <f>IFERROR(AVERAGE(K47:K61),"-")</f>
        <v>114.22959028982503</v>
      </c>
      <c r="M47" s="185">
        <f>RANK(K47, K$47:$K$61)</f>
        <v>2</v>
      </c>
      <c r="N47" s="586"/>
      <c r="O47" s="586"/>
      <c r="P47" s="187">
        <v>19</v>
      </c>
      <c r="Q47" s="187">
        <v>1805.9709154418085</v>
      </c>
      <c r="R47" s="184">
        <f>IFERROR(Q47/P47,"")</f>
        <v>95.051100812726759</v>
      </c>
      <c r="S47" s="181">
        <f>RANK(R47, R$47:R$61)</f>
        <v>2</v>
      </c>
      <c r="T47" s="588">
        <f>AVERAGE(R47:R61)</f>
        <v>114.26193829269933</v>
      </c>
      <c r="U47" s="187">
        <v>19</v>
      </c>
      <c r="V47" s="187">
        <v>1806.1709154418083</v>
      </c>
      <c r="W47" s="184">
        <f t="shared" ref="W47:W49" si="33">IFERROR(V47/U47,"")</f>
        <v>95.061627128516236</v>
      </c>
      <c r="X47" s="181">
        <f>RANK(W47, W$47:W$61)</f>
        <v>2</v>
      </c>
      <c r="Y47" s="588">
        <f>AVERAGE(W47:W61)</f>
        <v>114.25323261241472</v>
      </c>
      <c r="Z47" s="187">
        <v>19</v>
      </c>
      <c r="AA47" s="187">
        <v>1806.3709154418086</v>
      </c>
      <c r="AB47" s="184">
        <f>IFERROR(AA47/Z47,"")</f>
        <v>95.072153444305712</v>
      </c>
      <c r="AC47" s="181">
        <f>RANK(AB47, AB$47:AB$61)</f>
        <v>2</v>
      </c>
      <c r="AD47" s="588">
        <f>AVERAGE(AB47:AB61)</f>
        <v>114.23231247991565</v>
      </c>
      <c r="AE47" s="187">
        <v>19</v>
      </c>
      <c r="AF47" s="187">
        <v>1805.3709154418088</v>
      </c>
      <c r="AG47" s="184">
        <f>IFERROR(AF47/AE47,"")</f>
        <v>95.019521865358357</v>
      </c>
      <c r="AH47" s="181">
        <f>RANK(AG47, AG$47:AG$61)</f>
        <v>2</v>
      </c>
      <c r="AI47" s="588">
        <f>AVERAGE(AG47:AG61)</f>
        <v>114.21793878343669</v>
      </c>
      <c r="AJ47" s="187">
        <v>19</v>
      </c>
      <c r="AK47" s="187">
        <v>1804.9709154418092</v>
      </c>
      <c r="AL47" s="184">
        <f>IFERROR(AK47/AJ47,"")</f>
        <v>94.998469233779431</v>
      </c>
      <c r="AM47" s="181">
        <f>RANK(AL47, AL$47:AL$61)</f>
        <v>2</v>
      </c>
      <c r="AN47" s="588">
        <f>AVERAGE(AL47:AL61)</f>
        <v>114.201970190626</v>
      </c>
      <c r="AO47" s="187">
        <v>19</v>
      </c>
      <c r="AP47" s="187">
        <v>1803.9709154418092</v>
      </c>
      <c r="AQ47" s="184">
        <f>IFERROR(AP47/AO47,"")</f>
        <v>94.945837654832062</v>
      </c>
      <c r="AR47" s="181">
        <f>RANK(AQ47, AQ$47:AQ$61)</f>
        <v>1</v>
      </c>
      <c r="AS47" s="588">
        <f>AVERAGE(AQ47:AQ61)</f>
        <v>89.125506834217887</v>
      </c>
      <c r="AT47" s="187">
        <v>19</v>
      </c>
      <c r="AU47" s="187">
        <v>1804.3709154418091</v>
      </c>
      <c r="AV47" s="184">
        <f>IFERROR(AU47/AT47,"")</f>
        <v>94.966890286411001</v>
      </c>
      <c r="AW47" s="181">
        <f>RANK(AV47, AV$47:AV$61)</f>
        <v>1</v>
      </c>
      <c r="AX47" s="588">
        <f>AVERAGE(AV47:AV61)</f>
        <v>89.140648534622727</v>
      </c>
    </row>
    <row r="48" spans="2:50" ht="14.25" customHeight="1">
      <c r="B48" s="586"/>
      <c r="C48" s="179">
        <v>2</v>
      </c>
      <c r="D48" s="182" t="s">
        <v>332</v>
      </c>
      <c r="E48" s="179">
        <v>13</v>
      </c>
      <c r="F48" s="179">
        <v>1200</v>
      </c>
      <c r="G48" s="184">
        <f t="shared" si="32"/>
        <v>92.307692307692307</v>
      </c>
      <c r="H48" s="588"/>
      <c r="I48" s="185">
        <f t="shared" ref="I48:K49" si="34">AVERAGE(P48,U48,Z48,AE48,AJ48,AO48,AT48)</f>
        <v>13</v>
      </c>
      <c r="J48" s="185">
        <f t="shared" si="34"/>
        <v>1082.6244310339914</v>
      </c>
      <c r="K48" s="186">
        <f t="shared" si="34"/>
        <v>83.278802387230101</v>
      </c>
      <c r="L48" s="589"/>
      <c r="M48" s="185">
        <f>RANK(K48, K$47:$K$61)</f>
        <v>3</v>
      </c>
      <c r="N48" s="586"/>
      <c r="O48" s="586"/>
      <c r="P48" s="187">
        <v>13</v>
      </c>
      <c r="Q48" s="187">
        <v>1082.7272881768488</v>
      </c>
      <c r="R48" s="184">
        <f t="shared" ref="R48:R49" si="35">IFERROR(Q48/P48,"")</f>
        <v>83.286714475142219</v>
      </c>
      <c r="S48" s="181">
        <f t="shared" ref="S48:S49" si="36">RANK(R48, R$47:R$61)</f>
        <v>3</v>
      </c>
      <c r="T48" s="588"/>
      <c r="U48" s="187">
        <v>13</v>
      </c>
      <c r="V48" s="187">
        <v>1082.4872881768486</v>
      </c>
      <c r="W48" s="184">
        <f t="shared" si="33"/>
        <v>83.268252936680653</v>
      </c>
      <c r="X48" s="181">
        <f t="shared" ref="X48:X49" si="37">RANK(W48, W$47:W$61)</f>
        <v>3</v>
      </c>
      <c r="Y48" s="588"/>
      <c r="Z48" s="187">
        <v>13</v>
      </c>
      <c r="AA48" s="187">
        <v>1082.0072881768485</v>
      </c>
      <c r="AB48" s="184">
        <f t="shared" ref="AB48:AB49" si="38">IFERROR(AA48/Z48,"")</f>
        <v>83.231329859757579</v>
      </c>
      <c r="AC48" s="181">
        <f t="shared" ref="AC48:AC49" si="39">RANK(AB48, AB$47:AB$61)</f>
        <v>3</v>
      </c>
      <c r="AD48" s="588"/>
      <c r="AE48" s="187">
        <v>13</v>
      </c>
      <c r="AF48" s="187">
        <v>1082.3672881768484</v>
      </c>
      <c r="AG48" s="184">
        <f t="shared" ref="AG48:AG49" si="40">IFERROR(AF48/AE48,"")</f>
        <v>83.259022167449885</v>
      </c>
      <c r="AH48" s="181">
        <f t="shared" ref="AH48:AH49" si="41">RANK(AG48, AG$47:AG$61)</f>
        <v>3</v>
      </c>
      <c r="AI48" s="588"/>
      <c r="AJ48" s="187">
        <v>13</v>
      </c>
      <c r="AK48" s="187">
        <v>1082.7272881768483</v>
      </c>
      <c r="AL48" s="184">
        <f t="shared" ref="AL48:AL49" si="42">IFERROR(AK48/AJ48,"")</f>
        <v>83.286714475142176</v>
      </c>
      <c r="AM48" s="181">
        <f t="shared" ref="AM48:AM49" si="43">RANK(AL48, AL$47:AL$61)</f>
        <v>3</v>
      </c>
      <c r="AN48" s="588"/>
      <c r="AO48" s="187">
        <v>13</v>
      </c>
      <c r="AP48" s="187">
        <v>1082.9672881768483</v>
      </c>
      <c r="AQ48" s="184">
        <f t="shared" ref="AQ48" si="44">IFERROR(AP48/AO48,"")</f>
        <v>83.305176013603713</v>
      </c>
      <c r="AR48" s="181">
        <f t="shared" ref="AR48" si="45">RANK(AQ48, AQ$47:AQ$61)</f>
        <v>2</v>
      </c>
      <c r="AS48" s="588"/>
      <c r="AT48" s="187">
        <v>13</v>
      </c>
      <c r="AU48" s="187">
        <v>1083.087288176848</v>
      </c>
      <c r="AV48" s="184">
        <f t="shared" ref="AV48" si="46">IFERROR(AU48/AT48,"")</f>
        <v>83.314406782834467</v>
      </c>
      <c r="AW48" s="181">
        <f t="shared" ref="AW48" si="47">RANK(AV48, AV$47:AV$61)</f>
        <v>2</v>
      </c>
      <c r="AX48" s="588"/>
    </row>
    <row r="49" spans="2:50" ht="14.25" customHeight="1">
      <c r="B49" s="586"/>
      <c r="C49" s="179">
        <v>3</v>
      </c>
      <c r="D49" s="182" t="s">
        <v>538</v>
      </c>
      <c r="E49" s="179">
        <v>11</v>
      </c>
      <c r="F49" s="179">
        <v>2000</v>
      </c>
      <c r="G49" s="184">
        <f t="shared" si="32"/>
        <v>181.81818181818181</v>
      </c>
      <c r="H49" s="588"/>
      <c r="I49" s="185">
        <f t="shared" si="34"/>
        <v>11</v>
      </c>
      <c r="J49" s="185">
        <f t="shared" si="34"/>
        <v>1808.3279954925197</v>
      </c>
      <c r="K49" s="186">
        <f t="shared" si="34"/>
        <v>164.39345413568361</v>
      </c>
      <c r="L49" s="589"/>
      <c r="M49" s="185">
        <f>RANK(K49, K$47:$K$61)</f>
        <v>1</v>
      </c>
      <c r="N49" s="586"/>
      <c r="O49" s="586"/>
      <c r="P49" s="187">
        <v>11</v>
      </c>
      <c r="Q49" s="187">
        <v>1808.9279954925196</v>
      </c>
      <c r="R49" s="184">
        <f t="shared" si="35"/>
        <v>164.44799959022905</v>
      </c>
      <c r="S49" s="181">
        <f t="shared" si="36"/>
        <v>1</v>
      </c>
      <c r="T49" s="588"/>
      <c r="U49" s="187">
        <v>11</v>
      </c>
      <c r="V49" s="187">
        <v>1808.7279954925195</v>
      </c>
      <c r="W49" s="184">
        <f t="shared" si="33"/>
        <v>164.42981777204724</v>
      </c>
      <c r="X49" s="181">
        <f t="shared" si="37"/>
        <v>1</v>
      </c>
      <c r="Y49" s="588"/>
      <c r="Z49" s="187">
        <v>11</v>
      </c>
      <c r="AA49" s="187">
        <v>1808.3279954925199</v>
      </c>
      <c r="AB49" s="184">
        <f t="shared" si="38"/>
        <v>164.39345413568364</v>
      </c>
      <c r="AC49" s="181">
        <f t="shared" si="39"/>
        <v>1</v>
      </c>
      <c r="AD49" s="588"/>
      <c r="AE49" s="187">
        <v>11</v>
      </c>
      <c r="AF49" s="187">
        <v>1808.1279954925199</v>
      </c>
      <c r="AG49" s="184">
        <f t="shared" si="40"/>
        <v>164.37527231750181</v>
      </c>
      <c r="AH49" s="181">
        <f t="shared" si="41"/>
        <v>1</v>
      </c>
      <c r="AI49" s="588"/>
      <c r="AJ49" s="187">
        <v>11</v>
      </c>
      <c r="AK49" s="187">
        <v>1807.5279954925197</v>
      </c>
      <c r="AL49" s="184">
        <f t="shared" si="42"/>
        <v>164.32072686295635</v>
      </c>
      <c r="AM49" s="181">
        <f t="shared" si="43"/>
        <v>1</v>
      </c>
      <c r="AN49" s="588"/>
      <c r="AO49" s="187"/>
      <c r="AP49" s="187"/>
      <c r="AQ49" s="184"/>
      <c r="AR49" s="181"/>
      <c r="AS49" s="588"/>
      <c r="AT49" s="187"/>
      <c r="AU49" s="187"/>
      <c r="AV49" s="184"/>
      <c r="AW49" s="181"/>
      <c r="AX49" s="588"/>
    </row>
    <row r="50" spans="2:50" ht="14.25" customHeight="1">
      <c r="B50" s="586"/>
      <c r="C50" s="179">
        <v>4</v>
      </c>
      <c r="D50" s="182"/>
      <c r="E50" s="179"/>
      <c r="F50" s="179"/>
      <c r="G50" s="184"/>
      <c r="H50" s="588"/>
      <c r="I50" s="185"/>
      <c r="J50" s="185"/>
      <c r="K50" s="186"/>
      <c r="L50" s="589"/>
      <c r="M50" s="185"/>
      <c r="N50" s="586"/>
      <c r="O50" s="586"/>
      <c r="P50" s="187"/>
      <c r="Q50" s="187"/>
      <c r="R50" s="184"/>
      <c r="S50" s="181"/>
      <c r="T50" s="588"/>
      <c r="U50" s="187"/>
      <c r="V50" s="187"/>
      <c r="W50" s="184"/>
      <c r="X50" s="181"/>
      <c r="Y50" s="588"/>
      <c r="Z50" s="187"/>
      <c r="AA50" s="187"/>
      <c r="AB50" s="184"/>
      <c r="AC50" s="181"/>
      <c r="AD50" s="588"/>
      <c r="AE50" s="187"/>
      <c r="AF50" s="187"/>
      <c r="AG50" s="184"/>
      <c r="AH50" s="181"/>
      <c r="AI50" s="588"/>
      <c r="AJ50" s="187"/>
      <c r="AK50" s="187"/>
      <c r="AL50" s="184"/>
      <c r="AM50" s="181"/>
      <c r="AN50" s="588"/>
      <c r="AO50" s="187"/>
      <c r="AP50" s="187"/>
      <c r="AQ50" s="184"/>
      <c r="AR50" s="181"/>
      <c r="AS50" s="588"/>
      <c r="AT50" s="187"/>
      <c r="AU50" s="187"/>
      <c r="AV50" s="184"/>
      <c r="AW50" s="181"/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  <row r="62" spans="2:50" ht="14.25" customHeight="1">
      <c r="B62" s="612" t="s">
        <v>718</v>
      </c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4"/>
      <c r="N62" s="617" t="s">
        <v>341</v>
      </c>
      <c r="O62" s="617" t="s">
        <v>105</v>
      </c>
      <c r="P62" s="608">
        <v>46252</v>
      </c>
      <c r="Q62" s="609"/>
      <c r="R62" s="609"/>
      <c r="S62" s="609"/>
      <c r="T62" s="609"/>
      <c r="U62" s="610">
        <v>46253</v>
      </c>
      <c r="V62" s="611"/>
      <c r="W62" s="611"/>
      <c r="X62" s="611"/>
      <c r="Y62" s="611"/>
      <c r="Z62" s="608">
        <v>46254</v>
      </c>
      <c r="AA62" s="609"/>
      <c r="AB62" s="609"/>
      <c r="AC62" s="609"/>
      <c r="AD62" s="609"/>
      <c r="AE62" s="610">
        <v>46255</v>
      </c>
      <c r="AF62" s="611"/>
      <c r="AG62" s="611"/>
      <c r="AH62" s="611"/>
      <c r="AI62" s="611"/>
      <c r="AJ62" s="592">
        <v>46256</v>
      </c>
      <c r="AK62" s="593"/>
      <c r="AL62" s="593"/>
      <c r="AM62" s="593"/>
      <c r="AN62" s="594"/>
      <c r="AO62" s="610">
        <v>46257</v>
      </c>
      <c r="AP62" s="611"/>
      <c r="AQ62" s="611"/>
      <c r="AR62" s="611"/>
      <c r="AS62" s="611"/>
      <c r="AT62" s="592">
        <v>46258</v>
      </c>
      <c r="AU62" s="593"/>
      <c r="AV62" s="593"/>
      <c r="AW62" s="593"/>
      <c r="AX62" s="594"/>
    </row>
    <row r="63" spans="2:50" ht="14.25" customHeight="1">
      <c r="B63" s="615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6"/>
      <c r="N63" s="618"/>
      <c r="O63" s="618"/>
      <c r="P63" s="595">
        <v>46196</v>
      </c>
      <c r="Q63" s="595"/>
      <c r="R63" s="595"/>
      <c r="S63" s="595"/>
      <c r="T63" s="595"/>
      <c r="U63" s="596">
        <v>46197</v>
      </c>
      <c r="V63" s="596"/>
      <c r="W63" s="596"/>
      <c r="X63" s="596"/>
      <c r="Y63" s="596"/>
      <c r="Z63" s="595">
        <v>46198</v>
      </c>
      <c r="AA63" s="595"/>
      <c r="AB63" s="595"/>
      <c r="AC63" s="595"/>
      <c r="AD63" s="595"/>
      <c r="AE63" s="596">
        <v>46199</v>
      </c>
      <c r="AF63" s="596"/>
      <c r="AG63" s="596"/>
      <c r="AH63" s="596"/>
      <c r="AI63" s="596"/>
      <c r="AJ63" s="597">
        <v>46200</v>
      </c>
      <c r="AK63" s="598"/>
      <c r="AL63" s="598"/>
      <c r="AM63" s="598"/>
      <c r="AN63" s="599"/>
      <c r="AO63" s="596">
        <v>46201</v>
      </c>
      <c r="AP63" s="596"/>
      <c r="AQ63" s="596"/>
      <c r="AR63" s="596"/>
      <c r="AS63" s="596"/>
      <c r="AT63" s="597">
        <v>46202</v>
      </c>
      <c r="AU63" s="598"/>
      <c r="AV63" s="598"/>
      <c r="AW63" s="598"/>
      <c r="AX63" s="599"/>
    </row>
    <row r="64" spans="2:50" ht="14.25" customHeight="1">
      <c r="B64" s="586" t="s">
        <v>162</v>
      </c>
      <c r="C64" s="586" t="s">
        <v>157</v>
      </c>
      <c r="D64" s="586"/>
      <c r="E64" s="586" t="s">
        <v>158</v>
      </c>
      <c r="F64" s="586"/>
      <c r="G64" s="586"/>
      <c r="H64" s="586" t="s">
        <v>163</v>
      </c>
      <c r="I64" s="591" t="s">
        <v>342</v>
      </c>
      <c r="J64" s="591"/>
      <c r="K64" s="591"/>
      <c r="L64" s="591" t="s">
        <v>163</v>
      </c>
      <c r="M64" s="591" t="s">
        <v>165</v>
      </c>
      <c r="N64" s="586"/>
      <c r="O64" s="586" t="s">
        <v>164</v>
      </c>
      <c r="P64" s="586" t="s">
        <v>160</v>
      </c>
      <c r="Q64" s="586"/>
      <c r="R64" s="586"/>
      <c r="S64" s="586"/>
      <c r="T64" s="586" t="s">
        <v>163</v>
      </c>
      <c r="U64" s="586" t="s">
        <v>160</v>
      </c>
      <c r="V64" s="586"/>
      <c r="W64" s="586"/>
      <c r="X64" s="586"/>
      <c r="Y64" s="586" t="s">
        <v>163</v>
      </c>
      <c r="Z64" s="586" t="s">
        <v>160</v>
      </c>
      <c r="AA64" s="586"/>
      <c r="AB64" s="586"/>
      <c r="AC64" s="586"/>
      <c r="AD64" s="586" t="s">
        <v>163</v>
      </c>
      <c r="AE64" s="586" t="s">
        <v>160</v>
      </c>
      <c r="AF64" s="586"/>
      <c r="AG64" s="586"/>
      <c r="AH64" s="586"/>
      <c r="AI64" s="586" t="s">
        <v>163</v>
      </c>
      <c r="AJ64" s="586" t="s">
        <v>160</v>
      </c>
      <c r="AK64" s="586"/>
      <c r="AL64" s="586"/>
      <c r="AM64" s="586"/>
      <c r="AN64" s="586" t="s">
        <v>163</v>
      </c>
      <c r="AO64" s="586" t="s">
        <v>160</v>
      </c>
      <c r="AP64" s="586"/>
      <c r="AQ64" s="586"/>
      <c r="AR64" s="586"/>
      <c r="AS64" s="586" t="s">
        <v>163</v>
      </c>
      <c r="AT64" s="586" t="s">
        <v>160</v>
      </c>
      <c r="AU64" s="586"/>
      <c r="AV64" s="586"/>
      <c r="AW64" s="586"/>
      <c r="AX64" s="586" t="s">
        <v>163</v>
      </c>
    </row>
    <row r="65" spans="2:50" ht="14.25" customHeight="1">
      <c r="B65" s="586"/>
      <c r="C65" s="586"/>
      <c r="D65" s="586"/>
      <c r="E65" s="586" t="s">
        <v>343</v>
      </c>
      <c r="F65" s="586"/>
      <c r="G65" s="586"/>
      <c r="H65" s="586"/>
      <c r="I65" s="591" t="s">
        <v>343</v>
      </c>
      <c r="J65" s="591"/>
      <c r="K65" s="591"/>
      <c r="L65" s="591"/>
      <c r="M65" s="591"/>
      <c r="N65" s="586"/>
      <c r="O65" s="586"/>
      <c r="P65" s="586" t="s">
        <v>344</v>
      </c>
      <c r="Q65" s="586"/>
      <c r="R65" s="586"/>
      <c r="S65" s="586"/>
      <c r="T65" s="586"/>
      <c r="U65" s="586" t="s">
        <v>344</v>
      </c>
      <c r="V65" s="586"/>
      <c r="W65" s="586"/>
      <c r="X65" s="586"/>
      <c r="Y65" s="586"/>
      <c r="Z65" s="586" t="s">
        <v>344</v>
      </c>
      <c r="AA65" s="586"/>
      <c r="AB65" s="586"/>
      <c r="AC65" s="586"/>
      <c r="AD65" s="586"/>
      <c r="AE65" s="586" t="s">
        <v>344</v>
      </c>
      <c r="AF65" s="586"/>
      <c r="AG65" s="586"/>
      <c r="AH65" s="586"/>
      <c r="AI65" s="586"/>
      <c r="AJ65" s="586" t="s">
        <v>344</v>
      </c>
      <c r="AK65" s="586"/>
      <c r="AL65" s="586"/>
      <c r="AM65" s="586"/>
      <c r="AN65" s="586"/>
      <c r="AO65" s="586" t="s">
        <v>344</v>
      </c>
      <c r="AP65" s="586"/>
      <c r="AQ65" s="586"/>
      <c r="AR65" s="586"/>
      <c r="AS65" s="586"/>
      <c r="AT65" s="586" t="s">
        <v>344</v>
      </c>
      <c r="AU65" s="586"/>
      <c r="AV65" s="586"/>
      <c r="AW65" s="586"/>
      <c r="AX65" s="586"/>
    </row>
    <row r="66" spans="2:50" ht="14.25" customHeight="1">
      <c r="B66" s="586"/>
      <c r="C66" s="586"/>
      <c r="D66" s="586"/>
      <c r="E66" s="179" t="s">
        <v>159</v>
      </c>
      <c r="F66" s="179" t="s">
        <v>345</v>
      </c>
      <c r="G66" s="179" t="s">
        <v>161</v>
      </c>
      <c r="H66" s="586"/>
      <c r="I66" s="180" t="s">
        <v>159</v>
      </c>
      <c r="J66" s="180" t="s">
        <v>345</v>
      </c>
      <c r="K66" s="180" t="s">
        <v>161</v>
      </c>
      <c r="L66" s="591"/>
      <c r="M66" s="591"/>
      <c r="N66" s="586"/>
      <c r="O66" s="586"/>
      <c r="P66" s="179" t="s">
        <v>159</v>
      </c>
      <c r="Q66" s="179" t="s">
        <v>345</v>
      </c>
      <c r="R66" s="179" t="s">
        <v>161</v>
      </c>
      <c r="S66" s="181" t="s">
        <v>165</v>
      </c>
      <c r="T66" s="586"/>
      <c r="U66" s="179" t="s">
        <v>159</v>
      </c>
      <c r="V66" s="179" t="s">
        <v>345</v>
      </c>
      <c r="W66" s="179" t="s">
        <v>161</v>
      </c>
      <c r="X66" s="181" t="s">
        <v>165</v>
      </c>
      <c r="Y66" s="586"/>
      <c r="Z66" s="179" t="s">
        <v>159</v>
      </c>
      <c r="AA66" s="179" t="s">
        <v>345</v>
      </c>
      <c r="AB66" s="179" t="s">
        <v>161</v>
      </c>
      <c r="AC66" s="181" t="s">
        <v>165</v>
      </c>
      <c r="AD66" s="586"/>
      <c r="AE66" s="179" t="s">
        <v>159</v>
      </c>
      <c r="AF66" s="179" t="s">
        <v>345</v>
      </c>
      <c r="AG66" s="179" t="s">
        <v>161</v>
      </c>
      <c r="AH66" s="181" t="s">
        <v>165</v>
      </c>
      <c r="AI66" s="586"/>
      <c r="AJ66" s="179" t="s">
        <v>159</v>
      </c>
      <c r="AK66" s="179" t="s">
        <v>345</v>
      </c>
      <c r="AL66" s="179" t="s">
        <v>161</v>
      </c>
      <c r="AM66" s="181" t="s">
        <v>165</v>
      </c>
      <c r="AN66" s="586"/>
      <c r="AO66" s="179" t="s">
        <v>159</v>
      </c>
      <c r="AP66" s="179" t="s">
        <v>345</v>
      </c>
      <c r="AQ66" s="179" t="s">
        <v>161</v>
      </c>
      <c r="AR66" s="181" t="s">
        <v>165</v>
      </c>
      <c r="AS66" s="586"/>
      <c r="AT66" s="179" t="s">
        <v>159</v>
      </c>
      <c r="AU66" s="179" t="s">
        <v>345</v>
      </c>
      <c r="AV66" s="179" t="s">
        <v>161</v>
      </c>
      <c r="AW66" s="181" t="s">
        <v>165</v>
      </c>
      <c r="AX66" s="586"/>
    </row>
    <row r="67" spans="2:50" ht="14.25" customHeight="1">
      <c r="B67" s="586" t="s">
        <v>143</v>
      </c>
      <c r="C67" s="179">
        <v>1</v>
      </c>
      <c r="D67" s="182" t="s">
        <v>549</v>
      </c>
      <c r="E67" s="183">
        <v>19</v>
      </c>
      <c r="F67" s="179">
        <v>2000</v>
      </c>
      <c r="G67" s="184">
        <f t="shared" ref="G67:G68" si="48">IFERROR(F67/E67,"")</f>
        <v>105.26315789473684</v>
      </c>
      <c r="H67" s="588">
        <f>AVERAGE(G67:G81)</f>
        <v>98.785425101214571</v>
      </c>
      <c r="I67" s="185">
        <f>AVERAGE(P67,U67,Z67,AE67,AJ67,AO67,AT67)</f>
        <v>19</v>
      </c>
      <c r="J67" s="185">
        <f>AVERAGE(Q67,V67,AA67,AF67,AK67,AP67,AU67)</f>
        <v>1804.3994868703812</v>
      </c>
      <c r="K67" s="186">
        <f>AVERAGE(R67,W67,AB67,AG67,AL67,AQ67,AV67)</f>
        <v>94.968394045809532</v>
      </c>
      <c r="L67" s="589">
        <f>IFERROR(AVERAGE(K67:K81),"-")</f>
        <v>89.174367447289043</v>
      </c>
      <c r="M67" s="185">
        <f>RANK(K67, K$67:$K$81)</f>
        <v>1</v>
      </c>
      <c r="N67" s="586"/>
      <c r="O67" s="586"/>
      <c r="P67" s="187">
        <v>19</v>
      </c>
      <c r="Q67" s="187">
        <v>1805.170915441809</v>
      </c>
      <c r="R67" s="184">
        <f>IFERROR(Q67/P67,"")</f>
        <v>95.008995549568894</v>
      </c>
      <c r="S67" s="181">
        <f>RANK(R67, R$67:R$81)</f>
        <v>1</v>
      </c>
      <c r="T67" s="588">
        <f>AVERAGE(R67:R81)</f>
        <v>89.180162704663218</v>
      </c>
      <c r="U67" s="187">
        <v>19</v>
      </c>
      <c r="V67" s="187">
        <v>1804.5709154418093</v>
      </c>
      <c r="W67" s="184">
        <f t="shared" ref="W67:W68" si="49">IFERROR(V67/U67,"")</f>
        <v>94.977416602200492</v>
      </c>
      <c r="X67" s="181">
        <f>RANK(W67, W$67:W$81)</f>
        <v>1</v>
      </c>
      <c r="Y67" s="588">
        <f>AVERAGE(W67:W81)</f>
        <v>89.168988615594401</v>
      </c>
      <c r="Z67" s="187">
        <v>19</v>
      </c>
      <c r="AA67" s="187">
        <v>1803.9709154418097</v>
      </c>
      <c r="AB67" s="184">
        <f>IFERROR(AA67/Z67,"")</f>
        <v>94.94583765483209</v>
      </c>
      <c r="AC67" s="181">
        <f>RANK(AB67, AB$67:AB$81)</f>
        <v>1</v>
      </c>
      <c r="AD67" s="588">
        <f>AVERAGE(AB67:AB81)</f>
        <v>89.143968372679439</v>
      </c>
      <c r="AE67" s="187">
        <v>19</v>
      </c>
      <c r="AF67" s="187">
        <v>1804.5709154418098</v>
      </c>
      <c r="AG67" s="184">
        <f>IFERROR(AF67/AE67,"")</f>
        <v>94.97741660220052</v>
      </c>
      <c r="AH67" s="181">
        <f>RANK(AG67, AG$67:AG$81)</f>
        <v>1</v>
      </c>
      <c r="AI67" s="588">
        <f>AVERAGE(AG67:AG81)</f>
        <v>89.182834769440589</v>
      </c>
      <c r="AJ67" s="187">
        <v>19</v>
      </c>
      <c r="AK67" s="187">
        <v>1803.9709154418099</v>
      </c>
      <c r="AL67" s="184">
        <f>IFERROR(AK67/AJ67,"")</f>
        <v>94.945837654832104</v>
      </c>
      <c r="AM67" s="181">
        <f>RANK(AL67, AL$67:AL$81)</f>
        <v>1</v>
      </c>
      <c r="AN67" s="588">
        <f>AVERAGE(AL67:AL81)</f>
        <v>89.171660680371758</v>
      </c>
      <c r="AO67" s="187">
        <v>19</v>
      </c>
      <c r="AP67" s="187">
        <v>1804.37091544181</v>
      </c>
      <c r="AQ67" s="184">
        <f>IFERROR(AP67/AO67,"")</f>
        <v>94.966890286411058</v>
      </c>
      <c r="AR67" s="181">
        <f>RANK(AQ67, AQ$67:AQ$81)</f>
        <v>1</v>
      </c>
      <c r="AS67" s="588">
        <f>AVERAGE(AQ67:AQ81)</f>
        <v>89.186802380776626</v>
      </c>
      <c r="AT67" s="187">
        <v>19</v>
      </c>
      <c r="AU67" s="187">
        <v>1804.1709154418102</v>
      </c>
      <c r="AV67" s="184">
        <f>IFERROR(AU67/AT67,"")</f>
        <v>94.956363970621581</v>
      </c>
      <c r="AW67" s="181">
        <f>RANK(AV67, AV$67:AV$81)</f>
        <v>1</v>
      </c>
      <c r="AX67" s="588">
        <f>AVERAGE(AV67:AV81)</f>
        <v>89.186154607497258</v>
      </c>
    </row>
    <row r="68" spans="2:50" ht="14.25" customHeight="1">
      <c r="B68" s="586"/>
      <c r="C68" s="179">
        <v>2</v>
      </c>
      <c r="D68" s="182" t="s">
        <v>332</v>
      </c>
      <c r="E68" s="179">
        <v>13</v>
      </c>
      <c r="F68" s="179">
        <v>1200</v>
      </c>
      <c r="G68" s="184">
        <f t="shared" si="48"/>
        <v>92.307692307692307</v>
      </c>
      <c r="H68" s="588"/>
      <c r="I68" s="185">
        <f t="shared" ref="I68:K68" si="50">AVERAGE(P68,U68,Z68,AE68,AJ68,AO68,AT68)</f>
        <v>13</v>
      </c>
      <c r="J68" s="185">
        <f t="shared" si="50"/>
        <v>1083.9444310339913</v>
      </c>
      <c r="K68" s="186">
        <f t="shared" si="50"/>
        <v>83.380340848768554</v>
      </c>
      <c r="L68" s="589"/>
      <c r="M68" s="185">
        <f>RANK(K68, K$67:$K$81)</f>
        <v>2</v>
      </c>
      <c r="N68" s="586"/>
      <c r="O68" s="586"/>
      <c r="P68" s="187">
        <v>13</v>
      </c>
      <c r="Q68" s="187">
        <v>1083.567288176848</v>
      </c>
      <c r="R68" s="184">
        <f t="shared" ref="R68" si="51">IFERROR(Q68/P68,"")</f>
        <v>83.351329859757541</v>
      </c>
      <c r="S68" s="181">
        <f>RANK(R68, R$67:R$81)</f>
        <v>2</v>
      </c>
      <c r="T68" s="588"/>
      <c r="U68" s="187">
        <v>13</v>
      </c>
      <c r="V68" s="187">
        <v>1083.6872881768481</v>
      </c>
      <c r="W68" s="184">
        <f t="shared" si="49"/>
        <v>83.360560628988324</v>
      </c>
      <c r="X68" s="181">
        <f>RANK(W68, W$67:W$81)</f>
        <v>2</v>
      </c>
      <c r="Y68" s="588"/>
      <c r="Z68" s="187">
        <v>13</v>
      </c>
      <c r="AA68" s="187">
        <v>1083.4472881768484</v>
      </c>
      <c r="AB68" s="184">
        <f t="shared" ref="AB68" si="52">IFERROR(AA68/Z68,"")</f>
        <v>83.342099090526801</v>
      </c>
      <c r="AC68" s="181">
        <f>RANK(AB68, AB$67:AB$81)</f>
        <v>2</v>
      </c>
      <c r="AD68" s="588"/>
      <c r="AE68" s="187">
        <v>13</v>
      </c>
      <c r="AF68" s="187">
        <v>1084.0472881768485</v>
      </c>
      <c r="AG68" s="184">
        <f t="shared" ref="AG68" si="53">IFERROR(AF68/AE68,"")</f>
        <v>83.388252936680658</v>
      </c>
      <c r="AH68" s="181">
        <f>RANK(AG68, AG$67:AG$81)</f>
        <v>2</v>
      </c>
      <c r="AI68" s="588"/>
      <c r="AJ68" s="187">
        <v>13</v>
      </c>
      <c r="AK68" s="187">
        <v>1084.1672881768486</v>
      </c>
      <c r="AL68" s="184">
        <f t="shared" ref="AL68" si="54">IFERROR(AK68/AJ68,"")</f>
        <v>83.397483705911426</v>
      </c>
      <c r="AM68" s="181">
        <f>RANK(AL68, AL$67:AL$81)</f>
        <v>2</v>
      </c>
      <c r="AN68" s="588"/>
      <c r="AO68" s="187">
        <v>13</v>
      </c>
      <c r="AP68" s="187">
        <v>1084.2872881768485</v>
      </c>
      <c r="AQ68" s="184">
        <f t="shared" ref="AQ68" si="55">IFERROR(AP68/AO68,"")</f>
        <v>83.406714475142195</v>
      </c>
      <c r="AR68" s="181">
        <f>RANK(AQ68, AQ$67:AQ$81)</f>
        <v>2</v>
      </c>
      <c r="AS68" s="588"/>
      <c r="AT68" s="187">
        <v>13</v>
      </c>
      <c r="AU68" s="187">
        <v>1084.4072881768484</v>
      </c>
      <c r="AV68" s="184">
        <f t="shared" ref="AV68" si="56">IFERROR(AU68/AT68,"")</f>
        <v>83.415945244372949</v>
      </c>
      <c r="AW68" s="181">
        <f>RANK(AV68, AV$67:AV$81)</f>
        <v>2</v>
      </c>
      <c r="AX68" s="588"/>
    </row>
    <row r="69" spans="2:50" ht="14.25" customHeight="1">
      <c r="B69" s="586"/>
      <c r="C69" s="179">
        <v>3</v>
      </c>
      <c r="D69" s="182"/>
      <c r="E69" s="179"/>
      <c r="F69" s="179"/>
      <c r="G69" s="184"/>
      <c r="H69" s="588"/>
      <c r="I69" s="185"/>
      <c r="J69" s="185"/>
      <c r="K69" s="186"/>
      <c r="L69" s="589"/>
      <c r="M69" s="185"/>
      <c r="N69" s="586"/>
      <c r="O69" s="586"/>
      <c r="P69" s="187"/>
      <c r="Q69" s="187"/>
      <c r="R69" s="184"/>
      <c r="S69" s="181"/>
      <c r="T69" s="588"/>
      <c r="U69" s="187"/>
      <c r="V69" s="187"/>
      <c r="W69" s="184"/>
      <c r="X69" s="181"/>
      <c r="Y69" s="588"/>
      <c r="Z69" s="187"/>
      <c r="AA69" s="187"/>
      <c r="AB69" s="184"/>
      <c r="AC69" s="181"/>
      <c r="AD69" s="588"/>
      <c r="AE69" s="187"/>
      <c r="AF69" s="187"/>
      <c r="AG69" s="184"/>
      <c r="AH69" s="181"/>
      <c r="AI69" s="588"/>
      <c r="AJ69" s="187"/>
      <c r="AK69" s="187"/>
      <c r="AL69" s="184"/>
      <c r="AM69" s="181"/>
      <c r="AN69" s="588"/>
      <c r="AO69" s="187"/>
      <c r="AP69" s="187"/>
      <c r="AQ69" s="184"/>
      <c r="AR69" s="181"/>
      <c r="AS69" s="588"/>
      <c r="AT69" s="187"/>
      <c r="AU69" s="187"/>
      <c r="AV69" s="184"/>
      <c r="AW69" s="181"/>
      <c r="AX69" s="588"/>
    </row>
    <row r="70" spans="2:50" ht="14.25" customHeight="1">
      <c r="B70" s="586"/>
      <c r="C70" s="179">
        <v>4</v>
      </c>
      <c r="D70" s="182"/>
      <c r="E70" s="179"/>
      <c r="F70" s="179"/>
      <c r="G70" s="184"/>
      <c r="H70" s="588"/>
      <c r="I70" s="185"/>
      <c r="J70" s="185"/>
      <c r="K70" s="186"/>
      <c r="L70" s="589"/>
      <c r="M70" s="185"/>
      <c r="N70" s="586"/>
      <c r="O70" s="586"/>
      <c r="P70" s="187"/>
      <c r="Q70" s="187"/>
      <c r="R70" s="184"/>
      <c r="S70" s="181"/>
      <c r="T70" s="588"/>
      <c r="U70" s="187"/>
      <c r="V70" s="187"/>
      <c r="W70" s="184"/>
      <c r="X70" s="181"/>
      <c r="Y70" s="588"/>
      <c r="Z70" s="187"/>
      <c r="AA70" s="187"/>
      <c r="AB70" s="184"/>
      <c r="AC70" s="181"/>
      <c r="AD70" s="588"/>
      <c r="AE70" s="187"/>
      <c r="AF70" s="187"/>
      <c r="AG70" s="184"/>
      <c r="AH70" s="181"/>
      <c r="AI70" s="588"/>
      <c r="AJ70" s="187"/>
      <c r="AK70" s="187"/>
      <c r="AL70" s="184"/>
      <c r="AM70" s="181"/>
      <c r="AN70" s="588"/>
      <c r="AO70" s="187"/>
      <c r="AP70" s="187"/>
      <c r="AQ70" s="184"/>
      <c r="AR70" s="181"/>
      <c r="AS70" s="588"/>
      <c r="AT70" s="187"/>
      <c r="AU70" s="187"/>
      <c r="AV70" s="184"/>
      <c r="AW70" s="181"/>
      <c r="AX70" s="588"/>
    </row>
    <row r="71" spans="2:50" ht="14.25" customHeight="1">
      <c r="B71" s="586"/>
      <c r="C71" s="179">
        <v>5</v>
      </c>
      <c r="D71" s="182"/>
      <c r="E71" s="179"/>
      <c r="F71" s="179"/>
      <c r="G71" s="184"/>
      <c r="H71" s="588"/>
      <c r="I71" s="185"/>
      <c r="J71" s="185"/>
      <c r="K71" s="186"/>
      <c r="L71" s="589"/>
      <c r="M71" s="185"/>
      <c r="N71" s="586"/>
      <c r="O71" s="586"/>
      <c r="P71" s="187"/>
      <c r="Q71" s="187"/>
      <c r="R71" s="184"/>
      <c r="S71" s="181"/>
      <c r="T71" s="588"/>
      <c r="U71" s="187"/>
      <c r="V71" s="187"/>
      <c r="W71" s="184"/>
      <c r="X71" s="181"/>
      <c r="Y71" s="588"/>
      <c r="Z71" s="187"/>
      <c r="AA71" s="187"/>
      <c r="AB71" s="184"/>
      <c r="AC71" s="181"/>
      <c r="AD71" s="588"/>
      <c r="AE71" s="187"/>
      <c r="AF71" s="187"/>
      <c r="AG71" s="184"/>
      <c r="AH71" s="181"/>
      <c r="AI71" s="588"/>
      <c r="AJ71" s="187"/>
      <c r="AK71" s="187"/>
      <c r="AL71" s="184"/>
      <c r="AM71" s="181"/>
      <c r="AN71" s="588"/>
      <c r="AO71" s="187"/>
      <c r="AP71" s="187"/>
      <c r="AQ71" s="184"/>
      <c r="AR71" s="181"/>
      <c r="AS71" s="588"/>
      <c r="AT71" s="187"/>
      <c r="AU71" s="187"/>
      <c r="AV71" s="184"/>
      <c r="AW71" s="181"/>
      <c r="AX71" s="588"/>
    </row>
    <row r="72" spans="2:50" ht="14.25" customHeight="1">
      <c r="B72" s="586"/>
      <c r="C72" s="179">
        <v>6</v>
      </c>
      <c r="D72" s="182"/>
      <c r="E72" s="179"/>
      <c r="F72" s="179"/>
      <c r="G72" s="184"/>
      <c r="H72" s="588"/>
      <c r="I72" s="185"/>
      <c r="J72" s="185"/>
      <c r="K72" s="186"/>
      <c r="L72" s="589"/>
      <c r="M72" s="185"/>
      <c r="N72" s="586"/>
      <c r="O72" s="586"/>
      <c r="P72" s="187"/>
      <c r="Q72" s="187"/>
      <c r="R72" s="184"/>
      <c r="S72" s="181"/>
      <c r="T72" s="588"/>
      <c r="U72" s="187"/>
      <c r="V72" s="187"/>
      <c r="W72" s="184"/>
      <c r="X72" s="181"/>
      <c r="Y72" s="588"/>
      <c r="Z72" s="187"/>
      <c r="AA72" s="187"/>
      <c r="AB72" s="184"/>
      <c r="AC72" s="181"/>
      <c r="AD72" s="588"/>
      <c r="AE72" s="187"/>
      <c r="AF72" s="187"/>
      <c r="AG72" s="184"/>
      <c r="AH72" s="181"/>
      <c r="AI72" s="588"/>
      <c r="AJ72" s="187"/>
      <c r="AK72" s="187"/>
      <c r="AL72" s="184"/>
      <c r="AM72" s="181"/>
      <c r="AN72" s="588"/>
      <c r="AO72" s="187"/>
      <c r="AP72" s="187"/>
      <c r="AQ72" s="184"/>
      <c r="AR72" s="181"/>
      <c r="AS72" s="588"/>
      <c r="AT72" s="187"/>
      <c r="AU72" s="187"/>
      <c r="AV72" s="184"/>
      <c r="AW72" s="181"/>
      <c r="AX72" s="588"/>
    </row>
    <row r="73" spans="2:50" ht="14.25" customHeight="1">
      <c r="B73" s="586"/>
      <c r="C73" s="179">
        <v>7</v>
      </c>
      <c r="D73" s="182"/>
      <c r="E73" s="179"/>
      <c r="F73" s="179"/>
      <c r="G73" s="184"/>
      <c r="H73" s="588"/>
      <c r="I73" s="185"/>
      <c r="J73" s="185"/>
      <c r="K73" s="186"/>
      <c r="L73" s="589"/>
      <c r="M73" s="185"/>
      <c r="N73" s="586"/>
      <c r="O73" s="586"/>
      <c r="P73" s="187"/>
      <c r="Q73" s="187"/>
      <c r="R73" s="184"/>
      <c r="S73" s="181"/>
      <c r="T73" s="588"/>
      <c r="U73" s="187"/>
      <c r="V73" s="187"/>
      <c r="W73" s="184"/>
      <c r="X73" s="181"/>
      <c r="Y73" s="588"/>
      <c r="Z73" s="187"/>
      <c r="AA73" s="187"/>
      <c r="AB73" s="184"/>
      <c r="AC73" s="181"/>
      <c r="AD73" s="588"/>
      <c r="AE73" s="187"/>
      <c r="AF73" s="187"/>
      <c r="AG73" s="184"/>
      <c r="AH73" s="181"/>
      <c r="AI73" s="588"/>
      <c r="AJ73" s="187"/>
      <c r="AK73" s="187"/>
      <c r="AL73" s="184"/>
      <c r="AM73" s="181"/>
      <c r="AN73" s="588"/>
      <c r="AO73" s="187"/>
      <c r="AP73" s="187"/>
      <c r="AQ73" s="184"/>
      <c r="AR73" s="181"/>
      <c r="AS73" s="588"/>
      <c r="AT73" s="187"/>
      <c r="AU73" s="187"/>
      <c r="AV73" s="184"/>
      <c r="AW73" s="181"/>
      <c r="AX73" s="588"/>
    </row>
    <row r="74" spans="2:50" ht="14.25" customHeight="1">
      <c r="B74" s="586"/>
      <c r="C74" s="179">
        <v>8</v>
      </c>
      <c r="D74" s="182"/>
      <c r="E74" s="179"/>
      <c r="F74" s="179"/>
      <c r="G74" s="184"/>
      <c r="H74" s="588"/>
      <c r="I74" s="185"/>
      <c r="J74" s="185"/>
      <c r="K74" s="186"/>
      <c r="L74" s="589"/>
      <c r="M74" s="185"/>
      <c r="N74" s="586"/>
      <c r="O74" s="586"/>
      <c r="P74" s="187"/>
      <c r="Q74" s="187"/>
      <c r="R74" s="184"/>
      <c r="S74" s="181"/>
      <c r="T74" s="588"/>
      <c r="U74" s="187"/>
      <c r="V74" s="187"/>
      <c r="W74" s="184"/>
      <c r="X74" s="181"/>
      <c r="Y74" s="588"/>
      <c r="Z74" s="187"/>
      <c r="AA74" s="187"/>
      <c r="AB74" s="184"/>
      <c r="AC74" s="181"/>
      <c r="AD74" s="588"/>
      <c r="AE74" s="187"/>
      <c r="AF74" s="187"/>
      <c r="AG74" s="184"/>
      <c r="AH74" s="181"/>
      <c r="AI74" s="588"/>
      <c r="AJ74" s="187"/>
      <c r="AK74" s="187"/>
      <c r="AL74" s="184"/>
      <c r="AM74" s="181"/>
      <c r="AN74" s="588"/>
      <c r="AO74" s="187"/>
      <c r="AP74" s="187"/>
      <c r="AQ74" s="184"/>
      <c r="AR74" s="181"/>
      <c r="AS74" s="588"/>
      <c r="AT74" s="187"/>
      <c r="AU74" s="187"/>
      <c r="AV74" s="184"/>
      <c r="AW74" s="181"/>
      <c r="AX74" s="588"/>
    </row>
    <row r="75" spans="2:50" ht="14.25" customHeight="1">
      <c r="B75" s="586"/>
      <c r="C75" s="179">
        <v>9</v>
      </c>
      <c r="D75" s="182"/>
      <c r="E75" s="179"/>
      <c r="F75" s="179"/>
      <c r="G75" s="184"/>
      <c r="H75" s="588"/>
      <c r="I75" s="185"/>
      <c r="J75" s="185"/>
      <c r="K75" s="186"/>
      <c r="L75" s="589"/>
      <c r="M75" s="185"/>
      <c r="N75" s="586"/>
      <c r="O75" s="586"/>
      <c r="P75" s="187"/>
      <c r="Q75" s="187"/>
      <c r="R75" s="184"/>
      <c r="S75" s="181"/>
      <c r="T75" s="588"/>
      <c r="U75" s="187"/>
      <c r="V75" s="187"/>
      <c r="W75" s="184"/>
      <c r="X75" s="181"/>
      <c r="Y75" s="588"/>
      <c r="Z75" s="187"/>
      <c r="AA75" s="187"/>
      <c r="AB75" s="184"/>
      <c r="AC75" s="181"/>
      <c r="AD75" s="588"/>
      <c r="AE75" s="187"/>
      <c r="AF75" s="187"/>
      <c r="AG75" s="184"/>
      <c r="AH75" s="181"/>
      <c r="AI75" s="588"/>
      <c r="AJ75" s="187"/>
      <c r="AK75" s="187"/>
      <c r="AL75" s="184"/>
      <c r="AM75" s="181"/>
      <c r="AN75" s="588"/>
      <c r="AO75" s="187"/>
      <c r="AP75" s="187"/>
      <c r="AQ75" s="184"/>
      <c r="AR75" s="181"/>
      <c r="AS75" s="588"/>
      <c r="AT75" s="187"/>
      <c r="AU75" s="187"/>
      <c r="AV75" s="184"/>
      <c r="AW75" s="181"/>
      <c r="AX75" s="588"/>
    </row>
    <row r="76" spans="2:50" ht="14.25" customHeight="1">
      <c r="B76" s="586"/>
      <c r="C76" s="179">
        <v>10</v>
      </c>
      <c r="D76" s="182"/>
      <c r="E76" s="179"/>
      <c r="F76" s="179"/>
      <c r="G76" s="184"/>
      <c r="H76" s="588"/>
      <c r="I76" s="185"/>
      <c r="J76" s="185"/>
      <c r="K76" s="186"/>
      <c r="L76" s="589"/>
      <c r="M76" s="185"/>
      <c r="N76" s="586"/>
      <c r="O76" s="586"/>
      <c r="P76" s="187"/>
      <c r="Q76" s="187"/>
      <c r="R76" s="184"/>
      <c r="S76" s="181"/>
      <c r="T76" s="588"/>
      <c r="U76" s="187"/>
      <c r="V76" s="187"/>
      <c r="W76" s="184"/>
      <c r="X76" s="181"/>
      <c r="Y76" s="588"/>
      <c r="Z76" s="187"/>
      <c r="AA76" s="187"/>
      <c r="AB76" s="184"/>
      <c r="AC76" s="181"/>
      <c r="AD76" s="588"/>
      <c r="AE76" s="187"/>
      <c r="AF76" s="187"/>
      <c r="AG76" s="184"/>
      <c r="AH76" s="181"/>
      <c r="AI76" s="588"/>
      <c r="AJ76" s="187"/>
      <c r="AK76" s="187"/>
      <c r="AL76" s="184"/>
      <c r="AM76" s="181"/>
      <c r="AN76" s="588"/>
      <c r="AO76" s="187"/>
      <c r="AP76" s="187"/>
      <c r="AQ76" s="184"/>
      <c r="AR76" s="181"/>
      <c r="AS76" s="588"/>
      <c r="AT76" s="187"/>
      <c r="AU76" s="187"/>
      <c r="AV76" s="184"/>
      <c r="AW76" s="181"/>
      <c r="AX76" s="588"/>
    </row>
    <row r="77" spans="2:50" ht="14.25" customHeight="1">
      <c r="B77" s="586"/>
      <c r="C77" s="179">
        <v>11</v>
      </c>
      <c r="D77" s="182"/>
      <c r="E77" s="179"/>
      <c r="F77" s="179"/>
      <c r="G77" s="184"/>
      <c r="H77" s="588"/>
      <c r="I77" s="185"/>
      <c r="J77" s="185"/>
      <c r="K77" s="186"/>
      <c r="L77" s="589"/>
      <c r="M77" s="185"/>
      <c r="N77" s="586"/>
      <c r="O77" s="586"/>
      <c r="P77" s="187"/>
      <c r="Q77" s="187"/>
      <c r="R77" s="184"/>
      <c r="S77" s="181"/>
      <c r="T77" s="588"/>
      <c r="U77" s="187"/>
      <c r="V77" s="187"/>
      <c r="W77" s="184"/>
      <c r="X77" s="181"/>
      <c r="Y77" s="588"/>
      <c r="Z77" s="187"/>
      <c r="AA77" s="187"/>
      <c r="AB77" s="184"/>
      <c r="AC77" s="181"/>
      <c r="AD77" s="588"/>
      <c r="AE77" s="187"/>
      <c r="AF77" s="187"/>
      <c r="AG77" s="184"/>
      <c r="AH77" s="181"/>
      <c r="AI77" s="588"/>
      <c r="AJ77" s="187"/>
      <c r="AK77" s="187"/>
      <c r="AL77" s="184"/>
      <c r="AM77" s="181"/>
      <c r="AN77" s="588"/>
      <c r="AO77" s="187"/>
      <c r="AP77" s="187"/>
      <c r="AQ77" s="184"/>
      <c r="AR77" s="181"/>
      <c r="AS77" s="588"/>
      <c r="AT77" s="187"/>
      <c r="AU77" s="187"/>
      <c r="AV77" s="184"/>
      <c r="AW77" s="181"/>
      <c r="AX77" s="588"/>
    </row>
    <row r="78" spans="2:50" ht="14.25" customHeight="1">
      <c r="B78" s="586"/>
      <c r="C78" s="179">
        <v>12</v>
      </c>
      <c r="D78" s="182"/>
      <c r="E78" s="179"/>
      <c r="F78" s="179"/>
      <c r="G78" s="184"/>
      <c r="H78" s="588"/>
      <c r="I78" s="185"/>
      <c r="J78" s="185"/>
      <c r="K78" s="186"/>
      <c r="L78" s="589"/>
      <c r="M78" s="185"/>
      <c r="N78" s="586"/>
      <c r="O78" s="586"/>
      <c r="P78" s="187"/>
      <c r="Q78" s="187"/>
      <c r="R78" s="184"/>
      <c r="S78" s="181"/>
      <c r="T78" s="588"/>
      <c r="U78" s="187"/>
      <c r="V78" s="187"/>
      <c r="W78" s="184"/>
      <c r="X78" s="181"/>
      <c r="Y78" s="588"/>
      <c r="Z78" s="187"/>
      <c r="AA78" s="187"/>
      <c r="AB78" s="184"/>
      <c r="AC78" s="181"/>
      <c r="AD78" s="588"/>
      <c r="AE78" s="187"/>
      <c r="AF78" s="187"/>
      <c r="AG78" s="184"/>
      <c r="AH78" s="181"/>
      <c r="AI78" s="588"/>
      <c r="AJ78" s="187"/>
      <c r="AK78" s="187"/>
      <c r="AL78" s="184"/>
      <c r="AM78" s="181"/>
      <c r="AN78" s="588"/>
      <c r="AO78" s="187"/>
      <c r="AP78" s="187"/>
      <c r="AQ78" s="184"/>
      <c r="AR78" s="181"/>
      <c r="AS78" s="588"/>
      <c r="AT78" s="187"/>
      <c r="AU78" s="187"/>
      <c r="AV78" s="184"/>
      <c r="AW78" s="181"/>
      <c r="AX78" s="588"/>
    </row>
    <row r="79" spans="2:50" ht="14.25" customHeight="1">
      <c r="B79" s="586"/>
      <c r="C79" s="179">
        <v>13</v>
      </c>
      <c r="D79" s="182"/>
      <c r="E79" s="179"/>
      <c r="F79" s="179"/>
      <c r="G79" s="184"/>
      <c r="H79" s="588"/>
      <c r="I79" s="185"/>
      <c r="J79" s="185"/>
      <c r="K79" s="186"/>
      <c r="L79" s="589"/>
      <c r="M79" s="185"/>
      <c r="N79" s="586"/>
      <c r="O79" s="586"/>
      <c r="P79" s="187"/>
      <c r="Q79" s="187"/>
      <c r="R79" s="184"/>
      <c r="S79" s="181"/>
      <c r="T79" s="588"/>
      <c r="U79" s="187"/>
      <c r="V79" s="187"/>
      <c r="W79" s="184"/>
      <c r="X79" s="181"/>
      <c r="Y79" s="588"/>
      <c r="Z79" s="187"/>
      <c r="AA79" s="187"/>
      <c r="AB79" s="184"/>
      <c r="AC79" s="181"/>
      <c r="AD79" s="588"/>
      <c r="AE79" s="187"/>
      <c r="AF79" s="187"/>
      <c r="AG79" s="184"/>
      <c r="AH79" s="181"/>
      <c r="AI79" s="588"/>
      <c r="AJ79" s="187"/>
      <c r="AK79" s="187"/>
      <c r="AL79" s="184"/>
      <c r="AM79" s="181"/>
      <c r="AN79" s="588"/>
      <c r="AO79" s="187"/>
      <c r="AP79" s="187"/>
      <c r="AQ79" s="184"/>
      <c r="AR79" s="181"/>
      <c r="AS79" s="588"/>
      <c r="AT79" s="187"/>
      <c r="AU79" s="187"/>
      <c r="AV79" s="184"/>
      <c r="AW79" s="181"/>
      <c r="AX79" s="588"/>
    </row>
    <row r="80" spans="2:50" ht="14.25" customHeight="1">
      <c r="B80" s="586"/>
      <c r="C80" s="179">
        <v>14</v>
      </c>
      <c r="D80" s="182"/>
      <c r="E80" s="179"/>
      <c r="F80" s="179"/>
      <c r="G80" s="184"/>
      <c r="H80" s="588"/>
      <c r="I80" s="185"/>
      <c r="J80" s="185"/>
      <c r="K80" s="186"/>
      <c r="L80" s="589"/>
      <c r="M80" s="185"/>
      <c r="N80" s="586"/>
      <c r="O80" s="586"/>
      <c r="P80" s="187"/>
      <c r="Q80" s="187"/>
      <c r="R80" s="184"/>
      <c r="S80" s="181"/>
      <c r="T80" s="588"/>
      <c r="U80" s="187"/>
      <c r="V80" s="187"/>
      <c r="W80" s="184"/>
      <c r="X80" s="181"/>
      <c r="Y80" s="588"/>
      <c r="Z80" s="187"/>
      <c r="AA80" s="187"/>
      <c r="AB80" s="184"/>
      <c r="AC80" s="181"/>
      <c r="AD80" s="588"/>
      <c r="AE80" s="187"/>
      <c r="AF80" s="187"/>
      <c r="AG80" s="184"/>
      <c r="AH80" s="181"/>
      <c r="AI80" s="588"/>
      <c r="AJ80" s="187"/>
      <c r="AK80" s="187"/>
      <c r="AL80" s="184"/>
      <c r="AM80" s="181"/>
      <c r="AN80" s="588"/>
      <c r="AO80" s="187"/>
      <c r="AP80" s="187"/>
      <c r="AQ80" s="184"/>
      <c r="AR80" s="181"/>
      <c r="AS80" s="588"/>
      <c r="AT80" s="187"/>
      <c r="AU80" s="187"/>
      <c r="AV80" s="184"/>
      <c r="AW80" s="181"/>
      <c r="AX80" s="588"/>
    </row>
    <row r="81" spans="2:50" ht="14.25" customHeight="1">
      <c r="B81" s="586"/>
      <c r="C81" s="179">
        <v>15</v>
      </c>
      <c r="D81" s="182"/>
      <c r="E81" s="179"/>
      <c r="F81" s="179"/>
      <c r="G81" s="184"/>
      <c r="H81" s="588"/>
      <c r="I81" s="185"/>
      <c r="J81" s="185"/>
      <c r="K81" s="186"/>
      <c r="L81" s="589"/>
      <c r="M81" s="185"/>
      <c r="N81" s="586"/>
      <c r="O81" s="586"/>
      <c r="P81" s="187"/>
      <c r="Q81" s="187"/>
      <c r="R81" s="184"/>
      <c r="S81" s="181"/>
      <c r="T81" s="588"/>
      <c r="U81" s="187"/>
      <c r="V81" s="187"/>
      <c r="W81" s="184"/>
      <c r="X81" s="181"/>
      <c r="Y81" s="588"/>
      <c r="Z81" s="187"/>
      <c r="AA81" s="187"/>
      <c r="AB81" s="184"/>
      <c r="AC81" s="181"/>
      <c r="AD81" s="588"/>
      <c r="AE81" s="187"/>
      <c r="AF81" s="187"/>
      <c r="AG81" s="184"/>
      <c r="AH81" s="181"/>
      <c r="AI81" s="588"/>
      <c r="AJ81" s="187"/>
      <c r="AK81" s="187"/>
      <c r="AL81" s="184"/>
      <c r="AM81" s="181"/>
      <c r="AN81" s="588"/>
      <c r="AO81" s="187"/>
      <c r="AP81" s="187"/>
      <c r="AQ81" s="184"/>
      <c r="AR81" s="181"/>
      <c r="AS81" s="588"/>
      <c r="AT81" s="187"/>
      <c r="AU81" s="187"/>
      <c r="AV81" s="184"/>
      <c r="AW81" s="181"/>
      <c r="AX81" s="588"/>
    </row>
    <row r="82" spans="2:50" ht="14.25" customHeight="1">
      <c r="B82" s="612" t="s">
        <v>773</v>
      </c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4"/>
      <c r="N82" s="617" t="s">
        <v>341</v>
      </c>
      <c r="O82" s="617" t="s">
        <v>105</v>
      </c>
      <c r="P82" s="608">
        <v>46259</v>
      </c>
      <c r="Q82" s="609"/>
      <c r="R82" s="609"/>
      <c r="S82" s="609"/>
      <c r="T82" s="609"/>
      <c r="U82" s="610">
        <v>46260</v>
      </c>
      <c r="V82" s="611"/>
      <c r="W82" s="611"/>
      <c r="X82" s="611"/>
      <c r="Y82" s="611"/>
      <c r="Z82" s="608">
        <v>46261</v>
      </c>
      <c r="AA82" s="609"/>
      <c r="AB82" s="609"/>
      <c r="AC82" s="609"/>
      <c r="AD82" s="609"/>
      <c r="AE82" s="610">
        <v>46262</v>
      </c>
      <c r="AF82" s="611"/>
      <c r="AG82" s="611"/>
      <c r="AH82" s="611"/>
      <c r="AI82" s="611"/>
      <c r="AJ82" s="592">
        <v>46263</v>
      </c>
      <c r="AK82" s="593"/>
      <c r="AL82" s="593"/>
      <c r="AM82" s="593"/>
      <c r="AN82" s="594"/>
      <c r="AO82" s="610">
        <v>46264</v>
      </c>
      <c r="AP82" s="611"/>
      <c r="AQ82" s="611"/>
      <c r="AR82" s="611"/>
      <c r="AS82" s="611"/>
      <c r="AT82" s="592">
        <v>46265</v>
      </c>
      <c r="AU82" s="593"/>
      <c r="AV82" s="593"/>
      <c r="AW82" s="593"/>
      <c r="AX82" s="594"/>
    </row>
    <row r="83" spans="2:50" ht="14.25" customHeight="1"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6"/>
      <c r="N83" s="618"/>
      <c r="O83" s="618"/>
      <c r="P83" s="595">
        <v>46196</v>
      </c>
      <c r="Q83" s="595"/>
      <c r="R83" s="595"/>
      <c r="S83" s="595"/>
      <c r="T83" s="595"/>
      <c r="U83" s="596">
        <v>46197</v>
      </c>
      <c r="V83" s="596"/>
      <c r="W83" s="596"/>
      <c r="X83" s="596"/>
      <c r="Y83" s="596"/>
      <c r="Z83" s="595">
        <v>46198</v>
      </c>
      <c r="AA83" s="595"/>
      <c r="AB83" s="595"/>
      <c r="AC83" s="595"/>
      <c r="AD83" s="595"/>
      <c r="AE83" s="596">
        <v>46199</v>
      </c>
      <c r="AF83" s="596"/>
      <c r="AG83" s="596"/>
      <c r="AH83" s="596"/>
      <c r="AI83" s="596"/>
      <c r="AJ83" s="597">
        <v>46200</v>
      </c>
      <c r="AK83" s="598"/>
      <c r="AL83" s="598"/>
      <c r="AM83" s="598"/>
      <c r="AN83" s="599"/>
      <c r="AO83" s="596">
        <v>46201</v>
      </c>
      <c r="AP83" s="596"/>
      <c r="AQ83" s="596"/>
      <c r="AR83" s="596"/>
      <c r="AS83" s="596"/>
      <c r="AT83" s="597">
        <v>46202</v>
      </c>
      <c r="AU83" s="598"/>
      <c r="AV83" s="598"/>
      <c r="AW83" s="598"/>
      <c r="AX83" s="599"/>
    </row>
    <row r="84" spans="2:50" ht="14.25" customHeight="1">
      <c r="B84" s="586" t="s">
        <v>162</v>
      </c>
      <c r="C84" s="586" t="s">
        <v>157</v>
      </c>
      <c r="D84" s="586"/>
      <c r="E84" s="586" t="s">
        <v>158</v>
      </c>
      <c r="F84" s="586"/>
      <c r="G84" s="586"/>
      <c r="H84" s="586" t="s">
        <v>163</v>
      </c>
      <c r="I84" s="591" t="s">
        <v>342</v>
      </c>
      <c r="J84" s="591"/>
      <c r="K84" s="591"/>
      <c r="L84" s="591" t="s">
        <v>163</v>
      </c>
      <c r="M84" s="591" t="s">
        <v>165</v>
      </c>
      <c r="N84" s="586"/>
      <c r="O84" s="586" t="s">
        <v>164</v>
      </c>
      <c r="P84" s="586" t="s">
        <v>160</v>
      </c>
      <c r="Q84" s="586"/>
      <c r="R84" s="586"/>
      <c r="S84" s="586"/>
      <c r="T84" s="586" t="s">
        <v>163</v>
      </c>
      <c r="U84" s="586" t="s">
        <v>160</v>
      </c>
      <c r="V84" s="586"/>
      <c r="W84" s="586"/>
      <c r="X84" s="586"/>
      <c r="Y84" s="586" t="s">
        <v>163</v>
      </c>
      <c r="Z84" s="586" t="s">
        <v>160</v>
      </c>
      <c r="AA84" s="586"/>
      <c r="AB84" s="586"/>
      <c r="AC84" s="586"/>
      <c r="AD84" s="586" t="s">
        <v>163</v>
      </c>
      <c r="AE84" s="586" t="s">
        <v>160</v>
      </c>
      <c r="AF84" s="586"/>
      <c r="AG84" s="586"/>
      <c r="AH84" s="586"/>
      <c r="AI84" s="586" t="s">
        <v>163</v>
      </c>
      <c r="AJ84" s="586" t="s">
        <v>160</v>
      </c>
      <c r="AK84" s="586"/>
      <c r="AL84" s="586"/>
      <c r="AM84" s="586"/>
      <c r="AN84" s="586" t="s">
        <v>163</v>
      </c>
      <c r="AO84" s="586" t="s">
        <v>160</v>
      </c>
      <c r="AP84" s="586"/>
      <c r="AQ84" s="586"/>
      <c r="AR84" s="586"/>
      <c r="AS84" s="586" t="s">
        <v>163</v>
      </c>
      <c r="AT84" s="586" t="s">
        <v>160</v>
      </c>
      <c r="AU84" s="586"/>
      <c r="AV84" s="586"/>
      <c r="AW84" s="586"/>
      <c r="AX84" s="586" t="s">
        <v>163</v>
      </c>
    </row>
    <row r="85" spans="2:50" ht="14.25" customHeight="1">
      <c r="B85" s="586"/>
      <c r="C85" s="586"/>
      <c r="D85" s="586"/>
      <c r="E85" s="586" t="s">
        <v>343</v>
      </c>
      <c r="F85" s="586"/>
      <c r="G85" s="586"/>
      <c r="H85" s="586"/>
      <c r="I85" s="591" t="s">
        <v>343</v>
      </c>
      <c r="J85" s="591"/>
      <c r="K85" s="591"/>
      <c r="L85" s="591"/>
      <c r="M85" s="591"/>
      <c r="N85" s="586"/>
      <c r="O85" s="586"/>
      <c r="P85" s="586" t="s">
        <v>344</v>
      </c>
      <c r="Q85" s="586"/>
      <c r="R85" s="586"/>
      <c r="S85" s="586"/>
      <c r="T85" s="586"/>
      <c r="U85" s="586" t="s">
        <v>344</v>
      </c>
      <c r="V85" s="586"/>
      <c r="W85" s="586"/>
      <c r="X85" s="586"/>
      <c r="Y85" s="586"/>
      <c r="Z85" s="586" t="s">
        <v>344</v>
      </c>
      <c r="AA85" s="586"/>
      <c r="AB85" s="586"/>
      <c r="AC85" s="586"/>
      <c r="AD85" s="586"/>
      <c r="AE85" s="586" t="s">
        <v>344</v>
      </c>
      <c r="AF85" s="586"/>
      <c r="AG85" s="586"/>
      <c r="AH85" s="586"/>
      <c r="AI85" s="586"/>
      <c r="AJ85" s="586" t="s">
        <v>344</v>
      </c>
      <c r="AK85" s="586"/>
      <c r="AL85" s="586"/>
      <c r="AM85" s="586"/>
      <c r="AN85" s="586"/>
      <c r="AO85" s="586" t="s">
        <v>344</v>
      </c>
      <c r="AP85" s="586"/>
      <c r="AQ85" s="586"/>
      <c r="AR85" s="586"/>
      <c r="AS85" s="586"/>
      <c r="AT85" s="586" t="s">
        <v>344</v>
      </c>
      <c r="AU85" s="586"/>
      <c r="AV85" s="586"/>
      <c r="AW85" s="586"/>
      <c r="AX85" s="586"/>
    </row>
    <row r="86" spans="2:50" ht="14.25" customHeight="1">
      <c r="B86" s="586"/>
      <c r="C86" s="586"/>
      <c r="D86" s="586"/>
      <c r="E86" s="179" t="s">
        <v>159</v>
      </c>
      <c r="F86" s="179" t="s">
        <v>345</v>
      </c>
      <c r="G86" s="179" t="s">
        <v>161</v>
      </c>
      <c r="H86" s="586"/>
      <c r="I86" s="180" t="s">
        <v>159</v>
      </c>
      <c r="J86" s="180" t="s">
        <v>345</v>
      </c>
      <c r="K86" s="180" t="s">
        <v>161</v>
      </c>
      <c r="L86" s="591"/>
      <c r="M86" s="591"/>
      <c r="N86" s="586"/>
      <c r="O86" s="586"/>
      <c r="P86" s="179" t="s">
        <v>159</v>
      </c>
      <c r="Q86" s="179" t="s">
        <v>345</v>
      </c>
      <c r="R86" s="179" t="s">
        <v>161</v>
      </c>
      <c r="S86" s="181" t="s">
        <v>165</v>
      </c>
      <c r="T86" s="586"/>
      <c r="U86" s="179" t="s">
        <v>159</v>
      </c>
      <c r="V86" s="179" t="s">
        <v>345</v>
      </c>
      <c r="W86" s="179" t="s">
        <v>161</v>
      </c>
      <c r="X86" s="181" t="s">
        <v>165</v>
      </c>
      <c r="Y86" s="586"/>
      <c r="Z86" s="179" t="s">
        <v>159</v>
      </c>
      <c r="AA86" s="179" t="s">
        <v>345</v>
      </c>
      <c r="AB86" s="179" t="s">
        <v>161</v>
      </c>
      <c r="AC86" s="181" t="s">
        <v>165</v>
      </c>
      <c r="AD86" s="586"/>
      <c r="AE86" s="179" t="s">
        <v>159</v>
      </c>
      <c r="AF86" s="179" t="s">
        <v>345</v>
      </c>
      <c r="AG86" s="179" t="s">
        <v>161</v>
      </c>
      <c r="AH86" s="181" t="s">
        <v>165</v>
      </c>
      <c r="AI86" s="586"/>
      <c r="AJ86" s="179" t="s">
        <v>159</v>
      </c>
      <c r="AK86" s="179" t="s">
        <v>345</v>
      </c>
      <c r="AL86" s="179" t="s">
        <v>161</v>
      </c>
      <c r="AM86" s="181" t="s">
        <v>165</v>
      </c>
      <c r="AN86" s="586"/>
      <c r="AO86" s="179" t="s">
        <v>159</v>
      </c>
      <c r="AP86" s="179" t="s">
        <v>345</v>
      </c>
      <c r="AQ86" s="179" t="s">
        <v>161</v>
      </c>
      <c r="AR86" s="181" t="s">
        <v>165</v>
      </c>
      <c r="AS86" s="586"/>
      <c r="AT86" s="179" t="s">
        <v>159</v>
      </c>
      <c r="AU86" s="179" t="s">
        <v>345</v>
      </c>
      <c r="AV86" s="179" t="s">
        <v>161</v>
      </c>
      <c r="AW86" s="181" t="s">
        <v>165</v>
      </c>
      <c r="AX86" s="586"/>
    </row>
    <row r="87" spans="2:50" ht="14.25" customHeight="1">
      <c r="B87" s="586" t="s">
        <v>143</v>
      </c>
      <c r="C87" s="179">
        <v>1</v>
      </c>
      <c r="D87" s="182" t="s">
        <v>549</v>
      </c>
      <c r="E87" s="183">
        <v>19</v>
      </c>
      <c r="F87" s="179">
        <v>2000</v>
      </c>
      <c r="G87" s="184">
        <f t="shared" ref="G87:G88" si="57">IFERROR(F87/E87,"")</f>
        <v>105.26315789473684</v>
      </c>
      <c r="H87" s="588">
        <f>AVERAGE(G87:G101)</f>
        <v>98.785425101214571</v>
      </c>
      <c r="I87" s="185">
        <f>AVERAGE(P87,U87,Z87,AE87,AJ87,AO87,AT87)</f>
        <v>19</v>
      </c>
      <c r="J87" s="185">
        <f>AVERAGE(Q87,V87,AA87,AF87,AK87,AP87,AU87)</f>
        <v>1803.5423440132395</v>
      </c>
      <c r="K87" s="186">
        <f>AVERAGE(R87,W87,AB87,AG87,AL87,AQ87,AV87)</f>
        <v>94.923281263854719</v>
      </c>
      <c r="L87" s="589">
        <f>IFERROR(AVERAGE(K87:K101),"-")</f>
        <v>89.167635232135822</v>
      </c>
      <c r="M87" s="185">
        <f>RANK(K87, K$87:$K$101)</f>
        <v>1</v>
      </c>
      <c r="N87" s="586"/>
      <c r="O87" s="586"/>
      <c r="P87" s="187">
        <v>19</v>
      </c>
      <c r="Q87" s="187">
        <v>1803.9709154418103</v>
      </c>
      <c r="R87" s="184">
        <f>IFERROR(Q87/P87,"")</f>
        <v>94.945837654832118</v>
      </c>
      <c r="S87" s="181">
        <f>RANK(R87, R$87:R$101)</f>
        <v>1</v>
      </c>
      <c r="T87" s="588">
        <f>AVERAGE(R87:R101)</f>
        <v>89.167045295756395</v>
      </c>
      <c r="U87" s="187">
        <v>19</v>
      </c>
      <c r="V87" s="187">
        <v>1804.3709154418104</v>
      </c>
      <c r="W87" s="184">
        <f t="shared" ref="W87:W88" si="58">IFERROR(V87/U87,"")</f>
        <v>94.966890286411072</v>
      </c>
      <c r="X87" s="181">
        <f>RANK(W87, W$87:W$101)</f>
        <v>1</v>
      </c>
      <c r="Y87" s="588">
        <f>AVERAGE(W87:W101)</f>
        <v>89.191417765392004</v>
      </c>
      <c r="Z87" s="187">
        <v>19</v>
      </c>
      <c r="AA87" s="187">
        <v>1803.7709154418105</v>
      </c>
      <c r="AB87" s="184">
        <f>IFERROR(AA87/Z87,"")</f>
        <v>94.935311339042656</v>
      </c>
      <c r="AC87" s="181">
        <f>RANK(AB87, AB$87:AB$101)</f>
        <v>1</v>
      </c>
      <c r="AD87" s="588">
        <f>AVERAGE(AB87:AB101)</f>
        <v>89.166397522477041</v>
      </c>
      <c r="AE87" s="187">
        <v>19</v>
      </c>
      <c r="AF87" s="187">
        <v>1803.3709154418107</v>
      </c>
      <c r="AG87" s="184">
        <f>IFERROR(AF87/AE87,"")</f>
        <v>94.914258707463716</v>
      </c>
      <c r="AH87" s="181">
        <f>RANK(AG87, AG$87:AG$101)</f>
        <v>1</v>
      </c>
      <c r="AI87" s="588">
        <f>AVERAGE(AG87:AG101)</f>
        <v>89.178948129764507</v>
      </c>
      <c r="AJ87" s="187">
        <v>19</v>
      </c>
      <c r="AK87" s="187">
        <v>1803.770915441811</v>
      </c>
      <c r="AL87" s="184">
        <f>IFERROR(AK87/AJ87,"")</f>
        <v>94.935311339042684</v>
      </c>
      <c r="AM87" s="181">
        <f>RANK(AL87, AL$87:AL$101)</f>
        <v>1</v>
      </c>
      <c r="AN87" s="588">
        <f>AVERAGE(AL87:AL101)</f>
        <v>89.175628291707838</v>
      </c>
      <c r="AO87" s="187">
        <v>19</v>
      </c>
      <c r="AP87" s="187">
        <v>1802.9709154418115</v>
      </c>
      <c r="AQ87" s="184">
        <f>IFERROR(AP87/AO87,"")</f>
        <v>94.893206075884819</v>
      </c>
      <c r="AR87" s="181">
        <f>RANK(AQ87, AQ$87:AQ$101)</f>
        <v>1</v>
      </c>
      <c r="AS87" s="588">
        <f>AVERAGE(AQ87:AQ101)</f>
        <v>89.15919104474429</v>
      </c>
      <c r="AT87" s="187">
        <v>19</v>
      </c>
      <c r="AU87" s="187">
        <v>1802.5709154418116</v>
      </c>
      <c r="AV87" s="184">
        <f>IFERROR(AU87/AT87,"")</f>
        <v>94.87215344430588</v>
      </c>
      <c r="AW87" s="181">
        <f>RANK(AV87, AV$87:AV$101)</f>
        <v>1</v>
      </c>
      <c r="AX87" s="588">
        <f>AVERAGE(AV87:AV101)</f>
        <v>89.134818575108667</v>
      </c>
    </row>
    <row r="88" spans="2:50" ht="14.25" customHeight="1">
      <c r="B88" s="586"/>
      <c r="C88" s="179">
        <v>2</v>
      </c>
      <c r="D88" s="182" t="s">
        <v>332</v>
      </c>
      <c r="E88" s="179">
        <v>13</v>
      </c>
      <c r="F88" s="179">
        <v>1200</v>
      </c>
      <c r="G88" s="184">
        <f t="shared" si="57"/>
        <v>92.307692307692307</v>
      </c>
      <c r="H88" s="588"/>
      <c r="I88" s="185">
        <f t="shared" ref="I88:K88" si="59">AVERAGE(P88,U88,Z88,AE88,AJ88,AO88,AT88)</f>
        <v>13</v>
      </c>
      <c r="J88" s="185">
        <f t="shared" si="59"/>
        <v>1084.3558596054202</v>
      </c>
      <c r="K88" s="186">
        <f t="shared" si="59"/>
        <v>83.411989200416926</v>
      </c>
      <c r="L88" s="589"/>
      <c r="M88" s="185">
        <f>RANK(K88, K$87:$K$101)</f>
        <v>2</v>
      </c>
      <c r="N88" s="586"/>
      <c r="O88" s="586"/>
      <c r="P88" s="187">
        <v>13</v>
      </c>
      <c r="Q88" s="187">
        <v>1084.0472881768485</v>
      </c>
      <c r="R88" s="184">
        <f t="shared" ref="R88" si="60">IFERROR(Q88/P88,"")</f>
        <v>83.388252936680658</v>
      </c>
      <c r="S88" s="181">
        <f>RANK(R88, R$87:R$101)</f>
        <v>2</v>
      </c>
      <c r="T88" s="588"/>
      <c r="U88" s="187">
        <v>13</v>
      </c>
      <c r="V88" s="187">
        <v>1084.4072881768484</v>
      </c>
      <c r="W88" s="184">
        <f t="shared" si="58"/>
        <v>83.415945244372949</v>
      </c>
      <c r="X88" s="181">
        <f>RANK(W88, W$87:W$101)</f>
        <v>2</v>
      </c>
      <c r="Y88" s="588"/>
      <c r="Z88" s="187">
        <v>13</v>
      </c>
      <c r="AA88" s="187">
        <v>1084.1672881768486</v>
      </c>
      <c r="AB88" s="184">
        <f t="shared" ref="AB88" si="61">IFERROR(AA88/Z88,"")</f>
        <v>83.397483705911426</v>
      </c>
      <c r="AC88" s="181">
        <f>RANK(AB88, AB$87:AB$101)</f>
        <v>2</v>
      </c>
      <c r="AD88" s="588"/>
      <c r="AE88" s="187">
        <v>13</v>
      </c>
      <c r="AF88" s="187">
        <v>1084.7672881768488</v>
      </c>
      <c r="AG88" s="184">
        <f t="shared" ref="AG88" si="62">IFERROR(AF88/AE88,"")</f>
        <v>83.443637552065283</v>
      </c>
      <c r="AH88" s="181">
        <f>RANK(AG88, AG$87:AG$101)</f>
        <v>2</v>
      </c>
      <c r="AI88" s="588"/>
      <c r="AJ88" s="187">
        <v>13</v>
      </c>
      <c r="AK88" s="187">
        <v>1084.4072881768489</v>
      </c>
      <c r="AL88" s="184">
        <f t="shared" ref="AL88" si="63">IFERROR(AK88/AJ88,"")</f>
        <v>83.415945244372992</v>
      </c>
      <c r="AM88" s="181">
        <f>RANK(AL88, AL$87:AL$101)</f>
        <v>2</v>
      </c>
      <c r="AN88" s="588"/>
      <c r="AO88" s="187">
        <v>13</v>
      </c>
      <c r="AP88" s="187">
        <v>1084.527288176849</v>
      </c>
      <c r="AQ88" s="184">
        <f t="shared" ref="AQ88" si="64">IFERROR(AP88/AO88,"")</f>
        <v>83.42517601360376</v>
      </c>
      <c r="AR88" s="181">
        <f>RANK(AQ88, AQ$87:AQ$101)</f>
        <v>2</v>
      </c>
      <c r="AS88" s="588"/>
      <c r="AT88" s="187">
        <v>13</v>
      </c>
      <c r="AU88" s="187">
        <v>1084.1672881768488</v>
      </c>
      <c r="AV88" s="184">
        <f t="shared" ref="AV88" si="65">IFERROR(AU88/AT88,"")</f>
        <v>83.397483705911455</v>
      </c>
      <c r="AW88" s="181">
        <f>RANK(AV88, AV$87:AV$101)</f>
        <v>2</v>
      </c>
      <c r="AX88" s="588"/>
    </row>
    <row r="89" spans="2:50" ht="14.25" customHeight="1">
      <c r="B89" s="586"/>
      <c r="C89" s="179">
        <v>3</v>
      </c>
      <c r="D89" s="182"/>
      <c r="E89" s="179"/>
      <c r="F89" s="179"/>
      <c r="G89" s="184"/>
      <c r="H89" s="588"/>
      <c r="I89" s="185"/>
      <c r="J89" s="185"/>
      <c r="K89" s="186"/>
      <c r="L89" s="589"/>
      <c r="M89" s="185"/>
      <c r="N89" s="586"/>
      <c r="O89" s="586"/>
      <c r="P89" s="187"/>
      <c r="Q89" s="187"/>
      <c r="R89" s="184"/>
      <c r="S89" s="181"/>
      <c r="T89" s="588"/>
      <c r="U89" s="187"/>
      <c r="V89" s="187"/>
      <c r="W89" s="184"/>
      <c r="X89" s="181"/>
      <c r="Y89" s="588"/>
      <c r="Z89" s="187"/>
      <c r="AA89" s="187"/>
      <c r="AB89" s="184"/>
      <c r="AC89" s="181"/>
      <c r="AD89" s="588"/>
      <c r="AE89" s="187"/>
      <c r="AF89" s="187"/>
      <c r="AG89" s="184"/>
      <c r="AH89" s="181"/>
      <c r="AI89" s="588"/>
      <c r="AJ89" s="187"/>
      <c r="AK89" s="187"/>
      <c r="AL89" s="184"/>
      <c r="AM89" s="181"/>
      <c r="AN89" s="588"/>
      <c r="AO89" s="187"/>
      <c r="AP89" s="187"/>
      <c r="AQ89" s="184"/>
      <c r="AR89" s="181"/>
      <c r="AS89" s="588"/>
      <c r="AT89" s="187"/>
      <c r="AU89" s="187"/>
      <c r="AV89" s="184"/>
      <c r="AW89" s="181"/>
      <c r="AX89" s="588"/>
    </row>
    <row r="90" spans="2:50" ht="14.25" customHeight="1">
      <c r="B90" s="586"/>
      <c r="C90" s="179">
        <v>4</v>
      </c>
      <c r="D90" s="182"/>
      <c r="E90" s="179"/>
      <c r="F90" s="179"/>
      <c r="G90" s="184"/>
      <c r="H90" s="588"/>
      <c r="I90" s="185"/>
      <c r="J90" s="185"/>
      <c r="K90" s="186"/>
      <c r="L90" s="589"/>
      <c r="M90" s="185"/>
      <c r="N90" s="586"/>
      <c r="O90" s="586"/>
      <c r="P90" s="187"/>
      <c r="Q90" s="187"/>
      <c r="R90" s="184"/>
      <c r="S90" s="181"/>
      <c r="T90" s="588"/>
      <c r="U90" s="187"/>
      <c r="V90" s="187"/>
      <c r="W90" s="184"/>
      <c r="X90" s="181"/>
      <c r="Y90" s="588"/>
      <c r="Z90" s="187"/>
      <c r="AA90" s="187"/>
      <c r="AB90" s="184"/>
      <c r="AC90" s="181"/>
      <c r="AD90" s="588"/>
      <c r="AE90" s="187"/>
      <c r="AF90" s="187"/>
      <c r="AG90" s="184"/>
      <c r="AH90" s="181"/>
      <c r="AI90" s="588"/>
      <c r="AJ90" s="187"/>
      <c r="AK90" s="187"/>
      <c r="AL90" s="184"/>
      <c r="AM90" s="181"/>
      <c r="AN90" s="588"/>
      <c r="AO90" s="187"/>
      <c r="AP90" s="187"/>
      <c r="AQ90" s="184"/>
      <c r="AR90" s="181"/>
      <c r="AS90" s="588"/>
      <c r="AT90" s="187"/>
      <c r="AU90" s="187"/>
      <c r="AV90" s="184"/>
      <c r="AW90" s="181"/>
      <c r="AX90" s="588"/>
    </row>
    <row r="91" spans="2:50" ht="14.25" customHeight="1">
      <c r="B91" s="586"/>
      <c r="C91" s="179">
        <v>5</v>
      </c>
      <c r="D91" s="182"/>
      <c r="E91" s="179"/>
      <c r="F91" s="179"/>
      <c r="G91" s="184"/>
      <c r="H91" s="588"/>
      <c r="I91" s="185"/>
      <c r="J91" s="185"/>
      <c r="K91" s="186"/>
      <c r="L91" s="589"/>
      <c r="M91" s="185"/>
      <c r="N91" s="586"/>
      <c r="O91" s="586"/>
      <c r="P91" s="187"/>
      <c r="Q91" s="187"/>
      <c r="R91" s="184"/>
      <c r="S91" s="181"/>
      <c r="T91" s="588"/>
      <c r="U91" s="187"/>
      <c r="V91" s="187"/>
      <c r="W91" s="184"/>
      <c r="X91" s="181"/>
      <c r="Y91" s="588"/>
      <c r="Z91" s="187"/>
      <c r="AA91" s="187"/>
      <c r="AB91" s="184"/>
      <c r="AC91" s="181"/>
      <c r="AD91" s="588"/>
      <c r="AE91" s="187"/>
      <c r="AF91" s="187"/>
      <c r="AG91" s="184"/>
      <c r="AH91" s="181"/>
      <c r="AI91" s="588"/>
      <c r="AJ91" s="187"/>
      <c r="AK91" s="187"/>
      <c r="AL91" s="184"/>
      <c r="AM91" s="181"/>
      <c r="AN91" s="588"/>
      <c r="AO91" s="187"/>
      <c r="AP91" s="187"/>
      <c r="AQ91" s="184"/>
      <c r="AR91" s="181"/>
      <c r="AS91" s="588"/>
      <c r="AT91" s="187"/>
      <c r="AU91" s="187"/>
      <c r="AV91" s="184"/>
      <c r="AW91" s="181"/>
      <c r="AX91" s="588"/>
    </row>
    <row r="92" spans="2:50" ht="14.25" customHeight="1">
      <c r="B92" s="586"/>
      <c r="C92" s="179">
        <v>6</v>
      </c>
      <c r="D92" s="182"/>
      <c r="E92" s="179"/>
      <c r="F92" s="179"/>
      <c r="G92" s="184"/>
      <c r="H92" s="588"/>
      <c r="I92" s="185"/>
      <c r="J92" s="185"/>
      <c r="K92" s="186"/>
      <c r="L92" s="589"/>
      <c r="M92" s="185"/>
      <c r="N92" s="586"/>
      <c r="O92" s="586"/>
      <c r="P92" s="187"/>
      <c r="Q92" s="187"/>
      <c r="R92" s="184"/>
      <c r="S92" s="181"/>
      <c r="T92" s="588"/>
      <c r="U92" s="187"/>
      <c r="V92" s="187"/>
      <c r="W92" s="184"/>
      <c r="X92" s="181"/>
      <c r="Y92" s="588"/>
      <c r="Z92" s="187"/>
      <c r="AA92" s="187"/>
      <c r="AB92" s="184"/>
      <c r="AC92" s="181"/>
      <c r="AD92" s="588"/>
      <c r="AE92" s="187"/>
      <c r="AF92" s="187"/>
      <c r="AG92" s="184"/>
      <c r="AH92" s="181"/>
      <c r="AI92" s="588"/>
      <c r="AJ92" s="187"/>
      <c r="AK92" s="187"/>
      <c r="AL92" s="184"/>
      <c r="AM92" s="181"/>
      <c r="AN92" s="588"/>
      <c r="AO92" s="187"/>
      <c r="AP92" s="187"/>
      <c r="AQ92" s="184"/>
      <c r="AR92" s="181"/>
      <c r="AS92" s="588"/>
      <c r="AT92" s="187"/>
      <c r="AU92" s="187"/>
      <c r="AV92" s="184"/>
      <c r="AW92" s="181"/>
      <c r="AX92" s="588"/>
    </row>
    <row r="93" spans="2:50" ht="14.25" customHeight="1">
      <c r="B93" s="586"/>
      <c r="C93" s="179">
        <v>7</v>
      </c>
      <c r="D93" s="182"/>
      <c r="E93" s="179"/>
      <c r="F93" s="179"/>
      <c r="G93" s="184"/>
      <c r="H93" s="588"/>
      <c r="I93" s="185"/>
      <c r="J93" s="185"/>
      <c r="K93" s="186"/>
      <c r="L93" s="589"/>
      <c r="M93" s="185"/>
      <c r="N93" s="586"/>
      <c r="O93" s="586"/>
      <c r="P93" s="187"/>
      <c r="Q93" s="187"/>
      <c r="R93" s="184"/>
      <c r="S93" s="181"/>
      <c r="T93" s="588"/>
      <c r="U93" s="187"/>
      <c r="V93" s="187"/>
      <c r="W93" s="184"/>
      <c r="X93" s="181"/>
      <c r="Y93" s="588"/>
      <c r="Z93" s="187"/>
      <c r="AA93" s="187"/>
      <c r="AB93" s="184"/>
      <c r="AC93" s="181"/>
      <c r="AD93" s="588"/>
      <c r="AE93" s="187"/>
      <c r="AF93" s="187"/>
      <c r="AG93" s="184"/>
      <c r="AH93" s="181"/>
      <c r="AI93" s="588"/>
      <c r="AJ93" s="187"/>
      <c r="AK93" s="187"/>
      <c r="AL93" s="184"/>
      <c r="AM93" s="181"/>
      <c r="AN93" s="588"/>
      <c r="AO93" s="187"/>
      <c r="AP93" s="187"/>
      <c r="AQ93" s="184"/>
      <c r="AR93" s="181"/>
      <c r="AS93" s="588"/>
      <c r="AT93" s="187"/>
      <c r="AU93" s="187"/>
      <c r="AV93" s="184"/>
      <c r="AW93" s="181"/>
      <c r="AX93" s="588"/>
    </row>
    <row r="94" spans="2:50" ht="14.25" customHeight="1">
      <c r="B94" s="586"/>
      <c r="C94" s="179">
        <v>8</v>
      </c>
      <c r="D94" s="182"/>
      <c r="E94" s="179"/>
      <c r="F94" s="179"/>
      <c r="G94" s="184"/>
      <c r="H94" s="588"/>
      <c r="I94" s="185"/>
      <c r="J94" s="185"/>
      <c r="K94" s="186"/>
      <c r="L94" s="589"/>
      <c r="M94" s="185"/>
      <c r="N94" s="586"/>
      <c r="O94" s="586"/>
      <c r="P94" s="187"/>
      <c r="Q94" s="187"/>
      <c r="R94" s="184"/>
      <c r="S94" s="181"/>
      <c r="T94" s="588"/>
      <c r="U94" s="187"/>
      <c r="V94" s="187"/>
      <c r="W94" s="184"/>
      <c r="X94" s="181"/>
      <c r="Y94" s="588"/>
      <c r="Z94" s="187"/>
      <c r="AA94" s="187"/>
      <c r="AB94" s="184"/>
      <c r="AC94" s="181"/>
      <c r="AD94" s="588"/>
      <c r="AE94" s="187"/>
      <c r="AF94" s="187"/>
      <c r="AG94" s="184"/>
      <c r="AH94" s="181"/>
      <c r="AI94" s="588"/>
      <c r="AJ94" s="187"/>
      <c r="AK94" s="187"/>
      <c r="AL94" s="184"/>
      <c r="AM94" s="181"/>
      <c r="AN94" s="588"/>
      <c r="AO94" s="187"/>
      <c r="AP94" s="187"/>
      <c r="AQ94" s="184"/>
      <c r="AR94" s="181"/>
      <c r="AS94" s="588"/>
      <c r="AT94" s="187"/>
      <c r="AU94" s="187"/>
      <c r="AV94" s="184"/>
      <c r="AW94" s="181"/>
      <c r="AX94" s="588"/>
    </row>
    <row r="95" spans="2:50" ht="14.25" customHeight="1">
      <c r="B95" s="586"/>
      <c r="C95" s="179">
        <v>9</v>
      </c>
      <c r="D95" s="182"/>
      <c r="E95" s="179"/>
      <c r="F95" s="179"/>
      <c r="G95" s="184"/>
      <c r="H95" s="588"/>
      <c r="I95" s="185"/>
      <c r="J95" s="185"/>
      <c r="K95" s="186"/>
      <c r="L95" s="589"/>
      <c r="M95" s="185"/>
      <c r="N95" s="586"/>
      <c r="O95" s="586"/>
      <c r="P95" s="187"/>
      <c r="Q95" s="187"/>
      <c r="R95" s="184"/>
      <c r="S95" s="181"/>
      <c r="T95" s="588"/>
      <c r="U95" s="187"/>
      <c r="V95" s="187"/>
      <c r="W95" s="184"/>
      <c r="X95" s="181"/>
      <c r="Y95" s="588"/>
      <c r="Z95" s="187"/>
      <c r="AA95" s="187"/>
      <c r="AB95" s="184"/>
      <c r="AC95" s="181"/>
      <c r="AD95" s="588"/>
      <c r="AE95" s="187"/>
      <c r="AF95" s="187"/>
      <c r="AG95" s="184"/>
      <c r="AH95" s="181"/>
      <c r="AI95" s="588"/>
      <c r="AJ95" s="187"/>
      <c r="AK95" s="187"/>
      <c r="AL95" s="184"/>
      <c r="AM95" s="181"/>
      <c r="AN95" s="588"/>
      <c r="AO95" s="187"/>
      <c r="AP95" s="187"/>
      <c r="AQ95" s="184"/>
      <c r="AR95" s="181"/>
      <c r="AS95" s="588"/>
      <c r="AT95" s="187"/>
      <c r="AU95" s="187"/>
      <c r="AV95" s="184"/>
      <c r="AW95" s="181"/>
      <c r="AX95" s="588"/>
    </row>
    <row r="96" spans="2:50" ht="14.25" customHeight="1">
      <c r="B96" s="586"/>
      <c r="C96" s="179">
        <v>10</v>
      </c>
      <c r="D96" s="182"/>
      <c r="E96" s="179"/>
      <c r="F96" s="179"/>
      <c r="G96" s="184"/>
      <c r="H96" s="588"/>
      <c r="I96" s="185"/>
      <c r="J96" s="185"/>
      <c r="K96" s="186"/>
      <c r="L96" s="589"/>
      <c r="M96" s="185"/>
      <c r="N96" s="586"/>
      <c r="O96" s="586"/>
      <c r="P96" s="187"/>
      <c r="Q96" s="187"/>
      <c r="R96" s="184"/>
      <c r="S96" s="181"/>
      <c r="T96" s="588"/>
      <c r="U96" s="187"/>
      <c r="V96" s="187"/>
      <c r="W96" s="184"/>
      <c r="X96" s="181"/>
      <c r="Y96" s="588"/>
      <c r="Z96" s="187"/>
      <c r="AA96" s="187"/>
      <c r="AB96" s="184"/>
      <c r="AC96" s="181"/>
      <c r="AD96" s="588"/>
      <c r="AE96" s="187"/>
      <c r="AF96" s="187"/>
      <c r="AG96" s="184"/>
      <c r="AH96" s="181"/>
      <c r="AI96" s="588"/>
      <c r="AJ96" s="187"/>
      <c r="AK96" s="187"/>
      <c r="AL96" s="184"/>
      <c r="AM96" s="181"/>
      <c r="AN96" s="588"/>
      <c r="AO96" s="187"/>
      <c r="AP96" s="187"/>
      <c r="AQ96" s="184"/>
      <c r="AR96" s="181"/>
      <c r="AS96" s="588"/>
      <c r="AT96" s="187"/>
      <c r="AU96" s="187"/>
      <c r="AV96" s="184"/>
      <c r="AW96" s="181"/>
      <c r="AX96" s="588"/>
    </row>
    <row r="97" spans="2:50" ht="14.25" customHeight="1">
      <c r="B97" s="586"/>
      <c r="C97" s="179">
        <v>11</v>
      </c>
      <c r="D97" s="182"/>
      <c r="E97" s="179"/>
      <c r="F97" s="179"/>
      <c r="G97" s="184"/>
      <c r="H97" s="588"/>
      <c r="I97" s="185"/>
      <c r="J97" s="185"/>
      <c r="K97" s="186"/>
      <c r="L97" s="589"/>
      <c r="M97" s="185"/>
      <c r="N97" s="586"/>
      <c r="O97" s="586"/>
      <c r="P97" s="187"/>
      <c r="Q97" s="187"/>
      <c r="R97" s="184"/>
      <c r="S97" s="181"/>
      <c r="T97" s="588"/>
      <c r="U97" s="187"/>
      <c r="V97" s="187"/>
      <c r="W97" s="184"/>
      <c r="X97" s="181"/>
      <c r="Y97" s="588"/>
      <c r="Z97" s="187"/>
      <c r="AA97" s="187"/>
      <c r="AB97" s="184"/>
      <c r="AC97" s="181"/>
      <c r="AD97" s="588"/>
      <c r="AE97" s="187"/>
      <c r="AF97" s="187"/>
      <c r="AG97" s="184"/>
      <c r="AH97" s="181"/>
      <c r="AI97" s="588"/>
      <c r="AJ97" s="187"/>
      <c r="AK97" s="187"/>
      <c r="AL97" s="184"/>
      <c r="AM97" s="181"/>
      <c r="AN97" s="588"/>
      <c r="AO97" s="187"/>
      <c r="AP97" s="187"/>
      <c r="AQ97" s="184"/>
      <c r="AR97" s="181"/>
      <c r="AS97" s="588"/>
      <c r="AT97" s="187"/>
      <c r="AU97" s="187"/>
      <c r="AV97" s="184"/>
      <c r="AW97" s="181"/>
      <c r="AX97" s="588"/>
    </row>
    <row r="98" spans="2:50" ht="14.25" customHeight="1">
      <c r="B98" s="586"/>
      <c r="C98" s="179">
        <v>12</v>
      </c>
      <c r="D98" s="182"/>
      <c r="E98" s="179"/>
      <c r="F98" s="179"/>
      <c r="G98" s="184"/>
      <c r="H98" s="588"/>
      <c r="I98" s="185"/>
      <c r="J98" s="185"/>
      <c r="K98" s="186"/>
      <c r="L98" s="589"/>
      <c r="M98" s="185"/>
      <c r="N98" s="586"/>
      <c r="O98" s="586"/>
      <c r="P98" s="187"/>
      <c r="Q98" s="187"/>
      <c r="R98" s="184"/>
      <c r="S98" s="181"/>
      <c r="T98" s="588"/>
      <c r="U98" s="187"/>
      <c r="V98" s="187"/>
      <c r="W98" s="184"/>
      <c r="X98" s="181"/>
      <c r="Y98" s="588"/>
      <c r="Z98" s="187"/>
      <c r="AA98" s="187"/>
      <c r="AB98" s="184"/>
      <c r="AC98" s="181"/>
      <c r="AD98" s="588"/>
      <c r="AE98" s="187"/>
      <c r="AF98" s="187"/>
      <c r="AG98" s="184"/>
      <c r="AH98" s="181"/>
      <c r="AI98" s="588"/>
      <c r="AJ98" s="187"/>
      <c r="AK98" s="187"/>
      <c r="AL98" s="184"/>
      <c r="AM98" s="181"/>
      <c r="AN98" s="588"/>
      <c r="AO98" s="187"/>
      <c r="AP98" s="187"/>
      <c r="AQ98" s="184"/>
      <c r="AR98" s="181"/>
      <c r="AS98" s="588"/>
      <c r="AT98" s="187"/>
      <c r="AU98" s="187"/>
      <c r="AV98" s="184"/>
      <c r="AW98" s="181"/>
      <c r="AX98" s="588"/>
    </row>
    <row r="99" spans="2:50" ht="14.25" customHeight="1">
      <c r="B99" s="586"/>
      <c r="C99" s="179">
        <v>13</v>
      </c>
      <c r="D99" s="182"/>
      <c r="E99" s="179"/>
      <c r="F99" s="179"/>
      <c r="G99" s="184"/>
      <c r="H99" s="588"/>
      <c r="I99" s="185"/>
      <c r="J99" s="185"/>
      <c r="K99" s="186"/>
      <c r="L99" s="589"/>
      <c r="M99" s="185"/>
      <c r="N99" s="586"/>
      <c r="O99" s="586"/>
      <c r="P99" s="187"/>
      <c r="Q99" s="187"/>
      <c r="R99" s="184"/>
      <c r="S99" s="181"/>
      <c r="T99" s="588"/>
      <c r="U99" s="187"/>
      <c r="V99" s="187"/>
      <c r="W99" s="184"/>
      <c r="X99" s="181"/>
      <c r="Y99" s="588"/>
      <c r="Z99" s="187"/>
      <c r="AA99" s="187"/>
      <c r="AB99" s="184"/>
      <c r="AC99" s="181"/>
      <c r="AD99" s="588"/>
      <c r="AE99" s="187"/>
      <c r="AF99" s="187"/>
      <c r="AG99" s="184"/>
      <c r="AH99" s="181"/>
      <c r="AI99" s="588"/>
      <c r="AJ99" s="187"/>
      <c r="AK99" s="187"/>
      <c r="AL99" s="184"/>
      <c r="AM99" s="181"/>
      <c r="AN99" s="588"/>
      <c r="AO99" s="187"/>
      <c r="AP99" s="187"/>
      <c r="AQ99" s="184"/>
      <c r="AR99" s="181"/>
      <c r="AS99" s="588"/>
      <c r="AT99" s="187"/>
      <c r="AU99" s="187"/>
      <c r="AV99" s="184"/>
      <c r="AW99" s="181"/>
      <c r="AX99" s="588"/>
    </row>
    <row r="100" spans="2:50" ht="14.25" customHeight="1">
      <c r="B100" s="586"/>
      <c r="C100" s="179">
        <v>14</v>
      </c>
      <c r="D100" s="182"/>
      <c r="E100" s="179"/>
      <c r="F100" s="179"/>
      <c r="G100" s="184"/>
      <c r="H100" s="588"/>
      <c r="I100" s="185"/>
      <c r="J100" s="185"/>
      <c r="K100" s="186"/>
      <c r="L100" s="589"/>
      <c r="M100" s="185"/>
      <c r="N100" s="586"/>
      <c r="O100" s="586"/>
      <c r="P100" s="187"/>
      <c r="Q100" s="187"/>
      <c r="R100" s="184"/>
      <c r="S100" s="181"/>
      <c r="T100" s="588"/>
      <c r="U100" s="187"/>
      <c r="V100" s="187"/>
      <c r="W100" s="184"/>
      <c r="X100" s="181"/>
      <c r="Y100" s="588"/>
      <c r="Z100" s="187"/>
      <c r="AA100" s="187"/>
      <c r="AB100" s="184"/>
      <c r="AC100" s="181"/>
      <c r="AD100" s="588"/>
      <c r="AE100" s="187"/>
      <c r="AF100" s="187"/>
      <c r="AG100" s="184"/>
      <c r="AH100" s="181"/>
      <c r="AI100" s="588"/>
      <c r="AJ100" s="187"/>
      <c r="AK100" s="187"/>
      <c r="AL100" s="184"/>
      <c r="AM100" s="181"/>
      <c r="AN100" s="588"/>
      <c r="AO100" s="187"/>
      <c r="AP100" s="187"/>
      <c r="AQ100" s="184"/>
      <c r="AR100" s="181"/>
      <c r="AS100" s="588"/>
      <c r="AT100" s="187"/>
      <c r="AU100" s="187"/>
      <c r="AV100" s="184"/>
      <c r="AW100" s="181"/>
      <c r="AX100" s="588"/>
    </row>
    <row r="101" spans="2:50" ht="14.25" customHeight="1">
      <c r="B101" s="586"/>
      <c r="C101" s="179">
        <v>15</v>
      </c>
      <c r="D101" s="182"/>
      <c r="E101" s="179"/>
      <c r="F101" s="179"/>
      <c r="G101" s="184"/>
      <c r="H101" s="588"/>
      <c r="I101" s="185"/>
      <c r="J101" s="185"/>
      <c r="K101" s="186"/>
      <c r="L101" s="589"/>
      <c r="M101" s="185"/>
      <c r="N101" s="586"/>
      <c r="O101" s="586"/>
      <c r="P101" s="187"/>
      <c r="Q101" s="187"/>
      <c r="R101" s="184"/>
      <c r="S101" s="181"/>
      <c r="T101" s="588"/>
      <c r="U101" s="187"/>
      <c r="V101" s="187"/>
      <c r="W101" s="184"/>
      <c r="X101" s="181"/>
      <c r="Y101" s="588"/>
      <c r="Z101" s="187"/>
      <c r="AA101" s="187"/>
      <c r="AB101" s="184"/>
      <c r="AC101" s="181"/>
      <c r="AD101" s="588"/>
      <c r="AE101" s="187"/>
      <c r="AF101" s="187"/>
      <c r="AG101" s="184"/>
      <c r="AH101" s="181"/>
      <c r="AI101" s="588"/>
      <c r="AJ101" s="187"/>
      <c r="AK101" s="187"/>
      <c r="AL101" s="184"/>
      <c r="AM101" s="181"/>
      <c r="AN101" s="588"/>
      <c r="AO101" s="187"/>
      <c r="AP101" s="187"/>
      <c r="AQ101" s="184"/>
      <c r="AR101" s="181"/>
      <c r="AS101" s="588"/>
      <c r="AT101" s="187"/>
      <c r="AU101" s="187"/>
      <c r="AV101" s="184"/>
      <c r="AW101" s="181"/>
      <c r="AX101" s="588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981"/>
  <sheetViews>
    <sheetView view="pageBreakPreview" topLeftCell="A95" zoomScaleNormal="60" zoomScaleSheetLayoutView="100" workbookViewId="0">
      <selection activeCell="J127" sqref="J127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19" t="s">
        <v>350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188"/>
    </row>
    <row r="2" spans="1:18" s="18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</row>
    <row r="3" spans="1:18" ht="15.75" customHeight="1">
      <c r="A3" s="626" t="s">
        <v>611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188"/>
    </row>
    <row r="4" spans="1:18" s="189" customFormat="1" ht="15.75" customHeight="1">
      <c r="A4" s="626"/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</row>
    <row r="5" spans="1:18" s="177" customFormat="1" ht="15.75" customHeight="1">
      <c r="A5" s="624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24"/>
      <c r="B6" s="193" t="s">
        <v>189</v>
      </c>
      <c r="C6" s="193" t="s">
        <v>155</v>
      </c>
      <c r="D6" s="194" t="s">
        <v>190</v>
      </c>
      <c r="E6" s="194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25" t="s">
        <v>171</v>
      </c>
      <c r="B7" s="625"/>
      <c r="C7" s="159" t="s">
        <v>47</v>
      </c>
      <c r="D7" s="625" t="s">
        <v>12</v>
      </c>
      <c r="E7" s="627"/>
      <c r="F7" s="627"/>
      <c r="G7" s="159" t="s">
        <v>46</v>
      </c>
      <c r="H7" s="159" t="s">
        <v>352</v>
      </c>
      <c r="I7" s="159" t="s">
        <v>353</v>
      </c>
      <c r="J7" s="159" t="s">
        <v>311</v>
      </c>
      <c r="K7" s="625" t="s">
        <v>51</v>
      </c>
      <c r="L7" s="627"/>
      <c r="M7" s="192"/>
      <c r="N7" s="188"/>
      <c r="P7" s="379"/>
      <c r="Q7" s="379"/>
    </row>
    <row r="8" spans="1:18" ht="15.75" customHeight="1">
      <c r="A8" s="624">
        <v>1</v>
      </c>
      <c r="B8" s="625" t="s">
        <v>354</v>
      </c>
      <c r="C8" s="199">
        <v>1</v>
      </c>
      <c r="D8" s="620" t="s">
        <v>412</v>
      </c>
      <c r="E8" s="621"/>
      <c r="F8" s="621"/>
      <c r="G8" s="199">
        <v>3</v>
      </c>
      <c r="H8" s="201">
        <v>3212.7668521761993</v>
      </c>
      <c r="I8" s="202">
        <v>1070.9222840587331</v>
      </c>
      <c r="J8" s="220">
        <v>4.7717720840719267</v>
      </c>
      <c r="K8" s="620" t="s">
        <v>405</v>
      </c>
      <c r="L8" s="621"/>
      <c r="N8" s="177"/>
      <c r="O8" s="177"/>
      <c r="P8" s="379"/>
      <c r="Q8" s="379"/>
      <c r="R8" s="177"/>
    </row>
    <row r="9" spans="1:18" ht="15.75" customHeight="1">
      <c r="A9" s="624"/>
      <c r="B9" s="625"/>
      <c r="C9" s="199">
        <v>2</v>
      </c>
      <c r="D9" s="620" t="s">
        <v>368</v>
      </c>
      <c r="E9" s="621"/>
      <c r="F9" s="621"/>
      <c r="G9" s="199">
        <v>3</v>
      </c>
      <c r="H9" s="201">
        <v>3211.0646645229745</v>
      </c>
      <c r="I9" s="202">
        <v>1070.354888174325</v>
      </c>
      <c r="J9" s="220">
        <v>4.0535708739007532</v>
      </c>
      <c r="K9" s="620" t="s">
        <v>405</v>
      </c>
      <c r="L9" s="621"/>
      <c r="N9" s="177"/>
      <c r="O9" s="177"/>
      <c r="P9" s="379"/>
      <c r="Q9" s="379"/>
      <c r="R9" s="177"/>
    </row>
    <row r="10" spans="1:18" ht="15.75" customHeight="1">
      <c r="A10" s="624"/>
      <c r="B10" s="625"/>
      <c r="C10" s="199">
        <v>3</v>
      </c>
      <c r="D10" s="620" t="s">
        <v>377</v>
      </c>
      <c r="E10" s="621"/>
      <c r="F10" s="621"/>
      <c r="G10" s="199">
        <v>3</v>
      </c>
      <c r="H10" s="201">
        <v>3210.2740297791215</v>
      </c>
      <c r="I10" s="202">
        <v>1070.0913432597072</v>
      </c>
      <c r="J10" s="220">
        <v>3.8508431727220795</v>
      </c>
      <c r="K10" s="620" t="s">
        <v>405</v>
      </c>
      <c r="L10" s="621"/>
      <c r="N10" s="177"/>
      <c r="O10" s="177"/>
      <c r="P10" s="379"/>
      <c r="Q10" s="379"/>
      <c r="R10" s="177"/>
    </row>
    <row r="11" spans="1:18" ht="15.75" customHeight="1">
      <c r="A11" s="624"/>
      <c r="B11" s="625"/>
      <c r="C11" s="199">
        <v>4</v>
      </c>
      <c r="D11" s="620" t="s">
        <v>528</v>
      </c>
      <c r="E11" s="621"/>
      <c r="F11" s="621"/>
      <c r="G11" s="199">
        <v>3</v>
      </c>
      <c r="H11" s="201">
        <v>3210.1812150023106</v>
      </c>
      <c r="I11" s="202">
        <v>1070.0604050007701</v>
      </c>
      <c r="J11" s="220"/>
      <c r="K11" s="620" t="s">
        <v>405</v>
      </c>
      <c r="L11" s="621"/>
      <c r="N11" s="177"/>
      <c r="O11" s="177"/>
      <c r="P11" s="379"/>
      <c r="Q11" s="379"/>
      <c r="R11" s="177"/>
    </row>
    <row r="12" spans="1:18" ht="15.75" customHeight="1">
      <c r="A12" s="624"/>
      <c r="B12" s="625"/>
      <c r="C12" s="199">
        <v>5</v>
      </c>
      <c r="D12" s="620" t="s">
        <v>366</v>
      </c>
      <c r="E12" s="621"/>
      <c r="F12" s="621"/>
      <c r="G12" s="199">
        <v>3</v>
      </c>
      <c r="H12" s="201">
        <v>3207.9623703926045</v>
      </c>
      <c r="I12" s="202">
        <v>1069.3207901308681</v>
      </c>
      <c r="J12" s="220">
        <v>1.3667487231646192</v>
      </c>
      <c r="K12" s="620" t="s">
        <v>405</v>
      </c>
      <c r="L12" s="621"/>
      <c r="O12" s="177"/>
      <c r="P12" s="379"/>
      <c r="Q12" s="379"/>
      <c r="R12" s="177"/>
    </row>
    <row r="13" spans="1:18" ht="15.75" customHeight="1">
      <c r="A13" s="624"/>
      <c r="B13" s="625"/>
      <c r="C13" s="203" t="s">
        <v>187</v>
      </c>
      <c r="D13" s="621" t="s">
        <v>414</v>
      </c>
      <c r="E13" s="621"/>
      <c r="F13" s="621"/>
      <c r="G13" s="200">
        <v>12</v>
      </c>
      <c r="H13" s="204">
        <v>3121.9778330090908</v>
      </c>
      <c r="I13" s="205">
        <v>260.16481941742421</v>
      </c>
      <c r="J13" s="220">
        <v>0.11154629848863351</v>
      </c>
      <c r="K13" s="620" t="s">
        <v>405</v>
      </c>
      <c r="L13" s="621"/>
      <c r="N13" s="177"/>
      <c r="O13" s="177"/>
      <c r="P13" s="379"/>
      <c r="Q13" s="379"/>
      <c r="R13" s="177"/>
    </row>
    <row r="14" spans="1:18" ht="15.75" customHeight="1">
      <c r="A14" s="624"/>
      <c r="B14" s="625"/>
      <c r="C14" s="203" t="s">
        <v>192</v>
      </c>
      <c r="D14" s="621" t="s">
        <v>416</v>
      </c>
      <c r="E14" s="621"/>
      <c r="F14" s="621"/>
      <c r="G14" s="200">
        <v>12</v>
      </c>
      <c r="H14" s="204">
        <v>3122.112601323061</v>
      </c>
      <c r="I14" s="205">
        <v>260.17605011025506</v>
      </c>
      <c r="J14" s="220">
        <v>0.15463976273116486</v>
      </c>
      <c r="K14" s="620" t="s">
        <v>405</v>
      </c>
      <c r="L14" s="621"/>
      <c r="N14" s="177"/>
      <c r="O14" s="177"/>
      <c r="P14" s="379"/>
      <c r="Q14" s="379"/>
      <c r="R14" s="177"/>
    </row>
    <row r="15" spans="1:18" ht="15.75" customHeight="1">
      <c r="A15" s="624"/>
      <c r="B15" s="625"/>
      <c r="C15" s="203" t="s">
        <v>188</v>
      </c>
      <c r="D15" s="621" t="s">
        <v>470</v>
      </c>
      <c r="E15" s="621"/>
      <c r="F15" s="621"/>
      <c r="G15" s="200">
        <v>5</v>
      </c>
      <c r="H15" s="204">
        <v>2733.913026083198</v>
      </c>
      <c r="I15" s="205">
        <v>546.78260521663969</v>
      </c>
      <c r="J15" s="220">
        <v>1.6652217182895583</v>
      </c>
      <c r="K15" s="620" t="s">
        <v>405</v>
      </c>
      <c r="L15" s="621"/>
      <c r="N15" s="177"/>
      <c r="O15" s="177"/>
      <c r="P15" s="379"/>
      <c r="Q15" s="379"/>
      <c r="R15" s="177"/>
    </row>
    <row r="16" spans="1:18" ht="15.75" customHeight="1">
      <c r="A16" s="624"/>
      <c r="B16" s="625"/>
      <c r="C16" s="203" t="s">
        <v>193</v>
      </c>
      <c r="D16" s="621" t="s">
        <v>323</v>
      </c>
      <c r="E16" s="621"/>
      <c r="F16" s="621"/>
      <c r="G16" s="200">
        <v>5</v>
      </c>
      <c r="H16" s="204">
        <v>3005.9186417170326</v>
      </c>
      <c r="I16" s="205">
        <v>601.18372834340641</v>
      </c>
      <c r="J16" s="220">
        <v>2.3468712005497991</v>
      </c>
      <c r="K16" s="620" t="s">
        <v>405</v>
      </c>
      <c r="L16" s="621"/>
      <c r="M16" s="188"/>
      <c r="N16" s="177"/>
      <c r="O16" s="177"/>
      <c r="P16" s="379"/>
      <c r="Q16" s="379"/>
      <c r="R16" s="177"/>
    </row>
    <row r="17" spans="1:18" ht="15.75" customHeight="1">
      <c r="A17" s="624"/>
      <c r="B17" s="625"/>
      <c r="C17" s="203" t="s">
        <v>194</v>
      </c>
      <c r="D17" s="621" t="s">
        <v>212</v>
      </c>
      <c r="E17" s="621"/>
      <c r="F17" s="621"/>
      <c r="G17" s="200">
        <v>5</v>
      </c>
      <c r="H17" s="204">
        <v>3007.0541810350014</v>
      </c>
      <c r="I17" s="205">
        <v>601.41083620700022</v>
      </c>
      <c r="J17" s="220">
        <v>3.1265016449700624</v>
      </c>
      <c r="K17" s="620" t="s">
        <v>405</v>
      </c>
      <c r="L17" s="621"/>
      <c r="M17" s="188"/>
      <c r="N17" s="177"/>
      <c r="O17" s="177"/>
      <c r="P17" s="379"/>
      <c r="Q17" s="379"/>
      <c r="R17" s="177"/>
    </row>
    <row r="18" spans="1:18" s="198" customFormat="1" ht="15.75" customHeight="1">
      <c r="A18" s="622" t="s">
        <v>171</v>
      </c>
      <c r="B18" s="622"/>
      <c r="C18" s="206" t="s">
        <v>47</v>
      </c>
      <c r="D18" s="622" t="s">
        <v>12</v>
      </c>
      <c r="E18" s="623"/>
      <c r="F18" s="623"/>
      <c r="G18" s="206" t="s">
        <v>46</v>
      </c>
      <c r="H18" s="206" t="s">
        <v>352</v>
      </c>
      <c r="I18" s="206" t="s">
        <v>353</v>
      </c>
      <c r="J18" s="159" t="s">
        <v>311</v>
      </c>
      <c r="K18" s="622" t="s">
        <v>50</v>
      </c>
      <c r="L18" s="623"/>
      <c r="M18" s="207"/>
      <c r="N18" s="177"/>
      <c r="O18" s="177"/>
      <c r="P18" s="379"/>
      <c r="Q18" s="379"/>
      <c r="R18" s="177"/>
    </row>
    <row r="19" spans="1:18" ht="15.75" customHeight="1">
      <c r="A19" s="624">
        <v>2</v>
      </c>
      <c r="B19" s="625" t="s">
        <v>155</v>
      </c>
      <c r="C19" s="199">
        <v>1</v>
      </c>
      <c r="D19" s="620" t="s">
        <v>325</v>
      </c>
      <c r="E19" s="621"/>
      <c r="F19" s="621"/>
      <c r="G19" s="199">
        <v>10</v>
      </c>
      <c r="H19" s="201">
        <v>3217.1466940103287</v>
      </c>
      <c r="I19" s="202">
        <v>321.71466940103295</v>
      </c>
      <c r="J19" s="220">
        <v>-7.714285714291691E-2</v>
      </c>
      <c r="K19" s="620" t="s">
        <v>405</v>
      </c>
      <c r="L19" s="621"/>
      <c r="M19" s="188"/>
      <c r="N19" s="177"/>
      <c r="O19" s="177"/>
      <c r="P19" s="379"/>
      <c r="Q19" s="379"/>
      <c r="R19" s="177"/>
    </row>
    <row r="20" spans="1:18" ht="15.75" customHeight="1">
      <c r="A20" s="624"/>
      <c r="B20" s="625"/>
      <c r="C20" s="199">
        <v>2</v>
      </c>
      <c r="D20" s="620" t="s">
        <v>609</v>
      </c>
      <c r="E20" s="621"/>
      <c r="F20" s="621"/>
      <c r="G20" s="199">
        <v>11</v>
      </c>
      <c r="H20" s="201">
        <v>3158.1683952836493</v>
      </c>
      <c r="I20" s="202">
        <v>287.10621775305901</v>
      </c>
      <c r="J20" s="220">
        <v>29.50878374864601</v>
      </c>
      <c r="K20" s="620" t="s">
        <v>633</v>
      </c>
      <c r="L20" s="621"/>
      <c r="M20" s="188"/>
      <c r="N20" s="177"/>
      <c r="O20" s="177"/>
      <c r="P20" s="379"/>
      <c r="Q20" s="379"/>
      <c r="R20" s="177"/>
    </row>
    <row r="21" spans="1:18" ht="15.75" customHeight="1">
      <c r="A21" s="624"/>
      <c r="B21" s="625"/>
      <c r="C21" s="199">
        <v>3</v>
      </c>
      <c r="D21" s="620" t="s">
        <v>484</v>
      </c>
      <c r="E21" s="621"/>
      <c r="F21" s="621"/>
      <c r="G21" s="199">
        <v>11</v>
      </c>
      <c r="H21" s="201">
        <v>3157.7971817291823</v>
      </c>
      <c r="I21" s="202">
        <v>287.07247106628927</v>
      </c>
      <c r="J21" s="220">
        <v>-4.5261446547385731E-2</v>
      </c>
      <c r="K21" s="620" t="s">
        <v>405</v>
      </c>
      <c r="L21" s="621"/>
      <c r="M21" s="188"/>
      <c r="N21" s="177"/>
      <c r="O21" s="177"/>
      <c r="P21" s="379"/>
      <c r="Q21" s="379"/>
      <c r="R21" s="177"/>
    </row>
    <row r="22" spans="1:18" ht="15.75" customHeight="1">
      <c r="A22" s="624"/>
      <c r="B22" s="625"/>
      <c r="C22" s="199">
        <v>4</v>
      </c>
      <c r="D22" s="620" t="s">
        <v>483</v>
      </c>
      <c r="E22" s="621"/>
      <c r="F22" s="621"/>
      <c r="G22" s="199">
        <v>11</v>
      </c>
      <c r="H22" s="201">
        <v>3156.928454195679</v>
      </c>
      <c r="I22" s="202">
        <v>286.99349583597075</v>
      </c>
      <c r="J22" s="220">
        <v>-0.16625316065335483</v>
      </c>
      <c r="K22" s="620" t="s">
        <v>405</v>
      </c>
      <c r="L22" s="621"/>
      <c r="M22" s="188"/>
      <c r="N22" s="177"/>
      <c r="O22" s="177"/>
      <c r="P22" s="379"/>
      <c r="Q22" s="379"/>
      <c r="R22" s="177"/>
    </row>
    <row r="23" spans="1:18" ht="15.75" customHeight="1">
      <c r="A23" s="624"/>
      <c r="B23" s="625"/>
      <c r="C23" s="199">
        <v>5</v>
      </c>
      <c r="D23" s="620"/>
      <c r="E23" s="621"/>
      <c r="F23" s="621"/>
      <c r="G23" s="199"/>
      <c r="H23" s="201"/>
      <c r="I23" s="202"/>
      <c r="J23" s="220"/>
      <c r="K23" s="620"/>
      <c r="L23" s="621"/>
      <c r="M23" s="188"/>
      <c r="N23" s="177"/>
      <c r="O23" s="177"/>
      <c r="P23" s="379"/>
      <c r="Q23" s="379"/>
      <c r="R23" s="177"/>
    </row>
    <row r="24" spans="1:18" ht="15.75" customHeight="1">
      <c r="A24" s="624"/>
      <c r="B24" s="625"/>
      <c r="C24" s="203" t="s">
        <v>187</v>
      </c>
      <c r="D24" s="620"/>
      <c r="E24" s="621"/>
      <c r="F24" s="621"/>
      <c r="G24" s="199"/>
      <c r="H24" s="201"/>
      <c r="I24" s="202"/>
      <c r="J24" s="199"/>
      <c r="K24" s="620"/>
      <c r="L24" s="621"/>
      <c r="M24" s="188"/>
      <c r="N24" s="177"/>
      <c r="O24" s="177"/>
      <c r="P24" s="379"/>
      <c r="Q24" s="379"/>
      <c r="R24" s="177"/>
    </row>
    <row r="25" spans="1:18" ht="15.75" customHeight="1">
      <c r="A25" s="624"/>
      <c r="B25" s="625"/>
      <c r="C25" s="203" t="s">
        <v>192</v>
      </c>
      <c r="D25" s="620"/>
      <c r="E25" s="621"/>
      <c r="F25" s="621"/>
      <c r="G25" s="199"/>
      <c r="H25" s="201"/>
      <c r="I25" s="202"/>
      <c r="J25" s="199"/>
      <c r="K25" s="620"/>
      <c r="L25" s="621"/>
      <c r="M25" s="188"/>
      <c r="N25" s="177"/>
      <c r="O25" s="177"/>
      <c r="P25" s="379"/>
      <c r="Q25" s="379"/>
      <c r="R25" s="177"/>
    </row>
    <row r="26" spans="1:18" ht="15.75" customHeight="1">
      <c r="A26" s="624"/>
      <c r="B26" s="625"/>
      <c r="C26" s="203" t="s">
        <v>188</v>
      </c>
      <c r="D26" s="620"/>
      <c r="E26" s="621"/>
      <c r="F26" s="621"/>
      <c r="G26" s="199"/>
      <c r="H26" s="201"/>
      <c r="I26" s="202"/>
      <c r="J26" s="199"/>
      <c r="K26" s="620"/>
      <c r="L26" s="621"/>
      <c r="M26" s="188"/>
      <c r="N26" s="177"/>
      <c r="O26" s="177"/>
      <c r="P26" s="379"/>
      <c r="Q26" s="379"/>
      <c r="R26" s="177"/>
    </row>
    <row r="27" spans="1:18" ht="15.75" customHeight="1">
      <c r="A27" s="624"/>
      <c r="B27" s="625"/>
      <c r="C27" s="203" t="s">
        <v>193</v>
      </c>
      <c r="D27" s="620"/>
      <c r="E27" s="621"/>
      <c r="F27" s="621"/>
      <c r="G27" s="199"/>
      <c r="H27" s="201"/>
      <c r="I27" s="202"/>
      <c r="J27" s="199"/>
      <c r="K27" s="620"/>
      <c r="L27" s="621"/>
      <c r="M27" s="188"/>
      <c r="N27" s="177"/>
      <c r="O27" s="177"/>
      <c r="P27" s="379"/>
      <c r="Q27" s="379"/>
      <c r="R27" s="177"/>
    </row>
    <row r="28" spans="1:18" ht="15.75" customHeight="1">
      <c r="A28" s="624"/>
      <c r="B28" s="625"/>
      <c r="C28" s="203" t="s">
        <v>194</v>
      </c>
      <c r="D28" s="620"/>
      <c r="E28" s="621"/>
      <c r="F28" s="621"/>
      <c r="G28" s="199"/>
      <c r="H28" s="201"/>
      <c r="I28" s="202"/>
      <c r="J28" s="199"/>
      <c r="K28" s="620"/>
      <c r="L28" s="621"/>
      <c r="M28" s="188"/>
      <c r="N28" s="177"/>
      <c r="O28" s="177"/>
      <c r="P28" s="379"/>
      <c r="Q28" s="379"/>
      <c r="R28" s="177"/>
    </row>
    <row r="29" spans="1:18" ht="15.75" customHeight="1">
      <c r="A29" s="626" t="s">
        <v>627</v>
      </c>
      <c r="B29" s="626"/>
      <c r="C29" s="626"/>
      <c r="D29" s="626"/>
      <c r="E29" s="626"/>
      <c r="F29" s="626"/>
      <c r="G29" s="626"/>
      <c r="H29" s="626"/>
      <c r="I29" s="626"/>
      <c r="J29" s="626"/>
      <c r="K29" s="626"/>
      <c r="L29" s="626"/>
      <c r="M29" s="188"/>
    </row>
    <row r="30" spans="1:18" s="189" customFormat="1" ht="15.75" customHeight="1">
      <c r="A30" s="626"/>
      <c r="B30" s="626"/>
      <c r="C30" s="626"/>
      <c r="D30" s="626"/>
      <c r="E30" s="626"/>
      <c r="F30" s="626"/>
      <c r="G30" s="626"/>
      <c r="H30" s="626"/>
      <c r="I30" s="626"/>
      <c r="J30" s="626"/>
      <c r="K30" s="626"/>
      <c r="L30" s="626"/>
    </row>
    <row r="31" spans="1:18" s="177" customFormat="1" ht="15.75" customHeight="1">
      <c r="A31" s="624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24"/>
      <c r="B32" s="193" t="s">
        <v>189</v>
      </c>
      <c r="C32" s="193" t="s">
        <v>155</v>
      </c>
      <c r="D32" s="194" t="s">
        <v>190</v>
      </c>
      <c r="E32" s="194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25" t="s">
        <v>171</v>
      </c>
      <c r="B33" s="625"/>
      <c r="C33" s="159" t="s">
        <v>47</v>
      </c>
      <c r="D33" s="625" t="s">
        <v>12</v>
      </c>
      <c r="E33" s="627"/>
      <c r="F33" s="627"/>
      <c r="G33" s="159" t="s">
        <v>46</v>
      </c>
      <c r="H33" s="159" t="s">
        <v>352</v>
      </c>
      <c r="I33" s="159" t="s">
        <v>353</v>
      </c>
      <c r="J33" s="159" t="s">
        <v>311</v>
      </c>
      <c r="K33" s="625" t="s">
        <v>51</v>
      </c>
      <c r="L33" s="627"/>
      <c r="M33" s="192"/>
      <c r="N33" s="188"/>
      <c r="P33" s="379"/>
      <c r="Q33" s="379"/>
    </row>
    <row r="34" spans="1:18" ht="15.75" customHeight="1">
      <c r="A34" s="624">
        <v>1</v>
      </c>
      <c r="B34" s="625" t="s">
        <v>354</v>
      </c>
      <c r="C34" s="199">
        <v>1</v>
      </c>
      <c r="D34" s="620" t="s">
        <v>412</v>
      </c>
      <c r="E34" s="621"/>
      <c r="F34" s="621"/>
      <c r="G34" s="199">
        <v>3</v>
      </c>
      <c r="H34" s="201">
        <v>3219.7010282849733</v>
      </c>
      <c r="I34" s="202">
        <v>1073.2336760949911</v>
      </c>
      <c r="J34" s="220">
        <f>I34-I8</f>
        <v>2.3113920362579847</v>
      </c>
      <c r="K34" s="620" t="s">
        <v>405</v>
      </c>
      <c r="L34" s="621"/>
      <c r="N34" s="177"/>
      <c r="O34" s="177"/>
      <c r="P34" s="379"/>
      <c r="Q34" s="379"/>
      <c r="R34" s="177"/>
    </row>
    <row r="35" spans="1:18" ht="15.75" customHeight="1">
      <c r="A35" s="624"/>
      <c r="B35" s="625"/>
      <c r="C35" s="199">
        <v>2</v>
      </c>
      <c r="D35" s="620" t="s">
        <v>377</v>
      </c>
      <c r="E35" s="621"/>
      <c r="F35" s="621"/>
      <c r="G35" s="199">
        <v>3</v>
      </c>
      <c r="H35" s="201">
        <v>3218.3562006841071</v>
      </c>
      <c r="I35" s="202">
        <v>1072.7854002280358</v>
      </c>
      <c r="J35" s="220">
        <f>I35-I10</f>
        <v>2.6940569683285958</v>
      </c>
      <c r="K35" s="620" t="s">
        <v>405</v>
      </c>
      <c r="L35" s="621"/>
      <c r="N35" s="177"/>
      <c r="O35" s="177"/>
      <c r="P35" s="379"/>
      <c r="Q35" s="379"/>
      <c r="R35" s="177"/>
    </row>
    <row r="36" spans="1:18" ht="15.75" customHeight="1">
      <c r="A36" s="624"/>
      <c r="B36" s="625"/>
      <c r="C36" s="199">
        <v>3</v>
      </c>
      <c r="D36" s="620" t="s">
        <v>528</v>
      </c>
      <c r="E36" s="621"/>
      <c r="F36" s="621"/>
      <c r="G36" s="199">
        <v>3</v>
      </c>
      <c r="H36" s="201">
        <v>3217.9469292880249</v>
      </c>
      <c r="I36" s="202">
        <v>1072.6489764293417</v>
      </c>
      <c r="J36" s="220">
        <f>I36-I11</f>
        <v>2.5885714285716404</v>
      </c>
      <c r="K36" s="620" t="s">
        <v>405</v>
      </c>
      <c r="L36" s="621"/>
      <c r="N36" s="177"/>
      <c r="O36" s="177"/>
      <c r="P36" s="379"/>
      <c r="Q36" s="379"/>
      <c r="R36" s="177"/>
    </row>
    <row r="37" spans="1:18" ht="15.75" customHeight="1">
      <c r="A37" s="624"/>
      <c r="B37" s="625"/>
      <c r="C37" s="199">
        <v>4</v>
      </c>
      <c r="D37" s="620" t="s">
        <v>376</v>
      </c>
      <c r="E37" s="621"/>
      <c r="F37" s="621"/>
      <c r="G37" s="199">
        <v>3</v>
      </c>
      <c r="H37" s="201">
        <v>3217.6441385785415</v>
      </c>
      <c r="I37" s="202">
        <v>1072.5480461928471</v>
      </c>
      <c r="J37" s="220"/>
      <c r="K37" s="620" t="s">
        <v>405</v>
      </c>
      <c r="L37" s="621"/>
      <c r="N37" s="177"/>
      <c r="O37" s="177"/>
      <c r="P37" s="379"/>
      <c r="Q37" s="379"/>
      <c r="R37" s="177"/>
    </row>
    <row r="38" spans="1:18" ht="15.75" customHeight="1">
      <c r="A38" s="624"/>
      <c r="B38" s="625"/>
      <c r="C38" s="199">
        <v>5</v>
      </c>
      <c r="D38" s="620" t="s">
        <v>368</v>
      </c>
      <c r="E38" s="621"/>
      <c r="F38" s="621"/>
      <c r="G38" s="199">
        <v>3</v>
      </c>
      <c r="H38" s="201">
        <v>3217.081807380117</v>
      </c>
      <c r="I38" s="202">
        <v>1072.360602460039</v>
      </c>
      <c r="J38" s="220"/>
      <c r="K38" s="620" t="s">
        <v>405</v>
      </c>
      <c r="L38" s="621"/>
      <c r="O38" s="177"/>
      <c r="P38" s="379"/>
      <c r="Q38" s="379"/>
      <c r="R38" s="177"/>
    </row>
    <row r="39" spans="1:18" ht="15.75" customHeight="1">
      <c r="A39" s="624"/>
      <c r="B39" s="625"/>
      <c r="C39" s="203" t="s">
        <v>187</v>
      </c>
      <c r="D39" s="621" t="s">
        <v>414</v>
      </c>
      <c r="E39" s="621"/>
      <c r="F39" s="621"/>
      <c r="G39" s="200">
        <v>12</v>
      </c>
      <c r="H39" s="204">
        <v>3120.8083842199399</v>
      </c>
      <c r="I39" s="205">
        <v>260.06736535166164</v>
      </c>
      <c r="J39" s="220">
        <f>I39-I13</f>
        <v>-9.7454065762576647E-2</v>
      </c>
      <c r="K39" s="620" t="s">
        <v>405</v>
      </c>
      <c r="L39" s="621"/>
      <c r="N39" s="177"/>
      <c r="O39" s="177"/>
      <c r="P39" s="379"/>
      <c r="Q39" s="379"/>
      <c r="R39" s="177"/>
    </row>
    <row r="40" spans="1:18" ht="15.75" customHeight="1">
      <c r="A40" s="624"/>
      <c r="B40" s="625"/>
      <c r="C40" s="203" t="s">
        <v>192</v>
      </c>
      <c r="D40" s="621" t="s">
        <v>416</v>
      </c>
      <c r="E40" s="621"/>
      <c r="F40" s="621"/>
      <c r="G40" s="200">
        <v>12</v>
      </c>
      <c r="H40" s="204">
        <v>3121.2659796529219</v>
      </c>
      <c r="I40" s="205">
        <v>260.1054983044101</v>
      </c>
      <c r="J40" s="220">
        <f>I40-I14</f>
        <v>-7.0551805844957016E-2</v>
      </c>
      <c r="K40" s="620" t="s">
        <v>405</v>
      </c>
      <c r="L40" s="621"/>
      <c r="N40" s="177"/>
      <c r="O40" s="177"/>
      <c r="P40" s="379"/>
      <c r="Q40" s="379"/>
      <c r="R40" s="177"/>
    </row>
    <row r="41" spans="1:18" ht="15.75" customHeight="1">
      <c r="A41" s="624"/>
      <c r="B41" s="625"/>
      <c r="C41" s="203" t="s">
        <v>188</v>
      </c>
      <c r="D41" s="621" t="s">
        <v>470</v>
      </c>
      <c r="E41" s="621"/>
      <c r="F41" s="621"/>
      <c r="G41" s="200">
        <v>5</v>
      </c>
      <c r="H41" s="204">
        <v>2739.9342839582418</v>
      </c>
      <c r="I41" s="205">
        <v>547.98685679164839</v>
      </c>
      <c r="J41" s="220">
        <f>I41-I15</f>
        <v>1.2042515750086977</v>
      </c>
      <c r="K41" s="620" t="s">
        <v>405</v>
      </c>
      <c r="L41" s="621"/>
      <c r="N41" s="177"/>
      <c r="O41" s="177"/>
      <c r="P41" s="379"/>
      <c r="Q41" s="379"/>
      <c r="R41" s="177"/>
    </row>
    <row r="42" spans="1:18" ht="15.75" customHeight="1">
      <c r="A42" s="624"/>
      <c r="B42" s="625"/>
      <c r="C42" s="203" t="s">
        <v>193</v>
      </c>
      <c r="D42" s="621" t="s">
        <v>323</v>
      </c>
      <c r="E42" s="621"/>
      <c r="F42" s="621"/>
      <c r="G42" s="200">
        <v>5</v>
      </c>
      <c r="H42" s="204">
        <v>3011.5716315333198</v>
      </c>
      <c r="I42" s="205">
        <v>602.31432630666393</v>
      </c>
      <c r="J42" s="220">
        <f>I42-I16</f>
        <v>1.1305979632575145</v>
      </c>
      <c r="K42" s="620" t="s">
        <v>405</v>
      </c>
      <c r="L42" s="621"/>
      <c r="M42" s="188"/>
      <c r="N42" s="177"/>
      <c r="O42" s="177"/>
      <c r="P42" s="379"/>
      <c r="Q42" s="379"/>
      <c r="R42" s="177"/>
    </row>
    <row r="43" spans="1:18" ht="15.75" customHeight="1">
      <c r="A43" s="624"/>
      <c r="B43" s="625"/>
      <c r="C43" s="203" t="s">
        <v>194</v>
      </c>
      <c r="D43" s="621" t="s">
        <v>212</v>
      </c>
      <c r="E43" s="621"/>
      <c r="F43" s="621"/>
      <c r="G43" s="200">
        <v>5</v>
      </c>
      <c r="H43" s="204">
        <v>3015.7569499421597</v>
      </c>
      <c r="I43" s="205">
        <v>603.15138998843202</v>
      </c>
      <c r="J43" s="220">
        <f>I43-I17</f>
        <v>1.7405537814317995</v>
      </c>
      <c r="K43" s="620" t="s">
        <v>405</v>
      </c>
      <c r="L43" s="621"/>
      <c r="M43" s="188"/>
      <c r="N43" s="177"/>
      <c r="O43" s="177"/>
      <c r="P43" s="379"/>
      <c r="Q43" s="379"/>
      <c r="R43" s="177"/>
    </row>
    <row r="44" spans="1:18" s="198" customFormat="1" ht="15.75" customHeight="1">
      <c r="A44" s="622" t="s">
        <v>171</v>
      </c>
      <c r="B44" s="622"/>
      <c r="C44" s="206" t="s">
        <v>47</v>
      </c>
      <c r="D44" s="622" t="s">
        <v>12</v>
      </c>
      <c r="E44" s="623"/>
      <c r="F44" s="623"/>
      <c r="G44" s="206" t="s">
        <v>46</v>
      </c>
      <c r="H44" s="206" t="s">
        <v>352</v>
      </c>
      <c r="I44" s="206" t="s">
        <v>353</v>
      </c>
      <c r="J44" s="159" t="s">
        <v>311</v>
      </c>
      <c r="K44" s="622" t="s">
        <v>50</v>
      </c>
      <c r="L44" s="623"/>
      <c r="M44" s="207"/>
      <c r="N44" s="177"/>
      <c r="O44" s="177"/>
      <c r="P44" s="379"/>
      <c r="Q44" s="379"/>
      <c r="R44" s="177"/>
    </row>
    <row r="45" spans="1:18" ht="15.75" customHeight="1">
      <c r="A45" s="624">
        <v>2</v>
      </c>
      <c r="B45" s="625" t="s">
        <v>155</v>
      </c>
      <c r="C45" s="199">
        <v>1</v>
      </c>
      <c r="D45" s="620" t="s">
        <v>325</v>
      </c>
      <c r="E45" s="621"/>
      <c r="F45" s="621"/>
      <c r="G45" s="199">
        <v>10</v>
      </c>
      <c r="H45" s="201">
        <v>3217.6609797246133</v>
      </c>
      <c r="I45" s="202">
        <v>321.76609797246135</v>
      </c>
      <c r="J45" s="220">
        <f>I45-I19</f>
        <v>5.1428571428402847E-2</v>
      </c>
      <c r="K45" s="620" t="s">
        <v>405</v>
      </c>
      <c r="L45" s="621"/>
      <c r="M45" s="188"/>
      <c r="N45" s="177"/>
      <c r="O45" s="177"/>
      <c r="P45" s="379"/>
      <c r="Q45" s="379"/>
      <c r="R45" s="177"/>
    </row>
    <row r="46" spans="1:18" ht="15.75" customHeight="1">
      <c r="A46" s="624"/>
      <c r="B46" s="625"/>
      <c r="C46" s="199">
        <v>2</v>
      </c>
      <c r="D46" s="620" t="s">
        <v>483</v>
      </c>
      <c r="E46" s="621"/>
      <c r="F46" s="621"/>
      <c r="G46" s="199">
        <v>11</v>
      </c>
      <c r="H46" s="201">
        <v>3157.7861122766117</v>
      </c>
      <c r="I46" s="202">
        <v>287.07146475241927</v>
      </c>
      <c r="J46" s="220">
        <f>I46-I22</f>
        <v>7.7968916448526215E-2</v>
      </c>
      <c r="K46" s="620" t="s">
        <v>405</v>
      </c>
      <c r="L46" s="621"/>
      <c r="M46" s="188"/>
      <c r="N46" s="177"/>
      <c r="O46" s="177"/>
      <c r="P46" s="379"/>
      <c r="Q46" s="379"/>
      <c r="R46" s="177"/>
    </row>
    <row r="47" spans="1:18" ht="15.75" customHeight="1">
      <c r="A47" s="624"/>
      <c r="B47" s="625"/>
      <c r="C47" s="199">
        <v>3</v>
      </c>
      <c r="D47" s="620" t="s">
        <v>609</v>
      </c>
      <c r="E47" s="621"/>
      <c r="F47" s="621"/>
      <c r="G47" s="199">
        <v>11</v>
      </c>
      <c r="H47" s="201">
        <v>3157.2894664595306</v>
      </c>
      <c r="I47" s="202">
        <v>287.0263151326846</v>
      </c>
      <c r="J47" s="220">
        <f>I47-I20</f>
        <v>-7.9902620374411981E-2</v>
      </c>
      <c r="K47" s="620" t="s">
        <v>405</v>
      </c>
      <c r="L47" s="621"/>
      <c r="M47" s="188"/>
      <c r="N47" s="177"/>
      <c r="O47" s="177"/>
      <c r="P47" s="379"/>
      <c r="Q47" s="379"/>
      <c r="R47" s="177"/>
    </row>
    <row r="48" spans="1:18" ht="15.75" customHeight="1">
      <c r="A48" s="624"/>
      <c r="B48" s="625"/>
      <c r="C48" s="199">
        <v>4</v>
      </c>
      <c r="D48" s="620" t="s">
        <v>484</v>
      </c>
      <c r="E48" s="621"/>
      <c r="F48" s="621"/>
      <c r="G48" s="199">
        <v>11</v>
      </c>
      <c r="H48" s="201">
        <v>3157.2404765805791</v>
      </c>
      <c r="I48" s="202">
        <v>287.0218615073253</v>
      </c>
      <c r="J48" s="220">
        <f>I48-I21</f>
        <v>-5.0609558963969903E-2</v>
      </c>
      <c r="K48" s="620" t="s">
        <v>405</v>
      </c>
      <c r="L48" s="621"/>
      <c r="M48" s="188"/>
      <c r="N48" s="177"/>
      <c r="O48" s="177"/>
      <c r="P48" s="379"/>
      <c r="Q48" s="379"/>
      <c r="R48" s="177"/>
    </row>
    <row r="49" spans="1:18" ht="15.75" customHeight="1">
      <c r="A49" s="624"/>
      <c r="B49" s="625"/>
      <c r="C49" s="199">
        <v>5</v>
      </c>
      <c r="D49" s="620"/>
      <c r="E49" s="621"/>
      <c r="F49" s="621"/>
      <c r="G49" s="199"/>
      <c r="H49" s="201"/>
      <c r="I49" s="202"/>
      <c r="J49" s="220"/>
      <c r="K49" s="620"/>
      <c r="L49" s="621"/>
      <c r="M49" s="188"/>
      <c r="N49" s="177"/>
      <c r="O49" s="177"/>
      <c r="P49" s="379"/>
      <c r="Q49" s="379"/>
      <c r="R49" s="177"/>
    </row>
    <row r="50" spans="1:18" ht="15.75" customHeight="1">
      <c r="A50" s="624"/>
      <c r="B50" s="625"/>
      <c r="C50" s="203" t="s">
        <v>187</v>
      </c>
      <c r="D50" s="620"/>
      <c r="E50" s="621"/>
      <c r="F50" s="621"/>
      <c r="G50" s="199"/>
      <c r="H50" s="201"/>
      <c r="I50" s="202"/>
      <c r="J50" s="199"/>
      <c r="K50" s="620"/>
      <c r="L50" s="621"/>
      <c r="M50" s="188"/>
      <c r="N50" s="177"/>
      <c r="O50" s="177"/>
      <c r="P50" s="379"/>
      <c r="Q50" s="379"/>
      <c r="R50" s="177"/>
    </row>
    <row r="51" spans="1:18" ht="15.75" customHeight="1">
      <c r="A51" s="624"/>
      <c r="B51" s="625"/>
      <c r="C51" s="203" t="s">
        <v>192</v>
      </c>
      <c r="D51" s="620"/>
      <c r="E51" s="621"/>
      <c r="F51" s="621"/>
      <c r="G51" s="199"/>
      <c r="H51" s="201"/>
      <c r="I51" s="202"/>
      <c r="J51" s="199"/>
      <c r="K51" s="620"/>
      <c r="L51" s="621"/>
      <c r="M51" s="188"/>
      <c r="N51" s="177"/>
      <c r="O51" s="177"/>
      <c r="P51" s="379"/>
      <c r="Q51" s="379"/>
      <c r="R51" s="177"/>
    </row>
    <row r="52" spans="1:18" ht="15.75" customHeight="1">
      <c r="A52" s="624"/>
      <c r="B52" s="625"/>
      <c r="C52" s="203" t="s">
        <v>188</v>
      </c>
      <c r="D52" s="620"/>
      <c r="E52" s="621"/>
      <c r="F52" s="621"/>
      <c r="G52" s="199"/>
      <c r="H52" s="201"/>
      <c r="I52" s="202"/>
      <c r="J52" s="199"/>
      <c r="K52" s="620"/>
      <c r="L52" s="621"/>
      <c r="M52" s="188"/>
      <c r="N52" s="177"/>
      <c r="O52" s="177"/>
      <c r="P52" s="379"/>
      <c r="Q52" s="379"/>
      <c r="R52" s="177"/>
    </row>
    <row r="53" spans="1:18" ht="15.75" customHeight="1">
      <c r="A53" s="624"/>
      <c r="B53" s="625"/>
      <c r="C53" s="203" t="s">
        <v>193</v>
      </c>
      <c r="D53" s="620"/>
      <c r="E53" s="621"/>
      <c r="F53" s="621"/>
      <c r="G53" s="199"/>
      <c r="H53" s="201"/>
      <c r="I53" s="202"/>
      <c r="J53" s="199"/>
      <c r="K53" s="620"/>
      <c r="L53" s="621"/>
      <c r="M53" s="188"/>
      <c r="N53" s="177"/>
      <c r="O53" s="177"/>
      <c r="P53" s="379"/>
      <c r="Q53" s="379"/>
      <c r="R53" s="177"/>
    </row>
    <row r="54" spans="1:18" ht="15.75" customHeight="1">
      <c r="A54" s="624"/>
      <c r="B54" s="625"/>
      <c r="C54" s="203" t="s">
        <v>194</v>
      </c>
      <c r="D54" s="620"/>
      <c r="E54" s="621"/>
      <c r="F54" s="621"/>
      <c r="G54" s="199"/>
      <c r="H54" s="201"/>
      <c r="I54" s="202"/>
      <c r="J54" s="199"/>
      <c r="K54" s="620"/>
      <c r="L54" s="621"/>
      <c r="M54" s="188"/>
      <c r="N54" s="177"/>
      <c r="O54" s="177"/>
      <c r="P54" s="379"/>
      <c r="Q54" s="379"/>
      <c r="R54" s="177"/>
    </row>
    <row r="55" spans="1:18" ht="15.75" customHeight="1">
      <c r="A55" s="626" t="s">
        <v>643</v>
      </c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  <c r="M55" s="188"/>
    </row>
    <row r="56" spans="1:18" s="189" customFormat="1" ht="15.75" customHeight="1">
      <c r="A56" s="626"/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</row>
    <row r="57" spans="1:18" s="177" customFormat="1" ht="15.75" customHeight="1">
      <c r="A57" s="624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24"/>
      <c r="B58" s="193" t="s">
        <v>189</v>
      </c>
      <c r="C58" s="193" t="s">
        <v>155</v>
      </c>
      <c r="D58" s="194" t="s">
        <v>190</v>
      </c>
      <c r="E58" s="194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25" t="s">
        <v>171</v>
      </c>
      <c r="B59" s="625"/>
      <c r="C59" s="159" t="s">
        <v>47</v>
      </c>
      <c r="D59" s="625" t="s">
        <v>12</v>
      </c>
      <c r="E59" s="627"/>
      <c r="F59" s="627"/>
      <c r="G59" s="159" t="s">
        <v>46</v>
      </c>
      <c r="H59" s="159" t="s">
        <v>352</v>
      </c>
      <c r="I59" s="159" t="s">
        <v>353</v>
      </c>
      <c r="J59" s="159" t="s">
        <v>311</v>
      </c>
      <c r="K59" s="625" t="s">
        <v>51</v>
      </c>
      <c r="L59" s="627"/>
      <c r="M59" s="192"/>
      <c r="N59" s="188"/>
      <c r="P59" s="379"/>
      <c r="Q59" s="379"/>
    </row>
    <row r="60" spans="1:18" ht="15.75" customHeight="1">
      <c r="A60" s="624">
        <v>1</v>
      </c>
      <c r="B60" s="625" t="s">
        <v>354</v>
      </c>
      <c r="C60" s="199">
        <v>1</v>
      </c>
      <c r="D60" s="620" t="s">
        <v>369</v>
      </c>
      <c r="E60" s="621"/>
      <c r="F60" s="621"/>
      <c r="G60" s="199">
        <v>3</v>
      </c>
      <c r="H60" s="201">
        <v>3227.4080940334056</v>
      </c>
      <c r="I60" s="202">
        <v>1075.8026980111354</v>
      </c>
      <c r="J60" s="220"/>
      <c r="K60" s="620" t="s">
        <v>405</v>
      </c>
      <c r="L60" s="621"/>
      <c r="N60" s="177"/>
      <c r="O60" s="177"/>
      <c r="P60" s="379"/>
      <c r="Q60" s="379"/>
      <c r="R60" s="177"/>
    </row>
    <row r="61" spans="1:18" ht="15.75" customHeight="1">
      <c r="A61" s="624"/>
      <c r="B61" s="625"/>
      <c r="C61" s="199">
        <v>2</v>
      </c>
      <c r="D61" s="620" t="s">
        <v>377</v>
      </c>
      <c r="E61" s="621"/>
      <c r="F61" s="621"/>
      <c r="G61" s="199">
        <v>3</v>
      </c>
      <c r="H61" s="201">
        <v>3227.1203308296863</v>
      </c>
      <c r="I61" s="202">
        <v>1075.706776943229</v>
      </c>
      <c r="J61" s="220">
        <f>I61-I35</f>
        <v>2.9213767151932188</v>
      </c>
      <c r="K61" s="620" t="s">
        <v>405</v>
      </c>
      <c r="L61" s="621"/>
      <c r="N61" s="177"/>
      <c r="O61" s="177"/>
      <c r="P61" s="379"/>
      <c r="Q61" s="379"/>
      <c r="R61" s="177"/>
    </row>
    <row r="62" spans="1:18" ht="15.75" customHeight="1">
      <c r="A62" s="624"/>
      <c r="B62" s="625"/>
      <c r="C62" s="199">
        <v>3</v>
      </c>
      <c r="D62" s="620" t="s">
        <v>376</v>
      </c>
      <c r="E62" s="621"/>
      <c r="F62" s="621"/>
      <c r="G62" s="199">
        <v>3</v>
      </c>
      <c r="H62" s="201">
        <v>3226.0903312802052</v>
      </c>
      <c r="I62" s="202">
        <v>1075.3634437600685</v>
      </c>
      <c r="J62" s="220">
        <f>I62-I37</f>
        <v>2.8153975672214528</v>
      </c>
      <c r="K62" s="620" t="s">
        <v>405</v>
      </c>
      <c r="L62" s="621"/>
      <c r="N62" s="177"/>
      <c r="O62" s="177"/>
      <c r="P62" s="379"/>
      <c r="Q62" s="379"/>
      <c r="R62" s="177"/>
    </row>
    <row r="63" spans="1:18" ht="15.75" customHeight="1">
      <c r="A63" s="624"/>
      <c r="B63" s="625"/>
      <c r="C63" s="199">
        <v>4</v>
      </c>
      <c r="D63" s="620" t="s">
        <v>412</v>
      </c>
      <c r="E63" s="621"/>
      <c r="F63" s="621"/>
      <c r="G63" s="199">
        <v>3</v>
      </c>
      <c r="H63" s="201">
        <v>3225.9238854278292</v>
      </c>
      <c r="I63" s="202">
        <v>1075.3079618092763</v>
      </c>
      <c r="J63" s="220">
        <f>I63-I34</f>
        <v>2.0742857142852245</v>
      </c>
      <c r="K63" s="620" t="s">
        <v>405</v>
      </c>
      <c r="L63" s="621"/>
      <c r="N63" s="177"/>
      <c r="O63" s="177"/>
      <c r="P63" s="379"/>
      <c r="Q63" s="379"/>
      <c r="R63" s="177"/>
    </row>
    <row r="64" spans="1:18" ht="15.75" customHeight="1">
      <c r="A64" s="624"/>
      <c r="B64" s="625"/>
      <c r="C64" s="199">
        <v>5</v>
      </c>
      <c r="D64" s="620" t="s">
        <v>528</v>
      </c>
      <c r="E64" s="621"/>
      <c r="F64" s="621"/>
      <c r="G64" s="199">
        <v>3</v>
      </c>
      <c r="H64" s="201">
        <v>3224.8897864308819</v>
      </c>
      <c r="I64" s="202">
        <v>1074.9632621436272</v>
      </c>
      <c r="J64" s="220">
        <f>I64-I36</f>
        <v>2.3142857142854609</v>
      </c>
      <c r="K64" s="620" t="s">
        <v>405</v>
      </c>
      <c r="L64" s="621"/>
      <c r="O64" s="177"/>
      <c r="P64" s="379"/>
      <c r="Q64" s="379"/>
      <c r="R64" s="177"/>
    </row>
    <row r="65" spans="1:18" ht="15.75" customHeight="1">
      <c r="A65" s="624"/>
      <c r="B65" s="625"/>
      <c r="C65" s="203" t="s">
        <v>187</v>
      </c>
      <c r="D65" s="621" t="s">
        <v>414</v>
      </c>
      <c r="E65" s="621"/>
      <c r="F65" s="621"/>
      <c r="G65" s="200">
        <v>12</v>
      </c>
      <c r="H65" s="204">
        <v>3121.0684522695251</v>
      </c>
      <c r="I65" s="205">
        <v>260.08903768912705</v>
      </c>
      <c r="J65" s="220">
        <f>I65-I39</f>
        <v>2.1672337465417968E-2</v>
      </c>
      <c r="K65" s="620" t="s">
        <v>405</v>
      </c>
      <c r="L65" s="621"/>
      <c r="N65" s="177"/>
      <c r="O65" s="177"/>
      <c r="P65" s="379"/>
      <c r="Q65" s="379"/>
      <c r="R65" s="177"/>
    </row>
    <row r="66" spans="1:18" ht="15.75" customHeight="1">
      <c r="A66" s="624"/>
      <c r="B66" s="625"/>
      <c r="C66" s="203" t="s">
        <v>192</v>
      </c>
      <c r="D66" s="621" t="s">
        <v>416</v>
      </c>
      <c r="E66" s="621"/>
      <c r="F66" s="621"/>
      <c r="G66" s="200">
        <v>12</v>
      </c>
      <c r="H66" s="204">
        <v>3121.239428269439</v>
      </c>
      <c r="I66" s="205">
        <v>260.1032856891199</v>
      </c>
      <c r="J66" s="220">
        <f>I66-I40</f>
        <v>-2.212615290204667E-3</v>
      </c>
      <c r="K66" s="620" t="s">
        <v>405</v>
      </c>
      <c r="L66" s="621"/>
      <c r="N66" s="177"/>
      <c r="O66" s="177"/>
      <c r="P66" s="379"/>
      <c r="Q66" s="379"/>
      <c r="R66" s="177"/>
    </row>
    <row r="67" spans="1:18" ht="15.75" customHeight="1">
      <c r="A67" s="624"/>
      <c r="B67" s="625"/>
      <c r="C67" s="203" t="s">
        <v>188</v>
      </c>
      <c r="D67" s="621" t="s">
        <v>470</v>
      </c>
      <c r="E67" s="621"/>
      <c r="F67" s="621"/>
      <c r="G67" s="200">
        <v>5</v>
      </c>
      <c r="H67" s="204">
        <v>2747.383394444515</v>
      </c>
      <c r="I67" s="205">
        <v>549.47667888890305</v>
      </c>
      <c r="J67" s="220">
        <f>I67-I41</f>
        <v>1.4898220972546596</v>
      </c>
      <c r="K67" s="620" t="s">
        <v>405</v>
      </c>
      <c r="L67" s="621"/>
      <c r="N67" s="177"/>
      <c r="O67" s="177"/>
      <c r="P67" s="379"/>
      <c r="Q67" s="379"/>
      <c r="R67" s="177"/>
    </row>
    <row r="68" spans="1:18" ht="15.75" customHeight="1">
      <c r="A68" s="624"/>
      <c r="B68" s="625"/>
      <c r="C68" s="203" t="s">
        <v>193</v>
      </c>
      <c r="D68" s="621" t="s">
        <v>323</v>
      </c>
      <c r="E68" s="621"/>
      <c r="F68" s="621"/>
      <c r="G68" s="200">
        <v>5</v>
      </c>
      <c r="H68" s="204">
        <v>3020.5157603009652</v>
      </c>
      <c r="I68" s="205">
        <v>604.103152060193</v>
      </c>
      <c r="J68" s="220">
        <f>I68-I42</f>
        <v>1.7888257535290677</v>
      </c>
      <c r="K68" s="620" t="s">
        <v>405</v>
      </c>
      <c r="L68" s="621"/>
      <c r="M68" s="188"/>
      <c r="N68" s="177"/>
      <c r="O68" s="177"/>
      <c r="P68" s="379"/>
      <c r="Q68" s="379"/>
      <c r="R68" s="177"/>
    </row>
    <row r="69" spans="1:18" ht="15.75" customHeight="1">
      <c r="A69" s="624"/>
      <c r="B69" s="625"/>
      <c r="C69" s="203" t="s">
        <v>194</v>
      </c>
      <c r="D69" s="621" t="s">
        <v>212</v>
      </c>
      <c r="E69" s="621"/>
      <c r="F69" s="621"/>
      <c r="G69" s="200">
        <v>5</v>
      </c>
      <c r="H69" s="204">
        <v>3022.9698070850159</v>
      </c>
      <c r="I69" s="205">
        <v>604.59396141700313</v>
      </c>
      <c r="J69" s="220">
        <f>I69-I43</f>
        <v>1.4425714285711138</v>
      </c>
      <c r="K69" s="620" t="s">
        <v>405</v>
      </c>
      <c r="L69" s="621"/>
      <c r="M69" s="188"/>
      <c r="N69" s="177"/>
      <c r="O69" s="177"/>
      <c r="P69" s="379"/>
      <c r="Q69" s="379"/>
      <c r="R69" s="177"/>
    </row>
    <row r="70" spans="1:18" s="198" customFormat="1" ht="15.75" customHeight="1">
      <c r="A70" s="622" t="s">
        <v>171</v>
      </c>
      <c r="B70" s="622"/>
      <c r="C70" s="206" t="s">
        <v>47</v>
      </c>
      <c r="D70" s="622" t="s">
        <v>12</v>
      </c>
      <c r="E70" s="623"/>
      <c r="F70" s="623"/>
      <c r="G70" s="206" t="s">
        <v>46</v>
      </c>
      <c r="H70" s="206" t="s">
        <v>352</v>
      </c>
      <c r="I70" s="206" t="s">
        <v>353</v>
      </c>
      <c r="J70" s="159" t="s">
        <v>311</v>
      </c>
      <c r="K70" s="622" t="s">
        <v>50</v>
      </c>
      <c r="L70" s="623"/>
      <c r="M70" s="207"/>
      <c r="N70" s="177"/>
      <c r="O70" s="177"/>
      <c r="P70" s="379"/>
      <c r="Q70" s="379"/>
      <c r="R70" s="177"/>
    </row>
    <row r="71" spans="1:18" ht="15.75" customHeight="1">
      <c r="A71" s="624">
        <v>2</v>
      </c>
      <c r="B71" s="625" t="s">
        <v>155</v>
      </c>
      <c r="C71" s="199">
        <v>1</v>
      </c>
      <c r="D71" s="620" t="s">
        <v>325</v>
      </c>
      <c r="E71" s="621"/>
      <c r="F71" s="621"/>
      <c r="G71" s="199">
        <v>10</v>
      </c>
      <c r="H71" s="201">
        <v>3216.6838368674703</v>
      </c>
      <c r="I71" s="202">
        <v>321.66838368674701</v>
      </c>
      <c r="J71" s="220">
        <f>I71-I45</f>
        <v>-9.7714285714346261E-2</v>
      </c>
      <c r="K71" s="620" t="s">
        <v>405</v>
      </c>
      <c r="L71" s="621"/>
      <c r="M71" s="188"/>
      <c r="N71" s="177"/>
      <c r="O71" s="177"/>
      <c r="P71" s="379"/>
      <c r="Q71" s="379"/>
      <c r="R71" s="177"/>
    </row>
    <row r="72" spans="1:18" ht="15.75" customHeight="1">
      <c r="A72" s="624"/>
      <c r="B72" s="625"/>
      <c r="C72" s="199">
        <v>2</v>
      </c>
      <c r="D72" s="620" t="s">
        <v>483</v>
      </c>
      <c r="E72" s="621"/>
      <c r="F72" s="621"/>
      <c r="G72" s="199">
        <v>11</v>
      </c>
      <c r="H72" s="201">
        <v>3157.8486392007062</v>
      </c>
      <c r="I72" s="202">
        <v>287.07714901824608</v>
      </c>
      <c r="J72" s="220">
        <f>I72-I46</f>
        <v>5.6842658268010382E-3</v>
      </c>
      <c r="K72" s="620" t="s">
        <v>405</v>
      </c>
      <c r="L72" s="621"/>
      <c r="M72" s="188"/>
      <c r="N72" s="177"/>
      <c r="O72" s="177"/>
      <c r="P72" s="379"/>
      <c r="Q72" s="379"/>
      <c r="R72" s="177"/>
    </row>
    <row r="73" spans="1:18" ht="15.75" customHeight="1">
      <c r="A73" s="624"/>
      <c r="B73" s="625"/>
      <c r="C73" s="199">
        <v>3</v>
      </c>
      <c r="D73" s="620" t="s">
        <v>609</v>
      </c>
      <c r="E73" s="621"/>
      <c r="F73" s="621"/>
      <c r="G73" s="199">
        <v>11</v>
      </c>
      <c r="H73" s="201">
        <v>3157.5895907245117</v>
      </c>
      <c r="I73" s="202">
        <v>287.05359915677383</v>
      </c>
      <c r="J73" s="220">
        <f>I73-I47</f>
        <v>2.7284024089226477E-2</v>
      </c>
      <c r="K73" s="620" t="s">
        <v>405</v>
      </c>
      <c r="L73" s="621"/>
      <c r="M73" s="188"/>
      <c r="N73" s="177"/>
      <c r="O73" s="177"/>
      <c r="P73" s="379"/>
      <c r="Q73" s="379"/>
      <c r="R73" s="177"/>
    </row>
    <row r="74" spans="1:18" ht="15.75" customHeight="1">
      <c r="A74" s="624"/>
      <c r="B74" s="625"/>
      <c r="C74" s="199">
        <v>4</v>
      </c>
      <c r="D74" s="620" t="s">
        <v>484</v>
      </c>
      <c r="E74" s="621"/>
      <c r="F74" s="621"/>
      <c r="G74" s="199">
        <v>11</v>
      </c>
      <c r="H74" s="201">
        <v>3156.3249338387805</v>
      </c>
      <c r="I74" s="202">
        <v>286.93863034897998</v>
      </c>
      <c r="J74" s="220">
        <f>I74-I48</f>
        <v>-8.3231158345313361E-2</v>
      </c>
      <c r="K74" s="620" t="s">
        <v>405</v>
      </c>
      <c r="L74" s="621"/>
      <c r="M74" s="188"/>
      <c r="N74" s="177"/>
      <c r="O74" s="177"/>
      <c r="P74" s="379"/>
      <c r="Q74" s="379"/>
      <c r="R74" s="177"/>
    </row>
    <row r="75" spans="1:18" ht="15.75" customHeight="1">
      <c r="A75" s="624"/>
      <c r="B75" s="625"/>
      <c r="C75" s="199">
        <v>5</v>
      </c>
      <c r="D75" s="620"/>
      <c r="E75" s="621"/>
      <c r="F75" s="621"/>
      <c r="G75" s="199"/>
      <c r="H75" s="201"/>
      <c r="I75" s="202"/>
      <c r="J75" s="220"/>
      <c r="K75" s="620"/>
      <c r="L75" s="621"/>
      <c r="M75" s="188"/>
      <c r="N75" s="177"/>
      <c r="O75" s="177"/>
      <c r="P75" s="379"/>
      <c r="Q75" s="379"/>
      <c r="R75" s="177"/>
    </row>
    <row r="76" spans="1:18" ht="15.75" customHeight="1">
      <c r="A76" s="624"/>
      <c r="B76" s="625"/>
      <c r="C76" s="203" t="s">
        <v>187</v>
      </c>
      <c r="D76" s="620"/>
      <c r="E76" s="621"/>
      <c r="F76" s="621"/>
      <c r="G76" s="199"/>
      <c r="H76" s="201"/>
      <c r="I76" s="202"/>
      <c r="J76" s="199"/>
      <c r="K76" s="620"/>
      <c r="L76" s="621"/>
      <c r="M76" s="188"/>
      <c r="N76" s="177"/>
      <c r="O76" s="177"/>
      <c r="P76" s="379"/>
      <c r="Q76" s="379"/>
      <c r="R76" s="177"/>
    </row>
    <row r="77" spans="1:18" ht="15.75" customHeight="1">
      <c r="A77" s="624"/>
      <c r="B77" s="625"/>
      <c r="C77" s="203" t="s">
        <v>192</v>
      </c>
      <c r="D77" s="620"/>
      <c r="E77" s="621"/>
      <c r="F77" s="621"/>
      <c r="G77" s="199"/>
      <c r="H77" s="201"/>
      <c r="I77" s="202"/>
      <c r="J77" s="199"/>
      <c r="K77" s="620"/>
      <c r="L77" s="621"/>
      <c r="M77" s="188"/>
      <c r="N77" s="177"/>
      <c r="O77" s="177"/>
      <c r="P77" s="379"/>
      <c r="Q77" s="379"/>
      <c r="R77" s="177"/>
    </row>
    <row r="78" spans="1:18" ht="15.75" customHeight="1">
      <c r="A78" s="624"/>
      <c r="B78" s="625"/>
      <c r="C78" s="203" t="s">
        <v>188</v>
      </c>
      <c r="D78" s="620"/>
      <c r="E78" s="621"/>
      <c r="F78" s="621"/>
      <c r="G78" s="199"/>
      <c r="H78" s="201"/>
      <c r="I78" s="202"/>
      <c r="J78" s="199"/>
      <c r="K78" s="620"/>
      <c r="L78" s="621"/>
      <c r="M78" s="188"/>
      <c r="N78" s="177"/>
      <c r="O78" s="177"/>
      <c r="P78" s="379"/>
      <c r="Q78" s="379"/>
      <c r="R78" s="177"/>
    </row>
    <row r="79" spans="1:18" ht="15.75" customHeight="1">
      <c r="A79" s="624"/>
      <c r="B79" s="625"/>
      <c r="C79" s="203" t="s">
        <v>193</v>
      </c>
      <c r="D79" s="620"/>
      <c r="E79" s="621"/>
      <c r="F79" s="621"/>
      <c r="G79" s="199"/>
      <c r="H79" s="201"/>
      <c r="I79" s="202"/>
      <c r="J79" s="199"/>
      <c r="K79" s="620"/>
      <c r="L79" s="621"/>
      <c r="M79" s="188"/>
      <c r="N79" s="177"/>
      <c r="O79" s="177"/>
      <c r="P79" s="379"/>
      <c r="Q79" s="379"/>
      <c r="R79" s="177"/>
    </row>
    <row r="80" spans="1:18" ht="15.75" customHeight="1">
      <c r="A80" s="624"/>
      <c r="B80" s="625"/>
      <c r="C80" s="203" t="s">
        <v>194</v>
      </c>
      <c r="D80" s="620"/>
      <c r="E80" s="621"/>
      <c r="F80" s="621"/>
      <c r="G80" s="199"/>
      <c r="H80" s="201"/>
      <c r="I80" s="202"/>
      <c r="J80" s="199"/>
      <c r="K80" s="620"/>
      <c r="L80" s="621"/>
      <c r="M80" s="188"/>
      <c r="N80" s="177"/>
      <c r="O80" s="177"/>
      <c r="P80" s="379"/>
      <c r="Q80" s="379"/>
      <c r="R80" s="177"/>
    </row>
    <row r="81" spans="1:18" ht="15.75" customHeight="1">
      <c r="A81" s="626" t="s">
        <v>681</v>
      </c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188"/>
    </row>
    <row r="82" spans="1:18" s="189" customFormat="1" ht="15.75" customHeight="1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</row>
    <row r="83" spans="1:18" s="177" customFormat="1" ht="15.75" customHeight="1">
      <c r="A83" s="624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24"/>
      <c r="B84" s="193" t="s">
        <v>189</v>
      </c>
      <c r="C84" s="193" t="s">
        <v>155</v>
      </c>
      <c r="D84" s="194" t="s">
        <v>190</v>
      </c>
      <c r="E84" s="194" t="s">
        <v>156</v>
      </c>
      <c r="F84" s="194" t="s">
        <v>327</v>
      </c>
      <c r="G84" s="195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25" t="s">
        <v>171</v>
      </c>
      <c r="B85" s="625"/>
      <c r="C85" s="159" t="s">
        <v>47</v>
      </c>
      <c r="D85" s="625" t="s">
        <v>12</v>
      </c>
      <c r="E85" s="627"/>
      <c r="F85" s="627"/>
      <c r="G85" s="159" t="s">
        <v>46</v>
      </c>
      <c r="H85" s="159" t="s">
        <v>352</v>
      </c>
      <c r="I85" s="159" t="s">
        <v>353</v>
      </c>
      <c r="J85" s="159" t="s">
        <v>311</v>
      </c>
      <c r="K85" s="625" t="s">
        <v>51</v>
      </c>
      <c r="L85" s="627"/>
      <c r="M85" s="192"/>
      <c r="N85" s="188"/>
      <c r="P85" s="379"/>
      <c r="Q85" s="379"/>
    </row>
    <row r="86" spans="1:18" ht="15.75" customHeight="1">
      <c r="A86" s="624">
        <v>1</v>
      </c>
      <c r="B86" s="625" t="s">
        <v>354</v>
      </c>
      <c r="C86" s="199">
        <v>1</v>
      </c>
      <c r="D86" s="620" t="s">
        <v>369</v>
      </c>
      <c r="E86" s="621"/>
      <c r="F86" s="621"/>
      <c r="G86" s="199">
        <v>3</v>
      </c>
      <c r="H86" s="201">
        <v>3236.4595226048323</v>
      </c>
      <c r="I86" s="202">
        <v>1078.8198408682774</v>
      </c>
      <c r="J86" s="220">
        <f>I86-I60</f>
        <v>3.017142857142062</v>
      </c>
      <c r="K86" s="620" t="s">
        <v>405</v>
      </c>
      <c r="L86" s="621"/>
      <c r="N86" s="177"/>
      <c r="O86" s="177"/>
      <c r="P86" s="379"/>
      <c r="Q86" s="379"/>
      <c r="R86" s="177"/>
    </row>
    <row r="87" spans="1:18" ht="15.75" customHeight="1">
      <c r="A87" s="624"/>
      <c r="B87" s="625"/>
      <c r="C87" s="199">
        <v>2</v>
      </c>
      <c r="D87" s="620" t="s">
        <v>377</v>
      </c>
      <c r="E87" s="621"/>
      <c r="F87" s="621"/>
      <c r="G87" s="199">
        <v>3</v>
      </c>
      <c r="H87" s="201">
        <v>3233.8574736868291</v>
      </c>
      <c r="I87" s="202">
        <v>1077.952491228943</v>
      </c>
      <c r="J87" s="220">
        <f>I87-I61</f>
        <v>2.2457142857140298</v>
      </c>
      <c r="K87" s="620" t="s">
        <v>405</v>
      </c>
      <c r="L87" s="621"/>
      <c r="N87" s="177"/>
      <c r="O87" s="177"/>
      <c r="P87" s="379"/>
      <c r="Q87" s="379"/>
      <c r="R87" s="177"/>
    </row>
    <row r="88" spans="1:18" ht="15.75" customHeight="1">
      <c r="A88" s="624"/>
      <c r="B88" s="625"/>
      <c r="C88" s="199">
        <v>3</v>
      </c>
      <c r="D88" s="620" t="s">
        <v>376</v>
      </c>
      <c r="E88" s="621"/>
      <c r="F88" s="621"/>
      <c r="G88" s="199">
        <v>3</v>
      </c>
      <c r="H88" s="201">
        <v>3233.4446169944904</v>
      </c>
      <c r="I88" s="202">
        <v>1077.8148723314969</v>
      </c>
      <c r="J88" s="220">
        <f>I88-I62</f>
        <v>2.4514285714283233</v>
      </c>
      <c r="K88" s="620" t="s">
        <v>405</v>
      </c>
      <c r="L88" s="621"/>
      <c r="N88" s="177"/>
      <c r="O88" s="177"/>
      <c r="P88" s="379"/>
      <c r="Q88" s="379"/>
      <c r="R88" s="177"/>
    </row>
    <row r="89" spans="1:18" ht="15.75" customHeight="1">
      <c r="A89" s="624"/>
      <c r="B89" s="625"/>
      <c r="C89" s="199">
        <v>4</v>
      </c>
      <c r="D89" s="620" t="s">
        <v>373</v>
      </c>
      <c r="E89" s="621"/>
      <c r="F89" s="621"/>
      <c r="G89" s="199">
        <v>3</v>
      </c>
      <c r="H89" s="201">
        <v>3233.1062685819425</v>
      </c>
      <c r="I89" s="202">
        <v>1077.7020895273142</v>
      </c>
      <c r="J89" s="220"/>
      <c r="K89" s="620" t="s">
        <v>405</v>
      </c>
      <c r="L89" s="621"/>
      <c r="N89" s="177"/>
      <c r="O89" s="177"/>
      <c r="P89" s="379"/>
      <c r="Q89" s="379"/>
      <c r="R89" s="177"/>
    </row>
    <row r="90" spans="1:18" ht="15.75" customHeight="1">
      <c r="A90" s="624"/>
      <c r="B90" s="625"/>
      <c r="C90" s="199">
        <v>5</v>
      </c>
      <c r="D90" s="620" t="s">
        <v>528</v>
      </c>
      <c r="E90" s="621"/>
      <c r="F90" s="621"/>
      <c r="G90" s="199">
        <v>3</v>
      </c>
      <c r="H90" s="201">
        <v>3231.8326435737386</v>
      </c>
      <c r="I90" s="202">
        <v>1077.2775478579129</v>
      </c>
      <c r="J90" s="220">
        <f>I90-I64</f>
        <v>2.3142857142856883</v>
      </c>
      <c r="K90" s="620" t="s">
        <v>405</v>
      </c>
      <c r="L90" s="621"/>
      <c r="O90" s="177"/>
      <c r="P90" s="379"/>
      <c r="Q90" s="379"/>
      <c r="R90" s="177"/>
    </row>
    <row r="91" spans="1:18" ht="15.75" customHeight="1">
      <c r="A91" s="624"/>
      <c r="B91" s="625"/>
      <c r="C91" s="203" t="s">
        <v>187</v>
      </c>
      <c r="D91" s="621" t="s">
        <v>414</v>
      </c>
      <c r="E91" s="621"/>
      <c r="F91" s="621"/>
      <c r="G91" s="200">
        <v>12</v>
      </c>
      <c r="H91" s="204">
        <v>3121.1381372360966</v>
      </c>
      <c r="I91" s="205">
        <v>260.09484476967475</v>
      </c>
      <c r="J91" s="220">
        <f>I91-I65</f>
        <v>5.8070805476972964E-3</v>
      </c>
      <c r="K91" s="620" t="s">
        <v>405</v>
      </c>
      <c r="L91" s="621"/>
      <c r="N91" s="177"/>
      <c r="O91" s="177"/>
      <c r="P91" s="379"/>
      <c r="Q91" s="379"/>
      <c r="R91" s="177"/>
    </row>
    <row r="92" spans="1:18" ht="15.75" customHeight="1">
      <c r="A92" s="624"/>
      <c r="B92" s="625"/>
      <c r="C92" s="203" t="s">
        <v>192</v>
      </c>
      <c r="D92" s="621" t="s">
        <v>416</v>
      </c>
      <c r="E92" s="621"/>
      <c r="F92" s="621"/>
      <c r="G92" s="200">
        <v>12</v>
      </c>
      <c r="H92" s="204">
        <v>3121.1465203442608</v>
      </c>
      <c r="I92" s="205">
        <v>260.09554336202171</v>
      </c>
      <c r="J92" s="220">
        <f>I92-I66</f>
        <v>-7.742327098185342E-3</v>
      </c>
      <c r="K92" s="620" t="s">
        <v>405</v>
      </c>
      <c r="L92" s="621"/>
      <c r="N92" s="177"/>
      <c r="O92" s="177"/>
      <c r="P92" s="379"/>
      <c r="Q92" s="379"/>
      <c r="R92" s="177"/>
    </row>
    <row r="93" spans="1:18" ht="15.75" customHeight="1">
      <c r="A93" s="624"/>
      <c r="B93" s="625"/>
      <c r="C93" s="203" t="s">
        <v>188</v>
      </c>
      <c r="D93" s="621" t="s">
        <v>715</v>
      </c>
      <c r="E93" s="621"/>
      <c r="F93" s="621"/>
      <c r="G93" s="200">
        <v>5</v>
      </c>
      <c r="H93" s="204">
        <v>2727.7931153738259</v>
      </c>
      <c r="I93" s="205">
        <v>545.55862307476514</v>
      </c>
      <c r="J93" s="220"/>
      <c r="K93" s="620" t="s">
        <v>405</v>
      </c>
      <c r="L93" s="621"/>
      <c r="N93" s="177"/>
      <c r="O93" s="177"/>
      <c r="P93" s="379"/>
      <c r="Q93" s="379"/>
      <c r="R93" s="177"/>
    </row>
    <row r="94" spans="1:18" ht="15.75" customHeight="1">
      <c r="A94" s="624"/>
      <c r="B94" s="625"/>
      <c r="C94" s="203" t="s">
        <v>193</v>
      </c>
      <c r="D94" s="621" t="s">
        <v>470</v>
      </c>
      <c r="E94" s="621"/>
      <c r="F94" s="621"/>
      <c r="G94" s="200">
        <v>5</v>
      </c>
      <c r="H94" s="204">
        <v>2754.1106271446083</v>
      </c>
      <c r="I94" s="205">
        <v>550.82212542892171</v>
      </c>
      <c r="J94" s="220">
        <f>I94-I67</f>
        <v>1.3454465400186564</v>
      </c>
      <c r="K94" s="620" t="s">
        <v>405</v>
      </c>
      <c r="L94" s="621"/>
      <c r="M94" s="188"/>
      <c r="N94" s="177"/>
      <c r="O94" s="177"/>
      <c r="P94" s="379"/>
      <c r="Q94" s="379"/>
      <c r="R94" s="177"/>
    </row>
    <row r="95" spans="1:18" ht="15.75" customHeight="1">
      <c r="A95" s="624"/>
      <c r="B95" s="625"/>
      <c r="C95" s="203" t="s">
        <v>194</v>
      </c>
      <c r="D95" s="621" t="s">
        <v>323</v>
      </c>
      <c r="E95" s="621"/>
      <c r="F95" s="621"/>
      <c r="G95" s="200">
        <v>5</v>
      </c>
      <c r="H95" s="204">
        <v>3026.7809841614735</v>
      </c>
      <c r="I95" s="205">
        <v>605.3561968322947</v>
      </c>
      <c r="J95" s="220">
        <f>I95-I68</f>
        <v>1.2530447721017026</v>
      </c>
      <c r="K95" s="620" t="s">
        <v>405</v>
      </c>
      <c r="L95" s="621"/>
      <c r="M95" s="188"/>
      <c r="N95" s="177"/>
      <c r="O95" s="177"/>
      <c r="P95" s="379"/>
      <c r="Q95" s="379"/>
      <c r="R95" s="177"/>
    </row>
    <row r="96" spans="1:18" s="198" customFormat="1" ht="15.75" customHeight="1">
      <c r="A96" s="622" t="s">
        <v>171</v>
      </c>
      <c r="B96" s="622"/>
      <c r="C96" s="206" t="s">
        <v>47</v>
      </c>
      <c r="D96" s="622" t="s">
        <v>12</v>
      </c>
      <c r="E96" s="623"/>
      <c r="F96" s="623"/>
      <c r="G96" s="206" t="s">
        <v>46</v>
      </c>
      <c r="H96" s="206" t="s">
        <v>352</v>
      </c>
      <c r="I96" s="206" t="s">
        <v>353</v>
      </c>
      <c r="J96" s="159" t="s">
        <v>311</v>
      </c>
      <c r="K96" s="622" t="s">
        <v>50</v>
      </c>
      <c r="L96" s="623"/>
      <c r="M96" s="207"/>
      <c r="N96" s="177"/>
      <c r="O96" s="177"/>
      <c r="P96" s="379"/>
      <c r="Q96" s="379"/>
      <c r="R96" s="177"/>
    </row>
    <row r="97" spans="1:18" ht="15.75" customHeight="1">
      <c r="A97" s="624">
        <v>2</v>
      </c>
      <c r="B97" s="625" t="s">
        <v>155</v>
      </c>
      <c r="C97" s="199">
        <v>1</v>
      </c>
      <c r="D97" s="620" t="s">
        <v>325</v>
      </c>
      <c r="E97" s="621"/>
      <c r="F97" s="621"/>
      <c r="G97" s="199">
        <v>10</v>
      </c>
      <c r="H97" s="201">
        <v>3218.8952654388972</v>
      </c>
      <c r="I97" s="202">
        <v>321.8895265438897</v>
      </c>
      <c r="J97" s="220">
        <f>I97-I71</f>
        <v>0.22114285714269499</v>
      </c>
      <c r="K97" s="620" t="s">
        <v>405</v>
      </c>
      <c r="L97" s="621"/>
      <c r="M97" s="188"/>
      <c r="N97" s="177"/>
      <c r="O97" s="177"/>
      <c r="P97" s="379"/>
      <c r="Q97" s="379"/>
      <c r="R97" s="177"/>
    </row>
    <row r="98" spans="1:18" ht="15.75" customHeight="1">
      <c r="A98" s="624"/>
      <c r="B98" s="625"/>
      <c r="C98" s="199">
        <v>2</v>
      </c>
      <c r="D98" s="620" t="s">
        <v>483</v>
      </c>
      <c r="E98" s="621"/>
      <c r="F98" s="621"/>
      <c r="G98" s="199">
        <v>11</v>
      </c>
      <c r="H98" s="201">
        <v>3158.2968065706782</v>
      </c>
      <c r="I98" s="202">
        <v>287.11789150642528</v>
      </c>
      <c r="J98" s="220">
        <f>I98-I72</f>
        <v>4.0742488179205338E-2</v>
      </c>
      <c r="K98" s="620" t="s">
        <v>405</v>
      </c>
      <c r="L98" s="621"/>
      <c r="M98" s="188"/>
      <c r="N98" s="177"/>
      <c r="O98" s="177"/>
      <c r="P98" s="379"/>
      <c r="Q98" s="379"/>
      <c r="R98" s="177"/>
    </row>
    <row r="99" spans="1:18" ht="15.75" customHeight="1">
      <c r="A99" s="624"/>
      <c r="B99" s="625"/>
      <c r="C99" s="199">
        <v>3</v>
      </c>
      <c r="D99" s="620" t="s">
        <v>484</v>
      </c>
      <c r="E99" s="621"/>
      <c r="F99" s="621"/>
      <c r="G99" s="199">
        <v>11</v>
      </c>
      <c r="H99" s="201">
        <v>3156.9349767223007</v>
      </c>
      <c r="I99" s="202">
        <v>286.99408879293645</v>
      </c>
      <c r="J99" s="220">
        <f>I99-I74</f>
        <v>5.5458443956467818E-2</v>
      </c>
      <c r="K99" s="620" t="s">
        <v>405</v>
      </c>
      <c r="L99" s="621"/>
      <c r="M99" s="188"/>
      <c r="N99" s="177"/>
      <c r="O99" s="177"/>
      <c r="P99" s="379"/>
      <c r="Q99" s="379"/>
      <c r="R99" s="177"/>
    </row>
    <row r="100" spans="1:18" ht="15.75" customHeight="1">
      <c r="A100" s="624"/>
      <c r="B100" s="625"/>
      <c r="C100" s="199">
        <v>4</v>
      </c>
      <c r="D100" s="620" t="s">
        <v>609</v>
      </c>
      <c r="E100" s="621"/>
      <c r="F100" s="621"/>
      <c r="G100" s="199">
        <v>11</v>
      </c>
      <c r="H100" s="201">
        <v>3156.5433081185665</v>
      </c>
      <c r="I100" s="202">
        <v>286.95848255623338</v>
      </c>
      <c r="J100" s="220">
        <f>I100-I73</f>
        <v>-9.5116600540450236E-2</v>
      </c>
      <c r="K100" s="620" t="s">
        <v>405</v>
      </c>
      <c r="L100" s="621"/>
      <c r="M100" s="188"/>
      <c r="N100" s="177"/>
      <c r="O100" s="177"/>
      <c r="P100" s="379"/>
      <c r="Q100" s="379"/>
      <c r="R100" s="177"/>
    </row>
    <row r="101" spans="1:18" ht="15.75" customHeight="1">
      <c r="A101" s="624"/>
      <c r="B101" s="625"/>
      <c r="C101" s="199">
        <v>5</v>
      </c>
      <c r="D101" s="620"/>
      <c r="E101" s="621"/>
      <c r="F101" s="621"/>
      <c r="G101" s="199"/>
      <c r="H101" s="201"/>
      <c r="I101" s="202"/>
      <c r="J101" s="220"/>
      <c r="K101" s="620"/>
      <c r="L101" s="621"/>
      <c r="M101" s="188"/>
      <c r="N101" s="177"/>
      <c r="O101" s="177"/>
      <c r="P101" s="379"/>
      <c r="Q101" s="379"/>
      <c r="R101" s="177"/>
    </row>
    <row r="102" spans="1:18" ht="15.75" customHeight="1">
      <c r="A102" s="624"/>
      <c r="B102" s="625"/>
      <c r="C102" s="203" t="s">
        <v>187</v>
      </c>
      <c r="D102" s="620"/>
      <c r="E102" s="621"/>
      <c r="F102" s="621"/>
      <c r="G102" s="199"/>
      <c r="H102" s="201"/>
      <c r="I102" s="202"/>
      <c r="J102" s="199"/>
      <c r="K102" s="620"/>
      <c r="L102" s="621"/>
      <c r="M102" s="188"/>
      <c r="N102" s="177"/>
      <c r="O102" s="177"/>
      <c r="P102" s="379"/>
      <c r="Q102" s="379"/>
      <c r="R102" s="177"/>
    </row>
    <row r="103" spans="1:18" ht="15.75" customHeight="1">
      <c r="A103" s="624"/>
      <c r="B103" s="625"/>
      <c r="C103" s="203" t="s">
        <v>192</v>
      </c>
      <c r="D103" s="620"/>
      <c r="E103" s="621"/>
      <c r="F103" s="621"/>
      <c r="G103" s="199"/>
      <c r="H103" s="201"/>
      <c r="I103" s="202"/>
      <c r="J103" s="199"/>
      <c r="K103" s="620"/>
      <c r="L103" s="621"/>
      <c r="M103" s="188"/>
      <c r="N103" s="177"/>
      <c r="O103" s="177"/>
      <c r="P103" s="379"/>
      <c r="Q103" s="379"/>
      <c r="R103" s="177"/>
    </row>
    <row r="104" spans="1:18" ht="15.75" customHeight="1">
      <c r="A104" s="624"/>
      <c r="B104" s="625"/>
      <c r="C104" s="203" t="s">
        <v>188</v>
      </c>
      <c r="D104" s="620"/>
      <c r="E104" s="621"/>
      <c r="F104" s="621"/>
      <c r="G104" s="199"/>
      <c r="H104" s="201"/>
      <c r="I104" s="202"/>
      <c r="J104" s="199"/>
      <c r="K104" s="620"/>
      <c r="L104" s="621"/>
      <c r="M104" s="188"/>
      <c r="N104" s="177"/>
      <c r="O104" s="177"/>
      <c r="P104" s="379"/>
      <c r="Q104" s="379"/>
      <c r="R104" s="177"/>
    </row>
    <row r="105" spans="1:18" ht="15.75" customHeight="1">
      <c r="A105" s="624"/>
      <c r="B105" s="625"/>
      <c r="C105" s="203" t="s">
        <v>193</v>
      </c>
      <c r="D105" s="620"/>
      <c r="E105" s="621"/>
      <c r="F105" s="621"/>
      <c r="G105" s="199"/>
      <c r="H105" s="201"/>
      <c r="I105" s="202"/>
      <c r="J105" s="199"/>
      <c r="K105" s="620"/>
      <c r="L105" s="621"/>
      <c r="M105" s="188"/>
      <c r="N105" s="177"/>
      <c r="O105" s="177"/>
      <c r="P105" s="379"/>
      <c r="Q105" s="379"/>
      <c r="R105" s="177"/>
    </row>
    <row r="106" spans="1:18" ht="15.75" customHeight="1">
      <c r="A106" s="624"/>
      <c r="B106" s="625"/>
      <c r="C106" s="203" t="s">
        <v>194</v>
      </c>
      <c r="D106" s="620"/>
      <c r="E106" s="621"/>
      <c r="F106" s="621"/>
      <c r="G106" s="199"/>
      <c r="H106" s="201"/>
      <c r="I106" s="202"/>
      <c r="J106" s="199"/>
      <c r="K106" s="620"/>
      <c r="L106" s="621"/>
      <c r="M106" s="188"/>
      <c r="N106" s="177"/>
      <c r="O106" s="177"/>
      <c r="P106" s="379"/>
      <c r="Q106" s="379"/>
      <c r="R106" s="177"/>
    </row>
    <row r="107" spans="1:18" ht="15.75" customHeight="1">
      <c r="A107" s="626" t="s">
        <v>696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  <c r="M107" s="188"/>
    </row>
    <row r="108" spans="1:18" s="189" customFormat="1" ht="15.75" customHeight="1">
      <c r="A108" s="626"/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</row>
    <row r="109" spans="1:18" s="177" customFormat="1" ht="15.75" customHeight="1">
      <c r="A109" s="624" t="s">
        <v>162</v>
      </c>
      <c r="B109" s="190">
        <v>1</v>
      </c>
      <c r="C109" s="190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ht="16.350000000000001" customHeight="1">
      <c r="A110" s="624"/>
      <c r="B110" s="193" t="s">
        <v>189</v>
      </c>
      <c r="C110" s="193" t="s">
        <v>155</v>
      </c>
      <c r="D110" s="194" t="s">
        <v>190</v>
      </c>
      <c r="E110" s="194" t="s">
        <v>156</v>
      </c>
      <c r="F110" s="194" t="s">
        <v>327</v>
      </c>
      <c r="G110" s="195" t="s">
        <v>136</v>
      </c>
      <c r="H110" s="196" t="s">
        <v>191</v>
      </c>
      <c r="I110" s="195" t="s">
        <v>351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77" customFormat="1" ht="15.75" customHeight="1">
      <c r="A111" s="625" t="s">
        <v>171</v>
      </c>
      <c r="B111" s="625"/>
      <c r="C111" s="159" t="s">
        <v>47</v>
      </c>
      <c r="D111" s="625" t="s">
        <v>12</v>
      </c>
      <c r="E111" s="627"/>
      <c r="F111" s="627"/>
      <c r="G111" s="159" t="s">
        <v>46</v>
      </c>
      <c r="H111" s="159" t="s">
        <v>352</v>
      </c>
      <c r="I111" s="159" t="s">
        <v>353</v>
      </c>
      <c r="J111" s="159" t="s">
        <v>311</v>
      </c>
      <c r="K111" s="625" t="s">
        <v>51</v>
      </c>
      <c r="L111" s="627"/>
      <c r="M111" s="192"/>
      <c r="N111" s="188"/>
      <c r="P111" s="379"/>
      <c r="Q111" s="379"/>
    </row>
    <row r="112" spans="1:18" ht="15.75" customHeight="1">
      <c r="A112" s="624">
        <v>1</v>
      </c>
      <c r="B112" s="625" t="s">
        <v>354</v>
      </c>
      <c r="C112" s="199">
        <v>1</v>
      </c>
      <c r="D112" s="620" t="s">
        <v>373</v>
      </c>
      <c r="E112" s="621"/>
      <c r="F112" s="621"/>
      <c r="G112" s="199">
        <v>3</v>
      </c>
      <c r="H112" s="201">
        <v>3240.3576971533703</v>
      </c>
      <c r="I112" s="202">
        <v>1080.1192323844568</v>
      </c>
      <c r="J112" s="220">
        <f>I112-I89</f>
        <v>2.4171428571426077</v>
      </c>
      <c r="K112" s="620"/>
      <c r="L112" s="621"/>
      <c r="N112" s="177"/>
      <c r="O112" s="177"/>
      <c r="P112" s="379"/>
      <c r="Q112" s="379"/>
      <c r="R112" s="177"/>
    </row>
    <row r="113" spans="1:18" ht="15.75" customHeight="1">
      <c r="A113" s="624"/>
      <c r="B113" s="625"/>
      <c r="C113" s="199">
        <v>2</v>
      </c>
      <c r="D113" s="620" t="s">
        <v>368</v>
      </c>
      <c r="E113" s="621"/>
      <c r="F113" s="621"/>
      <c r="G113" s="199">
        <v>3</v>
      </c>
      <c r="H113" s="201">
        <v>3238.9114017172592</v>
      </c>
      <c r="I113" s="202">
        <v>1079.6371339057532</v>
      </c>
      <c r="J113" s="220"/>
      <c r="K113" s="620"/>
      <c r="L113" s="621"/>
      <c r="N113" s="177"/>
      <c r="O113" s="177"/>
      <c r="P113" s="379"/>
      <c r="Q113" s="379"/>
      <c r="R113" s="177"/>
    </row>
    <row r="114" spans="1:18" ht="15.75" customHeight="1">
      <c r="A114" s="624"/>
      <c r="B114" s="625"/>
      <c r="C114" s="199">
        <v>3</v>
      </c>
      <c r="D114" s="620" t="s">
        <v>366</v>
      </c>
      <c r="E114" s="621"/>
      <c r="F114" s="621"/>
      <c r="G114" s="199">
        <v>3</v>
      </c>
      <c r="H114" s="201">
        <v>3238.7213453576337</v>
      </c>
      <c r="I114" s="202">
        <v>1079.5737817858778</v>
      </c>
      <c r="J114" s="220"/>
      <c r="K114" s="620"/>
      <c r="L114" s="621"/>
      <c r="N114" s="177"/>
      <c r="O114" s="177"/>
      <c r="P114" s="379"/>
      <c r="Q114" s="379"/>
      <c r="R114" s="177"/>
    </row>
    <row r="115" spans="1:18" ht="15.75" customHeight="1">
      <c r="A115" s="624"/>
      <c r="B115" s="625"/>
      <c r="C115" s="199">
        <v>4</v>
      </c>
      <c r="D115" s="620" t="s">
        <v>369</v>
      </c>
      <c r="E115" s="621"/>
      <c r="F115" s="621"/>
      <c r="G115" s="199">
        <v>3</v>
      </c>
      <c r="H115" s="201">
        <v>3238.5680940334023</v>
      </c>
      <c r="I115" s="202">
        <v>1079.5226980111343</v>
      </c>
      <c r="J115" s="220">
        <f>I115-I86</f>
        <v>0.70285714285682843</v>
      </c>
      <c r="K115" s="620"/>
      <c r="L115" s="621"/>
      <c r="N115" s="177"/>
      <c r="O115" s="177"/>
      <c r="P115" s="379"/>
      <c r="Q115" s="379"/>
      <c r="R115" s="177"/>
    </row>
    <row r="116" spans="1:18" ht="15.75" customHeight="1">
      <c r="A116" s="624"/>
      <c r="B116" s="625"/>
      <c r="C116" s="199">
        <v>5</v>
      </c>
      <c r="D116" s="620" t="s">
        <v>377</v>
      </c>
      <c r="E116" s="621"/>
      <c r="F116" s="621"/>
      <c r="G116" s="199">
        <v>3</v>
      </c>
      <c r="H116" s="201">
        <v>3237.9647202012648</v>
      </c>
      <c r="I116" s="202">
        <v>1079.3215734004218</v>
      </c>
      <c r="J116" s="220">
        <f>I116-I87</f>
        <v>1.3690821714787944</v>
      </c>
      <c r="K116" s="620"/>
      <c r="L116" s="621"/>
      <c r="O116" s="177"/>
      <c r="P116" s="379"/>
      <c r="Q116" s="379"/>
      <c r="R116" s="177"/>
    </row>
    <row r="117" spans="1:18" ht="15.75" customHeight="1">
      <c r="A117" s="624"/>
      <c r="B117" s="625"/>
      <c r="C117" s="203" t="s">
        <v>187</v>
      </c>
      <c r="D117" s="621" t="s">
        <v>416</v>
      </c>
      <c r="E117" s="621"/>
      <c r="F117" s="621"/>
      <c r="G117" s="200">
        <v>12</v>
      </c>
      <c r="H117" s="204">
        <v>3120.0818231356911</v>
      </c>
      <c r="I117" s="205">
        <v>260.006818594641</v>
      </c>
      <c r="J117" s="220">
        <f>I117-I92</f>
        <v>-8.8724767380711E-2</v>
      </c>
      <c r="K117" s="620"/>
      <c r="L117" s="621"/>
      <c r="N117" s="177"/>
      <c r="O117" s="177"/>
      <c r="P117" s="379"/>
      <c r="Q117" s="379"/>
      <c r="R117" s="177"/>
    </row>
    <row r="118" spans="1:18" ht="15.75" customHeight="1">
      <c r="A118" s="624"/>
      <c r="B118" s="625"/>
      <c r="C118" s="203" t="s">
        <v>192</v>
      </c>
      <c r="D118" s="621" t="s">
        <v>414</v>
      </c>
      <c r="E118" s="621"/>
      <c r="F118" s="621"/>
      <c r="G118" s="200">
        <v>12</v>
      </c>
      <c r="H118" s="204">
        <v>3121.4275861178721</v>
      </c>
      <c r="I118" s="205">
        <v>260.11896550982266</v>
      </c>
      <c r="J118" s="220">
        <f>I118-I91</f>
        <v>2.4120740147907327E-2</v>
      </c>
      <c r="K118" s="620"/>
      <c r="L118" s="621"/>
      <c r="N118" s="177"/>
      <c r="O118" s="177"/>
      <c r="P118" s="379"/>
      <c r="Q118" s="379"/>
      <c r="R118" s="177"/>
    </row>
    <row r="119" spans="1:18" ht="15.75" customHeight="1">
      <c r="A119" s="624"/>
      <c r="B119" s="625"/>
      <c r="C119" s="203" t="s">
        <v>188</v>
      </c>
      <c r="D119" s="621" t="s">
        <v>470</v>
      </c>
      <c r="E119" s="621"/>
      <c r="F119" s="621"/>
      <c r="G119" s="200">
        <v>5</v>
      </c>
      <c r="H119" s="204">
        <v>2759.636828541365</v>
      </c>
      <c r="I119" s="205">
        <v>551.92736570827287</v>
      </c>
      <c r="J119" s="220">
        <f>I119-I94</f>
        <v>1.1052402793511646</v>
      </c>
      <c r="K119" s="620"/>
      <c r="L119" s="621"/>
      <c r="N119" s="177"/>
      <c r="O119" s="177"/>
      <c r="P119" s="379"/>
      <c r="Q119" s="379"/>
      <c r="R119" s="177"/>
    </row>
    <row r="120" spans="1:18" ht="15.75" customHeight="1">
      <c r="A120" s="624"/>
      <c r="B120" s="625"/>
      <c r="C120" s="203" t="s">
        <v>193</v>
      </c>
      <c r="D120" s="621" t="s">
        <v>769</v>
      </c>
      <c r="E120" s="621"/>
      <c r="F120" s="621"/>
      <c r="G120" s="200">
        <v>5</v>
      </c>
      <c r="H120" s="204">
        <v>2918.0113150274597</v>
      </c>
      <c r="I120" s="205">
        <v>583.60226300549198</v>
      </c>
      <c r="J120" s="220"/>
      <c r="K120" s="620"/>
      <c r="L120" s="621"/>
      <c r="M120" s="188"/>
      <c r="N120" s="177"/>
      <c r="O120" s="177"/>
      <c r="P120" s="379"/>
      <c r="Q120" s="379"/>
      <c r="R120" s="177"/>
    </row>
    <row r="121" spans="1:18" ht="15.75" customHeight="1">
      <c r="A121" s="624"/>
      <c r="B121" s="625"/>
      <c r="C121" s="203" t="s">
        <v>194</v>
      </c>
      <c r="D121" s="621" t="s">
        <v>715</v>
      </c>
      <c r="E121" s="621"/>
      <c r="F121" s="621"/>
      <c r="G121" s="200">
        <v>5</v>
      </c>
      <c r="H121" s="204">
        <v>2944.0648497933521</v>
      </c>
      <c r="I121" s="205">
        <v>588.81296995867058</v>
      </c>
      <c r="J121" s="220">
        <f>I121-I93</f>
        <v>43.254346883905441</v>
      </c>
      <c r="K121" s="620"/>
      <c r="L121" s="621"/>
      <c r="M121" s="188"/>
      <c r="N121" s="177"/>
      <c r="O121" s="177"/>
      <c r="P121" s="379"/>
      <c r="Q121" s="379"/>
      <c r="R121" s="177"/>
    </row>
    <row r="122" spans="1:18" s="198" customFormat="1" ht="15.75" customHeight="1">
      <c r="A122" s="622" t="s">
        <v>171</v>
      </c>
      <c r="B122" s="622"/>
      <c r="C122" s="206" t="s">
        <v>47</v>
      </c>
      <c r="D122" s="622" t="s">
        <v>12</v>
      </c>
      <c r="E122" s="623"/>
      <c r="F122" s="623"/>
      <c r="G122" s="206" t="s">
        <v>46</v>
      </c>
      <c r="H122" s="206" t="s">
        <v>352</v>
      </c>
      <c r="I122" s="206" t="s">
        <v>353</v>
      </c>
      <c r="J122" s="159" t="s">
        <v>311</v>
      </c>
      <c r="K122" s="622" t="s">
        <v>50</v>
      </c>
      <c r="L122" s="623"/>
      <c r="M122" s="207"/>
      <c r="N122" s="177"/>
      <c r="O122" s="177"/>
      <c r="P122" s="379"/>
      <c r="Q122" s="379"/>
      <c r="R122" s="177"/>
    </row>
    <row r="123" spans="1:18" ht="15.75" customHeight="1">
      <c r="A123" s="624">
        <v>2</v>
      </c>
      <c r="B123" s="625" t="s">
        <v>155</v>
      </c>
      <c r="C123" s="199">
        <v>1</v>
      </c>
      <c r="D123" s="620" t="s">
        <v>325</v>
      </c>
      <c r="E123" s="621"/>
      <c r="F123" s="621"/>
      <c r="G123" s="199">
        <v>10</v>
      </c>
      <c r="H123" s="201">
        <v>3216.7866940103254</v>
      </c>
      <c r="I123" s="202">
        <v>321.67866940103249</v>
      </c>
      <c r="J123" s="220">
        <f>I123-I97</f>
        <v>-0.21085714285720769</v>
      </c>
      <c r="K123" s="620"/>
      <c r="L123" s="621"/>
      <c r="M123" s="188"/>
      <c r="N123" s="177"/>
      <c r="O123" s="177"/>
      <c r="P123" s="379"/>
      <c r="Q123" s="379"/>
      <c r="R123" s="177"/>
    </row>
    <row r="124" spans="1:18" ht="15.75" customHeight="1">
      <c r="A124" s="624"/>
      <c r="B124" s="625"/>
      <c r="C124" s="199">
        <v>2</v>
      </c>
      <c r="D124" s="620" t="s">
        <v>483</v>
      </c>
      <c r="E124" s="621"/>
      <c r="F124" s="621"/>
      <c r="G124" s="199">
        <v>11</v>
      </c>
      <c r="H124" s="201">
        <v>3158.5392519653301</v>
      </c>
      <c r="I124" s="202">
        <v>287.13993199684825</v>
      </c>
      <c r="J124" s="220">
        <f>I124-I98</f>
        <v>2.2040490422966741E-2</v>
      </c>
      <c r="K124" s="620"/>
      <c r="L124" s="621"/>
      <c r="M124" s="188"/>
      <c r="N124" s="177"/>
      <c r="O124" s="177"/>
      <c r="P124" s="379"/>
      <c r="Q124" s="379"/>
      <c r="R124" s="177"/>
    </row>
    <row r="125" spans="1:18" ht="15.75" customHeight="1">
      <c r="A125" s="624"/>
      <c r="B125" s="625"/>
      <c r="C125" s="199">
        <v>3</v>
      </c>
      <c r="D125" s="620" t="s">
        <v>609</v>
      </c>
      <c r="E125" s="621"/>
      <c r="F125" s="621"/>
      <c r="G125" s="199">
        <v>11</v>
      </c>
      <c r="H125" s="201">
        <v>3157.8383536890128</v>
      </c>
      <c r="I125" s="202">
        <v>287.07621397172841</v>
      </c>
      <c r="J125" s="220">
        <f>I125-I100</f>
        <v>0.11773141549502952</v>
      </c>
      <c r="K125" s="620"/>
      <c r="L125" s="621"/>
      <c r="M125" s="188"/>
      <c r="N125" s="177"/>
      <c r="O125" s="177"/>
      <c r="P125" s="379"/>
      <c r="Q125" s="379"/>
      <c r="R125" s="177"/>
    </row>
    <row r="126" spans="1:18" ht="15.75" customHeight="1">
      <c r="A126" s="624"/>
      <c r="B126" s="625"/>
      <c r="C126" s="199">
        <v>4</v>
      </c>
      <c r="D126" s="620" t="s">
        <v>484</v>
      </c>
      <c r="E126" s="621"/>
      <c r="F126" s="621"/>
      <c r="G126" s="199">
        <v>11</v>
      </c>
      <c r="H126" s="201">
        <v>3157.7808459124449</v>
      </c>
      <c r="I126" s="202">
        <v>287.07098599204045</v>
      </c>
      <c r="J126" s="220">
        <f>I126-I99</f>
        <v>7.6897199103996172E-2</v>
      </c>
      <c r="K126" s="620"/>
      <c r="L126" s="621"/>
      <c r="M126" s="188"/>
      <c r="N126" s="177"/>
      <c r="O126" s="177"/>
      <c r="P126" s="379"/>
      <c r="Q126" s="379"/>
      <c r="R126" s="177"/>
    </row>
    <row r="127" spans="1:18" ht="15.75" customHeight="1">
      <c r="A127" s="624"/>
      <c r="B127" s="625"/>
      <c r="C127" s="199">
        <v>5</v>
      </c>
      <c r="D127" s="620"/>
      <c r="E127" s="621"/>
      <c r="F127" s="621"/>
      <c r="G127" s="199"/>
      <c r="H127" s="201"/>
      <c r="I127" s="202"/>
      <c r="J127" s="220"/>
      <c r="K127" s="620"/>
      <c r="L127" s="621"/>
      <c r="M127" s="188"/>
      <c r="N127" s="177"/>
      <c r="O127" s="177"/>
      <c r="P127" s="379"/>
      <c r="Q127" s="379"/>
      <c r="R127" s="177"/>
    </row>
    <row r="128" spans="1:18" ht="15.75" customHeight="1">
      <c r="A128" s="624"/>
      <c r="B128" s="625"/>
      <c r="C128" s="203" t="s">
        <v>187</v>
      </c>
      <c r="D128" s="620"/>
      <c r="E128" s="621"/>
      <c r="F128" s="621"/>
      <c r="G128" s="199"/>
      <c r="H128" s="201"/>
      <c r="I128" s="202"/>
      <c r="J128" s="199"/>
      <c r="K128" s="620"/>
      <c r="L128" s="621"/>
      <c r="M128" s="188"/>
      <c r="N128" s="177"/>
      <c r="O128" s="177"/>
      <c r="P128" s="379"/>
      <c r="Q128" s="379"/>
      <c r="R128" s="177"/>
    </row>
    <row r="129" spans="1:18" ht="15.75" customHeight="1">
      <c r="A129" s="624"/>
      <c r="B129" s="625"/>
      <c r="C129" s="203" t="s">
        <v>192</v>
      </c>
      <c r="D129" s="620"/>
      <c r="E129" s="621"/>
      <c r="F129" s="621"/>
      <c r="G129" s="199"/>
      <c r="H129" s="201"/>
      <c r="I129" s="202"/>
      <c r="J129" s="199"/>
      <c r="K129" s="620"/>
      <c r="L129" s="621"/>
      <c r="M129" s="188"/>
      <c r="N129" s="177"/>
      <c r="O129" s="177"/>
      <c r="P129" s="379"/>
      <c r="Q129" s="379"/>
      <c r="R129" s="177"/>
    </row>
    <row r="130" spans="1:18" ht="15.75" customHeight="1">
      <c r="A130" s="624"/>
      <c r="B130" s="625"/>
      <c r="C130" s="203" t="s">
        <v>188</v>
      </c>
      <c r="D130" s="620"/>
      <c r="E130" s="621"/>
      <c r="F130" s="621"/>
      <c r="G130" s="199"/>
      <c r="H130" s="201"/>
      <c r="I130" s="202"/>
      <c r="J130" s="199"/>
      <c r="K130" s="620"/>
      <c r="L130" s="621"/>
      <c r="M130" s="188"/>
      <c r="N130" s="177"/>
      <c r="O130" s="177"/>
      <c r="P130" s="379"/>
      <c r="Q130" s="379"/>
      <c r="R130" s="177"/>
    </row>
    <row r="131" spans="1:18" ht="15.75" customHeight="1">
      <c r="A131" s="624"/>
      <c r="B131" s="625"/>
      <c r="C131" s="203" t="s">
        <v>193</v>
      </c>
      <c r="D131" s="620"/>
      <c r="E131" s="621"/>
      <c r="F131" s="621"/>
      <c r="G131" s="199"/>
      <c r="H131" s="201"/>
      <c r="I131" s="202"/>
      <c r="J131" s="199"/>
      <c r="K131" s="620"/>
      <c r="L131" s="621"/>
      <c r="M131" s="188"/>
      <c r="N131" s="177"/>
      <c r="O131" s="177"/>
      <c r="P131" s="379"/>
      <c r="Q131" s="379"/>
      <c r="R131" s="177"/>
    </row>
    <row r="132" spans="1:18" ht="15.75" customHeight="1">
      <c r="A132" s="624"/>
      <c r="B132" s="625"/>
      <c r="C132" s="203" t="s">
        <v>194</v>
      </c>
      <c r="D132" s="620"/>
      <c r="E132" s="621"/>
      <c r="F132" s="621"/>
      <c r="G132" s="199"/>
      <c r="H132" s="201"/>
      <c r="I132" s="202"/>
      <c r="J132" s="199"/>
      <c r="K132" s="620"/>
      <c r="L132" s="621"/>
      <c r="M132" s="188"/>
      <c r="N132" s="177"/>
      <c r="O132" s="177"/>
      <c r="P132" s="379"/>
      <c r="Q132" s="379"/>
      <c r="R132" s="177"/>
    </row>
    <row r="133" spans="1:18" ht="15.75" customHeight="1">
      <c r="A133" s="626" t="s">
        <v>738</v>
      </c>
      <c r="B133" s="626"/>
      <c r="C133" s="626"/>
      <c r="D133" s="626"/>
      <c r="E133" s="626"/>
      <c r="F133" s="626"/>
      <c r="G133" s="626"/>
      <c r="H133" s="626"/>
      <c r="I133" s="626"/>
      <c r="J133" s="626"/>
      <c r="K133" s="626"/>
      <c r="L133" s="626"/>
      <c r="M133" s="188"/>
    </row>
    <row r="134" spans="1:18" s="189" customFormat="1" ht="15.75" customHeight="1">
      <c r="A134" s="626"/>
      <c r="B134" s="626"/>
      <c r="C134" s="626"/>
      <c r="D134" s="626"/>
      <c r="E134" s="626"/>
      <c r="F134" s="626"/>
      <c r="G134" s="626"/>
      <c r="H134" s="626"/>
      <c r="I134" s="626"/>
      <c r="J134" s="626"/>
      <c r="K134" s="626"/>
      <c r="L134" s="626"/>
    </row>
    <row r="135" spans="1:18" s="177" customFormat="1" ht="15.75" customHeight="1">
      <c r="A135" s="624" t="s">
        <v>162</v>
      </c>
      <c r="B135" s="190">
        <v>1</v>
      </c>
      <c r="C135" s="190">
        <v>2</v>
      </c>
      <c r="D135" s="169">
        <v>3</v>
      </c>
      <c r="E135" s="169">
        <v>4</v>
      </c>
      <c r="F135" s="169">
        <v>5</v>
      </c>
      <c r="G135" s="169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</row>
    <row r="136" spans="1:18" ht="16.350000000000001" customHeight="1">
      <c r="A136" s="624"/>
      <c r="B136" s="193" t="s">
        <v>189</v>
      </c>
      <c r="C136" s="193" t="s">
        <v>155</v>
      </c>
      <c r="D136" s="194" t="s">
        <v>190</v>
      </c>
      <c r="E136" s="194" t="s">
        <v>156</v>
      </c>
      <c r="F136" s="194" t="s">
        <v>327</v>
      </c>
      <c r="G136" s="195" t="s">
        <v>136</v>
      </c>
      <c r="H136" s="196" t="s">
        <v>191</v>
      </c>
      <c r="I136" s="195" t="s">
        <v>351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77" customFormat="1" ht="15.75" customHeight="1">
      <c r="A137" s="625" t="s">
        <v>171</v>
      </c>
      <c r="B137" s="625"/>
      <c r="C137" s="159" t="s">
        <v>47</v>
      </c>
      <c r="D137" s="625" t="s">
        <v>12</v>
      </c>
      <c r="E137" s="627"/>
      <c r="F137" s="627"/>
      <c r="G137" s="159" t="s">
        <v>46</v>
      </c>
      <c r="H137" s="159" t="s">
        <v>352</v>
      </c>
      <c r="I137" s="159" t="s">
        <v>353</v>
      </c>
      <c r="J137" s="159" t="s">
        <v>311</v>
      </c>
      <c r="K137" s="625" t="s">
        <v>51</v>
      </c>
      <c r="L137" s="627"/>
      <c r="M137" s="192"/>
      <c r="N137" s="188"/>
      <c r="P137" s="379"/>
      <c r="Q137" s="379"/>
    </row>
    <row r="138" spans="1:18" ht="15.75" customHeight="1">
      <c r="A138" s="624">
        <v>1</v>
      </c>
      <c r="B138" s="625" t="s">
        <v>354</v>
      </c>
      <c r="C138" s="199">
        <v>1</v>
      </c>
      <c r="D138" s="620"/>
      <c r="E138" s="621"/>
      <c r="F138" s="621"/>
      <c r="G138" s="199"/>
      <c r="H138" s="201"/>
      <c r="I138" s="202"/>
      <c r="J138" s="220">
        <f>I138-I112</f>
        <v>-1080.1192323844568</v>
      </c>
      <c r="K138" s="620"/>
      <c r="L138" s="621"/>
      <c r="N138" s="177"/>
      <c r="O138" s="177"/>
      <c r="P138" s="379"/>
      <c r="Q138" s="379"/>
      <c r="R138" s="177"/>
    </row>
    <row r="139" spans="1:18" ht="15.75" customHeight="1">
      <c r="A139" s="624"/>
      <c r="B139" s="625"/>
      <c r="C139" s="199">
        <v>2</v>
      </c>
      <c r="D139" s="620"/>
      <c r="E139" s="621"/>
      <c r="F139" s="621"/>
      <c r="G139" s="199"/>
      <c r="H139" s="201"/>
      <c r="I139" s="202"/>
      <c r="J139" s="220">
        <f>I139-I113</f>
        <v>-1079.6371339057532</v>
      </c>
      <c r="K139" s="620"/>
      <c r="L139" s="621"/>
      <c r="N139" s="177"/>
      <c r="O139" s="177"/>
      <c r="P139" s="379"/>
      <c r="Q139" s="379"/>
      <c r="R139" s="177"/>
    </row>
    <row r="140" spans="1:18" ht="15.75" customHeight="1">
      <c r="A140" s="624"/>
      <c r="B140" s="625"/>
      <c r="C140" s="199">
        <v>3</v>
      </c>
      <c r="D140" s="620"/>
      <c r="E140" s="621"/>
      <c r="F140" s="621"/>
      <c r="G140" s="199"/>
      <c r="H140" s="201"/>
      <c r="I140" s="202"/>
      <c r="J140" s="220">
        <f>I140-I114</f>
        <v>-1079.5737817858778</v>
      </c>
      <c r="K140" s="620"/>
      <c r="L140" s="621"/>
      <c r="N140" s="177"/>
      <c r="O140" s="177"/>
      <c r="P140" s="379"/>
      <c r="Q140" s="379"/>
      <c r="R140" s="177"/>
    </row>
    <row r="141" spans="1:18" ht="15.75" customHeight="1">
      <c r="A141" s="624"/>
      <c r="B141" s="625"/>
      <c r="C141" s="199">
        <v>4</v>
      </c>
      <c r="D141" s="620"/>
      <c r="E141" s="621"/>
      <c r="F141" s="621"/>
      <c r="G141" s="199"/>
      <c r="H141" s="201"/>
      <c r="I141" s="202"/>
      <c r="J141" s="220">
        <f>I141-I115</f>
        <v>-1079.5226980111343</v>
      </c>
      <c r="K141" s="620"/>
      <c r="L141" s="621"/>
      <c r="N141" s="177"/>
      <c r="O141" s="177"/>
      <c r="P141" s="379"/>
      <c r="Q141" s="379"/>
      <c r="R141" s="177"/>
    </row>
    <row r="142" spans="1:18" ht="15.75" customHeight="1">
      <c r="A142" s="624"/>
      <c r="B142" s="625"/>
      <c r="C142" s="199">
        <v>5</v>
      </c>
      <c r="D142" s="620"/>
      <c r="E142" s="621"/>
      <c r="F142" s="621"/>
      <c r="G142" s="199"/>
      <c r="H142" s="201"/>
      <c r="I142" s="202"/>
      <c r="J142" s="220"/>
      <c r="K142" s="620"/>
      <c r="L142" s="621"/>
      <c r="O142" s="177"/>
      <c r="P142" s="379"/>
      <c r="Q142" s="379"/>
      <c r="R142" s="177"/>
    </row>
    <row r="143" spans="1:18" ht="15.75" customHeight="1">
      <c r="A143" s="624"/>
      <c r="B143" s="625"/>
      <c r="C143" s="203" t="s">
        <v>187</v>
      </c>
      <c r="D143" s="621"/>
      <c r="E143" s="621"/>
      <c r="F143" s="621"/>
      <c r="G143" s="200"/>
      <c r="H143" s="204"/>
      <c r="I143" s="205"/>
      <c r="J143" s="220">
        <f>I143-I117</f>
        <v>-260.006818594641</v>
      </c>
      <c r="K143" s="620"/>
      <c r="L143" s="621"/>
      <c r="N143" s="177"/>
      <c r="O143" s="177"/>
      <c r="P143" s="379"/>
      <c r="Q143" s="379"/>
      <c r="R143" s="177"/>
    </row>
    <row r="144" spans="1:18" ht="15.75" customHeight="1">
      <c r="A144" s="624"/>
      <c r="B144" s="625"/>
      <c r="C144" s="203" t="s">
        <v>192</v>
      </c>
      <c r="D144" s="621"/>
      <c r="E144" s="621"/>
      <c r="F144" s="621"/>
      <c r="G144" s="200"/>
      <c r="H144" s="204"/>
      <c r="I144" s="205"/>
      <c r="J144" s="220">
        <f>I144-I119</f>
        <v>-551.92736570827287</v>
      </c>
      <c r="K144" s="620"/>
      <c r="L144" s="621"/>
      <c r="N144" s="177"/>
      <c r="O144" s="177"/>
      <c r="P144" s="379"/>
      <c r="Q144" s="379"/>
      <c r="R144" s="177"/>
    </row>
    <row r="145" spans="1:18" ht="15.75" customHeight="1">
      <c r="A145" s="624"/>
      <c r="B145" s="625"/>
      <c r="C145" s="203" t="s">
        <v>188</v>
      </c>
      <c r="D145" s="621"/>
      <c r="E145" s="621"/>
      <c r="F145" s="621"/>
      <c r="G145" s="200"/>
      <c r="H145" s="204"/>
      <c r="I145" s="205"/>
      <c r="J145" s="220">
        <f>I145-I118</f>
        <v>-260.11896550982266</v>
      </c>
      <c r="K145" s="620"/>
      <c r="L145" s="621"/>
      <c r="N145" s="177"/>
      <c r="O145" s="177"/>
      <c r="P145" s="379"/>
      <c r="Q145" s="379"/>
      <c r="R145" s="177"/>
    </row>
    <row r="146" spans="1:18" ht="15.75" customHeight="1">
      <c r="A146" s="624"/>
      <c r="B146" s="625"/>
      <c r="C146" s="203" t="s">
        <v>193</v>
      </c>
      <c r="D146" s="621"/>
      <c r="E146" s="621"/>
      <c r="F146" s="621"/>
      <c r="G146" s="200"/>
      <c r="H146" s="204"/>
      <c r="I146" s="205"/>
      <c r="J146" s="220">
        <f>I146-I120</f>
        <v>-583.60226300549198</v>
      </c>
      <c r="K146" s="620"/>
      <c r="L146" s="621"/>
      <c r="M146" s="188"/>
      <c r="N146" s="177"/>
      <c r="O146" s="177"/>
      <c r="P146" s="379"/>
      <c r="Q146" s="379"/>
      <c r="R146" s="177"/>
    </row>
    <row r="147" spans="1:18" ht="15.75" customHeight="1">
      <c r="A147" s="624"/>
      <c r="B147" s="625"/>
      <c r="C147" s="203" t="s">
        <v>194</v>
      </c>
      <c r="D147" s="621"/>
      <c r="E147" s="621"/>
      <c r="F147" s="621"/>
      <c r="G147" s="200"/>
      <c r="H147" s="204"/>
      <c r="I147" s="205"/>
      <c r="J147" s="220"/>
      <c r="K147" s="620"/>
      <c r="L147" s="621"/>
      <c r="M147" s="188"/>
      <c r="N147" s="177"/>
      <c r="O147" s="177"/>
      <c r="P147" s="379"/>
      <c r="Q147" s="379"/>
      <c r="R147" s="177"/>
    </row>
    <row r="148" spans="1:18" s="198" customFormat="1" ht="15.75" customHeight="1">
      <c r="A148" s="622" t="s">
        <v>171</v>
      </c>
      <c r="B148" s="622"/>
      <c r="C148" s="206" t="s">
        <v>47</v>
      </c>
      <c r="D148" s="622" t="s">
        <v>12</v>
      </c>
      <c r="E148" s="623"/>
      <c r="F148" s="623"/>
      <c r="G148" s="206" t="s">
        <v>46</v>
      </c>
      <c r="H148" s="206" t="s">
        <v>352</v>
      </c>
      <c r="I148" s="206" t="s">
        <v>353</v>
      </c>
      <c r="J148" s="159" t="s">
        <v>311</v>
      </c>
      <c r="K148" s="622" t="s">
        <v>50</v>
      </c>
      <c r="L148" s="623"/>
      <c r="M148" s="207"/>
      <c r="N148" s="177"/>
      <c r="O148" s="177"/>
      <c r="P148" s="379"/>
      <c r="Q148" s="379"/>
      <c r="R148" s="177"/>
    </row>
    <row r="149" spans="1:18" ht="15.75" customHeight="1">
      <c r="A149" s="624">
        <v>2</v>
      </c>
      <c r="B149" s="625" t="s">
        <v>155</v>
      </c>
      <c r="C149" s="199">
        <v>1</v>
      </c>
      <c r="D149" s="620"/>
      <c r="E149" s="621"/>
      <c r="F149" s="621"/>
      <c r="G149" s="199"/>
      <c r="H149" s="201"/>
      <c r="I149" s="202"/>
      <c r="J149" s="220">
        <f>I149-I123</f>
        <v>-321.67866940103249</v>
      </c>
      <c r="K149" s="620"/>
      <c r="L149" s="621"/>
      <c r="M149" s="188"/>
      <c r="N149" s="177"/>
      <c r="O149" s="177"/>
      <c r="P149" s="379"/>
      <c r="Q149" s="379"/>
      <c r="R149" s="177"/>
    </row>
    <row r="150" spans="1:18" ht="15.75" customHeight="1">
      <c r="A150" s="624"/>
      <c r="B150" s="625"/>
      <c r="C150" s="199">
        <v>2</v>
      </c>
      <c r="D150" s="620"/>
      <c r="E150" s="621"/>
      <c r="F150" s="621"/>
      <c r="G150" s="199"/>
      <c r="H150" s="201"/>
      <c r="I150" s="202"/>
      <c r="J150" s="220">
        <f>I150-I124</f>
        <v>-287.13993199684825</v>
      </c>
      <c r="K150" s="620"/>
      <c r="L150" s="621"/>
      <c r="M150" s="188"/>
      <c r="N150" s="177"/>
      <c r="O150" s="177"/>
      <c r="P150" s="379"/>
      <c r="Q150" s="379"/>
      <c r="R150" s="177"/>
    </row>
    <row r="151" spans="1:18" ht="15.75" customHeight="1">
      <c r="A151" s="624"/>
      <c r="B151" s="625"/>
      <c r="C151" s="199">
        <v>3</v>
      </c>
      <c r="D151" s="620"/>
      <c r="E151" s="621"/>
      <c r="F151" s="621"/>
      <c r="G151" s="199"/>
      <c r="H151" s="201"/>
      <c r="I151" s="202"/>
      <c r="J151" s="220">
        <f>I151-I125</f>
        <v>-287.07621397172841</v>
      </c>
      <c r="K151" s="620"/>
      <c r="L151" s="621"/>
      <c r="M151" s="188"/>
      <c r="N151" s="177"/>
      <c r="O151" s="177"/>
      <c r="P151" s="379"/>
      <c r="Q151" s="379"/>
      <c r="R151" s="177"/>
    </row>
    <row r="152" spans="1:18" ht="15.75" customHeight="1">
      <c r="A152" s="624"/>
      <c r="B152" s="625"/>
      <c r="C152" s="199">
        <v>4</v>
      </c>
      <c r="D152" s="620"/>
      <c r="E152" s="621"/>
      <c r="F152" s="621"/>
      <c r="G152" s="199"/>
      <c r="H152" s="201"/>
      <c r="I152" s="202"/>
      <c r="J152" s="220"/>
      <c r="K152" s="620"/>
      <c r="L152" s="621"/>
      <c r="M152" s="188"/>
      <c r="N152" s="177"/>
      <c r="O152" s="177"/>
      <c r="P152" s="379"/>
      <c r="Q152" s="379"/>
      <c r="R152" s="177"/>
    </row>
    <row r="153" spans="1:18" ht="15.75" customHeight="1">
      <c r="A153" s="624"/>
      <c r="B153" s="625"/>
      <c r="C153" s="199">
        <v>5</v>
      </c>
      <c r="D153" s="620"/>
      <c r="E153" s="621"/>
      <c r="F153" s="621"/>
      <c r="G153" s="199"/>
      <c r="H153" s="201"/>
      <c r="I153" s="202"/>
      <c r="J153" s="220"/>
      <c r="K153" s="620"/>
      <c r="L153" s="621"/>
      <c r="M153" s="188"/>
      <c r="N153" s="177"/>
      <c r="O153" s="177"/>
      <c r="P153" s="379"/>
      <c r="Q153" s="379"/>
      <c r="R153" s="177"/>
    </row>
    <row r="154" spans="1:18" ht="15.75" customHeight="1">
      <c r="A154" s="624"/>
      <c r="B154" s="625"/>
      <c r="C154" s="203" t="s">
        <v>187</v>
      </c>
      <c r="D154" s="620"/>
      <c r="E154" s="621"/>
      <c r="F154" s="621"/>
      <c r="G154" s="199"/>
      <c r="H154" s="201"/>
      <c r="I154" s="202"/>
      <c r="J154" s="199"/>
      <c r="K154" s="620"/>
      <c r="L154" s="621"/>
      <c r="M154" s="188"/>
      <c r="N154" s="177"/>
      <c r="O154" s="177"/>
      <c r="P154" s="379"/>
      <c r="Q154" s="379"/>
      <c r="R154" s="177"/>
    </row>
    <row r="155" spans="1:18" ht="15.75" customHeight="1">
      <c r="A155" s="624"/>
      <c r="B155" s="625"/>
      <c r="C155" s="203" t="s">
        <v>192</v>
      </c>
      <c r="D155" s="620"/>
      <c r="E155" s="621"/>
      <c r="F155" s="621"/>
      <c r="G155" s="199"/>
      <c r="H155" s="201"/>
      <c r="I155" s="202"/>
      <c r="J155" s="199"/>
      <c r="K155" s="620"/>
      <c r="L155" s="621"/>
      <c r="M155" s="188"/>
      <c r="N155" s="177"/>
      <c r="O155" s="177"/>
      <c r="P155" s="379"/>
      <c r="Q155" s="379"/>
      <c r="R155" s="177"/>
    </row>
    <row r="156" spans="1:18" ht="15.75" customHeight="1">
      <c r="A156" s="624"/>
      <c r="B156" s="625"/>
      <c r="C156" s="203" t="s">
        <v>188</v>
      </c>
      <c r="D156" s="620"/>
      <c r="E156" s="621"/>
      <c r="F156" s="621"/>
      <c r="G156" s="199"/>
      <c r="H156" s="201"/>
      <c r="I156" s="202"/>
      <c r="J156" s="199"/>
      <c r="K156" s="620"/>
      <c r="L156" s="621"/>
      <c r="M156" s="188"/>
      <c r="N156" s="177"/>
      <c r="O156" s="177"/>
      <c r="P156" s="379"/>
      <c r="Q156" s="379"/>
      <c r="R156" s="177"/>
    </row>
    <row r="157" spans="1:18" ht="15.75" customHeight="1">
      <c r="A157" s="624"/>
      <c r="B157" s="625"/>
      <c r="C157" s="203" t="s">
        <v>193</v>
      </c>
      <c r="D157" s="620"/>
      <c r="E157" s="621"/>
      <c r="F157" s="621"/>
      <c r="G157" s="199"/>
      <c r="H157" s="201"/>
      <c r="I157" s="202"/>
      <c r="J157" s="199"/>
      <c r="K157" s="620"/>
      <c r="L157" s="621"/>
      <c r="M157" s="188"/>
      <c r="N157" s="177"/>
      <c r="O157" s="177"/>
      <c r="P157" s="379"/>
      <c r="Q157" s="379"/>
      <c r="R157" s="177"/>
    </row>
    <row r="158" spans="1:18" ht="15.75" customHeight="1">
      <c r="A158" s="624"/>
      <c r="B158" s="625"/>
      <c r="C158" s="203" t="s">
        <v>194</v>
      </c>
      <c r="D158" s="620"/>
      <c r="E158" s="621"/>
      <c r="F158" s="621"/>
      <c r="G158" s="199"/>
      <c r="H158" s="201"/>
      <c r="I158" s="202"/>
      <c r="J158" s="199"/>
      <c r="K158" s="620"/>
      <c r="L158" s="621"/>
      <c r="M158" s="188"/>
      <c r="N158" s="177"/>
      <c r="O158" s="177"/>
      <c r="P158" s="379"/>
      <c r="Q158" s="379"/>
      <c r="R158" s="177"/>
    </row>
    <row r="245" spans="10:10" ht="15.75" customHeight="1">
      <c r="J245" s="517" t="s">
        <v>722</v>
      </c>
    </row>
    <row r="981" spans="10:10" ht="15.75" customHeight="1">
      <c r="J981" s="517" t="s">
        <v>721</v>
      </c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42:L42"/>
    <mergeCell ref="D43:F43"/>
    <mergeCell ref="K43:L43"/>
    <mergeCell ref="D67:F67"/>
    <mergeCell ref="K67:L67"/>
    <mergeCell ref="A81:L82"/>
    <mergeCell ref="A83:A84"/>
    <mergeCell ref="A85:B85"/>
    <mergeCell ref="D85:F85"/>
    <mergeCell ref="K85:L85"/>
    <mergeCell ref="D80:F80"/>
    <mergeCell ref="K80:L80"/>
    <mergeCell ref="D78:F78"/>
    <mergeCell ref="K78:L78"/>
    <mergeCell ref="D79:F79"/>
    <mergeCell ref="K79:L79"/>
    <mergeCell ref="D53:F53"/>
    <mergeCell ref="K53:L53"/>
    <mergeCell ref="D54:F54"/>
    <mergeCell ref="K54:L5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13:F13"/>
    <mergeCell ref="K13:L13"/>
    <mergeCell ref="D14:F14"/>
    <mergeCell ref="K14:L14"/>
    <mergeCell ref="D15:F15"/>
    <mergeCell ref="K15:L15"/>
    <mergeCell ref="D16:F16"/>
    <mergeCell ref="A18:B18"/>
    <mergeCell ref="D18:F18"/>
    <mergeCell ref="K18:L18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8:F68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70:B70"/>
    <mergeCell ref="D70:F70"/>
    <mergeCell ref="K70:L70"/>
    <mergeCell ref="A55:L56"/>
    <mergeCell ref="K118:L118"/>
    <mergeCell ref="D119:F119"/>
    <mergeCell ref="K119:L119"/>
    <mergeCell ref="D120:F12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18:F118"/>
    <mergeCell ref="D131:F131"/>
    <mergeCell ref="K131:L131"/>
    <mergeCell ref="D132:F132"/>
    <mergeCell ref="K132:L132"/>
    <mergeCell ref="K120:L120"/>
    <mergeCell ref="D121:F121"/>
    <mergeCell ref="K121:L1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58"/>
  <sheetViews>
    <sheetView view="pageBreakPreview" topLeftCell="A98" zoomScaleNormal="60" zoomScaleSheetLayoutView="100" workbookViewId="0">
      <selection activeCell="J129" sqref="J129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19" t="s">
        <v>350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98"/>
    </row>
    <row r="2" spans="1:18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N2" s="189"/>
      <c r="O2" s="189"/>
      <c r="P2" s="189"/>
      <c r="Q2" s="189"/>
      <c r="R2" s="189"/>
    </row>
    <row r="3" spans="1:18" s="188" customFormat="1" ht="15.75" customHeight="1">
      <c r="A3" s="626" t="s">
        <v>611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</row>
    <row r="4" spans="1:18" s="189" customFormat="1" ht="15.75" customHeight="1">
      <c r="A4" s="626"/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</row>
    <row r="5" spans="1:18" s="177" customFormat="1" ht="16.350000000000001" customHeight="1">
      <c r="A5" s="624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24"/>
      <c r="B6" s="194" t="s">
        <v>189</v>
      </c>
      <c r="C6" s="194" t="s">
        <v>155</v>
      </c>
      <c r="D6" s="193" t="s">
        <v>190</v>
      </c>
      <c r="E6" s="193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25" t="s">
        <v>171</v>
      </c>
      <c r="B7" s="625"/>
      <c r="C7" s="159" t="s">
        <v>47</v>
      </c>
      <c r="D7" s="625" t="s">
        <v>12</v>
      </c>
      <c r="E7" s="627"/>
      <c r="F7" s="627"/>
      <c r="G7" s="159" t="s">
        <v>46</v>
      </c>
      <c r="H7" s="159" t="s">
        <v>352</v>
      </c>
      <c r="I7" s="159" t="s">
        <v>353</v>
      </c>
      <c r="J7" s="159" t="s">
        <v>311</v>
      </c>
      <c r="K7" s="625" t="s">
        <v>51</v>
      </c>
      <c r="L7" s="627"/>
      <c r="M7" s="192"/>
      <c r="N7" s="188"/>
      <c r="O7" s="198"/>
      <c r="P7" s="380"/>
      <c r="Q7" s="380"/>
      <c r="R7" s="198"/>
    </row>
    <row r="8" spans="1:18" s="188" customFormat="1" ht="15.75" customHeight="1">
      <c r="A8" s="624">
        <v>3</v>
      </c>
      <c r="B8" s="625" t="s">
        <v>355</v>
      </c>
      <c r="C8" s="199">
        <v>1</v>
      </c>
      <c r="D8" s="620" t="s">
        <v>326</v>
      </c>
      <c r="E8" s="621"/>
      <c r="F8" s="621"/>
      <c r="G8" s="199">
        <v>22</v>
      </c>
      <c r="H8" s="201">
        <v>2626.6346153846148</v>
      </c>
      <c r="I8" s="202">
        <v>119.39248251748248</v>
      </c>
      <c r="J8" s="220">
        <v>0.17329353875935283</v>
      </c>
      <c r="K8" s="620" t="s">
        <v>405</v>
      </c>
      <c r="L8" s="621"/>
      <c r="M8" s="189"/>
      <c r="O8" s="198"/>
      <c r="P8" s="380"/>
      <c r="Q8" s="380"/>
      <c r="R8" s="198"/>
    </row>
    <row r="9" spans="1:18" s="188" customFormat="1" ht="15.75" customHeight="1">
      <c r="A9" s="624"/>
      <c r="B9" s="625"/>
      <c r="C9" s="199">
        <v>2</v>
      </c>
      <c r="D9" s="620"/>
      <c r="E9" s="621"/>
      <c r="F9" s="621"/>
      <c r="G9" s="199"/>
      <c r="H9" s="201"/>
      <c r="I9" s="202"/>
      <c r="J9" s="220"/>
      <c r="K9" s="620"/>
      <c r="L9" s="621"/>
      <c r="M9" s="189"/>
      <c r="O9" s="198"/>
      <c r="P9" s="380"/>
      <c r="Q9" s="380"/>
      <c r="R9" s="198"/>
    </row>
    <row r="10" spans="1:18" s="188" customFormat="1" ht="15.75" customHeight="1">
      <c r="A10" s="624"/>
      <c r="B10" s="625"/>
      <c r="C10" s="199">
        <v>3</v>
      </c>
      <c r="D10" s="620"/>
      <c r="E10" s="621"/>
      <c r="F10" s="621"/>
      <c r="G10" s="199"/>
      <c r="H10" s="201"/>
      <c r="I10" s="202"/>
      <c r="J10" s="199"/>
      <c r="K10" s="620"/>
      <c r="L10" s="621"/>
      <c r="M10" s="189"/>
      <c r="O10" s="198"/>
      <c r="P10" s="380"/>
      <c r="Q10" s="380"/>
      <c r="R10" s="198"/>
    </row>
    <row r="11" spans="1:18" s="188" customFormat="1" ht="15.75" customHeight="1">
      <c r="A11" s="624"/>
      <c r="B11" s="625"/>
      <c r="C11" s="199">
        <v>4</v>
      </c>
      <c r="D11" s="620"/>
      <c r="E11" s="621"/>
      <c r="F11" s="621"/>
      <c r="G11" s="199"/>
      <c r="H11" s="201"/>
      <c r="I11" s="202"/>
      <c r="J11" s="199"/>
      <c r="K11" s="620"/>
      <c r="L11" s="621"/>
      <c r="M11" s="189"/>
      <c r="O11" s="198"/>
      <c r="P11" s="380"/>
      <c r="Q11" s="380"/>
      <c r="R11" s="198"/>
    </row>
    <row r="12" spans="1:18" s="188" customFormat="1" ht="15.75" customHeight="1">
      <c r="A12" s="624"/>
      <c r="B12" s="625"/>
      <c r="C12" s="199">
        <v>5</v>
      </c>
      <c r="D12" s="620"/>
      <c r="E12" s="621"/>
      <c r="F12" s="621"/>
      <c r="G12" s="199"/>
      <c r="H12" s="201"/>
      <c r="I12" s="202"/>
      <c r="J12" s="199"/>
      <c r="K12" s="620"/>
      <c r="L12" s="621"/>
      <c r="M12" s="189"/>
      <c r="O12" s="198"/>
      <c r="P12" s="380"/>
      <c r="Q12" s="380"/>
      <c r="R12" s="198"/>
    </row>
    <row r="13" spans="1:18" s="188" customFormat="1" ht="15.75" customHeight="1">
      <c r="A13" s="624"/>
      <c r="B13" s="625"/>
      <c r="C13" s="203" t="s">
        <v>187</v>
      </c>
      <c r="D13" s="620"/>
      <c r="E13" s="621"/>
      <c r="F13" s="621"/>
      <c r="G13" s="199"/>
      <c r="H13" s="201"/>
      <c r="I13" s="202"/>
      <c r="J13" s="199"/>
      <c r="K13" s="620"/>
      <c r="L13" s="621"/>
      <c r="M13" s="189"/>
      <c r="O13" s="198"/>
      <c r="P13" s="380"/>
      <c r="Q13" s="380"/>
      <c r="R13" s="198"/>
    </row>
    <row r="14" spans="1:18" s="188" customFormat="1" ht="15.75" customHeight="1">
      <c r="A14" s="624"/>
      <c r="B14" s="625"/>
      <c r="C14" s="203" t="s">
        <v>192</v>
      </c>
      <c r="D14" s="620"/>
      <c r="E14" s="621"/>
      <c r="F14" s="621"/>
      <c r="G14" s="199"/>
      <c r="H14" s="201"/>
      <c r="I14" s="202"/>
      <c r="J14" s="199"/>
      <c r="K14" s="620"/>
      <c r="L14" s="621"/>
      <c r="M14" s="189"/>
      <c r="N14" s="177"/>
      <c r="O14" s="177"/>
      <c r="P14" s="379"/>
      <c r="Q14" s="379"/>
      <c r="R14" s="177"/>
    </row>
    <row r="15" spans="1:18" s="188" customFormat="1" ht="15.75" customHeight="1">
      <c r="A15" s="624"/>
      <c r="B15" s="625"/>
      <c r="C15" s="203" t="s">
        <v>188</v>
      </c>
      <c r="D15" s="620"/>
      <c r="E15" s="621"/>
      <c r="F15" s="621"/>
      <c r="G15" s="201"/>
      <c r="H15" s="201"/>
      <c r="I15" s="202"/>
      <c r="J15" s="199"/>
      <c r="K15" s="620"/>
      <c r="L15" s="621"/>
      <c r="M15" s="189"/>
      <c r="O15" s="198"/>
      <c r="P15" s="380"/>
      <c r="Q15" s="380"/>
      <c r="R15" s="198"/>
    </row>
    <row r="16" spans="1:18" s="188" customFormat="1" ht="15.75" customHeight="1">
      <c r="A16" s="624"/>
      <c r="B16" s="625"/>
      <c r="C16" s="203" t="s">
        <v>193</v>
      </c>
      <c r="D16" s="620"/>
      <c r="E16" s="621"/>
      <c r="F16" s="621"/>
      <c r="G16" s="199"/>
      <c r="H16" s="201"/>
      <c r="I16" s="202"/>
      <c r="J16" s="199"/>
      <c r="K16" s="620"/>
      <c r="L16" s="621"/>
      <c r="O16" s="198"/>
      <c r="P16" s="380"/>
      <c r="Q16" s="380"/>
      <c r="R16" s="198"/>
    </row>
    <row r="17" spans="1:18" s="188" customFormat="1" ht="15.75" customHeight="1">
      <c r="A17" s="624"/>
      <c r="B17" s="625"/>
      <c r="C17" s="203" t="s">
        <v>194</v>
      </c>
      <c r="D17" s="620"/>
      <c r="E17" s="621"/>
      <c r="F17" s="621"/>
      <c r="G17" s="199"/>
      <c r="H17" s="201"/>
      <c r="I17" s="202"/>
      <c r="J17" s="199"/>
      <c r="K17" s="620"/>
      <c r="L17" s="621"/>
      <c r="O17" s="198"/>
      <c r="P17" s="380"/>
      <c r="Q17" s="380"/>
      <c r="R17" s="198"/>
    </row>
    <row r="18" spans="1:18" s="198" customFormat="1" ht="15.75" customHeight="1">
      <c r="A18" s="622" t="s">
        <v>171</v>
      </c>
      <c r="B18" s="622"/>
      <c r="C18" s="206" t="s">
        <v>47</v>
      </c>
      <c r="D18" s="622" t="s">
        <v>12</v>
      </c>
      <c r="E18" s="623"/>
      <c r="F18" s="623"/>
      <c r="G18" s="206" t="s">
        <v>46</v>
      </c>
      <c r="H18" s="206" t="s">
        <v>352</v>
      </c>
      <c r="I18" s="206" t="s">
        <v>353</v>
      </c>
      <c r="J18" s="159" t="s">
        <v>311</v>
      </c>
      <c r="K18" s="622" t="s">
        <v>50</v>
      </c>
      <c r="L18" s="623"/>
      <c r="M18" s="207"/>
      <c r="N18" s="188"/>
      <c r="P18" s="380"/>
      <c r="Q18" s="380"/>
    </row>
    <row r="19" spans="1:18" s="188" customFormat="1" ht="15.75" customHeight="1">
      <c r="A19" s="624">
        <v>4</v>
      </c>
      <c r="B19" s="625" t="s">
        <v>156</v>
      </c>
      <c r="C19" s="199">
        <v>1</v>
      </c>
      <c r="D19" s="620" t="s">
        <v>541</v>
      </c>
      <c r="E19" s="621"/>
      <c r="F19" s="621"/>
      <c r="G19" s="199">
        <v>5</v>
      </c>
      <c r="H19" s="201">
        <v>2965.9396671548334</v>
      </c>
      <c r="I19" s="202">
        <v>593.18793343096661</v>
      </c>
      <c r="J19" s="220">
        <v>1.8702857143011897E-2</v>
      </c>
      <c r="K19" s="620" t="s">
        <v>405</v>
      </c>
      <c r="L19" s="621"/>
      <c r="N19" s="198"/>
      <c r="O19" s="198"/>
      <c r="P19" s="380"/>
      <c r="Q19" s="380"/>
      <c r="R19" s="198"/>
    </row>
    <row r="20" spans="1:18" s="188" customFormat="1" ht="15.75" customHeight="1">
      <c r="A20" s="624"/>
      <c r="B20" s="625"/>
      <c r="C20" s="199">
        <v>2</v>
      </c>
      <c r="D20" s="620" t="s">
        <v>523</v>
      </c>
      <c r="E20" s="621"/>
      <c r="F20" s="621"/>
      <c r="G20" s="199">
        <v>6</v>
      </c>
      <c r="H20" s="201">
        <v>3249.9253117770054</v>
      </c>
      <c r="I20" s="202">
        <v>541.65421862950086</v>
      </c>
      <c r="J20" s="220">
        <v>0.51920570376137221</v>
      </c>
      <c r="K20" s="620" t="s">
        <v>405</v>
      </c>
      <c r="L20" s="621"/>
      <c r="O20" s="198"/>
      <c r="P20" s="380"/>
      <c r="Q20" s="380"/>
      <c r="R20" s="198"/>
    </row>
    <row r="21" spans="1:18" s="188" customFormat="1" ht="15.75" customHeight="1">
      <c r="A21" s="624"/>
      <c r="B21" s="625"/>
      <c r="C21" s="199">
        <v>3</v>
      </c>
      <c r="D21" s="620" t="s">
        <v>522</v>
      </c>
      <c r="E21" s="621"/>
      <c r="F21" s="621"/>
      <c r="G21" s="199">
        <v>6</v>
      </c>
      <c r="H21" s="201">
        <v>3249.7200000000016</v>
      </c>
      <c r="I21" s="202">
        <v>541.62000000000035</v>
      </c>
      <c r="J21" s="220">
        <v>0.36000000000012733</v>
      </c>
      <c r="K21" s="620" t="s">
        <v>405</v>
      </c>
      <c r="L21" s="621"/>
      <c r="O21" s="198"/>
      <c r="P21" s="380"/>
      <c r="Q21" s="380"/>
      <c r="R21" s="198"/>
    </row>
    <row r="22" spans="1:18" s="188" customFormat="1" ht="15.75" customHeight="1">
      <c r="A22" s="624"/>
      <c r="B22" s="625"/>
      <c r="C22" s="199">
        <v>4</v>
      </c>
      <c r="D22" s="620" t="s">
        <v>529</v>
      </c>
      <c r="E22" s="621"/>
      <c r="F22" s="621"/>
      <c r="G22" s="199">
        <v>6</v>
      </c>
      <c r="H22" s="201">
        <v>2961.3145775921867</v>
      </c>
      <c r="I22" s="202">
        <v>493.55242959869776</v>
      </c>
      <c r="J22" s="220">
        <v>-7.0135714285754602E-2</v>
      </c>
      <c r="K22" s="620" t="s">
        <v>405</v>
      </c>
      <c r="L22" s="621"/>
      <c r="O22" s="198"/>
      <c r="P22" s="380"/>
      <c r="Q22" s="380"/>
      <c r="R22" s="198"/>
    </row>
    <row r="23" spans="1:18" s="188" customFormat="1" ht="15.75" customHeight="1">
      <c r="A23" s="624"/>
      <c r="B23" s="625"/>
      <c r="C23" s="199">
        <v>5</v>
      </c>
      <c r="D23" s="620" t="s">
        <v>625</v>
      </c>
      <c r="E23" s="621"/>
      <c r="F23" s="621"/>
      <c r="G23" s="199">
        <v>6</v>
      </c>
      <c r="H23" s="201">
        <v>2188.7124277178118</v>
      </c>
      <c r="I23" s="202">
        <v>364.7854046196353</v>
      </c>
      <c r="J23" s="220"/>
      <c r="K23" s="628" t="s">
        <v>634</v>
      </c>
      <c r="L23" s="621"/>
      <c r="O23" s="198"/>
      <c r="P23" s="380"/>
      <c r="Q23" s="380"/>
      <c r="R23" s="198"/>
    </row>
    <row r="24" spans="1:18" s="188" customFormat="1" ht="15.75" customHeight="1">
      <c r="A24" s="624"/>
      <c r="B24" s="625"/>
      <c r="C24" s="203" t="s">
        <v>187</v>
      </c>
      <c r="D24" s="620" t="s">
        <v>534</v>
      </c>
      <c r="E24" s="621"/>
      <c r="F24" s="621"/>
      <c r="G24" s="199">
        <v>20</v>
      </c>
      <c r="H24" s="201">
        <v>1893.0983422374968</v>
      </c>
      <c r="I24" s="202">
        <v>94.654917111874838</v>
      </c>
      <c r="J24" s="220">
        <v>-2.1000000000000796E-2</v>
      </c>
      <c r="K24" s="620" t="s">
        <v>405</v>
      </c>
      <c r="L24" s="621"/>
      <c r="O24" s="198"/>
      <c r="P24" s="380"/>
      <c r="Q24" s="380"/>
      <c r="R24" s="198"/>
    </row>
    <row r="25" spans="1:18" s="188" customFormat="1" ht="15.75" customHeight="1">
      <c r="A25" s="624"/>
      <c r="B25" s="625"/>
      <c r="C25" s="203" t="s">
        <v>192</v>
      </c>
      <c r="D25" s="620"/>
      <c r="E25" s="621"/>
      <c r="F25" s="621"/>
      <c r="G25" s="199"/>
      <c r="H25" s="201"/>
      <c r="I25" s="202"/>
      <c r="J25" s="199"/>
      <c r="K25" s="620"/>
      <c r="L25" s="621"/>
      <c r="O25" s="198"/>
      <c r="P25" s="380"/>
      <c r="Q25" s="380"/>
      <c r="R25" s="198"/>
    </row>
    <row r="26" spans="1:18" s="188" customFormat="1" ht="15.75" customHeight="1">
      <c r="A26" s="624"/>
      <c r="B26" s="625"/>
      <c r="C26" s="203" t="s">
        <v>188</v>
      </c>
      <c r="D26" s="620"/>
      <c r="E26" s="621"/>
      <c r="F26" s="621"/>
      <c r="G26" s="199"/>
      <c r="H26" s="201"/>
      <c r="I26" s="202"/>
      <c r="J26" s="199"/>
      <c r="K26" s="620"/>
      <c r="L26" s="621"/>
      <c r="O26" s="198"/>
      <c r="P26" s="380"/>
      <c r="Q26" s="380"/>
      <c r="R26" s="198"/>
    </row>
    <row r="27" spans="1:18" s="188" customFormat="1" ht="15.75" customHeight="1">
      <c r="A27" s="624"/>
      <c r="B27" s="625"/>
      <c r="C27" s="203" t="s">
        <v>193</v>
      </c>
      <c r="D27" s="620"/>
      <c r="E27" s="621"/>
      <c r="F27" s="621"/>
      <c r="G27" s="199"/>
      <c r="H27" s="201"/>
      <c r="I27" s="202"/>
      <c r="J27" s="199"/>
      <c r="K27" s="620"/>
      <c r="L27" s="621"/>
      <c r="O27" s="198"/>
      <c r="P27" s="380"/>
      <c r="Q27" s="380"/>
      <c r="R27" s="198"/>
    </row>
    <row r="28" spans="1:18" s="188" customFormat="1" ht="15.75" customHeight="1">
      <c r="A28" s="624"/>
      <c r="B28" s="625"/>
      <c r="C28" s="203" t="s">
        <v>194</v>
      </c>
      <c r="D28" s="620"/>
      <c r="E28" s="621"/>
      <c r="F28" s="621"/>
      <c r="G28" s="199"/>
      <c r="H28" s="201"/>
      <c r="I28" s="202"/>
      <c r="J28" s="199"/>
      <c r="K28" s="620"/>
      <c r="L28" s="621"/>
      <c r="O28" s="198"/>
      <c r="P28" s="380"/>
      <c r="Q28" s="380"/>
      <c r="R28" s="198"/>
    </row>
    <row r="29" spans="1:18" s="188" customFormat="1" ht="15.75" customHeight="1">
      <c r="A29" s="626" t="s">
        <v>627</v>
      </c>
      <c r="B29" s="626"/>
      <c r="C29" s="626"/>
      <c r="D29" s="626"/>
      <c r="E29" s="626"/>
      <c r="F29" s="626"/>
      <c r="G29" s="626"/>
      <c r="H29" s="626"/>
      <c r="I29" s="626"/>
      <c r="J29" s="626"/>
      <c r="K29" s="626"/>
      <c r="L29" s="626"/>
    </row>
    <row r="30" spans="1:18" s="189" customFormat="1" ht="15.75" customHeight="1">
      <c r="A30" s="626"/>
      <c r="B30" s="626"/>
      <c r="C30" s="626"/>
      <c r="D30" s="626"/>
      <c r="E30" s="626"/>
      <c r="F30" s="626"/>
      <c r="G30" s="626"/>
      <c r="H30" s="626"/>
      <c r="I30" s="626"/>
      <c r="J30" s="626"/>
      <c r="K30" s="626"/>
      <c r="L30" s="626"/>
    </row>
    <row r="31" spans="1:18" s="177" customFormat="1" ht="16.350000000000001" customHeight="1">
      <c r="A31" s="624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24"/>
      <c r="B32" s="194" t="s">
        <v>189</v>
      </c>
      <c r="C32" s="194" t="s">
        <v>155</v>
      </c>
      <c r="D32" s="193" t="s">
        <v>190</v>
      </c>
      <c r="E32" s="193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25" t="s">
        <v>171</v>
      </c>
      <c r="B33" s="625"/>
      <c r="C33" s="159" t="s">
        <v>47</v>
      </c>
      <c r="D33" s="625" t="s">
        <v>12</v>
      </c>
      <c r="E33" s="627"/>
      <c r="F33" s="627"/>
      <c r="G33" s="159" t="s">
        <v>46</v>
      </c>
      <c r="H33" s="159" t="s">
        <v>352</v>
      </c>
      <c r="I33" s="159" t="s">
        <v>353</v>
      </c>
      <c r="J33" s="159" t="s">
        <v>311</v>
      </c>
      <c r="K33" s="625" t="s">
        <v>51</v>
      </c>
      <c r="L33" s="627"/>
      <c r="M33" s="192"/>
      <c r="N33" s="188"/>
      <c r="O33" s="198"/>
      <c r="P33" s="380"/>
      <c r="Q33" s="380"/>
      <c r="R33" s="198"/>
    </row>
    <row r="34" spans="1:18" s="188" customFormat="1" ht="15.75" customHeight="1">
      <c r="A34" s="624">
        <v>3</v>
      </c>
      <c r="B34" s="625" t="s">
        <v>355</v>
      </c>
      <c r="C34" s="199">
        <v>1</v>
      </c>
      <c r="D34" s="620" t="s">
        <v>326</v>
      </c>
      <c r="E34" s="621"/>
      <c r="F34" s="621"/>
      <c r="G34" s="199">
        <v>22</v>
      </c>
      <c r="H34" s="201">
        <v>2626.6346153846148</v>
      </c>
      <c r="I34" s="202">
        <v>119.39248251748248</v>
      </c>
      <c r="J34" s="220">
        <f>I34-I8</f>
        <v>0</v>
      </c>
      <c r="K34" s="620" t="s">
        <v>405</v>
      </c>
      <c r="L34" s="621"/>
      <c r="M34" s="189"/>
      <c r="O34" s="198"/>
      <c r="P34" s="380"/>
      <c r="Q34" s="380"/>
      <c r="R34" s="198"/>
    </row>
    <row r="35" spans="1:18" s="188" customFormat="1" ht="15.75" customHeight="1">
      <c r="A35" s="624"/>
      <c r="B35" s="625"/>
      <c r="C35" s="199">
        <v>2</v>
      </c>
      <c r="D35" s="620"/>
      <c r="E35" s="621"/>
      <c r="F35" s="621"/>
      <c r="G35" s="199"/>
      <c r="H35" s="201"/>
      <c r="I35" s="202"/>
      <c r="J35" s="220"/>
      <c r="K35" s="620"/>
      <c r="L35" s="621"/>
      <c r="M35" s="189"/>
      <c r="O35" s="198"/>
      <c r="P35" s="380"/>
      <c r="Q35" s="380"/>
      <c r="R35" s="198"/>
    </row>
    <row r="36" spans="1:18" s="188" customFormat="1" ht="15.75" customHeight="1">
      <c r="A36" s="624"/>
      <c r="B36" s="625"/>
      <c r="C36" s="199">
        <v>3</v>
      </c>
      <c r="D36" s="620"/>
      <c r="E36" s="621"/>
      <c r="F36" s="621"/>
      <c r="G36" s="199"/>
      <c r="H36" s="201"/>
      <c r="I36" s="202"/>
      <c r="J36" s="199"/>
      <c r="K36" s="620"/>
      <c r="L36" s="621"/>
      <c r="M36" s="189"/>
      <c r="O36" s="198"/>
      <c r="P36" s="380"/>
      <c r="Q36" s="380"/>
      <c r="R36" s="198"/>
    </row>
    <row r="37" spans="1:18" s="188" customFormat="1" ht="15.75" customHeight="1">
      <c r="A37" s="624"/>
      <c r="B37" s="625"/>
      <c r="C37" s="199">
        <v>4</v>
      </c>
      <c r="D37" s="620"/>
      <c r="E37" s="621"/>
      <c r="F37" s="621"/>
      <c r="G37" s="199"/>
      <c r="H37" s="201"/>
      <c r="I37" s="202"/>
      <c r="J37" s="199"/>
      <c r="K37" s="620"/>
      <c r="L37" s="621"/>
      <c r="M37" s="189"/>
      <c r="O37" s="198"/>
      <c r="P37" s="380"/>
      <c r="Q37" s="380"/>
      <c r="R37" s="198"/>
    </row>
    <row r="38" spans="1:18" s="188" customFormat="1" ht="15.75" customHeight="1">
      <c r="A38" s="624"/>
      <c r="B38" s="625"/>
      <c r="C38" s="199">
        <v>5</v>
      </c>
      <c r="D38" s="620"/>
      <c r="E38" s="621"/>
      <c r="F38" s="621"/>
      <c r="G38" s="199"/>
      <c r="H38" s="201"/>
      <c r="I38" s="202"/>
      <c r="J38" s="199"/>
      <c r="K38" s="620"/>
      <c r="L38" s="621"/>
      <c r="M38" s="189"/>
      <c r="O38" s="198"/>
      <c r="P38" s="380"/>
      <c r="Q38" s="380"/>
      <c r="R38" s="198"/>
    </row>
    <row r="39" spans="1:18" s="188" customFormat="1" ht="15.75" customHeight="1">
      <c r="A39" s="624"/>
      <c r="B39" s="625"/>
      <c r="C39" s="203" t="s">
        <v>187</v>
      </c>
      <c r="D39" s="620"/>
      <c r="E39" s="621"/>
      <c r="F39" s="621"/>
      <c r="G39" s="199"/>
      <c r="H39" s="201"/>
      <c r="I39" s="202"/>
      <c r="J39" s="199"/>
      <c r="K39" s="620"/>
      <c r="L39" s="621"/>
      <c r="M39" s="189"/>
      <c r="O39" s="198"/>
      <c r="P39" s="380"/>
      <c r="Q39" s="380"/>
      <c r="R39" s="198"/>
    </row>
    <row r="40" spans="1:18" s="188" customFormat="1" ht="15.75" customHeight="1">
      <c r="A40" s="624"/>
      <c r="B40" s="625"/>
      <c r="C40" s="203" t="s">
        <v>192</v>
      </c>
      <c r="D40" s="620"/>
      <c r="E40" s="621"/>
      <c r="F40" s="621"/>
      <c r="G40" s="199"/>
      <c r="H40" s="201"/>
      <c r="I40" s="202"/>
      <c r="J40" s="199"/>
      <c r="K40" s="620"/>
      <c r="L40" s="621"/>
      <c r="M40" s="189"/>
      <c r="N40" s="177"/>
      <c r="O40" s="177"/>
      <c r="P40" s="379"/>
      <c r="Q40" s="379"/>
      <c r="R40" s="177"/>
    </row>
    <row r="41" spans="1:18" s="188" customFormat="1" ht="15.75" customHeight="1">
      <c r="A41" s="624"/>
      <c r="B41" s="625"/>
      <c r="C41" s="203" t="s">
        <v>188</v>
      </c>
      <c r="D41" s="620"/>
      <c r="E41" s="621"/>
      <c r="F41" s="621"/>
      <c r="G41" s="201"/>
      <c r="H41" s="201"/>
      <c r="I41" s="202"/>
      <c r="J41" s="199"/>
      <c r="K41" s="620"/>
      <c r="L41" s="621"/>
      <c r="M41" s="189"/>
      <c r="O41" s="198"/>
      <c r="P41" s="380"/>
      <c r="Q41" s="380"/>
      <c r="R41" s="198"/>
    </row>
    <row r="42" spans="1:18" s="188" customFormat="1" ht="15.75" customHeight="1">
      <c r="A42" s="624"/>
      <c r="B42" s="625"/>
      <c r="C42" s="203" t="s">
        <v>193</v>
      </c>
      <c r="D42" s="620"/>
      <c r="E42" s="621"/>
      <c r="F42" s="621"/>
      <c r="G42" s="199"/>
      <c r="H42" s="201"/>
      <c r="I42" s="202"/>
      <c r="J42" s="199"/>
      <c r="K42" s="620"/>
      <c r="L42" s="621"/>
      <c r="O42" s="198"/>
      <c r="P42" s="380"/>
      <c r="Q42" s="380"/>
      <c r="R42" s="198"/>
    </row>
    <row r="43" spans="1:18" s="188" customFormat="1" ht="15.75" customHeight="1">
      <c r="A43" s="624"/>
      <c r="B43" s="625"/>
      <c r="C43" s="203" t="s">
        <v>194</v>
      </c>
      <c r="D43" s="620"/>
      <c r="E43" s="621"/>
      <c r="F43" s="621"/>
      <c r="G43" s="199"/>
      <c r="H43" s="201"/>
      <c r="I43" s="202"/>
      <c r="J43" s="199"/>
      <c r="K43" s="620"/>
      <c r="L43" s="621"/>
      <c r="O43" s="198"/>
      <c r="P43" s="380"/>
      <c r="Q43" s="380"/>
      <c r="R43" s="198"/>
    </row>
    <row r="44" spans="1:18" s="198" customFormat="1" ht="15.75" customHeight="1">
      <c r="A44" s="622" t="s">
        <v>171</v>
      </c>
      <c r="B44" s="622"/>
      <c r="C44" s="206" t="s">
        <v>47</v>
      </c>
      <c r="D44" s="622" t="s">
        <v>12</v>
      </c>
      <c r="E44" s="623"/>
      <c r="F44" s="623"/>
      <c r="G44" s="206" t="s">
        <v>46</v>
      </c>
      <c r="H44" s="206" t="s">
        <v>352</v>
      </c>
      <c r="I44" s="206" t="s">
        <v>353</v>
      </c>
      <c r="J44" s="159" t="s">
        <v>311</v>
      </c>
      <c r="K44" s="622" t="s">
        <v>50</v>
      </c>
      <c r="L44" s="623"/>
      <c r="M44" s="207"/>
      <c r="N44" s="188"/>
      <c r="P44" s="380"/>
      <c r="Q44" s="380"/>
    </row>
    <row r="45" spans="1:18" s="188" customFormat="1" ht="15.75" customHeight="1">
      <c r="A45" s="624">
        <v>4</v>
      </c>
      <c r="B45" s="625" t="s">
        <v>156</v>
      </c>
      <c r="C45" s="199">
        <v>1</v>
      </c>
      <c r="D45" s="620" t="s">
        <v>541</v>
      </c>
      <c r="E45" s="621"/>
      <c r="F45" s="621"/>
      <c r="G45" s="199">
        <v>5</v>
      </c>
      <c r="H45" s="201">
        <v>2961.8581371830091</v>
      </c>
      <c r="I45" s="202">
        <v>592.37162743660178</v>
      </c>
      <c r="J45" s="220">
        <f t="shared" ref="J45:J50" si="0">I45-I19</f>
        <v>-0.81630599436482498</v>
      </c>
      <c r="K45" s="620" t="s">
        <v>405</v>
      </c>
      <c r="L45" s="621"/>
      <c r="N45" s="198"/>
      <c r="O45" s="198"/>
      <c r="P45" s="380"/>
      <c r="Q45" s="380"/>
      <c r="R45" s="198"/>
    </row>
    <row r="46" spans="1:18" s="188" customFormat="1" ht="15.75" customHeight="1">
      <c r="A46" s="624"/>
      <c r="B46" s="625"/>
      <c r="C46" s="199">
        <v>2</v>
      </c>
      <c r="D46" s="620" t="s">
        <v>523</v>
      </c>
      <c r="E46" s="621"/>
      <c r="F46" s="621"/>
      <c r="G46" s="199">
        <v>6</v>
      </c>
      <c r="H46" s="201">
        <v>3250.1502046015921</v>
      </c>
      <c r="I46" s="202">
        <v>541.69170076693206</v>
      </c>
      <c r="J46" s="220">
        <f t="shared" si="0"/>
        <v>3.7482137431197771E-2</v>
      </c>
      <c r="K46" s="620" t="s">
        <v>405</v>
      </c>
      <c r="L46" s="621"/>
      <c r="O46" s="198"/>
      <c r="P46" s="380"/>
      <c r="Q46" s="380"/>
      <c r="R46" s="198"/>
    </row>
    <row r="47" spans="1:18" s="188" customFormat="1" ht="15.75" customHeight="1">
      <c r="A47" s="624"/>
      <c r="B47" s="625"/>
      <c r="C47" s="199">
        <v>3</v>
      </c>
      <c r="D47" s="620" t="s">
        <v>522</v>
      </c>
      <c r="E47" s="621"/>
      <c r="F47" s="621"/>
      <c r="G47" s="199">
        <v>6</v>
      </c>
      <c r="H47" s="201">
        <v>3249.9227603417289</v>
      </c>
      <c r="I47" s="202">
        <v>541.65379339028834</v>
      </c>
      <c r="J47" s="220">
        <f t="shared" si="0"/>
        <v>3.3793390287996772E-2</v>
      </c>
      <c r="K47" s="620" t="s">
        <v>405</v>
      </c>
      <c r="L47" s="621"/>
      <c r="O47" s="198"/>
      <c r="P47" s="380"/>
      <c r="Q47" s="380"/>
      <c r="R47" s="198"/>
    </row>
    <row r="48" spans="1:18" s="188" customFormat="1" ht="15.75" customHeight="1">
      <c r="A48" s="624"/>
      <c r="B48" s="625"/>
      <c r="C48" s="199">
        <v>4</v>
      </c>
      <c r="D48" s="620" t="s">
        <v>529</v>
      </c>
      <c r="E48" s="621"/>
      <c r="F48" s="621"/>
      <c r="G48" s="199">
        <v>6</v>
      </c>
      <c r="H48" s="201">
        <v>2962.2497204493293</v>
      </c>
      <c r="I48" s="202">
        <v>493.7082867415549</v>
      </c>
      <c r="J48" s="220">
        <f t="shared" si="0"/>
        <v>0.15585714285714403</v>
      </c>
      <c r="K48" s="620" t="s">
        <v>405</v>
      </c>
      <c r="L48" s="621"/>
      <c r="O48" s="198"/>
      <c r="P48" s="380"/>
      <c r="Q48" s="380"/>
      <c r="R48" s="198"/>
    </row>
    <row r="49" spans="1:18" s="188" customFormat="1" ht="15.75" customHeight="1">
      <c r="A49" s="624"/>
      <c r="B49" s="625"/>
      <c r="C49" s="199">
        <v>5</v>
      </c>
      <c r="D49" s="620" t="s">
        <v>625</v>
      </c>
      <c r="E49" s="621"/>
      <c r="F49" s="621"/>
      <c r="G49" s="199">
        <v>6</v>
      </c>
      <c r="H49" s="201">
        <v>2257.1864755362599</v>
      </c>
      <c r="I49" s="202">
        <v>376.19774592271</v>
      </c>
      <c r="J49" s="220">
        <f t="shared" si="0"/>
        <v>11.412341303074697</v>
      </c>
      <c r="K49" s="629" t="s">
        <v>668</v>
      </c>
      <c r="L49" s="621"/>
      <c r="O49" s="198"/>
      <c r="P49" s="380"/>
      <c r="Q49" s="380"/>
      <c r="R49" s="198"/>
    </row>
    <row r="50" spans="1:18" s="188" customFormat="1" ht="15.75" customHeight="1">
      <c r="A50" s="624"/>
      <c r="B50" s="625"/>
      <c r="C50" s="203" t="s">
        <v>187</v>
      </c>
      <c r="D50" s="620" t="s">
        <v>534</v>
      </c>
      <c r="E50" s="621"/>
      <c r="F50" s="621"/>
      <c r="G50" s="199">
        <v>20</v>
      </c>
      <c r="H50" s="201">
        <v>1892.7083422374965</v>
      </c>
      <c r="I50" s="202">
        <v>94.635417111874844</v>
      </c>
      <c r="J50" s="220">
        <f t="shared" si="0"/>
        <v>-1.9499999999993634E-2</v>
      </c>
      <c r="K50" s="620" t="s">
        <v>405</v>
      </c>
      <c r="L50" s="621"/>
      <c r="O50" s="198"/>
      <c r="P50" s="380"/>
      <c r="Q50" s="380"/>
      <c r="R50" s="198"/>
    </row>
    <row r="51" spans="1:18" s="188" customFormat="1" ht="15.75" customHeight="1">
      <c r="A51" s="624"/>
      <c r="B51" s="625"/>
      <c r="C51" s="203" t="s">
        <v>192</v>
      </c>
      <c r="D51" s="620"/>
      <c r="E51" s="621"/>
      <c r="F51" s="621"/>
      <c r="G51" s="199"/>
      <c r="H51" s="201"/>
      <c r="I51" s="202"/>
      <c r="J51" s="199"/>
      <c r="K51" s="620"/>
      <c r="L51" s="621"/>
      <c r="O51" s="198"/>
      <c r="P51" s="380"/>
      <c r="Q51" s="380"/>
      <c r="R51" s="198"/>
    </row>
    <row r="52" spans="1:18" s="188" customFormat="1" ht="15.75" customHeight="1">
      <c r="A52" s="624"/>
      <c r="B52" s="625"/>
      <c r="C52" s="203" t="s">
        <v>188</v>
      </c>
      <c r="D52" s="620"/>
      <c r="E52" s="621"/>
      <c r="F52" s="621"/>
      <c r="G52" s="199"/>
      <c r="H52" s="201"/>
      <c r="I52" s="202"/>
      <c r="J52" s="199"/>
      <c r="K52" s="620"/>
      <c r="L52" s="621"/>
      <c r="O52" s="198"/>
      <c r="P52" s="380"/>
      <c r="Q52" s="380"/>
      <c r="R52" s="198"/>
    </row>
    <row r="53" spans="1:18" s="188" customFormat="1" ht="15.75" customHeight="1">
      <c r="A53" s="624"/>
      <c r="B53" s="625"/>
      <c r="C53" s="203" t="s">
        <v>193</v>
      </c>
      <c r="D53" s="620"/>
      <c r="E53" s="621"/>
      <c r="F53" s="621"/>
      <c r="G53" s="199"/>
      <c r="H53" s="201"/>
      <c r="I53" s="202"/>
      <c r="J53" s="199"/>
      <c r="K53" s="620"/>
      <c r="L53" s="621"/>
      <c r="O53" s="198"/>
      <c r="P53" s="380"/>
      <c r="Q53" s="380"/>
      <c r="R53" s="198"/>
    </row>
    <row r="54" spans="1:18" s="188" customFormat="1" ht="15.75" customHeight="1">
      <c r="A54" s="624"/>
      <c r="B54" s="625"/>
      <c r="C54" s="203" t="s">
        <v>194</v>
      </c>
      <c r="D54" s="620"/>
      <c r="E54" s="621"/>
      <c r="F54" s="621"/>
      <c r="G54" s="199"/>
      <c r="H54" s="201"/>
      <c r="I54" s="202"/>
      <c r="J54" s="199"/>
      <c r="K54" s="620"/>
      <c r="L54" s="621"/>
      <c r="O54" s="198"/>
      <c r="P54" s="380"/>
      <c r="Q54" s="380"/>
      <c r="R54" s="198"/>
    </row>
    <row r="55" spans="1:18" s="188" customFormat="1" ht="15.75" customHeight="1">
      <c r="A55" s="626" t="s">
        <v>643</v>
      </c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</row>
    <row r="56" spans="1:18" s="189" customFormat="1" ht="15.75" customHeight="1">
      <c r="A56" s="626"/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</row>
    <row r="57" spans="1:18" s="177" customFormat="1" ht="16.350000000000001" customHeight="1">
      <c r="A57" s="624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24"/>
      <c r="B58" s="194" t="s">
        <v>189</v>
      </c>
      <c r="C58" s="194" t="s">
        <v>155</v>
      </c>
      <c r="D58" s="193" t="s">
        <v>190</v>
      </c>
      <c r="E58" s="193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25" t="s">
        <v>171</v>
      </c>
      <c r="B59" s="625"/>
      <c r="C59" s="159" t="s">
        <v>47</v>
      </c>
      <c r="D59" s="625" t="s">
        <v>12</v>
      </c>
      <c r="E59" s="627"/>
      <c r="F59" s="627"/>
      <c r="G59" s="159" t="s">
        <v>46</v>
      </c>
      <c r="H59" s="159" t="s">
        <v>352</v>
      </c>
      <c r="I59" s="159" t="s">
        <v>353</v>
      </c>
      <c r="J59" s="159" t="s">
        <v>311</v>
      </c>
      <c r="K59" s="625" t="s">
        <v>51</v>
      </c>
      <c r="L59" s="627"/>
      <c r="M59" s="192"/>
      <c r="N59" s="188"/>
      <c r="O59" s="198"/>
      <c r="P59" s="380"/>
      <c r="Q59" s="380"/>
      <c r="R59" s="198"/>
    </row>
    <row r="60" spans="1:18" s="188" customFormat="1">
      <c r="A60" s="624">
        <v>3</v>
      </c>
      <c r="B60" s="625" t="s">
        <v>355</v>
      </c>
      <c r="C60" s="199">
        <v>1</v>
      </c>
      <c r="D60" s="620" t="s">
        <v>326</v>
      </c>
      <c r="E60" s="621"/>
      <c r="F60" s="621"/>
      <c r="G60" s="199">
        <v>22</v>
      </c>
      <c r="H60" s="201">
        <v>2626.6346153846148</v>
      </c>
      <c r="I60" s="202">
        <v>119.39248251748248</v>
      </c>
      <c r="J60" s="220">
        <f>I60-I34</f>
        <v>0</v>
      </c>
      <c r="K60" s="620" t="s">
        <v>405</v>
      </c>
      <c r="L60" s="621"/>
      <c r="M60" s="189"/>
      <c r="O60" s="198"/>
      <c r="P60" s="380"/>
      <c r="Q60" s="380"/>
      <c r="R60" s="198"/>
    </row>
    <row r="61" spans="1:18" s="188" customFormat="1">
      <c r="A61" s="624"/>
      <c r="B61" s="625"/>
      <c r="C61" s="199">
        <v>2</v>
      </c>
      <c r="D61" s="620"/>
      <c r="E61" s="621"/>
      <c r="F61" s="621"/>
      <c r="G61" s="199"/>
      <c r="H61" s="201"/>
      <c r="I61" s="202"/>
      <c r="J61" s="220"/>
      <c r="K61" s="620"/>
      <c r="L61" s="621"/>
      <c r="M61" s="189"/>
      <c r="O61" s="198"/>
      <c r="P61" s="380"/>
      <c r="Q61" s="380"/>
      <c r="R61" s="198"/>
    </row>
    <row r="62" spans="1:18" s="188" customFormat="1">
      <c r="A62" s="624"/>
      <c r="B62" s="625"/>
      <c r="C62" s="199">
        <v>3</v>
      </c>
      <c r="D62" s="620"/>
      <c r="E62" s="621"/>
      <c r="F62" s="621"/>
      <c r="G62" s="199"/>
      <c r="H62" s="201"/>
      <c r="I62" s="202"/>
      <c r="J62" s="199"/>
      <c r="K62" s="620"/>
      <c r="L62" s="621"/>
      <c r="M62" s="189"/>
      <c r="O62" s="198"/>
      <c r="P62" s="380"/>
      <c r="Q62" s="380"/>
      <c r="R62" s="198"/>
    </row>
    <row r="63" spans="1:18" s="188" customFormat="1">
      <c r="A63" s="624"/>
      <c r="B63" s="625"/>
      <c r="C63" s="199">
        <v>4</v>
      </c>
      <c r="D63" s="620"/>
      <c r="E63" s="621"/>
      <c r="F63" s="621"/>
      <c r="G63" s="199"/>
      <c r="H63" s="201"/>
      <c r="I63" s="202"/>
      <c r="J63" s="199"/>
      <c r="K63" s="620"/>
      <c r="L63" s="621"/>
      <c r="M63" s="189"/>
      <c r="O63" s="198"/>
      <c r="P63" s="380"/>
      <c r="Q63" s="380"/>
      <c r="R63" s="198"/>
    </row>
    <row r="64" spans="1:18" s="188" customFormat="1">
      <c r="A64" s="624"/>
      <c r="B64" s="625"/>
      <c r="C64" s="199">
        <v>5</v>
      </c>
      <c r="D64" s="620"/>
      <c r="E64" s="621"/>
      <c r="F64" s="621"/>
      <c r="G64" s="199"/>
      <c r="H64" s="201"/>
      <c r="I64" s="202"/>
      <c r="J64" s="199"/>
      <c r="K64" s="620"/>
      <c r="L64" s="621"/>
      <c r="M64" s="189"/>
      <c r="O64" s="198"/>
      <c r="P64" s="380"/>
      <c r="Q64" s="380"/>
      <c r="R64" s="198"/>
    </row>
    <row r="65" spans="1:18" s="188" customFormat="1">
      <c r="A65" s="624"/>
      <c r="B65" s="625"/>
      <c r="C65" s="203" t="s">
        <v>187</v>
      </c>
      <c r="D65" s="620"/>
      <c r="E65" s="621"/>
      <c r="F65" s="621"/>
      <c r="G65" s="199"/>
      <c r="H65" s="201"/>
      <c r="I65" s="202"/>
      <c r="J65" s="199"/>
      <c r="K65" s="620"/>
      <c r="L65" s="621"/>
      <c r="M65" s="189"/>
      <c r="O65" s="198"/>
      <c r="P65" s="380"/>
      <c r="Q65" s="380"/>
      <c r="R65" s="198"/>
    </row>
    <row r="66" spans="1:18" s="188" customFormat="1">
      <c r="A66" s="624"/>
      <c r="B66" s="625"/>
      <c r="C66" s="203" t="s">
        <v>192</v>
      </c>
      <c r="D66" s="620"/>
      <c r="E66" s="621"/>
      <c r="F66" s="621"/>
      <c r="G66" s="199"/>
      <c r="H66" s="201"/>
      <c r="I66" s="202"/>
      <c r="J66" s="199"/>
      <c r="K66" s="620"/>
      <c r="L66" s="621"/>
      <c r="M66" s="189"/>
      <c r="N66" s="177"/>
      <c r="O66" s="177"/>
      <c r="P66" s="379"/>
      <c r="Q66" s="379"/>
      <c r="R66" s="177"/>
    </row>
    <row r="67" spans="1:18" s="188" customFormat="1">
      <c r="A67" s="624"/>
      <c r="B67" s="625"/>
      <c r="C67" s="203" t="s">
        <v>188</v>
      </c>
      <c r="D67" s="620"/>
      <c r="E67" s="621"/>
      <c r="F67" s="621"/>
      <c r="G67" s="201"/>
      <c r="H67" s="201"/>
      <c r="I67" s="202"/>
      <c r="J67" s="199"/>
      <c r="K67" s="620"/>
      <c r="L67" s="621"/>
      <c r="M67" s="189"/>
      <c r="O67" s="198"/>
      <c r="P67" s="380"/>
      <c r="Q67" s="380"/>
      <c r="R67" s="198"/>
    </row>
    <row r="68" spans="1:18" s="188" customFormat="1">
      <c r="A68" s="624"/>
      <c r="B68" s="625"/>
      <c r="C68" s="203" t="s">
        <v>193</v>
      </c>
      <c r="D68" s="620"/>
      <c r="E68" s="621"/>
      <c r="F68" s="621"/>
      <c r="G68" s="199"/>
      <c r="H68" s="201"/>
      <c r="I68" s="202"/>
      <c r="J68" s="199"/>
      <c r="K68" s="620"/>
      <c r="L68" s="621"/>
      <c r="O68" s="198"/>
      <c r="P68" s="380"/>
      <c r="Q68" s="380"/>
      <c r="R68" s="198"/>
    </row>
    <row r="69" spans="1:18" s="188" customFormat="1">
      <c r="A69" s="624"/>
      <c r="B69" s="625"/>
      <c r="C69" s="203" t="s">
        <v>194</v>
      </c>
      <c r="D69" s="620"/>
      <c r="E69" s="621"/>
      <c r="F69" s="621"/>
      <c r="G69" s="199"/>
      <c r="H69" s="201"/>
      <c r="I69" s="202"/>
      <c r="J69" s="199"/>
      <c r="K69" s="620"/>
      <c r="L69" s="621"/>
      <c r="O69" s="198"/>
      <c r="P69" s="380"/>
      <c r="Q69" s="380"/>
      <c r="R69" s="198"/>
    </row>
    <row r="70" spans="1:18" s="198" customFormat="1">
      <c r="A70" s="622" t="s">
        <v>171</v>
      </c>
      <c r="B70" s="622"/>
      <c r="C70" s="206" t="s">
        <v>47</v>
      </c>
      <c r="D70" s="622" t="s">
        <v>12</v>
      </c>
      <c r="E70" s="623"/>
      <c r="F70" s="623"/>
      <c r="G70" s="206" t="s">
        <v>46</v>
      </c>
      <c r="H70" s="206" t="s">
        <v>352</v>
      </c>
      <c r="I70" s="206" t="s">
        <v>353</v>
      </c>
      <c r="J70" s="159" t="s">
        <v>311</v>
      </c>
      <c r="K70" s="622" t="s">
        <v>50</v>
      </c>
      <c r="L70" s="623"/>
      <c r="M70" s="207"/>
      <c r="N70" s="188"/>
      <c r="P70" s="380"/>
      <c r="Q70" s="380"/>
    </row>
    <row r="71" spans="1:18" s="188" customFormat="1">
      <c r="A71" s="624">
        <v>4</v>
      </c>
      <c r="B71" s="625" t="s">
        <v>156</v>
      </c>
      <c r="C71" s="199">
        <v>1</v>
      </c>
      <c r="D71" s="620" t="s">
        <v>541</v>
      </c>
      <c r="E71" s="621"/>
      <c r="F71" s="621"/>
      <c r="G71" s="199">
        <v>5</v>
      </c>
      <c r="H71" s="201">
        <v>2968.836514494918</v>
      </c>
      <c r="I71" s="202">
        <v>593.76730289898376</v>
      </c>
      <c r="J71" s="220">
        <f>I71-I45</f>
        <v>1.3956754623819734</v>
      </c>
      <c r="K71" s="620" t="s">
        <v>405</v>
      </c>
      <c r="L71" s="621"/>
      <c r="N71" s="198"/>
      <c r="O71" s="198"/>
      <c r="P71" s="380"/>
      <c r="Q71" s="380"/>
      <c r="R71" s="198"/>
    </row>
    <row r="72" spans="1:18" s="188" customFormat="1">
      <c r="A72" s="624"/>
      <c r="B72" s="625"/>
      <c r="C72" s="199">
        <v>2</v>
      </c>
      <c r="D72" s="620" t="s">
        <v>522</v>
      </c>
      <c r="E72" s="621"/>
      <c r="F72" s="621"/>
      <c r="G72" s="199">
        <v>6</v>
      </c>
      <c r="H72" s="201">
        <v>3251.0420893646401</v>
      </c>
      <c r="I72" s="202">
        <v>541.84034822744002</v>
      </c>
      <c r="J72" s="220">
        <f>I72-I47</f>
        <v>0.1865548371516752</v>
      </c>
      <c r="K72" s="620" t="s">
        <v>405</v>
      </c>
      <c r="L72" s="621"/>
      <c r="O72" s="198"/>
      <c r="P72" s="380"/>
      <c r="Q72" s="380"/>
      <c r="R72" s="198"/>
    </row>
    <row r="73" spans="1:18" s="188" customFormat="1">
      <c r="A73" s="624"/>
      <c r="B73" s="625"/>
      <c r="C73" s="199">
        <v>3</v>
      </c>
      <c r="D73" s="620" t="s">
        <v>523</v>
      </c>
      <c r="E73" s="621"/>
      <c r="F73" s="621"/>
      <c r="G73" s="199">
        <v>6</v>
      </c>
      <c r="H73" s="201">
        <v>3250.0513472018379</v>
      </c>
      <c r="I73" s="202">
        <v>541.67522453363949</v>
      </c>
      <c r="J73" s="220">
        <f>I73-I46</f>
        <v>-1.6476233292564757E-2</v>
      </c>
      <c r="K73" s="620" t="s">
        <v>405</v>
      </c>
      <c r="L73" s="621"/>
      <c r="O73" s="198"/>
      <c r="P73" s="380"/>
      <c r="Q73" s="380"/>
      <c r="R73" s="198"/>
    </row>
    <row r="74" spans="1:18" s="188" customFormat="1">
      <c r="A74" s="624"/>
      <c r="B74" s="625"/>
      <c r="C74" s="199">
        <v>4</v>
      </c>
      <c r="D74" s="620" t="s">
        <v>529</v>
      </c>
      <c r="E74" s="621"/>
      <c r="F74" s="621"/>
      <c r="G74" s="199">
        <v>6</v>
      </c>
      <c r="H74" s="201">
        <v>2962.296477592186</v>
      </c>
      <c r="I74" s="202">
        <v>493.71607959869772</v>
      </c>
      <c r="J74" s="220">
        <f>I74-I48</f>
        <v>7.7928571428174109E-3</v>
      </c>
      <c r="K74" s="620" t="s">
        <v>405</v>
      </c>
      <c r="L74" s="621"/>
      <c r="O74" s="198"/>
      <c r="P74" s="380"/>
      <c r="Q74" s="380"/>
      <c r="R74" s="198"/>
    </row>
    <row r="75" spans="1:18" s="188" customFormat="1">
      <c r="A75" s="624"/>
      <c r="B75" s="625"/>
      <c r="C75" s="199">
        <v>5</v>
      </c>
      <c r="D75" s="620" t="s">
        <v>625</v>
      </c>
      <c r="E75" s="621"/>
      <c r="F75" s="621"/>
      <c r="G75" s="199">
        <v>6</v>
      </c>
      <c r="H75" s="201">
        <v>2257.500538343726</v>
      </c>
      <c r="I75" s="202">
        <v>376.25008972395432</v>
      </c>
      <c r="J75" s="220">
        <f>I75-I49</f>
        <v>5.2343801244319366E-2</v>
      </c>
      <c r="K75" s="620" t="s">
        <v>405</v>
      </c>
      <c r="L75" s="621"/>
      <c r="O75" s="198"/>
      <c r="P75" s="380"/>
      <c r="Q75" s="380"/>
      <c r="R75" s="198"/>
    </row>
    <row r="76" spans="1:18" s="188" customFormat="1">
      <c r="A76" s="624"/>
      <c r="B76" s="625"/>
      <c r="C76" s="203" t="s">
        <v>187</v>
      </c>
      <c r="D76" s="620" t="s">
        <v>534</v>
      </c>
      <c r="E76" s="621"/>
      <c r="F76" s="621"/>
      <c r="G76" s="199">
        <v>20</v>
      </c>
      <c r="H76" s="201">
        <v>1894.3883422374968</v>
      </c>
      <c r="I76" s="202">
        <v>94.719417111874847</v>
      </c>
      <c r="J76" s="220">
        <f>I76-I50</f>
        <v>8.4000000000003183E-2</v>
      </c>
      <c r="K76" s="620" t="s">
        <v>405</v>
      </c>
      <c r="L76" s="621"/>
      <c r="O76" s="198"/>
      <c r="P76" s="380"/>
      <c r="Q76" s="380"/>
      <c r="R76" s="198"/>
    </row>
    <row r="77" spans="1:18" s="188" customFormat="1" ht="15.75" customHeight="1">
      <c r="A77" s="624"/>
      <c r="B77" s="625"/>
      <c r="C77" s="203" t="s">
        <v>192</v>
      </c>
      <c r="D77" s="620"/>
      <c r="E77" s="621"/>
      <c r="F77" s="621"/>
      <c r="G77" s="199"/>
      <c r="H77" s="201"/>
      <c r="I77" s="202"/>
      <c r="J77" s="199"/>
      <c r="K77" s="620"/>
      <c r="L77" s="621"/>
      <c r="O77" s="198"/>
      <c r="P77" s="380"/>
      <c r="Q77" s="380"/>
      <c r="R77" s="198"/>
    </row>
    <row r="78" spans="1:18" s="188" customFormat="1" ht="15.75" customHeight="1">
      <c r="A78" s="624"/>
      <c r="B78" s="625"/>
      <c r="C78" s="203" t="s">
        <v>188</v>
      </c>
      <c r="D78" s="620"/>
      <c r="E78" s="621"/>
      <c r="F78" s="621"/>
      <c r="G78" s="199"/>
      <c r="H78" s="201"/>
      <c r="I78" s="202"/>
      <c r="J78" s="199"/>
      <c r="K78" s="620"/>
      <c r="L78" s="621"/>
      <c r="O78" s="198"/>
      <c r="P78" s="380"/>
      <c r="Q78" s="380"/>
      <c r="R78" s="198"/>
    </row>
    <row r="79" spans="1:18" s="188" customFormat="1" ht="15.75" customHeight="1">
      <c r="A79" s="624"/>
      <c r="B79" s="625"/>
      <c r="C79" s="203" t="s">
        <v>193</v>
      </c>
      <c r="D79" s="620"/>
      <c r="E79" s="621"/>
      <c r="F79" s="621"/>
      <c r="G79" s="199"/>
      <c r="H79" s="201"/>
      <c r="I79" s="202"/>
      <c r="J79" s="199"/>
      <c r="K79" s="620"/>
      <c r="L79" s="621"/>
      <c r="O79" s="198"/>
      <c r="P79" s="380"/>
      <c r="Q79" s="380"/>
      <c r="R79" s="198"/>
    </row>
    <row r="80" spans="1:18" s="188" customFormat="1" ht="15.75" customHeight="1">
      <c r="A80" s="624"/>
      <c r="B80" s="625"/>
      <c r="C80" s="203" t="s">
        <v>194</v>
      </c>
      <c r="D80" s="620"/>
      <c r="E80" s="621"/>
      <c r="F80" s="621"/>
      <c r="G80" s="199"/>
      <c r="H80" s="201"/>
      <c r="I80" s="202"/>
      <c r="J80" s="199"/>
      <c r="K80" s="620"/>
      <c r="L80" s="621"/>
      <c r="O80" s="198"/>
      <c r="P80" s="380"/>
      <c r="Q80" s="380"/>
      <c r="R80" s="198"/>
    </row>
    <row r="81" spans="1:18" s="188" customFormat="1" ht="15.75" customHeight="1">
      <c r="A81" s="626" t="s">
        <v>681</v>
      </c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</row>
    <row r="82" spans="1:18" s="189" customFormat="1" ht="15.75" customHeight="1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</row>
    <row r="83" spans="1:18" s="177" customFormat="1" ht="16.350000000000001" customHeight="1">
      <c r="A83" s="624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24"/>
      <c r="B84" s="194" t="s">
        <v>189</v>
      </c>
      <c r="C84" s="194" t="s">
        <v>155</v>
      </c>
      <c r="D84" s="193" t="s">
        <v>190</v>
      </c>
      <c r="E84" s="193" t="s">
        <v>156</v>
      </c>
      <c r="F84" s="194" t="s">
        <v>327</v>
      </c>
      <c r="G84" s="195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25" t="s">
        <v>171</v>
      </c>
      <c r="B85" s="625"/>
      <c r="C85" s="159" t="s">
        <v>47</v>
      </c>
      <c r="D85" s="625" t="s">
        <v>12</v>
      </c>
      <c r="E85" s="627"/>
      <c r="F85" s="627"/>
      <c r="G85" s="159" t="s">
        <v>46</v>
      </c>
      <c r="H85" s="159" t="s">
        <v>352</v>
      </c>
      <c r="I85" s="159" t="s">
        <v>353</v>
      </c>
      <c r="J85" s="159" t="s">
        <v>311</v>
      </c>
      <c r="K85" s="625" t="s">
        <v>51</v>
      </c>
      <c r="L85" s="627"/>
      <c r="M85" s="192"/>
      <c r="N85" s="188"/>
      <c r="O85" s="198"/>
      <c r="P85" s="380"/>
      <c r="Q85" s="380"/>
      <c r="R85" s="198"/>
    </row>
    <row r="86" spans="1:18" s="188" customFormat="1">
      <c r="A86" s="624">
        <v>3</v>
      </c>
      <c r="B86" s="625" t="s">
        <v>355</v>
      </c>
      <c r="C86" s="199">
        <v>1</v>
      </c>
      <c r="D86" s="620" t="s">
        <v>326</v>
      </c>
      <c r="E86" s="621"/>
      <c r="F86" s="621"/>
      <c r="G86" s="199">
        <v>22</v>
      </c>
      <c r="H86" s="201">
        <v>2626.6346153846148</v>
      </c>
      <c r="I86" s="202">
        <v>119.39248251748248</v>
      </c>
      <c r="J86" s="220">
        <f>I86-I60</f>
        <v>0</v>
      </c>
      <c r="K86" s="620" t="s">
        <v>405</v>
      </c>
      <c r="L86" s="621"/>
      <c r="M86" s="189"/>
      <c r="O86" s="198"/>
      <c r="P86" s="380"/>
      <c r="Q86" s="380"/>
      <c r="R86" s="198"/>
    </row>
    <row r="87" spans="1:18" s="188" customFormat="1">
      <c r="A87" s="624"/>
      <c r="B87" s="625"/>
      <c r="C87" s="199">
        <v>2</v>
      </c>
      <c r="D87" s="620"/>
      <c r="E87" s="621"/>
      <c r="F87" s="621"/>
      <c r="G87" s="199"/>
      <c r="H87" s="201"/>
      <c r="I87" s="202"/>
      <c r="J87" s="220"/>
      <c r="K87" s="620"/>
      <c r="L87" s="621"/>
      <c r="M87" s="189"/>
      <c r="O87" s="198"/>
      <c r="P87" s="380"/>
      <c r="Q87" s="380"/>
      <c r="R87" s="198"/>
    </row>
    <row r="88" spans="1:18" s="188" customFormat="1">
      <c r="A88" s="624"/>
      <c r="B88" s="625"/>
      <c r="C88" s="199">
        <v>3</v>
      </c>
      <c r="D88" s="620"/>
      <c r="E88" s="621"/>
      <c r="F88" s="621"/>
      <c r="G88" s="199"/>
      <c r="H88" s="201"/>
      <c r="I88" s="202"/>
      <c r="J88" s="199"/>
      <c r="K88" s="620"/>
      <c r="L88" s="621"/>
      <c r="M88" s="189"/>
      <c r="O88" s="198"/>
      <c r="P88" s="380"/>
      <c r="Q88" s="380"/>
      <c r="R88" s="198"/>
    </row>
    <row r="89" spans="1:18" s="188" customFormat="1">
      <c r="A89" s="624"/>
      <c r="B89" s="625"/>
      <c r="C89" s="199">
        <v>4</v>
      </c>
      <c r="D89" s="620"/>
      <c r="E89" s="621"/>
      <c r="F89" s="621"/>
      <c r="G89" s="199"/>
      <c r="H89" s="201"/>
      <c r="I89" s="202"/>
      <c r="J89" s="199"/>
      <c r="K89" s="620"/>
      <c r="L89" s="621"/>
      <c r="M89" s="189"/>
      <c r="O89" s="198"/>
      <c r="P89" s="380"/>
      <c r="Q89" s="380"/>
      <c r="R89" s="198"/>
    </row>
    <row r="90" spans="1:18" s="188" customFormat="1">
      <c r="A90" s="624"/>
      <c r="B90" s="625"/>
      <c r="C90" s="199">
        <v>5</v>
      </c>
      <c r="D90" s="620"/>
      <c r="E90" s="621"/>
      <c r="F90" s="621"/>
      <c r="G90" s="199"/>
      <c r="H90" s="201"/>
      <c r="I90" s="202"/>
      <c r="J90" s="199"/>
      <c r="K90" s="620"/>
      <c r="L90" s="621"/>
      <c r="M90" s="189"/>
      <c r="O90" s="198"/>
      <c r="P90" s="380"/>
      <c r="Q90" s="380"/>
      <c r="R90" s="198"/>
    </row>
    <row r="91" spans="1:18" s="188" customFormat="1">
      <c r="A91" s="624"/>
      <c r="B91" s="625"/>
      <c r="C91" s="203" t="s">
        <v>187</v>
      </c>
      <c r="D91" s="620"/>
      <c r="E91" s="621"/>
      <c r="F91" s="621"/>
      <c r="G91" s="199"/>
      <c r="H91" s="201"/>
      <c r="I91" s="202"/>
      <c r="J91" s="199"/>
      <c r="K91" s="620"/>
      <c r="L91" s="621"/>
      <c r="M91" s="189"/>
      <c r="O91" s="198"/>
      <c r="P91" s="380"/>
      <c r="Q91" s="380"/>
      <c r="R91" s="198"/>
    </row>
    <row r="92" spans="1:18" s="188" customFormat="1">
      <c r="A92" s="624"/>
      <c r="B92" s="625"/>
      <c r="C92" s="203" t="s">
        <v>192</v>
      </c>
      <c r="D92" s="620"/>
      <c r="E92" s="621"/>
      <c r="F92" s="621"/>
      <c r="G92" s="199"/>
      <c r="H92" s="201"/>
      <c r="I92" s="202"/>
      <c r="J92" s="199"/>
      <c r="K92" s="620"/>
      <c r="L92" s="621"/>
      <c r="M92" s="189"/>
      <c r="N92" s="177"/>
      <c r="O92" s="177"/>
      <c r="P92" s="379"/>
      <c r="Q92" s="379"/>
      <c r="R92" s="177"/>
    </row>
    <row r="93" spans="1:18" s="188" customFormat="1">
      <c r="A93" s="624"/>
      <c r="B93" s="625"/>
      <c r="C93" s="203" t="s">
        <v>188</v>
      </c>
      <c r="D93" s="620"/>
      <c r="E93" s="621"/>
      <c r="F93" s="621"/>
      <c r="G93" s="201"/>
      <c r="H93" s="201"/>
      <c r="I93" s="202"/>
      <c r="J93" s="199"/>
      <c r="K93" s="620"/>
      <c r="L93" s="621"/>
      <c r="M93" s="189"/>
      <c r="O93" s="198"/>
      <c r="P93" s="380"/>
      <c r="Q93" s="380"/>
      <c r="R93" s="198"/>
    </row>
    <row r="94" spans="1:18" s="188" customFormat="1">
      <c r="A94" s="624"/>
      <c r="B94" s="625"/>
      <c r="C94" s="203" t="s">
        <v>193</v>
      </c>
      <c r="D94" s="620"/>
      <c r="E94" s="621"/>
      <c r="F94" s="621"/>
      <c r="G94" s="199"/>
      <c r="H94" s="201"/>
      <c r="I94" s="202"/>
      <c r="J94" s="199"/>
      <c r="K94" s="620"/>
      <c r="L94" s="621"/>
      <c r="O94" s="198"/>
      <c r="P94" s="380"/>
      <c r="Q94" s="380"/>
      <c r="R94" s="198"/>
    </row>
    <row r="95" spans="1:18" s="188" customFormat="1">
      <c r="A95" s="624"/>
      <c r="B95" s="625"/>
      <c r="C95" s="203" t="s">
        <v>194</v>
      </c>
      <c r="D95" s="620"/>
      <c r="E95" s="621"/>
      <c r="F95" s="621"/>
      <c r="G95" s="199"/>
      <c r="H95" s="201"/>
      <c r="I95" s="202"/>
      <c r="J95" s="199"/>
      <c r="K95" s="620"/>
      <c r="L95" s="621"/>
      <c r="O95" s="198"/>
      <c r="P95" s="380"/>
      <c r="Q95" s="380"/>
      <c r="R95" s="198"/>
    </row>
    <row r="96" spans="1:18" s="198" customFormat="1">
      <c r="A96" s="622" t="s">
        <v>171</v>
      </c>
      <c r="B96" s="622"/>
      <c r="C96" s="206" t="s">
        <v>47</v>
      </c>
      <c r="D96" s="622" t="s">
        <v>12</v>
      </c>
      <c r="E96" s="623"/>
      <c r="F96" s="623"/>
      <c r="G96" s="206" t="s">
        <v>46</v>
      </c>
      <c r="H96" s="206" t="s">
        <v>352</v>
      </c>
      <c r="I96" s="206" t="s">
        <v>353</v>
      </c>
      <c r="J96" s="159" t="s">
        <v>311</v>
      </c>
      <c r="K96" s="622" t="s">
        <v>50</v>
      </c>
      <c r="L96" s="623"/>
      <c r="M96" s="207"/>
      <c r="N96" s="188"/>
      <c r="P96" s="380"/>
      <c r="Q96" s="380"/>
    </row>
    <row r="97" spans="1:18" s="188" customFormat="1">
      <c r="A97" s="624">
        <v>4</v>
      </c>
      <c r="B97" s="625" t="s">
        <v>156</v>
      </c>
      <c r="C97" s="199">
        <v>1</v>
      </c>
      <c r="D97" s="620" t="s">
        <v>522</v>
      </c>
      <c r="E97" s="621"/>
      <c r="F97" s="621"/>
      <c r="G97" s="199">
        <v>6</v>
      </c>
      <c r="H97" s="201">
        <v>3717.5356248712237</v>
      </c>
      <c r="I97" s="202">
        <v>619.58927081187062</v>
      </c>
      <c r="J97" s="220">
        <f>I97-I72</f>
        <v>77.748922584430602</v>
      </c>
      <c r="K97" s="628" t="s">
        <v>739</v>
      </c>
      <c r="L97" s="621"/>
      <c r="N97" s="198"/>
      <c r="O97" s="198"/>
      <c r="P97" s="380"/>
      <c r="Q97" s="380"/>
      <c r="R97" s="198"/>
    </row>
    <row r="98" spans="1:18" s="188" customFormat="1">
      <c r="A98" s="624"/>
      <c r="B98" s="625"/>
      <c r="C98" s="199">
        <v>2</v>
      </c>
      <c r="D98" s="620" t="s">
        <v>523</v>
      </c>
      <c r="E98" s="621"/>
      <c r="F98" s="621"/>
      <c r="G98" s="199">
        <v>6</v>
      </c>
      <c r="H98" s="201">
        <v>3716.6539592806917</v>
      </c>
      <c r="I98" s="202">
        <v>619.44232654678194</v>
      </c>
      <c r="J98" s="220">
        <f>I98-I73</f>
        <v>77.767102013142448</v>
      </c>
      <c r="K98" s="628" t="s">
        <v>739</v>
      </c>
      <c r="L98" s="621"/>
      <c r="O98" s="198"/>
      <c r="P98" s="380"/>
      <c r="Q98" s="380"/>
      <c r="R98" s="198"/>
    </row>
    <row r="99" spans="1:18" s="188" customFormat="1">
      <c r="A99" s="624"/>
      <c r="B99" s="625"/>
      <c r="C99" s="199">
        <v>3</v>
      </c>
      <c r="D99" s="620" t="s">
        <v>541</v>
      </c>
      <c r="E99" s="621"/>
      <c r="F99" s="621"/>
      <c r="G99" s="199">
        <v>5</v>
      </c>
      <c r="H99" s="201">
        <v>2967.8078573520584</v>
      </c>
      <c r="I99" s="202">
        <v>593.56157147041154</v>
      </c>
      <c r="J99" s="220">
        <f>I99-I71</f>
        <v>-0.20573142857222138</v>
      </c>
      <c r="K99" s="620" t="s">
        <v>405</v>
      </c>
      <c r="L99" s="621"/>
      <c r="O99" s="198"/>
      <c r="P99" s="380"/>
      <c r="Q99" s="380"/>
      <c r="R99" s="198"/>
    </row>
    <row r="100" spans="1:18" s="188" customFormat="1">
      <c r="A100" s="624"/>
      <c r="B100" s="625"/>
      <c r="C100" s="199">
        <v>4</v>
      </c>
      <c r="D100" s="620" t="s">
        <v>625</v>
      </c>
      <c r="E100" s="621"/>
      <c r="F100" s="621"/>
      <c r="G100" s="199">
        <v>6</v>
      </c>
      <c r="H100" s="201">
        <v>2257.346609090006</v>
      </c>
      <c r="I100" s="202">
        <v>376.22443484833428</v>
      </c>
      <c r="J100" s="220">
        <f>I100-I75</f>
        <v>-2.5654875620034545E-2</v>
      </c>
      <c r="K100" s="620" t="s">
        <v>405</v>
      </c>
      <c r="L100" s="621"/>
      <c r="O100" s="198"/>
      <c r="P100" s="380"/>
      <c r="Q100" s="380"/>
      <c r="R100" s="198"/>
    </row>
    <row r="101" spans="1:18" s="188" customFormat="1">
      <c r="A101" s="624"/>
      <c r="B101" s="625"/>
      <c r="C101" s="199">
        <v>5</v>
      </c>
      <c r="D101" s="620" t="s">
        <v>534</v>
      </c>
      <c r="E101" s="621"/>
      <c r="F101" s="621"/>
      <c r="G101" s="199">
        <v>20</v>
      </c>
      <c r="H101" s="201">
        <v>1895.9783422374969</v>
      </c>
      <c r="I101" s="202">
        <v>94.798917111874857</v>
      </c>
      <c r="J101" s="220">
        <f>I101-I76</f>
        <v>7.9500000000010118E-2</v>
      </c>
      <c r="K101" s="620" t="s">
        <v>405</v>
      </c>
      <c r="L101" s="621"/>
      <c r="O101" s="198"/>
      <c r="P101" s="380"/>
      <c r="Q101" s="380"/>
      <c r="R101" s="198"/>
    </row>
    <row r="102" spans="1:18" s="188" customFormat="1">
      <c r="A102" s="624"/>
      <c r="B102" s="625"/>
      <c r="C102" s="203" t="s">
        <v>187</v>
      </c>
      <c r="D102" s="630"/>
      <c r="E102" s="631"/>
      <c r="F102" s="632"/>
      <c r="G102" s="199"/>
      <c r="H102" s="201"/>
      <c r="I102" s="202"/>
      <c r="J102" s="199"/>
      <c r="K102" s="620"/>
      <c r="L102" s="621"/>
      <c r="O102" s="198"/>
      <c r="P102" s="380"/>
      <c r="Q102" s="380"/>
      <c r="R102" s="198"/>
    </row>
    <row r="103" spans="1:18" s="188" customFormat="1" ht="15.75" customHeight="1">
      <c r="A103" s="624"/>
      <c r="B103" s="625"/>
      <c r="C103" s="203" t="s">
        <v>192</v>
      </c>
      <c r="D103" s="620"/>
      <c r="E103" s="621"/>
      <c r="F103" s="621"/>
      <c r="G103" s="199"/>
      <c r="H103" s="201"/>
      <c r="I103" s="202"/>
      <c r="J103" s="199"/>
      <c r="K103" s="620"/>
      <c r="L103" s="621"/>
      <c r="O103" s="198"/>
      <c r="P103" s="380"/>
      <c r="Q103" s="380"/>
      <c r="R103" s="198"/>
    </row>
    <row r="104" spans="1:18" s="188" customFormat="1" ht="15.75" customHeight="1">
      <c r="A104" s="624"/>
      <c r="B104" s="625"/>
      <c r="C104" s="203" t="s">
        <v>188</v>
      </c>
      <c r="D104" s="620"/>
      <c r="E104" s="621"/>
      <c r="F104" s="621"/>
      <c r="G104" s="199"/>
      <c r="H104" s="201"/>
      <c r="I104" s="202"/>
      <c r="J104" s="199"/>
      <c r="K104" s="620"/>
      <c r="L104" s="621"/>
      <c r="O104" s="198"/>
      <c r="P104" s="380"/>
      <c r="Q104" s="380"/>
      <c r="R104" s="198"/>
    </row>
    <row r="105" spans="1:18" s="188" customFormat="1" ht="15.75" customHeight="1">
      <c r="A105" s="624"/>
      <c r="B105" s="625"/>
      <c r="C105" s="203" t="s">
        <v>193</v>
      </c>
      <c r="D105" s="620"/>
      <c r="E105" s="621"/>
      <c r="F105" s="621"/>
      <c r="G105" s="199"/>
      <c r="H105" s="201"/>
      <c r="I105" s="202"/>
      <c r="J105" s="199"/>
      <c r="K105" s="620"/>
      <c r="L105" s="621"/>
      <c r="O105" s="198"/>
      <c r="P105" s="380"/>
      <c r="Q105" s="380"/>
      <c r="R105" s="198"/>
    </row>
    <row r="106" spans="1:18" s="188" customFormat="1" ht="15.75" customHeight="1">
      <c r="A106" s="624"/>
      <c r="B106" s="625"/>
      <c r="C106" s="203" t="s">
        <v>194</v>
      </c>
      <c r="D106" s="620"/>
      <c r="E106" s="621"/>
      <c r="F106" s="621"/>
      <c r="G106" s="199"/>
      <c r="H106" s="201"/>
      <c r="I106" s="202"/>
      <c r="J106" s="199"/>
      <c r="K106" s="620"/>
      <c r="L106" s="621"/>
      <c r="O106" s="198"/>
      <c r="P106" s="380"/>
      <c r="Q106" s="380"/>
      <c r="R106" s="198"/>
    </row>
    <row r="107" spans="1:18" s="188" customFormat="1" ht="15.75" customHeight="1">
      <c r="A107" s="626" t="s">
        <v>696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</row>
    <row r="108" spans="1:18" s="189" customFormat="1" ht="15.75" customHeight="1">
      <c r="A108" s="626"/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</row>
    <row r="109" spans="1:18" s="177" customFormat="1" ht="16.350000000000001" customHeight="1">
      <c r="A109" s="624" t="s">
        <v>162</v>
      </c>
      <c r="B109" s="169">
        <v>1</v>
      </c>
      <c r="C109" s="169">
        <v>2</v>
      </c>
      <c r="D109" s="190">
        <v>3</v>
      </c>
      <c r="E109" s="190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s="188" customFormat="1" ht="16.350000000000001" customHeight="1">
      <c r="A110" s="624"/>
      <c r="B110" s="194" t="s">
        <v>189</v>
      </c>
      <c r="C110" s="194" t="s">
        <v>155</v>
      </c>
      <c r="D110" s="193" t="s">
        <v>190</v>
      </c>
      <c r="E110" s="193" t="s">
        <v>156</v>
      </c>
      <c r="F110" s="194" t="s">
        <v>327</v>
      </c>
      <c r="G110" s="195" t="s">
        <v>136</v>
      </c>
      <c r="H110" s="196" t="s">
        <v>191</v>
      </c>
      <c r="I110" s="195" t="s">
        <v>351</v>
      </c>
      <c r="J110" s="195" t="s">
        <v>142</v>
      </c>
      <c r="K110" s="197"/>
      <c r="L110" s="197"/>
      <c r="M110" s="189"/>
      <c r="N110" s="198"/>
      <c r="O110" s="198"/>
      <c r="P110" s="198"/>
      <c r="Q110" s="198"/>
      <c r="R110" s="198"/>
    </row>
    <row r="111" spans="1:18" s="177" customFormat="1" ht="15.75" customHeight="1">
      <c r="A111" s="625" t="s">
        <v>171</v>
      </c>
      <c r="B111" s="625"/>
      <c r="C111" s="159" t="s">
        <v>47</v>
      </c>
      <c r="D111" s="625" t="s">
        <v>12</v>
      </c>
      <c r="E111" s="627"/>
      <c r="F111" s="627"/>
      <c r="G111" s="159" t="s">
        <v>46</v>
      </c>
      <c r="H111" s="159" t="s">
        <v>352</v>
      </c>
      <c r="I111" s="159" t="s">
        <v>353</v>
      </c>
      <c r="J111" s="159" t="s">
        <v>311</v>
      </c>
      <c r="K111" s="625" t="s">
        <v>51</v>
      </c>
      <c r="L111" s="627"/>
      <c r="M111" s="192"/>
      <c r="N111" s="188"/>
      <c r="O111" s="198"/>
      <c r="P111" s="380"/>
      <c r="Q111" s="380"/>
      <c r="R111" s="198"/>
    </row>
    <row r="112" spans="1:18" s="188" customFormat="1">
      <c r="A112" s="624">
        <v>3</v>
      </c>
      <c r="B112" s="625" t="s">
        <v>355</v>
      </c>
      <c r="C112" s="199">
        <v>1</v>
      </c>
      <c r="D112" s="620" t="s">
        <v>326</v>
      </c>
      <c r="E112" s="621"/>
      <c r="F112" s="621"/>
      <c r="G112" s="199">
        <v>22</v>
      </c>
      <c r="H112" s="201">
        <v>2626.6346153846148</v>
      </c>
      <c r="I112" s="202">
        <v>119.39248251748248</v>
      </c>
      <c r="J112" s="220">
        <f>I112-I86</f>
        <v>0</v>
      </c>
      <c r="K112" s="620"/>
      <c r="L112" s="621"/>
      <c r="M112" s="189"/>
      <c r="O112" s="198"/>
      <c r="P112" s="380"/>
      <c r="Q112" s="380"/>
      <c r="R112" s="198"/>
    </row>
    <row r="113" spans="1:18" s="188" customFormat="1">
      <c r="A113" s="624"/>
      <c r="B113" s="625"/>
      <c r="C113" s="199">
        <v>2</v>
      </c>
      <c r="D113" s="620"/>
      <c r="E113" s="621"/>
      <c r="F113" s="621"/>
      <c r="G113" s="199"/>
      <c r="H113" s="201"/>
      <c r="I113" s="202"/>
      <c r="J113" s="220"/>
      <c r="K113" s="620"/>
      <c r="L113" s="621"/>
      <c r="M113" s="189"/>
      <c r="O113" s="198"/>
      <c r="P113" s="380"/>
      <c r="Q113" s="380"/>
      <c r="R113" s="198"/>
    </row>
    <row r="114" spans="1:18" s="188" customFormat="1">
      <c r="A114" s="624"/>
      <c r="B114" s="625"/>
      <c r="C114" s="199">
        <v>3</v>
      </c>
      <c r="D114" s="620"/>
      <c r="E114" s="621"/>
      <c r="F114" s="621"/>
      <c r="G114" s="199"/>
      <c r="H114" s="201"/>
      <c r="I114" s="202"/>
      <c r="J114" s="199"/>
      <c r="K114" s="620"/>
      <c r="L114" s="621"/>
      <c r="M114" s="189"/>
      <c r="O114" s="198"/>
      <c r="P114" s="380"/>
      <c r="Q114" s="380"/>
      <c r="R114" s="198"/>
    </row>
    <row r="115" spans="1:18" s="188" customFormat="1">
      <c r="A115" s="624"/>
      <c r="B115" s="625"/>
      <c r="C115" s="199">
        <v>4</v>
      </c>
      <c r="D115" s="620"/>
      <c r="E115" s="621"/>
      <c r="F115" s="621"/>
      <c r="G115" s="199"/>
      <c r="H115" s="201"/>
      <c r="I115" s="202"/>
      <c r="J115" s="199"/>
      <c r="K115" s="620"/>
      <c r="L115" s="621"/>
      <c r="M115" s="189"/>
      <c r="O115" s="198"/>
      <c r="P115" s="380"/>
      <c r="Q115" s="380"/>
      <c r="R115" s="198"/>
    </row>
    <row r="116" spans="1:18" s="188" customFormat="1">
      <c r="A116" s="624"/>
      <c r="B116" s="625"/>
      <c r="C116" s="199">
        <v>5</v>
      </c>
      <c r="D116" s="620"/>
      <c r="E116" s="621"/>
      <c r="F116" s="621"/>
      <c r="G116" s="199"/>
      <c r="H116" s="201"/>
      <c r="I116" s="202"/>
      <c r="J116" s="199"/>
      <c r="K116" s="620"/>
      <c r="L116" s="621"/>
      <c r="M116" s="189"/>
      <c r="O116" s="198"/>
      <c r="P116" s="380"/>
      <c r="Q116" s="380"/>
      <c r="R116" s="198"/>
    </row>
    <row r="117" spans="1:18" s="188" customFormat="1">
      <c r="A117" s="624"/>
      <c r="B117" s="625"/>
      <c r="C117" s="203" t="s">
        <v>187</v>
      </c>
      <c r="D117" s="620"/>
      <c r="E117" s="621"/>
      <c r="F117" s="621"/>
      <c r="G117" s="199"/>
      <c r="H117" s="201"/>
      <c r="I117" s="202"/>
      <c r="J117" s="199"/>
      <c r="K117" s="620"/>
      <c r="L117" s="621"/>
      <c r="M117" s="189"/>
      <c r="O117" s="198"/>
      <c r="P117" s="380"/>
      <c r="Q117" s="380"/>
      <c r="R117" s="198"/>
    </row>
    <row r="118" spans="1:18" s="188" customFormat="1">
      <c r="A118" s="624"/>
      <c r="B118" s="625"/>
      <c r="C118" s="203" t="s">
        <v>192</v>
      </c>
      <c r="D118" s="620"/>
      <c r="E118" s="621"/>
      <c r="F118" s="621"/>
      <c r="G118" s="199"/>
      <c r="H118" s="201"/>
      <c r="I118" s="202"/>
      <c r="J118" s="199"/>
      <c r="K118" s="620"/>
      <c r="L118" s="621"/>
      <c r="M118" s="189"/>
      <c r="N118" s="177"/>
      <c r="O118" s="177"/>
      <c r="P118" s="379"/>
      <c r="Q118" s="379"/>
      <c r="R118" s="177"/>
    </row>
    <row r="119" spans="1:18" s="188" customFormat="1">
      <c r="A119" s="624"/>
      <c r="B119" s="625"/>
      <c r="C119" s="203" t="s">
        <v>188</v>
      </c>
      <c r="D119" s="620"/>
      <c r="E119" s="621"/>
      <c r="F119" s="621"/>
      <c r="G119" s="201"/>
      <c r="H119" s="201"/>
      <c r="I119" s="202"/>
      <c r="J119" s="199"/>
      <c r="K119" s="620"/>
      <c r="L119" s="621"/>
      <c r="M119" s="189"/>
      <c r="O119" s="198"/>
      <c r="P119" s="380"/>
      <c r="Q119" s="380"/>
      <c r="R119" s="198"/>
    </row>
    <row r="120" spans="1:18" s="188" customFormat="1">
      <c r="A120" s="624"/>
      <c r="B120" s="625"/>
      <c r="C120" s="203" t="s">
        <v>193</v>
      </c>
      <c r="D120" s="620"/>
      <c r="E120" s="621"/>
      <c r="F120" s="621"/>
      <c r="G120" s="199"/>
      <c r="H120" s="201"/>
      <c r="I120" s="202"/>
      <c r="J120" s="199"/>
      <c r="K120" s="620"/>
      <c r="L120" s="621"/>
      <c r="O120" s="198"/>
      <c r="P120" s="380"/>
      <c r="Q120" s="380"/>
      <c r="R120" s="198"/>
    </row>
    <row r="121" spans="1:18" s="188" customFormat="1">
      <c r="A121" s="624"/>
      <c r="B121" s="625"/>
      <c r="C121" s="203" t="s">
        <v>194</v>
      </c>
      <c r="D121" s="620"/>
      <c r="E121" s="621"/>
      <c r="F121" s="621"/>
      <c r="G121" s="199"/>
      <c r="H121" s="201"/>
      <c r="I121" s="202"/>
      <c r="J121" s="199"/>
      <c r="K121" s="620"/>
      <c r="L121" s="621"/>
      <c r="O121" s="198"/>
      <c r="P121" s="380"/>
      <c r="Q121" s="380"/>
      <c r="R121" s="198"/>
    </row>
    <row r="122" spans="1:18" s="198" customFormat="1">
      <c r="A122" s="622" t="s">
        <v>171</v>
      </c>
      <c r="B122" s="622"/>
      <c r="C122" s="206" t="s">
        <v>47</v>
      </c>
      <c r="D122" s="622" t="s">
        <v>12</v>
      </c>
      <c r="E122" s="623"/>
      <c r="F122" s="623"/>
      <c r="G122" s="206" t="s">
        <v>46</v>
      </c>
      <c r="H122" s="206" t="s">
        <v>352</v>
      </c>
      <c r="I122" s="206" t="s">
        <v>353</v>
      </c>
      <c r="J122" s="159" t="s">
        <v>311</v>
      </c>
      <c r="K122" s="622" t="s">
        <v>50</v>
      </c>
      <c r="L122" s="623"/>
      <c r="M122" s="207"/>
      <c r="N122" s="188"/>
      <c r="P122" s="380"/>
      <c r="Q122" s="380"/>
    </row>
    <row r="123" spans="1:18" s="188" customFormat="1">
      <c r="A123" s="624">
        <v>4</v>
      </c>
      <c r="B123" s="625" t="s">
        <v>156</v>
      </c>
      <c r="C123" s="199">
        <v>1</v>
      </c>
      <c r="D123" s="620" t="s">
        <v>522</v>
      </c>
      <c r="E123" s="621"/>
      <c r="F123" s="621"/>
      <c r="G123" s="199">
        <v>6</v>
      </c>
      <c r="H123" s="201">
        <v>3792.9309806725532</v>
      </c>
      <c r="I123" s="202">
        <v>632.1551634454255</v>
      </c>
      <c r="J123" s="220">
        <f>I123-I97</f>
        <v>12.565892633554881</v>
      </c>
      <c r="K123" s="620"/>
      <c r="L123" s="621"/>
      <c r="N123" s="198"/>
      <c r="O123" s="198"/>
      <c r="P123" s="380"/>
      <c r="Q123" s="380"/>
      <c r="R123" s="198"/>
    </row>
    <row r="124" spans="1:18" s="188" customFormat="1">
      <c r="A124" s="624"/>
      <c r="B124" s="625"/>
      <c r="C124" s="199">
        <v>2</v>
      </c>
      <c r="D124" s="620" t="s">
        <v>523</v>
      </c>
      <c r="E124" s="621"/>
      <c r="F124" s="621"/>
      <c r="G124" s="199">
        <v>6</v>
      </c>
      <c r="H124" s="201">
        <v>3791.6417064881593</v>
      </c>
      <c r="I124" s="202">
        <v>631.94028441469322</v>
      </c>
      <c r="J124" s="220">
        <f>I124-I98</f>
        <v>12.497957867911282</v>
      </c>
      <c r="K124" s="620"/>
      <c r="L124" s="621"/>
      <c r="O124" s="198"/>
      <c r="P124" s="380"/>
      <c r="Q124" s="380"/>
      <c r="R124" s="198"/>
    </row>
    <row r="125" spans="1:18" s="188" customFormat="1">
      <c r="A125" s="624"/>
      <c r="B125" s="625"/>
      <c r="C125" s="199">
        <v>3</v>
      </c>
      <c r="D125" s="620" t="s">
        <v>541</v>
      </c>
      <c r="E125" s="621"/>
      <c r="F125" s="621"/>
      <c r="G125" s="199">
        <v>5</v>
      </c>
      <c r="H125" s="201">
        <v>2965.4232430663428</v>
      </c>
      <c r="I125" s="202">
        <v>593.08464861326843</v>
      </c>
      <c r="J125" s="220">
        <f>I125-I99</f>
        <v>-0.47692285714310856</v>
      </c>
      <c r="K125" s="620"/>
      <c r="L125" s="621"/>
      <c r="O125" s="198"/>
      <c r="P125" s="380"/>
      <c r="Q125" s="380"/>
      <c r="R125" s="198"/>
    </row>
    <row r="126" spans="1:18" s="188" customFormat="1">
      <c r="A126" s="624"/>
      <c r="B126" s="625"/>
      <c r="C126" s="199">
        <v>4</v>
      </c>
      <c r="D126" s="620" t="s">
        <v>775</v>
      </c>
      <c r="E126" s="621"/>
      <c r="F126" s="621"/>
      <c r="G126" s="199">
        <v>6</v>
      </c>
      <c r="H126" s="201">
        <v>2860.4651873624271</v>
      </c>
      <c r="I126" s="202">
        <v>476.74419789373775</v>
      </c>
      <c r="J126" s="220"/>
      <c r="K126" s="620"/>
      <c r="L126" s="621"/>
      <c r="O126" s="198"/>
      <c r="P126" s="380"/>
      <c r="Q126" s="380"/>
      <c r="R126" s="198"/>
    </row>
    <row r="127" spans="1:18" s="188" customFormat="1">
      <c r="A127" s="624"/>
      <c r="B127" s="625"/>
      <c r="C127" s="199">
        <v>5</v>
      </c>
      <c r="D127" s="620" t="s">
        <v>625</v>
      </c>
      <c r="E127" s="621"/>
      <c r="F127" s="621"/>
      <c r="G127" s="199">
        <v>6</v>
      </c>
      <c r="H127" s="201">
        <v>2259.1487358490094</v>
      </c>
      <c r="I127" s="202">
        <v>376.52478930816824</v>
      </c>
      <c r="J127" s="220">
        <f>I127-I100</f>
        <v>0.30035445983395448</v>
      </c>
      <c r="K127" s="620"/>
      <c r="L127" s="621"/>
      <c r="O127" s="198"/>
      <c r="P127" s="380"/>
      <c r="Q127" s="380"/>
      <c r="R127" s="198"/>
    </row>
    <row r="128" spans="1:18" s="188" customFormat="1">
      <c r="A128" s="624"/>
      <c r="B128" s="625"/>
      <c r="C128" s="203" t="s">
        <v>187</v>
      </c>
      <c r="D128" s="620" t="s">
        <v>534</v>
      </c>
      <c r="E128" s="621"/>
      <c r="F128" s="621"/>
      <c r="G128" s="199">
        <v>20</v>
      </c>
      <c r="H128" s="201">
        <v>1896.5783422374973</v>
      </c>
      <c r="I128" s="202">
        <v>94.828917111874858</v>
      </c>
      <c r="J128" s="220">
        <f>I128-I101</f>
        <v>3.0000000000001137E-2</v>
      </c>
      <c r="K128" s="620"/>
      <c r="L128" s="621"/>
      <c r="O128" s="198"/>
      <c r="P128" s="380"/>
      <c r="Q128" s="380"/>
      <c r="R128" s="198"/>
    </row>
    <row r="129" spans="1:18" s="188" customFormat="1" ht="15.75" customHeight="1">
      <c r="A129" s="624"/>
      <c r="B129" s="625"/>
      <c r="C129" s="203" t="s">
        <v>192</v>
      </c>
      <c r="D129" s="620" t="s">
        <v>774</v>
      </c>
      <c r="E129" s="621"/>
      <c r="F129" s="621"/>
      <c r="G129" s="199">
        <v>6</v>
      </c>
      <c r="H129" s="201">
        <v>2177.0538169513738</v>
      </c>
      <c r="I129" s="202">
        <v>362.84230282522901</v>
      </c>
      <c r="J129" s="199"/>
      <c r="K129" s="620"/>
      <c r="L129" s="621"/>
      <c r="O129" s="198"/>
      <c r="P129" s="380"/>
      <c r="Q129" s="380"/>
      <c r="R129" s="198"/>
    </row>
    <row r="130" spans="1:18" s="188" customFormat="1" ht="15.75" customHeight="1">
      <c r="A130" s="624"/>
      <c r="B130" s="625"/>
      <c r="C130" s="203" t="s">
        <v>188</v>
      </c>
      <c r="D130" s="620"/>
      <c r="E130" s="621"/>
      <c r="F130" s="621"/>
      <c r="G130" s="199"/>
      <c r="H130" s="201"/>
      <c r="I130" s="202"/>
      <c r="J130" s="199"/>
      <c r="K130" s="620"/>
      <c r="L130" s="621"/>
      <c r="O130" s="198"/>
      <c r="P130" s="380"/>
      <c r="Q130" s="380"/>
      <c r="R130" s="198"/>
    </row>
    <row r="131" spans="1:18" s="188" customFormat="1" ht="15.75" customHeight="1">
      <c r="A131" s="624"/>
      <c r="B131" s="625"/>
      <c r="C131" s="203" t="s">
        <v>193</v>
      </c>
      <c r="D131" s="620"/>
      <c r="E131" s="621"/>
      <c r="F131" s="621"/>
      <c r="G131" s="199"/>
      <c r="H131" s="201"/>
      <c r="I131" s="202"/>
      <c r="J131" s="199"/>
      <c r="K131" s="620"/>
      <c r="L131" s="621"/>
      <c r="O131" s="198"/>
      <c r="P131" s="380"/>
      <c r="Q131" s="380"/>
      <c r="R131" s="198"/>
    </row>
    <row r="132" spans="1:18" s="188" customFormat="1" ht="15.75" customHeight="1">
      <c r="A132" s="624"/>
      <c r="B132" s="625"/>
      <c r="C132" s="203" t="s">
        <v>194</v>
      </c>
      <c r="D132" s="620"/>
      <c r="E132" s="621"/>
      <c r="F132" s="621"/>
      <c r="G132" s="199"/>
      <c r="H132" s="201"/>
      <c r="I132" s="202"/>
      <c r="J132" s="199"/>
      <c r="K132" s="620"/>
      <c r="L132" s="621"/>
      <c r="O132" s="198"/>
      <c r="P132" s="380"/>
      <c r="Q132" s="380"/>
      <c r="R132" s="198"/>
    </row>
    <row r="133" spans="1:18" s="188" customFormat="1" ht="15.75" customHeight="1">
      <c r="A133" s="626" t="s">
        <v>738</v>
      </c>
      <c r="B133" s="626"/>
      <c r="C133" s="626"/>
      <c r="D133" s="626"/>
      <c r="E133" s="626"/>
      <c r="F133" s="626"/>
      <c r="G133" s="626"/>
      <c r="H133" s="626"/>
      <c r="I133" s="626"/>
      <c r="J133" s="626"/>
      <c r="K133" s="626"/>
      <c r="L133" s="626"/>
    </row>
    <row r="134" spans="1:18" s="189" customFormat="1" ht="15.75" customHeight="1">
      <c r="A134" s="626"/>
      <c r="B134" s="626"/>
      <c r="C134" s="626"/>
      <c r="D134" s="626"/>
      <c r="E134" s="626"/>
      <c r="F134" s="626"/>
      <c r="G134" s="626"/>
      <c r="H134" s="626"/>
      <c r="I134" s="626"/>
      <c r="J134" s="626"/>
      <c r="K134" s="626"/>
      <c r="L134" s="626"/>
    </row>
    <row r="135" spans="1:18" s="177" customFormat="1" ht="16.350000000000001" customHeight="1">
      <c r="A135" s="624" t="s">
        <v>162</v>
      </c>
      <c r="B135" s="169">
        <v>1</v>
      </c>
      <c r="C135" s="169">
        <v>2</v>
      </c>
      <c r="D135" s="190">
        <v>3</v>
      </c>
      <c r="E135" s="190">
        <v>4</v>
      </c>
      <c r="F135" s="169">
        <v>5</v>
      </c>
      <c r="G135" s="169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</row>
    <row r="136" spans="1:18" s="188" customFormat="1" ht="16.350000000000001" customHeight="1">
      <c r="A136" s="624"/>
      <c r="B136" s="194" t="s">
        <v>189</v>
      </c>
      <c r="C136" s="194" t="s">
        <v>155</v>
      </c>
      <c r="D136" s="193" t="s">
        <v>190</v>
      </c>
      <c r="E136" s="193" t="s">
        <v>156</v>
      </c>
      <c r="F136" s="194" t="s">
        <v>327</v>
      </c>
      <c r="G136" s="195" t="s">
        <v>136</v>
      </c>
      <c r="H136" s="196" t="s">
        <v>191</v>
      </c>
      <c r="I136" s="195" t="s">
        <v>351</v>
      </c>
      <c r="J136" s="195" t="s">
        <v>142</v>
      </c>
      <c r="K136" s="197"/>
      <c r="L136" s="197"/>
      <c r="M136" s="189"/>
      <c r="N136" s="198"/>
      <c r="O136" s="198"/>
      <c r="P136" s="198"/>
      <c r="Q136" s="198"/>
      <c r="R136" s="198"/>
    </row>
    <row r="137" spans="1:18" s="177" customFormat="1" ht="15.75" customHeight="1">
      <c r="A137" s="625" t="s">
        <v>171</v>
      </c>
      <c r="B137" s="625"/>
      <c r="C137" s="159" t="s">
        <v>47</v>
      </c>
      <c r="D137" s="625" t="s">
        <v>12</v>
      </c>
      <c r="E137" s="627"/>
      <c r="F137" s="627"/>
      <c r="G137" s="159" t="s">
        <v>46</v>
      </c>
      <c r="H137" s="159" t="s">
        <v>352</v>
      </c>
      <c r="I137" s="159" t="s">
        <v>353</v>
      </c>
      <c r="J137" s="159" t="s">
        <v>311</v>
      </c>
      <c r="K137" s="625" t="s">
        <v>51</v>
      </c>
      <c r="L137" s="627"/>
      <c r="M137" s="192"/>
      <c r="N137" s="188"/>
      <c r="O137" s="198"/>
      <c r="P137" s="380"/>
      <c r="Q137" s="380"/>
      <c r="R137" s="198"/>
    </row>
    <row r="138" spans="1:18" s="188" customFormat="1">
      <c r="A138" s="624">
        <v>3</v>
      </c>
      <c r="B138" s="625" t="s">
        <v>355</v>
      </c>
      <c r="C138" s="199">
        <v>1</v>
      </c>
      <c r="D138" s="630"/>
      <c r="E138" s="631"/>
      <c r="F138" s="632"/>
      <c r="G138" s="199"/>
      <c r="H138" s="201"/>
      <c r="I138" s="202"/>
      <c r="J138" s="220">
        <f>I138-I112</f>
        <v>-119.39248251748248</v>
      </c>
      <c r="K138" s="620"/>
      <c r="L138" s="621"/>
      <c r="M138" s="189"/>
      <c r="O138" s="198"/>
      <c r="P138" s="380"/>
      <c r="Q138" s="380"/>
      <c r="R138" s="198"/>
    </row>
    <row r="139" spans="1:18" s="188" customFormat="1">
      <c r="A139" s="624"/>
      <c r="B139" s="625"/>
      <c r="C139" s="199">
        <v>2</v>
      </c>
      <c r="D139" s="630"/>
      <c r="E139" s="631"/>
      <c r="F139" s="632"/>
      <c r="G139" s="199"/>
      <c r="H139" s="201"/>
      <c r="I139" s="202"/>
      <c r="J139" s="220"/>
      <c r="K139" s="620"/>
      <c r="L139" s="621"/>
      <c r="M139" s="189"/>
      <c r="O139" s="198"/>
      <c r="P139" s="380"/>
      <c r="Q139" s="380"/>
      <c r="R139" s="198"/>
    </row>
    <row r="140" spans="1:18" s="188" customFormat="1">
      <c r="A140" s="624"/>
      <c r="B140" s="625"/>
      <c r="C140" s="199">
        <v>3</v>
      </c>
      <c r="D140" s="630"/>
      <c r="E140" s="631"/>
      <c r="F140" s="632"/>
      <c r="G140" s="199"/>
      <c r="H140" s="201"/>
      <c r="I140" s="202"/>
      <c r="J140" s="199"/>
      <c r="K140" s="620"/>
      <c r="L140" s="621"/>
      <c r="M140" s="189"/>
      <c r="O140" s="198"/>
      <c r="P140" s="380"/>
      <c r="Q140" s="380"/>
      <c r="R140" s="198"/>
    </row>
    <row r="141" spans="1:18" s="188" customFormat="1">
      <c r="A141" s="624"/>
      <c r="B141" s="625"/>
      <c r="C141" s="199">
        <v>4</v>
      </c>
      <c r="D141" s="630"/>
      <c r="E141" s="631"/>
      <c r="F141" s="632"/>
      <c r="G141" s="199"/>
      <c r="H141" s="201"/>
      <c r="I141" s="202"/>
      <c r="J141" s="199"/>
      <c r="K141" s="620"/>
      <c r="L141" s="621"/>
      <c r="M141" s="189"/>
      <c r="O141" s="198"/>
      <c r="P141" s="380"/>
      <c r="Q141" s="380"/>
      <c r="R141" s="198"/>
    </row>
    <row r="142" spans="1:18" s="188" customFormat="1">
      <c r="A142" s="624"/>
      <c r="B142" s="625"/>
      <c r="C142" s="199">
        <v>5</v>
      </c>
      <c r="D142" s="630"/>
      <c r="E142" s="631"/>
      <c r="F142" s="632"/>
      <c r="G142" s="199"/>
      <c r="H142" s="201"/>
      <c r="I142" s="202"/>
      <c r="J142" s="199"/>
      <c r="K142" s="620"/>
      <c r="L142" s="621"/>
      <c r="M142" s="189"/>
      <c r="O142" s="198"/>
      <c r="P142" s="380"/>
      <c r="Q142" s="380"/>
      <c r="R142" s="198"/>
    </row>
    <row r="143" spans="1:18" s="188" customFormat="1">
      <c r="A143" s="624"/>
      <c r="B143" s="625"/>
      <c r="C143" s="203" t="s">
        <v>187</v>
      </c>
      <c r="D143" s="630"/>
      <c r="E143" s="631"/>
      <c r="F143" s="632"/>
      <c r="G143" s="199"/>
      <c r="H143" s="201"/>
      <c r="I143" s="202"/>
      <c r="J143" s="199"/>
      <c r="K143" s="620"/>
      <c r="L143" s="621"/>
      <c r="M143" s="189"/>
      <c r="O143" s="198"/>
      <c r="P143" s="380"/>
      <c r="Q143" s="380"/>
      <c r="R143" s="198"/>
    </row>
    <row r="144" spans="1:18" s="188" customFormat="1">
      <c r="A144" s="624"/>
      <c r="B144" s="625"/>
      <c r="C144" s="203" t="s">
        <v>192</v>
      </c>
      <c r="D144" s="630"/>
      <c r="E144" s="631"/>
      <c r="F144" s="632"/>
      <c r="G144" s="199"/>
      <c r="H144" s="201"/>
      <c r="I144" s="202"/>
      <c r="J144" s="199"/>
      <c r="K144" s="620"/>
      <c r="L144" s="621"/>
      <c r="M144" s="189"/>
      <c r="N144" s="177"/>
      <c r="O144" s="177"/>
      <c r="P144" s="379"/>
      <c r="Q144" s="379"/>
      <c r="R144" s="177"/>
    </row>
    <row r="145" spans="1:18" s="188" customFormat="1">
      <c r="A145" s="624"/>
      <c r="B145" s="625"/>
      <c r="C145" s="203" t="s">
        <v>188</v>
      </c>
      <c r="D145" s="630"/>
      <c r="E145" s="631"/>
      <c r="F145" s="632"/>
      <c r="G145" s="201"/>
      <c r="H145" s="201"/>
      <c r="I145" s="202"/>
      <c r="J145" s="199"/>
      <c r="K145" s="620"/>
      <c r="L145" s="621"/>
      <c r="M145" s="189"/>
      <c r="O145" s="198"/>
      <c r="P145" s="380"/>
      <c r="Q145" s="380"/>
      <c r="R145" s="198"/>
    </row>
    <row r="146" spans="1:18" s="188" customFormat="1">
      <c r="A146" s="624"/>
      <c r="B146" s="625"/>
      <c r="C146" s="203" t="s">
        <v>193</v>
      </c>
      <c r="D146" s="630"/>
      <c r="E146" s="631"/>
      <c r="F146" s="632"/>
      <c r="G146" s="199"/>
      <c r="H146" s="201"/>
      <c r="I146" s="202"/>
      <c r="J146" s="199"/>
      <c r="K146" s="620"/>
      <c r="L146" s="621"/>
      <c r="O146" s="198"/>
      <c r="P146" s="380"/>
      <c r="Q146" s="380"/>
      <c r="R146" s="198"/>
    </row>
    <row r="147" spans="1:18" s="188" customFormat="1">
      <c r="A147" s="624"/>
      <c r="B147" s="625"/>
      <c r="C147" s="203" t="s">
        <v>194</v>
      </c>
      <c r="D147" s="630"/>
      <c r="E147" s="631"/>
      <c r="F147" s="632"/>
      <c r="G147" s="199"/>
      <c r="H147" s="201"/>
      <c r="I147" s="202"/>
      <c r="J147" s="199"/>
      <c r="K147" s="620"/>
      <c r="L147" s="621"/>
      <c r="O147" s="198"/>
      <c r="P147" s="380"/>
      <c r="Q147" s="380"/>
      <c r="R147" s="198"/>
    </row>
    <row r="148" spans="1:18" s="198" customFormat="1">
      <c r="A148" s="622" t="s">
        <v>171</v>
      </c>
      <c r="B148" s="622"/>
      <c r="C148" s="206" t="s">
        <v>47</v>
      </c>
      <c r="D148" s="633" t="s">
        <v>12</v>
      </c>
      <c r="E148" s="634"/>
      <c r="F148" s="635"/>
      <c r="G148" s="206" t="s">
        <v>46</v>
      </c>
      <c r="H148" s="206" t="s">
        <v>352</v>
      </c>
      <c r="I148" s="206" t="s">
        <v>353</v>
      </c>
      <c r="J148" s="159" t="s">
        <v>311</v>
      </c>
      <c r="K148" s="622" t="s">
        <v>50</v>
      </c>
      <c r="L148" s="623"/>
      <c r="M148" s="207"/>
      <c r="N148" s="188"/>
      <c r="P148" s="380"/>
      <c r="Q148" s="380"/>
    </row>
    <row r="149" spans="1:18" s="188" customFormat="1">
      <c r="A149" s="624">
        <v>4</v>
      </c>
      <c r="B149" s="625" t="s">
        <v>156</v>
      </c>
      <c r="C149" s="199">
        <v>1</v>
      </c>
      <c r="D149" s="630"/>
      <c r="E149" s="631"/>
      <c r="F149" s="632"/>
      <c r="G149" s="199"/>
      <c r="H149" s="201"/>
      <c r="I149" s="202"/>
      <c r="J149" s="220">
        <f>I149-I123</f>
        <v>-632.1551634454255</v>
      </c>
      <c r="K149" s="620"/>
      <c r="L149" s="621"/>
      <c r="N149" s="198"/>
      <c r="O149" s="198"/>
      <c r="P149" s="380"/>
      <c r="Q149" s="380"/>
      <c r="R149" s="198"/>
    </row>
    <row r="150" spans="1:18" s="188" customFormat="1">
      <c r="A150" s="624"/>
      <c r="B150" s="625"/>
      <c r="C150" s="199">
        <v>2</v>
      </c>
      <c r="D150" s="630"/>
      <c r="E150" s="631"/>
      <c r="F150" s="632"/>
      <c r="G150" s="199"/>
      <c r="H150" s="201"/>
      <c r="I150" s="202"/>
      <c r="J150" s="220">
        <f>I150-I124</f>
        <v>-631.94028441469322</v>
      </c>
      <c r="K150" s="620"/>
      <c r="L150" s="621"/>
      <c r="O150" s="198"/>
      <c r="P150" s="380"/>
      <c r="Q150" s="380"/>
      <c r="R150" s="198"/>
    </row>
    <row r="151" spans="1:18" s="188" customFormat="1">
      <c r="A151" s="624"/>
      <c r="B151" s="625"/>
      <c r="C151" s="199">
        <v>3</v>
      </c>
      <c r="D151" s="630"/>
      <c r="E151" s="631"/>
      <c r="F151" s="632"/>
      <c r="G151" s="199"/>
      <c r="H151" s="201"/>
      <c r="I151" s="202"/>
      <c r="J151" s="220">
        <f>I151-I125</f>
        <v>-593.08464861326843</v>
      </c>
      <c r="K151" s="620"/>
      <c r="L151" s="621"/>
      <c r="O151" s="198"/>
      <c r="P151" s="380"/>
      <c r="Q151" s="380"/>
      <c r="R151" s="198"/>
    </row>
    <row r="152" spans="1:18" s="188" customFormat="1">
      <c r="A152" s="624"/>
      <c r="B152" s="625"/>
      <c r="C152" s="199">
        <v>4</v>
      </c>
      <c r="D152" s="630"/>
      <c r="E152" s="631"/>
      <c r="F152" s="632"/>
      <c r="G152" s="199"/>
      <c r="H152" s="201"/>
      <c r="I152" s="202"/>
      <c r="J152" s="220">
        <f>I152-I126</f>
        <v>-476.74419789373775</v>
      </c>
      <c r="K152" s="620"/>
      <c r="L152" s="621"/>
      <c r="O152" s="198"/>
      <c r="P152" s="380"/>
      <c r="Q152" s="380"/>
      <c r="R152" s="198"/>
    </row>
    <row r="153" spans="1:18" s="188" customFormat="1">
      <c r="A153" s="624"/>
      <c r="B153" s="625"/>
      <c r="C153" s="199">
        <v>5</v>
      </c>
      <c r="D153" s="630"/>
      <c r="E153" s="631"/>
      <c r="F153" s="632"/>
      <c r="G153" s="199"/>
      <c r="H153" s="201"/>
      <c r="I153" s="202"/>
      <c r="J153" s="220">
        <f>I153-I127</f>
        <v>-376.52478930816824</v>
      </c>
      <c r="K153" s="620"/>
      <c r="L153" s="621"/>
      <c r="O153" s="198"/>
      <c r="P153" s="380"/>
      <c r="Q153" s="380"/>
      <c r="R153" s="198"/>
    </row>
    <row r="154" spans="1:18" s="188" customFormat="1">
      <c r="A154" s="624"/>
      <c r="B154" s="625"/>
      <c r="C154" s="203" t="s">
        <v>187</v>
      </c>
      <c r="D154" s="630"/>
      <c r="E154" s="631"/>
      <c r="F154" s="632"/>
      <c r="G154" s="199"/>
      <c r="H154" s="201"/>
      <c r="I154" s="202"/>
      <c r="J154" s="199"/>
      <c r="K154" s="620"/>
      <c r="L154" s="621"/>
      <c r="O154" s="198"/>
      <c r="P154" s="380"/>
      <c r="Q154" s="380"/>
      <c r="R154" s="198"/>
    </row>
    <row r="155" spans="1:18" s="188" customFormat="1" ht="15.75" customHeight="1">
      <c r="A155" s="624"/>
      <c r="B155" s="625"/>
      <c r="C155" s="203" t="s">
        <v>192</v>
      </c>
      <c r="D155" s="620"/>
      <c r="E155" s="621"/>
      <c r="F155" s="621"/>
      <c r="G155" s="199"/>
      <c r="H155" s="201"/>
      <c r="I155" s="202"/>
      <c r="J155" s="199"/>
      <c r="K155" s="620"/>
      <c r="L155" s="621"/>
      <c r="O155" s="198"/>
      <c r="P155" s="380"/>
      <c r="Q155" s="380"/>
      <c r="R155" s="198"/>
    </row>
    <row r="156" spans="1:18" s="188" customFormat="1" ht="15.75" customHeight="1">
      <c r="A156" s="624"/>
      <c r="B156" s="625"/>
      <c r="C156" s="203" t="s">
        <v>188</v>
      </c>
      <c r="D156" s="620"/>
      <c r="E156" s="621"/>
      <c r="F156" s="621"/>
      <c r="G156" s="199"/>
      <c r="H156" s="201"/>
      <c r="I156" s="202"/>
      <c r="J156" s="199"/>
      <c r="K156" s="620"/>
      <c r="L156" s="621"/>
      <c r="O156" s="198"/>
      <c r="P156" s="380"/>
      <c r="Q156" s="380"/>
      <c r="R156" s="198"/>
    </row>
    <row r="157" spans="1:18" s="188" customFormat="1" ht="15.75" customHeight="1">
      <c r="A157" s="624"/>
      <c r="B157" s="625"/>
      <c r="C157" s="203" t="s">
        <v>193</v>
      </c>
      <c r="D157" s="620"/>
      <c r="E157" s="621"/>
      <c r="F157" s="621"/>
      <c r="G157" s="199"/>
      <c r="H157" s="201"/>
      <c r="I157" s="202"/>
      <c r="J157" s="199"/>
      <c r="K157" s="620"/>
      <c r="L157" s="621"/>
      <c r="O157" s="198"/>
      <c r="P157" s="380"/>
      <c r="Q157" s="380"/>
      <c r="R157" s="198"/>
    </row>
    <row r="158" spans="1:18" s="188" customFormat="1" ht="15.75" customHeight="1">
      <c r="A158" s="624"/>
      <c r="B158" s="625"/>
      <c r="C158" s="203" t="s">
        <v>194</v>
      </c>
      <c r="D158" s="620"/>
      <c r="E158" s="621"/>
      <c r="F158" s="621"/>
      <c r="G158" s="199"/>
      <c r="H158" s="201"/>
      <c r="I158" s="202"/>
      <c r="J158" s="199"/>
      <c r="K158" s="620"/>
      <c r="L158" s="621"/>
      <c r="O158" s="198"/>
      <c r="P158" s="380"/>
      <c r="Q158" s="380"/>
      <c r="R158" s="198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75:L75"/>
    <mergeCell ref="D76:F76"/>
    <mergeCell ref="K76:L76"/>
    <mergeCell ref="D69:F69"/>
    <mergeCell ref="K69:L69"/>
    <mergeCell ref="D66:F66"/>
    <mergeCell ref="K66:L66"/>
    <mergeCell ref="D67:F67"/>
    <mergeCell ref="K67:L67"/>
    <mergeCell ref="D77:F77"/>
    <mergeCell ref="K77:L77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K80:L80"/>
    <mergeCell ref="K68:L68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A44:B44"/>
    <mergeCell ref="D44:F44"/>
    <mergeCell ref="K44:L44"/>
    <mergeCell ref="K40:L40"/>
    <mergeCell ref="D41:F41"/>
    <mergeCell ref="K41:L41"/>
    <mergeCell ref="D42:F42"/>
    <mergeCell ref="D27:F27"/>
    <mergeCell ref="K27:L27"/>
    <mergeCell ref="D28:F28"/>
    <mergeCell ref="K28:L2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:L2"/>
    <mergeCell ref="D78:F78"/>
    <mergeCell ref="K78:L78"/>
    <mergeCell ref="D79:F79"/>
    <mergeCell ref="K79:L79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A3:L4"/>
    <mergeCell ref="A5:A6"/>
    <mergeCell ref="A7:B7"/>
    <mergeCell ref="D7:F7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S158"/>
  <sheetViews>
    <sheetView view="pageBreakPreview" topLeftCell="A102" zoomScaleNormal="60" zoomScaleSheetLayoutView="100" workbookViewId="0">
      <selection activeCell="J132" sqref="J132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19" t="s">
        <v>350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98"/>
    </row>
    <row r="2" spans="1:19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N2" s="189"/>
      <c r="O2" s="189"/>
      <c r="P2" s="189"/>
      <c r="Q2" s="189"/>
      <c r="R2" s="189"/>
    </row>
    <row r="3" spans="1:19" s="188" customFormat="1" ht="15.75" customHeight="1">
      <c r="A3" s="626" t="s">
        <v>611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</row>
    <row r="4" spans="1:19" s="189" customFormat="1" ht="15.75" customHeight="1">
      <c r="A4" s="626"/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</row>
    <row r="5" spans="1:19" s="105" customFormat="1" ht="15.75" customHeight="1">
      <c r="A5" s="636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5.75" customHeight="1">
      <c r="A6" s="638"/>
      <c r="B6" s="194" t="s">
        <v>189</v>
      </c>
      <c r="C6" s="194" t="s">
        <v>155</v>
      </c>
      <c r="D6" s="194" t="s">
        <v>190</v>
      </c>
      <c r="E6" s="194" t="s">
        <v>156</v>
      </c>
      <c r="F6" s="193" t="s">
        <v>327</v>
      </c>
      <c r="G6" s="208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>
      <c r="A7" s="642" t="s">
        <v>171</v>
      </c>
      <c r="B7" s="643"/>
      <c r="C7" s="159" t="s">
        <v>47</v>
      </c>
      <c r="D7" s="642" t="s">
        <v>12</v>
      </c>
      <c r="E7" s="644"/>
      <c r="F7" s="643"/>
      <c r="G7" s="159" t="s">
        <v>46</v>
      </c>
      <c r="H7" s="159" t="s">
        <v>352</v>
      </c>
      <c r="I7" s="159" t="s">
        <v>353</v>
      </c>
      <c r="J7" s="159" t="s">
        <v>311</v>
      </c>
      <c r="K7" s="642" t="s">
        <v>51</v>
      </c>
      <c r="L7" s="643"/>
      <c r="M7" s="192"/>
      <c r="N7" s="178"/>
      <c r="O7" s="493"/>
      <c r="P7" s="493"/>
      <c r="Q7" s="493"/>
      <c r="R7" s="178"/>
      <c r="S7" s="177"/>
    </row>
    <row r="8" spans="1:19">
      <c r="A8" s="636">
        <v>5</v>
      </c>
      <c r="B8" s="639" t="s">
        <v>327</v>
      </c>
      <c r="C8" s="199">
        <v>1</v>
      </c>
      <c r="D8" s="620" t="s">
        <v>517</v>
      </c>
      <c r="E8" s="621"/>
      <c r="F8" s="621"/>
      <c r="G8" s="201">
        <v>17</v>
      </c>
      <c r="H8" s="201">
        <v>1795.6351185148455</v>
      </c>
      <c r="I8" s="202">
        <v>105.62559520675561</v>
      </c>
      <c r="J8" s="350">
        <v>0.33147755969679338</v>
      </c>
      <c r="K8" s="620" t="s">
        <v>405</v>
      </c>
      <c r="L8" s="621"/>
      <c r="N8" s="178"/>
      <c r="O8" s="178"/>
      <c r="P8" s="494"/>
      <c r="Q8" s="494"/>
      <c r="R8" s="178"/>
      <c r="S8" s="188"/>
    </row>
    <row r="9" spans="1:19">
      <c r="A9" s="637"/>
      <c r="B9" s="640"/>
      <c r="C9" s="199">
        <v>2</v>
      </c>
      <c r="D9" s="620" t="s">
        <v>443</v>
      </c>
      <c r="E9" s="621"/>
      <c r="F9" s="621"/>
      <c r="G9" s="201">
        <v>19</v>
      </c>
      <c r="H9" s="201">
        <v>1795.4511960520019</v>
      </c>
      <c r="I9" s="202">
        <v>94.497431371158001</v>
      </c>
      <c r="J9" s="350">
        <v>0.28389753657152994</v>
      </c>
      <c r="K9" s="620" t="s">
        <v>405</v>
      </c>
      <c r="L9" s="621"/>
      <c r="N9" s="178"/>
      <c r="O9" s="178"/>
      <c r="P9" s="494"/>
      <c r="Q9" s="494"/>
      <c r="R9" s="178"/>
      <c r="S9" s="188"/>
    </row>
    <row r="10" spans="1:19">
      <c r="A10" s="637"/>
      <c r="B10" s="640"/>
      <c r="C10" s="199">
        <v>3</v>
      </c>
      <c r="D10" s="620" t="s">
        <v>552</v>
      </c>
      <c r="E10" s="621"/>
      <c r="F10" s="621"/>
      <c r="G10" s="201">
        <v>20</v>
      </c>
      <c r="H10" s="201">
        <v>1795.3545183099479</v>
      </c>
      <c r="I10" s="202">
        <v>89.767725915497394</v>
      </c>
      <c r="J10" s="350">
        <v>0.26486877264025566</v>
      </c>
      <c r="K10" s="620" t="s">
        <v>405</v>
      </c>
      <c r="L10" s="621"/>
      <c r="N10" s="178"/>
      <c r="O10" s="178"/>
      <c r="P10" s="494"/>
      <c r="Q10" s="494"/>
      <c r="R10" s="178"/>
      <c r="S10" s="188"/>
    </row>
    <row r="11" spans="1:19">
      <c r="A11" s="637"/>
      <c r="B11" s="640"/>
      <c r="C11" s="199">
        <v>4</v>
      </c>
      <c r="D11" s="620" t="s">
        <v>322</v>
      </c>
      <c r="E11" s="621"/>
      <c r="F11" s="621"/>
      <c r="G11" s="201">
        <v>23</v>
      </c>
      <c r="H11" s="201">
        <v>1799.5063717140899</v>
      </c>
      <c r="I11" s="202">
        <v>78.239407465830013</v>
      </c>
      <c r="J11" s="350">
        <v>0.13199883289991021</v>
      </c>
      <c r="K11" s="620" t="s">
        <v>405</v>
      </c>
      <c r="L11" s="621"/>
      <c r="N11" s="178"/>
      <c r="O11" s="178"/>
      <c r="P11" s="494"/>
      <c r="Q11" s="494"/>
      <c r="R11" s="178"/>
      <c r="S11" s="188"/>
    </row>
    <row r="12" spans="1:19">
      <c r="A12" s="637"/>
      <c r="B12" s="640"/>
      <c r="C12" s="199">
        <v>5</v>
      </c>
      <c r="D12" s="620" t="s">
        <v>320</v>
      </c>
      <c r="E12" s="621"/>
      <c r="F12" s="621"/>
      <c r="G12" s="201">
        <v>23</v>
      </c>
      <c r="H12" s="201">
        <v>1799.4841797594167</v>
      </c>
      <c r="I12" s="202">
        <v>78.238442598235537</v>
      </c>
      <c r="J12" s="350">
        <v>0.23711296312518471</v>
      </c>
      <c r="K12" s="620" t="s">
        <v>405</v>
      </c>
      <c r="L12" s="621"/>
      <c r="N12" s="178"/>
      <c r="O12" s="178"/>
      <c r="P12" s="494"/>
      <c r="Q12" s="494"/>
      <c r="R12" s="178"/>
      <c r="S12" s="188"/>
    </row>
    <row r="13" spans="1:19">
      <c r="A13" s="637"/>
      <c r="B13" s="640"/>
      <c r="C13" s="203" t="s">
        <v>187</v>
      </c>
      <c r="D13" s="620" t="s">
        <v>321</v>
      </c>
      <c r="E13" s="621"/>
      <c r="F13" s="621"/>
      <c r="G13" s="201">
        <v>24</v>
      </c>
      <c r="H13" s="201">
        <v>1798.893059770608</v>
      </c>
      <c r="I13" s="202">
        <v>74.953877490442011</v>
      </c>
      <c r="J13" s="350">
        <v>0.36351842791037825</v>
      </c>
      <c r="K13" s="620" t="s">
        <v>405</v>
      </c>
      <c r="L13" s="621"/>
      <c r="N13" s="178"/>
      <c r="O13" s="178"/>
      <c r="P13" s="494"/>
      <c r="Q13" s="494"/>
      <c r="R13" s="178"/>
      <c r="S13" s="188"/>
    </row>
    <row r="14" spans="1:19">
      <c r="A14" s="637"/>
      <c r="B14" s="640"/>
      <c r="C14" s="203" t="s">
        <v>192</v>
      </c>
      <c r="D14" s="620" t="s">
        <v>577</v>
      </c>
      <c r="E14" s="621"/>
      <c r="F14" s="621"/>
      <c r="G14" s="201">
        <v>21</v>
      </c>
      <c r="H14" s="201">
        <v>1622.6332543740639</v>
      </c>
      <c r="I14" s="202">
        <v>77.268250208288762</v>
      </c>
      <c r="J14" s="350">
        <v>3.3035734623183544E-3</v>
      </c>
      <c r="K14" s="620" t="s">
        <v>405</v>
      </c>
      <c r="L14" s="621"/>
      <c r="N14" s="178"/>
      <c r="O14" s="178"/>
      <c r="P14" s="494"/>
      <c r="Q14" s="494"/>
      <c r="R14" s="178"/>
      <c r="S14" s="188"/>
    </row>
    <row r="15" spans="1:19">
      <c r="A15" s="637"/>
      <c r="B15" s="640"/>
      <c r="C15" s="203" t="s">
        <v>188</v>
      </c>
      <c r="D15" s="620" t="s">
        <v>328</v>
      </c>
      <c r="E15" s="621"/>
      <c r="F15" s="621"/>
      <c r="G15" s="201">
        <v>23</v>
      </c>
      <c r="H15" s="201">
        <v>1798.2785907695647</v>
      </c>
      <c r="I15" s="202">
        <v>78.18602568563324</v>
      </c>
      <c r="J15" s="350">
        <v>0.18301353955526167</v>
      </c>
      <c r="K15" s="620" t="s">
        <v>405</v>
      </c>
      <c r="L15" s="621"/>
      <c r="N15" s="178"/>
      <c r="O15" s="178"/>
      <c r="P15" s="494"/>
      <c r="Q15" s="494"/>
      <c r="R15" s="178"/>
      <c r="S15" s="188"/>
    </row>
    <row r="16" spans="1:19">
      <c r="A16" s="637"/>
      <c r="B16" s="640"/>
      <c r="C16" s="203" t="s">
        <v>193</v>
      </c>
      <c r="D16" s="620"/>
      <c r="E16" s="621"/>
      <c r="F16" s="621"/>
      <c r="G16" s="201"/>
      <c r="H16" s="201"/>
      <c r="I16" s="202"/>
      <c r="J16" s="350"/>
      <c r="K16" s="630"/>
      <c r="L16" s="632"/>
      <c r="M16" s="98"/>
      <c r="N16" s="178"/>
      <c r="O16" s="178"/>
      <c r="P16" s="494"/>
      <c r="Q16" s="494"/>
      <c r="R16" s="178"/>
      <c r="S16" s="188"/>
    </row>
    <row r="17" spans="1:19">
      <c r="A17" s="638"/>
      <c r="B17" s="641"/>
      <c r="C17" s="203" t="s">
        <v>194</v>
      </c>
      <c r="D17" s="620"/>
      <c r="E17" s="621"/>
      <c r="F17" s="621"/>
      <c r="G17" s="201"/>
      <c r="H17" s="201"/>
      <c r="I17" s="202"/>
      <c r="J17" s="199"/>
      <c r="K17" s="630"/>
      <c r="L17" s="632"/>
      <c r="M17" s="98"/>
      <c r="N17" s="178"/>
      <c r="O17" s="178"/>
      <c r="P17" s="494"/>
      <c r="Q17" s="494"/>
      <c r="R17" s="178"/>
      <c r="S17" s="188"/>
    </row>
    <row r="18" spans="1:19" s="103" customFormat="1">
      <c r="A18" s="633" t="s">
        <v>171</v>
      </c>
      <c r="B18" s="635"/>
      <c r="C18" s="206" t="s">
        <v>47</v>
      </c>
      <c r="D18" s="622" t="s">
        <v>12</v>
      </c>
      <c r="E18" s="623"/>
      <c r="F18" s="623"/>
      <c r="G18" s="206" t="s">
        <v>46</v>
      </c>
      <c r="H18" s="206" t="s">
        <v>352</v>
      </c>
      <c r="I18" s="206" t="s">
        <v>353</v>
      </c>
      <c r="J18" s="159" t="s">
        <v>311</v>
      </c>
      <c r="K18" s="633" t="s">
        <v>51</v>
      </c>
      <c r="L18" s="635"/>
      <c r="M18" s="127"/>
      <c r="N18" s="178"/>
      <c r="O18" s="178"/>
      <c r="P18" s="494"/>
      <c r="Q18" s="494"/>
      <c r="R18" s="178"/>
      <c r="S18" s="198"/>
    </row>
    <row r="19" spans="1:19">
      <c r="A19" s="636">
        <v>6</v>
      </c>
      <c r="B19" s="639" t="s">
        <v>136</v>
      </c>
      <c r="C19" s="199">
        <v>1</v>
      </c>
      <c r="D19" s="620" t="s">
        <v>524</v>
      </c>
      <c r="E19" s="621"/>
      <c r="F19" s="621"/>
      <c r="G19" s="199">
        <v>20</v>
      </c>
      <c r="H19" s="201">
        <v>1799.6744781929467</v>
      </c>
      <c r="I19" s="202">
        <v>89.983723909647338</v>
      </c>
      <c r="J19" s="350">
        <v>6.7868603443002939E-2</v>
      </c>
      <c r="K19" s="620" t="s">
        <v>405</v>
      </c>
      <c r="L19" s="621"/>
      <c r="M19" s="98"/>
      <c r="N19" s="178"/>
      <c r="O19" s="178"/>
      <c r="P19" s="494"/>
      <c r="Q19" s="494"/>
      <c r="R19" s="178"/>
      <c r="S19" s="188"/>
    </row>
    <row r="20" spans="1:19">
      <c r="A20" s="637"/>
      <c r="B20" s="640"/>
      <c r="C20" s="199">
        <v>2</v>
      </c>
      <c r="D20" s="620" t="s">
        <v>415</v>
      </c>
      <c r="E20" s="621"/>
      <c r="F20" s="621"/>
      <c r="G20" s="201">
        <v>20</v>
      </c>
      <c r="H20" s="201">
        <v>1797.09388324867</v>
      </c>
      <c r="I20" s="202">
        <v>89.854694162433503</v>
      </c>
      <c r="J20" s="350">
        <v>0.21382347034823113</v>
      </c>
      <c r="K20" s="620" t="s">
        <v>405</v>
      </c>
      <c r="L20" s="621"/>
      <c r="M20" s="98"/>
      <c r="N20" s="178"/>
      <c r="O20" s="178"/>
      <c r="P20" s="494"/>
      <c r="Q20" s="494"/>
      <c r="R20" s="178"/>
      <c r="S20" s="188"/>
    </row>
    <row r="21" spans="1:19">
      <c r="A21" s="637"/>
      <c r="B21" s="640"/>
      <c r="C21" s="199">
        <v>3</v>
      </c>
      <c r="D21" s="620" t="s">
        <v>413</v>
      </c>
      <c r="E21" s="621"/>
      <c r="F21" s="621"/>
      <c r="G21" s="201">
        <v>22</v>
      </c>
      <c r="H21" s="201">
        <v>1798.0689357827664</v>
      </c>
      <c r="I21" s="202">
        <v>81.73040617194394</v>
      </c>
      <c r="J21" s="350">
        <v>0.22117266014602421</v>
      </c>
      <c r="K21" s="620" t="s">
        <v>405</v>
      </c>
      <c r="L21" s="621"/>
      <c r="M21" s="98"/>
      <c r="N21" s="178"/>
      <c r="O21" s="178"/>
      <c r="P21" s="494"/>
      <c r="Q21" s="494"/>
      <c r="R21" s="178"/>
      <c r="S21" s="188"/>
    </row>
    <row r="22" spans="1:19">
      <c r="A22" s="637"/>
      <c r="B22" s="640"/>
      <c r="C22" s="199">
        <v>4</v>
      </c>
      <c r="D22" s="620" t="s">
        <v>329</v>
      </c>
      <c r="E22" s="621"/>
      <c r="F22" s="621"/>
      <c r="G22" s="199">
        <v>23</v>
      </c>
      <c r="H22" s="201">
        <v>1798.4173487769492</v>
      </c>
      <c r="I22" s="202">
        <v>78.192058642476042</v>
      </c>
      <c r="J22" s="350">
        <v>0.206411576668458</v>
      </c>
      <c r="K22" s="620" t="s">
        <v>405</v>
      </c>
      <c r="L22" s="621"/>
      <c r="M22" s="98"/>
      <c r="N22" s="178"/>
      <c r="O22" s="178"/>
      <c r="P22" s="494"/>
      <c r="Q22" s="494"/>
      <c r="R22" s="178"/>
      <c r="S22" s="188"/>
    </row>
    <row r="23" spans="1:19">
      <c r="A23" s="637"/>
      <c r="B23" s="640"/>
      <c r="C23" s="199">
        <v>5</v>
      </c>
      <c r="D23" s="620" t="s">
        <v>331</v>
      </c>
      <c r="E23" s="621"/>
      <c r="F23" s="621"/>
      <c r="G23" s="201">
        <v>23</v>
      </c>
      <c r="H23" s="201">
        <v>1798.047943840837</v>
      </c>
      <c r="I23" s="202">
        <v>78.175997558297254</v>
      </c>
      <c r="J23" s="350">
        <v>0.20256378794044849</v>
      </c>
      <c r="K23" s="620" t="s">
        <v>405</v>
      </c>
      <c r="L23" s="621"/>
      <c r="M23" s="98"/>
      <c r="N23" s="178"/>
      <c r="O23" s="178"/>
      <c r="P23" s="494"/>
      <c r="Q23" s="494"/>
      <c r="R23" s="178"/>
      <c r="S23" s="188"/>
    </row>
    <row r="24" spans="1:19">
      <c r="A24" s="637"/>
      <c r="B24" s="640"/>
      <c r="C24" s="203" t="s">
        <v>187</v>
      </c>
      <c r="D24" s="620" t="s">
        <v>471</v>
      </c>
      <c r="E24" s="621"/>
      <c r="F24" s="621"/>
      <c r="G24" s="199">
        <v>25</v>
      </c>
      <c r="H24" s="201">
        <v>1798.3579812124076</v>
      </c>
      <c r="I24" s="202">
        <v>71.934319248496294</v>
      </c>
      <c r="J24" s="350">
        <v>0.21956153017634961</v>
      </c>
      <c r="K24" s="620" t="s">
        <v>405</v>
      </c>
      <c r="L24" s="621"/>
      <c r="M24" s="98"/>
      <c r="N24" s="178"/>
      <c r="O24" s="178"/>
      <c r="P24" s="494"/>
      <c r="Q24" s="494"/>
      <c r="R24" s="178"/>
      <c r="S24" s="188"/>
    </row>
    <row r="25" spans="1:19">
      <c r="A25" s="637"/>
      <c r="B25" s="640"/>
      <c r="C25" s="203" t="s">
        <v>192</v>
      </c>
      <c r="D25" s="620" t="s">
        <v>562</v>
      </c>
      <c r="E25" s="621"/>
      <c r="F25" s="621"/>
      <c r="G25" s="199">
        <v>24</v>
      </c>
      <c r="H25" s="201">
        <v>1799.0720951222054</v>
      </c>
      <c r="I25" s="202">
        <v>74.961337296758558</v>
      </c>
      <c r="J25" s="350">
        <v>0.31847987595254779</v>
      </c>
      <c r="K25" s="620" t="s">
        <v>405</v>
      </c>
      <c r="L25" s="621"/>
      <c r="M25" s="98"/>
      <c r="N25" s="178"/>
      <c r="O25" s="178"/>
      <c r="P25" s="494"/>
      <c r="Q25" s="494"/>
      <c r="R25" s="178"/>
      <c r="S25" s="188"/>
    </row>
    <row r="26" spans="1:19">
      <c r="A26" s="637"/>
      <c r="B26" s="640"/>
      <c r="C26" s="203" t="s">
        <v>188</v>
      </c>
      <c r="D26" s="620" t="s">
        <v>330</v>
      </c>
      <c r="E26" s="621"/>
      <c r="F26" s="621"/>
      <c r="G26" s="199">
        <v>24</v>
      </c>
      <c r="H26" s="201">
        <v>1799.7255861173473</v>
      </c>
      <c r="I26" s="202">
        <v>74.988566088222811</v>
      </c>
      <c r="J26" s="350">
        <v>0.55870156059442877</v>
      </c>
      <c r="K26" s="620" t="s">
        <v>405</v>
      </c>
      <c r="L26" s="621"/>
      <c r="M26" s="98"/>
      <c r="N26" s="178"/>
      <c r="O26" s="178"/>
      <c r="P26" s="494"/>
      <c r="Q26" s="494"/>
      <c r="R26" s="178"/>
      <c r="S26" s="188"/>
    </row>
    <row r="27" spans="1:19">
      <c r="A27" s="637"/>
      <c r="B27" s="640"/>
      <c r="C27" s="203" t="s">
        <v>193</v>
      </c>
      <c r="D27" s="620" t="s">
        <v>411</v>
      </c>
      <c r="E27" s="621"/>
      <c r="F27" s="621"/>
      <c r="G27" s="199">
        <v>23</v>
      </c>
      <c r="H27" s="201">
        <v>1797.9481808238481</v>
      </c>
      <c r="I27" s="202">
        <v>78.171660035819485</v>
      </c>
      <c r="J27" s="350">
        <v>0.1095282009141556</v>
      </c>
      <c r="K27" s="620" t="s">
        <v>405</v>
      </c>
      <c r="L27" s="621"/>
      <c r="M27" s="98"/>
      <c r="N27" s="178"/>
      <c r="O27" s="178"/>
      <c r="P27" s="494"/>
      <c r="Q27" s="494"/>
      <c r="R27" s="178"/>
      <c r="S27" s="188"/>
    </row>
    <row r="28" spans="1:19">
      <c r="A28" s="638"/>
      <c r="B28" s="641"/>
      <c r="C28" s="203" t="s">
        <v>194</v>
      </c>
      <c r="D28" s="630"/>
      <c r="E28" s="631"/>
      <c r="F28" s="632"/>
      <c r="G28" s="199"/>
      <c r="H28" s="201"/>
      <c r="I28" s="202"/>
      <c r="J28" s="350"/>
      <c r="K28" s="630"/>
      <c r="L28" s="632"/>
      <c r="M28" s="98"/>
      <c r="N28" s="178"/>
      <c r="O28" s="178"/>
      <c r="P28" s="494"/>
      <c r="Q28" s="494"/>
      <c r="R28" s="178"/>
      <c r="S28" s="188"/>
    </row>
    <row r="29" spans="1:19" s="188" customFormat="1" ht="15.75" customHeight="1">
      <c r="A29" s="626" t="s">
        <v>627</v>
      </c>
      <c r="B29" s="626"/>
      <c r="C29" s="626"/>
      <c r="D29" s="626"/>
      <c r="E29" s="626"/>
      <c r="F29" s="626"/>
      <c r="G29" s="626"/>
      <c r="H29" s="626"/>
      <c r="I29" s="626"/>
      <c r="J29" s="626"/>
      <c r="K29" s="626"/>
      <c r="L29" s="626"/>
    </row>
    <row r="30" spans="1:19" s="189" customFormat="1" ht="15.75" customHeight="1">
      <c r="A30" s="626"/>
      <c r="B30" s="626"/>
      <c r="C30" s="626"/>
      <c r="D30" s="626"/>
      <c r="E30" s="626"/>
      <c r="F30" s="626"/>
      <c r="G30" s="626"/>
      <c r="H30" s="626"/>
      <c r="I30" s="626"/>
      <c r="J30" s="626"/>
      <c r="K30" s="626"/>
      <c r="L30" s="626"/>
    </row>
    <row r="31" spans="1:19" s="105" customFormat="1" ht="15.75" customHeight="1">
      <c r="A31" s="636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5.75" customHeight="1">
      <c r="A32" s="638"/>
      <c r="B32" s="194" t="s">
        <v>189</v>
      </c>
      <c r="C32" s="194" t="s">
        <v>155</v>
      </c>
      <c r="D32" s="194" t="s">
        <v>190</v>
      </c>
      <c r="E32" s="194" t="s">
        <v>156</v>
      </c>
      <c r="F32" s="193" t="s">
        <v>327</v>
      </c>
      <c r="G32" s="208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>
      <c r="A33" s="642" t="s">
        <v>171</v>
      </c>
      <c r="B33" s="643"/>
      <c r="C33" s="159" t="s">
        <v>47</v>
      </c>
      <c r="D33" s="642" t="s">
        <v>12</v>
      </c>
      <c r="E33" s="644"/>
      <c r="F33" s="643"/>
      <c r="G33" s="159" t="s">
        <v>46</v>
      </c>
      <c r="H33" s="159" t="s">
        <v>352</v>
      </c>
      <c r="I33" s="159" t="s">
        <v>353</v>
      </c>
      <c r="J33" s="159" t="s">
        <v>311</v>
      </c>
      <c r="K33" s="642" t="s">
        <v>51</v>
      </c>
      <c r="L33" s="643"/>
      <c r="M33" s="192"/>
      <c r="N33" s="178"/>
      <c r="O33" s="493"/>
      <c r="P33" s="493"/>
      <c r="Q33" s="493"/>
      <c r="R33" s="178"/>
      <c r="S33" s="177"/>
    </row>
    <row r="34" spans="1:19">
      <c r="A34" s="636">
        <v>5</v>
      </c>
      <c r="B34" s="639" t="s">
        <v>327</v>
      </c>
      <c r="C34" s="199">
        <v>1</v>
      </c>
      <c r="D34" s="620" t="s">
        <v>517</v>
      </c>
      <c r="E34" s="621"/>
      <c r="F34" s="621"/>
      <c r="G34" s="201">
        <v>17</v>
      </c>
      <c r="H34" s="201">
        <v>1802.3920435033706</v>
      </c>
      <c r="I34" s="202">
        <v>106.02306138255121</v>
      </c>
      <c r="J34" s="350">
        <f>I34-I8</f>
        <v>0.39746617579559995</v>
      </c>
      <c r="K34" s="620" t="s">
        <v>405</v>
      </c>
      <c r="L34" s="621"/>
      <c r="N34" s="178"/>
      <c r="O34" s="178"/>
      <c r="P34" s="494"/>
      <c r="Q34" s="494"/>
      <c r="R34" s="178"/>
      <c r="S34" s="188"/>
    </row>
    <row r="35" spans="1:19">
      <c r="A35" s="637"/>
      <c r="B35" s="640"/>
      <c r="C35" s="199">
        <v>2</v>
      </c>
      <c r="D35" s="620" t="s">
        <v>443</v>
      </c>
      <c r="E35" s="621"/>
      <c r="F35" s="621"/>
      <c r="G35" s="201">
        <v>19</v>
      </c>
      <c r="H35" s="201">
        <v>1802.0000000000002</v>
      </c>
      <c r="I35" s="202">
        <v>94.84210526315789</v>
      </c>
      <c r="J35" s="350">
        <f>I35-I9</f>
        <v>0.34467389199988929</v>
      </c>
      <c r="K35" s="620" t="s">
        <v>405</v>
      </c>
      <c r="L35" s="621"/>
      <c r="N35" s="178"/>
      <c r="O35" s="178"/>
      <c r="P35" s="494"/>
      <c r="Q35" s="494"/>
      <c r="R35" s="178"/>
      <c r="S35" s="188"/>
    </row>
    <row r="36" spans="1:19">
      <c r="A36" s="637"/>
      <c r="B36" s="640"/>
      <c r="C36" s="199">
        <v>3</v>
      </c>
      <c r="D36" s="620" t="s">
        <v>552</v>
      </c>
      <c r="E36" s="621"/>
      <c r="F36" s="621"/>
      <c r="G36" s="201">
        <v>20</v>
      </c>
      <c r="H36" s="201">
        <v>1802.0857142857144</v>
      </c>
      <c r="I36" s="202">
        <v>90.104285714285723</v>
      </c>
      <c r="J36" s="350">
        <f>I36-I10</f>
        <v>0.33655979878832909</v>
      </c>
      <c r="K36" s="620" t="s">
        <v>405</v>
      </c>
      <c r="L36" s="621"/>
      <c r="N36" s="178"/>
      <c r="O36" s="178"/>
      <c r="P36" s="494"/>
      <c r="Q36" s="494"/>
      <c r="R36" s="178"/>
      <c r="S36" s="188"/>
    </row>
    <row r="37" spans="1:19">
      <c r="A37" s="637"/>
      <c r="B37" s="640"/>
      <c r="C37" s="199">
        <v>4</v>
      </c>
      <c r="D37" s="620" t="s">
        <v>322</v>
      </c>
      <c r="E37" s="621"/>
      <c r="F37" s="621"/>
      <c r="G37" s="201">
        <v>23</v>
      </c>
      <c r="H37" s="201">
        <v>1804.2050013523046</v>
      </c>
      <c r="I37" s="202">
        <v>78.443695710969749</v>
      </c>
      <c r="J37" s="350">
        <f>I37-I11</f>
        <v>0.20428824513973609</v>
      </c>
      <c r="K37" s="620" t="s">
        <v>405</v>
      </c>
      <c r="L37" s="621"/>
      <c r="N37" s="178"/>
      <c r="O37" s="178"/>
      <c r="P37" s="494"/>
      <c r="Q37" s="494"/>
      <c r="R37" s="178"/>
      <c r="S37" s="188"/>
    </row>
    <row r="38" spans="1:19">
      <c r="A38" s="637"/>
      <c r="B38" s="640"/>
      <c r="C38" s="199">
        <v>5</v>
      </c>
      <c r="D38" s="620" t="s">
        <v>328</v>
      </c>
      <c r="E38" s="621"/>
      <c r="F38" s="621"/>
      <c r="G38" s="201">
        <v>23</v>
      </c>
      <c r="H38" s="201">
        <v>1802.5498218137109</v>
      </c>
      <c r="I38" s="202">
        <v>78.371731383204832</v>
      </c>
      <c r="J38" s="350">
        <f>I38-I15</f>
        <v>0.18570569757159205</v>
      </c>
      <c r="K38" s="620" t="s">
        <v>405</v>
      </c>
      <c r="L38" s="621"/>
      <c r="N38" s="178"/>
      <c r="O38" s="178"/>
      <c r="P38" s="494"/>
      <c r="Q38" s="494"/>
      <c r="R38" s="178"/>
      <c r="S38" s="188"/>
    </row>
    <row r="39" spans="1:19">
      <c r="A39" s="637"/>
      <c r="B39" s="640"/>
      <c r="C39" s="203" t="s">
        <v>187</v>
      </c>
      <c r="D39" s="620" t="s">
        <v>321</v>
      </c>
      <c r="E39" s="621"/>
      <c r="F39" s="621"/>
      <c r="G39" s="201">
        <v>24</v>
      </c>
      <c r="H39" s="201">
        <v>1803.7159486916662</v>
      </c>
      <c r="I39" s="202">
        <v>75.154831195486096</v>
      </c>
      <c r="J39" s="350">
        <f>I39-I13</f>
        <v>0.2009537050440855</v>
      </c>
      <c r="K39" s="620" t="s">
        <v>405</v>
      </c>
      <c r="L39" s="621"/>
      <c r="N39" s="178"/>
      <c r="O39" s="178"/>
      <c r="P39" s="494"/>
      <c r="Q39" s="494"/>
      <c r="R39" s="178"/>
      <c r="S39" s="188"/>
    </row>
    <row r="40" spans="1:19">
      <c r="A40" s="637"/>
      <c r="B40" s="640"/>
      <c r="C40" s="203" t="s">
        <v>192</v>
      </c>
      <c r="D40" s="620" t="s">
        <v>577</v>
      </c>
      <c r="E40" s="621"/>
      <c r="F40" s="621"/>
      <c r="G40" s="201">
        <v>21</v>
      </c>
      <c r="H40" s="201">
        <v>1622.7852637302269</v>
      </c>
      <c r="I40" s="202">
        <v>77.275488749058397</v>
      </c>
      <c r="J40" s="350">
        <f>I40-I14</f>
        <v>7.2385407696344828E-3</v>
      </c>
      <c r="K40" s="620" t="s">
        <v>405</v>
      </c>
      <c r="L40" s="621"/>
      <c r="N40" s="178"/>
      <c r="O40" s="178"/>
      <c r="P40" s="494"/>
      <c r="Q40" s="494"/>
      <c r="R40" s="178"/>
      <c r="S40" s="188"/>
    </row>
    <row r="41" spans="1:19">
      <c r="A41" s="637"/>
      <c r="B41" s="640"/>
      <c r="C41" s="203" t="s">
        <v>188</v>
      </c>
      <c r="D41" s="620" t="s">
        <v>320</v>
      </c>
      <c r="E41" s="621"/>
      <c r="F41" s="621"/>
      <c r="G41" s="201">
        <v>23</v>
      </c>
      <c r="H41" s="201">
        <v>1802.1446439935044</v>
      </c>
      <c r="I41" s="202">
        <v>78.354114956239314</v>
      </c>
      <c r="J41" s="350">
        <f>I41-I12</f>
        <v>0.11567235800377773</v>
      </c>
      <c r="K41" s="620" t="s">
        <v>405</v>
      </c>
      <c r="L41" s="621"/>
      <c r="N41" s="178"/>
      <c r="O41" s="178"/>
      <c r="P41" s="494"/>
      <c r="Q41" s="494"/>
      <c r="R41" s="178"/>
      <c r="S41" s="188"/>
    </row>
    <row r="42" spans="1:19">
      <c r="A42" s="637"/>
      <c r="B42" s="640"/>
      <c r="C42" s="203" t="s">
        <v>193</v>
      </c>
      <c r="D42" s="620"/>
      <c r="E42" s="621"/>
      <c r="F42" s="621"/>
      <c r="G42" s="201"/>
      <c r="H42" s="201"/>
      <c r="I42" s="202"/>
      <c r="J42" s="350"/>
      <c r="K42" s="630"/>
      <c r="L42" s="632"/>
      <c r="M42" s="98"/>
      <c r="N42" s="178"/>
      <c r="O42" s="178"/>
      <c r="P42" s="494"/>
      <c r="Q42" s="494"/>
      <c r="R42" s="178"/>
      <c r="S42" s="188"/>
    </row>
    <row r="43" spans="1:19">
      <c r="A43" s="638"/>
      <c r="B43" s="641"/>
      <c r="C43" s="203" t="s">
        <v>194</v>
      </c>
      <c r="D43" s="620"/>
      <c r="E43" s="621"/>
      <c r="F43" s="621"/>
      <c r="G43" s="201"/>
      <c r="H43" s="201"/>
      <c r="I43" s="202"/>
      <c r="J43" s="199"/>
      <c r="K43" s="630"/>
      <c r="L43" s="632"/>
      <c r="M43" s="98"/>
      <c r="N43" s="178"/>
      <c r="O43" s="178"/>
      <c r="P43" s="494"/>
      <c r="Q43" s="494"/>
      <c r="R43" s="178"/>
      <c r="S43" s="188"/>
    </row>
    <row r="44" spans="1:19" s="103" customFormat="1">
      <c r="A44" s="633" t="s">
        <v>171</v>
      </c>
      <c r="B44" s="635"/>
      <c r="C44" s="206" t="s">
        <v>47</v>
      </c>
      <c r="D44" s="622" t="s">
        <v>12</v>
      </c>
      <c r="E44" s="623"/>
      <c r="F44" s="623"/>
      <c r="G44" s="206" t="s">
        <v>46</v>
      </c>
      <c r="H44" s="206" t="s">
        <v>352</v>
      </c>
      <c r="I44" s="206" t="s">
        <v>353</v>
      </c>
      <c r="J44" s="159" t="s">
        <v>311</v>
      </c>
      <c r="K44" s="633" t="s">
        <v>51</v>
      </c>
      <c r="L44" s="635"/>
      <c r="M44" s="127"/>
      <c r="N44" s="178"/>
      <c r="O44" s="178"/>
      <c r="P44" s="494"/>
      <c r="Q44" s="494"/>
      <c r="R44" s="178"/>
      <c r="S44" s="198"/>
    </row>
    <row r="45" spans="1:19">
      <c r="A45" s="636">
        <v>6</v>
      </c>
      <c r="B45" s="639" t="s">
        <v>136</v>
      </c>
      <c r="C45" s="199">
        <v>1</v>
      </c>
      <c r="D45" s="620" t="s">
        <v>524</v>
      </c>
      <c r="E45" s="621"/>
      <c r="F45" s="621"/>
      <c r="G45" s="199">
        <v>20</v>
      </c>
      <c r="H45" s="201">
        <v>1801.7891523454018</v>
      </c>
      <c r="I45" s="202">
        <v>90.089457617270099</v>
      </c>
      <c r="J45" s="350">
        <f>I45-I19</f>
        <v>0.10573370762276113</v>
      </c>
      <c r="K45" s="620" t="s">
        <v>405</v>
      </c>
      <c r="L45" s="621"/>
      <c r="M45" s="98"/>
      <c r="N45" s="178"/>
      <c r="O45" s="178"/>
      <c r="P45" s="494"/>
      <c r="Q45" s="494"/>
      <c r="R45" s="178"/>
      <c r="S45" s="188"/>
    </row>
    <row r="46" spans="1:19">
      <c r="A46" s="637"/>
      <c r="B46" s="640"/>
      <c r="C46" s="199">
        <v>2</v>
      </c>
      <c r="D46" s="620" t="s">
        <v>415</v>
      </c>
      <c r="E46" s="621"/>
      <c r="F46" s="621"/>
      <c r="G46" s="201">
        <v>20</v>
      </c>
      <c r="H46" s="201">
        <v>1801.4971662737767</v>
      </c>
      <c r="I46" s="202">
        <v>90.074858313688807</v>
      </c>
      <c r="J46" s="350">
        <f>I46-I20</f>
        <v>0.22016415125530386</v>
      </c>
      <c r="K46" s="620" t="s">
        <v>405</v>
      </c>
      <c r="L46" s="621"/>
      <c r="M46" s="98"/>
      <c r="N46" s="178"/>
      <c r="O46" s="178"/>
      <c r="P46" s="494"/>
      <c r="Q46" s="494"/>
      <c r="R46" s="178"/>
      <c r="S46" s="188"/>
    </row>
    <row r="47" spans="1:19">
      <c r="A47" s="637"/>
      <c r="B47" s="640"/>
      <c r="C47" s="199">
        <v>3</v>
      </c>
      <c r="D47" s="620" t="s">
        <v>413</v>
      </c>
      <c r="E47" s="621"/>
      <c r="F47" s="621"/>
      <c r="G47" s="201">
        <v>22</v>
      </c>
      <c r="H47" s="201">
        <v>1801.8309791959143</v>
      </c>
      <c r="I47" s="202">
        <v>81.901408145268832</v>
      </c>
      <c r="J47" s="350">
        <f>I47-I21</f>
        <v>0.17100197332489131</v>
      </c>
      <c r="K47" s="620" t="s">
        <v>405</v>
      </c>
      <c r="L47" s="621"/>
      <c r="M47" s="98"/>
      <c r="N47" s="178"/>
      <c r="O47" s="178"/>
      <c r="P47" s="494"/>
      <c r="Q47" s="494"/>
      <c r="R47" s="178"/>
      <c r="S47" s="188"/>
    </row>
    <row r="48" spans="1:19">
      <c r="A48" s="637"/>
      <c r="B48" s="640"/>
      <c r="C48" s="199">
        <v>4</v>
      </c>
      <c r="D48" s="620" t="s">
        <v>411</v>
      </c>
      <c r="E48" s="621"/>
      <c r="F48" s="621"/>
      <c r="G48" s="199">
        <v>23</v>
      </c>
      <c r="H48" s="201">
        <v>1801.7218122051327</v>
      </c>
      <c r="I48" s="202">
        <v>78.335730965440561</v>
      </c>
      <c r="J48" s="350">
        <f>I48-I27</f>
        <v>0.16407092962107583</v>
      </c>
      <c r="K48" s="620" t="s">
        <v>405</v>
      </c>
      <c r="L48" s="621"/>
      <c r="M48" s="98"/>
      <c r="N48" s="178"/>
      <c r="O48" s="178"/>
      <c r="P48" s="494"/>
      <c r="Q48" s="494"/>
      <c r="R48" s="178"/>
      <c r="S48" s="188"/>
    </row>
    <row r="49" spans="1:19">
      <c r="A49" s="637"/>
      <c r="B49" s="640"/>
      <c r="C49" s="199">
        <v>5</v>
      </c>
      <c r="D49" s="620" t="s">
        <v>331</v>
      </c>
      <c r="E49" s="621"/>
      <c r="F49" s="621"/>
      <c r="G49" s="201">
        <v>23</v>
      </c>
      <c r="H49" s="201">
        <v>1801.6901518364623</v>
      </c>
      <c r="I49" s="202">
        <v>78.334354427672267</v>
      </c>
      <c r="J49" s="350">
        <f>I49-I23</f>
        <v>0.15835686937501237</v>
      </c>
      <c r="K49" s="620" t="s">
        <v>405</v>
      </c>
      <c r="L49" s="621"/>
      <c r="M49" s="98"/>
      <c r="N49" s="178"/>
      <c r="O49" s="178"/>
      <c r="P49" s="494"/>
      <c r="Q49" s="494"/>
      <c r="R49" s="178"/>
      <c r="S49" s="188"/>
    </row>
    <row r="50" spans="1:19">
      <c r="A50" s="637"/>
      <c r="B50" s="640"/>
      <c r="C50" s="203" t="s">
        <v>187</v>
      </c>
      <c r="D50" s="620" t="s">
        <v>471</v>
      </c>
      <c r="E50" s="621"/>
      <c r="F50" s="621"/>
      <c r="G50" s="199">
        <v>25</v>
      </c>
      <c r="H50" s="201">
        <v>1802.4787468964926</v>
      </c>
      <c r="I50" s="202">
        <v>72.099149875859695</v>
      </c>
      <c r="J50" s="350">
        <f>I50-I24</f>
        <v>0.16483062736340059</v>
      </c>
      <c r="K50" s="620" t="s">
        <v>405</v>
      </c>
      <c r="L50" s="621"/>
      <c r="M50" s="98"/>
      <c r="N50" s="178"/>
      <c r="O50" s="178"/>
      <c r="P50" s="494"/>
      <c r="Q50" s="494"/>
      <c r="R50" s="178"/>
      <c r="S50" s="188"/>
    </row>
    <row r="51" spans="1:19">
      <c r="A51" s="637"/>
      <c r="B51" s="640"/>
      <c r="C51" s="203" t="s">
        <v>192</v>
      </c>
      <c r="D51" s="620" t="s">
        <v>330</v>
      </c>
      <c r="E51" s="621"/>
      <c r="F51" s="621"/>
      <c r="G51" s="199">
        <v>24</v>
      </c>
      <c r="H51" s="201">
        <v>1803.0817987172129</v>
      </c>
      <c r="I51" s="202">
        <v>75.128408279883871</v>
      </c>
      <c r="J51" s="350">
        <f>I51-I26</f>
        <v>0.13984219166106016</v>
      </c>
      <c r="K51" s="620" t="s">
        <v>405</v>
      </c>
      <c r="L51" s="621"/>
      <c r="M51" s="98"/>
      <c r="N51" s="178"/>
      <c r="O51" s="178"/>
      <c r="P51" s="494"/>
      <c r="Q51" s="494"/>
      <c r="R51" s="178"/>
      <c r="S51" s="188"/>
    </row>
    <row r="52" spans="1:19">
      <c r="A52" s="637"/>
      <c r="B52" s="640"/>
      <c r="C52" s="203" t="s">
        <v>188</v>
      </c>
      <c r="D52" s="620" t="s">
        <v>562</v>
      </c>
      <c r="E52" s="621"/>
      <c r="F52" s="621"/>
      <c r="G52" s="199">
        <v>24</v>
      </c>
      <c r="H52" s="201">
        <v>1803.5262314693098</v>
      </c>
      <c r="I52" s="202">
        <v>75.146926311221236</v>
      </c>
      <c r="J52" s="350">
        <f>I52-I25</f>
        <v>0.18558901446267839</v>
      </c>
      <c r="K52" s="620" t="s">
        <v>405</v>
      </c>
      <c r="L52" s="621"/>
      <c r="M52" s="98"/>
      <c r="N52" s="178"/>
      <c r="O52" s="178"/>
      <c r="P52" s="494"/>
      <c r="Q52" s="494"/>
      <c r="R52" s="178"/>
      <c r="S52" s="188"/>
    </row>
    <row r="53" spans="1:19">
      <c r="A53" s="637"/>
      <c r="B53" s="640"/>
      <c r="C53" s="203" t="s">
        <v>193</v>
      </c>
      <c r="D53" s="620" t="s">
        <v>329</v>
      </c>
      <c r="E53" s="621"/>
      <c r="F53" s="621"/>
      <c r="G53" s="199">
        <v>23</v>
      </c>
      <c r="H53" s="201">
        <v>1800.7934707697732</v>
      </c>
      <c r="I53" s="202">
        <v>78.295368294337962</v>
      </c>
      <c r="J53" s="350">
        <f>I53-I22</f>
        <v>0.10330965186192032</v>
      </c>
      <c r="K53" s="620" t="s">
        <v>405</v>
      </c>
      <c r="L53" s="621"/>
      <c r="M53" s="98"/>
      <c r="N53" s="178"/>
      <c r="O53" s="178"/>
      <c r="P53" s="494"/>
      <c r="Q53" s="494"/>
      <c r="R53" s="178"/>
      <c r="S53" s="188"/>
    </row>
    <row r="54" spans="1:19">
      <c r="A54" s="638"/>
      <c r="B54" s="641"/>
      <c r="C54" s="203" t="s">
        <v>194</v>
      </c>
      <c r="D54" s="630"/>
      <c r="E54" s="631"/>
      <c r="F54" s="632"/>
      <c r="G54" s="199"/>
      <c r="H54" s="201"/>
      <c r="I54" s="202"/>
      <c r="J54" s="350"/>
      <c r="K54" s="630"/>
      <c r="L54" s="632"/>
      <c r="M54" s="98"/>
      <c r="N54" s="178"/>
      <c r="O54" s="178"/>
      <c r="P54" s="494"/>
      <c r="Q54" s="494"/>
      <c r="R54" s="178"/>
      <c r="S54" s="188"/>
    </row>
    <row r="55" spans="1:19" s="188" customFormat="1" ht="15.75" customHeight="1">
      <c r="A55" s="626" t="s">
        <v>643</v>
      </c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</row>
    <row r="56" spans="1:19" s="189" customFormat="1" ht="15.75" customHeight="1">
      <c r="A56" s="626"/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</row>
    <row r="57" spans="1:19" s="105" customFormat="1" ht="15.75" customHeight="1">
      <c r="A57" s="636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5.75" customHeight="1">
      <c r="A58" s="638"/>
      <c r="B58" s="194" t="s">
        <v>189</v>
      </c>
      <c r="C58" s="194" t="s">
        <v>155</v>
      </c>
      <c r="D58" s="194" t="s">
        <v>190</v>
      </c>
      <c r="E58" s="194" t="s">
        <v>156</v>
      </c>
      <c r="F58" s="193" t="s">
        <v>327</v>
      </c>
      <c r="G58" s="208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>
      <c r="A59" s="642" t="s">
        <v>171</v>
      </c>
      <c r="B59" s="643"/>
      <c r="C59" s="159" t="s">
        <v>47</v>
      </c>
      <c r="D59" s="642" t="s">
        <v>12</v>
      </c>
      <c r="E59" s="644"/>
      <c r="F59" s="643"/>
      <c r="G59" s="159" t="s">
        <v>46</v>
      </c>
      <c r="H59" s="159" t="s">
        <v>352</v>
      </c>
      <c r="I59" s="159" t="s">
        <v>353</v>
      </c>
      <c r="J59" s="159" t="s">
        <v>311</v>
      </c>
      <c r="K59" s="642" t="s">
        <v>51</v>
      </c>
      <c r="L59" s="643"/>
      <c r="M59" s="192"/>
      <c r="N59" s="178"/>
      <c r="O59" s="493"/>
      <c r="P59" s="493"/>
      <c r="Q59" s="493"/>
      <c r="R59" s="178"/>
      <c r="S59" s="177"/>
    </row>
    <row r="60" spans="1:19">
      <c r="A60" s="636">
        <v>5</v>
      </c>
      <c r="B60" s="639" t="s">
        <v>327</v>
      </c>
      <c r="C60" s="199">
        <v>1</v>
      </c>
      <c r="D60" s="620" t="s">
        <v>517</v>
      </c>
      <c r="E60" s="621"/>
      <c r="F60" s="621"/>
      <c r="G60" s="201">
        <v>17</v>
      </c>
      <c r="H60" s="201">
        <v>1802.3142857142852</v>
      </c>
      <c r="I60" s="202">
        <v>106.01848739495797</v>
      </c>
      <c r="J60" s="350">
        <f t="shared" ref="J60:J67" si="0">I60-I34</f>
        <v>-4.5739875932326868E-3</v>
      </c>
      <c r="K60" s="620" t="s">
        <v>405</v>
      </c>
      <c r="L60" s="621"/>
      <c r="N60" s="178"/>
      <c r="O60" s="178"/>
      <c r="P60" s="494"/>
      <c r="Q60" s="494"/>
      <c r="R60" s="178"/>
      <c r="S60" s="188"/>
    </row>
    <row r="61" spans="1:19">
      <c r="A61" s="637"/>
      <c r="B61" s="640"/>
      <c r="C61" s="199">
        <v>2</v>
      </c>
      <c r="D61" s="620" t="s">
        <v>443</v>
      </c>
      <c r="E61" s="621"/>
      <c r="F61" s="621"/>
      <c r="G61" s="201">
        <v>19</v>
      </c>
      <c r="H61" s="201">
        <v>1801.9142857142858</v>
      </c>
      <c r="I61" s="202">
        <v>94.83759398496241</v>
      </c>
      <c r="J61" s="350">
        <f t="shared" si="0"/>
        <v>-4.5112781954799175E-3</v>
      </c>
      <c r="K61" s="620" t="s">
        <v>405</v>
      </c>
      <c r="L61" s="621"/>
      <c r="N61" s="178"/>
      <c r="O61" s="178"/>
      <c r="P61" s="494"/>
      <c r="Q61" s="494"/>
      <c r="R61" s="178"/>
      <c r="S61" s="188"/>
    </row>
    <row r="62" spans="1:19">
      <c r="A62" s="637"/>
      <c r="B62" s="640"/>
      <c r="C62" s="199">
        <v>3</v>
      </c>
      <c r="D62" s="620" t="s">
        <v>552</v>
      </c>
      <c r="E62" s="621"/>
      <c r="F62" s="621"/>
      <c r="G62" s="201">
        <v>20</v>
      </c>
      <c r="H62" s="201">
        <v>1802.2857142857142</v>
      </c>
      <c r="I62" s="202">
        <v>90.114285714285728</v>
      </c>
      <c r="J62" s="350">
        <f t="shared" si="0"/>
        <v>1.0000000000005116E-2</v>
      </c>
      <c r="K62" s="620" t="s">
        <v>405</v>
      </c>
      <c r="L62" s="621"/>
      <c r="N62" s="178"/>
      <c r="O62" s="178"/>
      <c r="P62" s="494"/>
      <c r="Q62" s="494"/>
      <c r="R62" s="178"/>
      <c r="S62" s="188"/>
    </row>
    <row r="63" spans="1:19">
      <c r="A63" s="637"/>
      <c r="B63" s="640"/>
      <c r="C63" s="199">
        <v>4</v>
      </c>
      <c r="D63" s="620" t="s">
        <v>322</v>
      </c>
      <c r="E63" s="621"/>
      <c r="F63" s="621"/>
      <c r="G63" s="201">
        <v>23</v>
      </c>
      <c r="H63" s="201">
        <v>1806.4586096474184</v>
      </c>
      <c r="I63" s="202">
        <v>78.541678680322534</v>
      </c>
      <c r="J63" s="350">
        <f t="shared" si="0"/>
        <v>9.7982969352784721E-2</v>
      </c>
      <c r="K63" s="620" t="s">
        <v>405</v>
      </c>
      <c r="L63" s="621"/>
      <c r="N63" s="178"/>
      <c r="O63" s="178"/>
      <c r="P63" s="494"/>
      <c r="Q63" s="494"/>
      <c r="R63" s="178"/>
      <c r="S63" s="188"/>
    </row>
    <row r="64" spans="1:19">
      <c r="A64" s="637"/>
      <c r="B64" s="640"/>
      <c r="C64" s="199">
        <v>5</v>
      </c>
      <c r="D64" s="620" t="s">
        <v>328</v>
      </c>
      <c r="E64" s="621"/>
      <c r="F64" s="621"/>
      <c r="G64" s="201">
        <v>23</v>
      </c>
      <c r="H64" s="201">
        <v>1805.1648237339011</v>
      </c>
      <c r="I64" s="202">
        <v>78.485427118865246</v>
      </c>
      <c r="J64" s="350">
        <f t="shared" si="0"/>
        <v>0.11369573566041424</v>
      </c>
      <c r="K64" s="620" t="s">
        <v>405</v>
      </c>
      <c r="L64" s="621"/>
      <c r="N64" s="178"/>
      <c r="O64" s="178"/>
      <c r="P64" s="494"/>
      <c r="Q64" s="494"/>
      <c r="R64" s="178"/>
      <c r="S64" s="188"/>
    </row>
    <row r="65" spans="1:19">
      <c r="A65" s="637"/>
      <c r="B65" s="640"/>
      <c r="C65" s="203" t="s">
        <v>187</v>
      </c>
      <c r="D65" s="620" t="s">
        <v>321</v>
      </c>
      <c r="E65" s="621"/>
      <c r="F65" s="621"/>
      <c r="G65" s="201">
        <v>24</v>
      </c>
      <c r="H65" s="201">
        <v>1805.354821944836</v>
      </c>
      <c r="I65" s="202">
        <v>75.223117581034828</v>
      </c>
      <c r="J65" s="350">
        <f t="shared" si="0"/>
        <v>6.8286385548731232E-2</v>
      </c>
      <c r="K65" s="620" t="s">
        <v>405</v>
      </c>
      <c r="L65" s="621"/>
      <c r="N65" s="178"/>
      <c r="O65" s="178"/>
      <c r="P65" s="494"/>
      <c r="Q65" s="494"/>
      <c r="R65" s="178"/>
      <c r="S65" s="188"/>
    </row>
    <row r="66" spans="1:19">
      <c r="A66" s="637"/>
      <c r="B66" s="640"/>
      <c r="C66" s="203" t="s">
        <v>192</v>
      </c>
      <c r="D66" s="620" t="s">
        <v>577</v>
      </c>
      <c r="E66" s="621"/>
      <c r="F66" s="621"/>
      <c r="G66" s="201">
        <v>21</v>
      </c>
      <c r="H66" s="201">
        <v>1623.8077817584067</v>
      </c>
      <c r="I66" s="202">
        <v>77.324180083733637</v>
      </c>
      <c r="J66" s="350">
        <f t="shared" si="0"/>
        <v>4.8691334675240228E-2</v>
      </c>
      <c r="K66" s="620" t="s">
        <v>405</v>
      </c>
      <c r="L66" s="621"/>
      <c r="N66" s="178"/>
      <c r="O66" s="178"/>
      <c r="P66" s="494"/>
      <c r="Q66" s="494"/>
      <c r="R66" s="178"/>
      <c r="S66" s="188"/>
    </row>
    <row r="67" spans="1:19">
      <c r="A67" s="637"/>
      <c r="B67" s="640"/>
      <c r="C67" s="203" t="s">
        <v>188</v>
      </c>
      <c r="D67" s="620" t="s">
        <v>320</v>
      </c>
      <c r="E67" s="621"/>
      <c r="F67" s="621"/>
      <c r="G67" s="201">
        <v>23</v>
      </c>
      <c r="H67" s="201">
        <v>1802.544643993504</v>
      </c>
      <c r="I67" s="202">
        <v>78.371506260587125</v>
      </c>
      <c r="J67" s="350">
        <f t="shared" si="0"/>
        <v>1.7391304347810888E-2</v>
      </c>
      <c r="K67" s="620" t="s">
        <v>405</v>
      </c>
      <c r="L67" s="621"/>
      <c r="N67" s="178"/>
      <c r="O67" s="178"/>
      <c r="P67" s="494"/>
      <c r="Q67" s="494"/>
      <c r="R67" s="178"/>
      <c r="S67" s="188"/>
    </row>
    <row r="68" spans="1:19">
      <c r="A68" s="637"/>
      <c r="B68" s="640"/>
      <c r="C68" s="203" t="s">
        <v>193</v>
      </c>
      <c r="D68" s="620"/>
      <c r="E68" s="621"/>
      <c r="F68" s="621"/>
      <c r="G68" s="201"/>
      <c r="H68" s="201"/>
      <c r="I68" s="202"/>
      <c r="J68" s="350"/>
      <c r="K68" s="630"/>
      <c r="L68" s="632"/>
      <c r="M68" s="98"/>
      <c r="N68" s="178"/>
      <c r="O68" s="178"/>
      <c r="P68" s="494"/>
      <c r="Q68" s="494"/>
      <c r="R68" s="178"/>
      <c r="S68" s="188"/>
    </row>
    <row r="69" spans="1:19">
      <c r="A69" s="638"/>
      <c r="B69" s="641"/>
      <c r="C69" s="203" t="s">
        <v>194</v>
      </c>
      <c r="D69" s="620"/>
      <c r="E69" s="621"/>
      <c r="F69" s="621"/>
      <c r="G69" s="201"/>
      <c r="H69" s="201"/>
      <c r="I69" s="202"/>
      <c r="J69" s="199"/>
      <c r="K69" s="630"/>
      <c r="L69" s="632"/>
      <c r="M69" s="98"/>
      <c r="N69" s="178"/>
      <c r="O69" s="178"/>
      <c r="P69" s="494"/>
      <c r="Q69" s="494"/>
      <c r="R69" s="178"/>
      <c r="S69" s="188"/>
    </row>
    <row r="70" spans="1:19" s="103" customFormat="1">
      <c r="A70" s="633" t="s">
        <v>171</v>
      </c>
      <c r="B70" s="635"/>
      <c r="C70" s="206" t="s">
        <v>47</v>
      </c>
      <c r="D70" s="622" t="s">
        <v>12</v>
      </c>
      <c r="E70" s="623"/>
      <c r="F70" s="623"/>
      <c r="G70" s="206" t="s">
        <v>46</v>
      </c>
      <c r="H70" s="206" t="s">
        <v>352</v>
      </c>
      <c r="I70" s="206" t="s">
        <v>353</v>
      </c>
      <c r="J70" s="159" t="s">
        <v>311</v>
      </c>
      <c r="K70" s="633" t="s">
        <v>51</v>
      </c>
      <c r="L70" s="635"/>
      <c r="M70" s="127"/>
      <c r="N70" s="178"/>
      <c r="O70" s="178"/>
      <c r="P70" s="494"/>
      <c r="Q70" s="494"/>
      <c r="R70" s="178"/>
      <c r="S70" s="198"/>
    </row>
    <row r="71" spans="1:19">
      <c r="A71" s="636">
        <v>6</v>
      </c>
      <c r="B71" s="639" t="s">
        <v>136</v>
      </c>
      <c r="C71" s="199">
        <v>1</v>
      </c>
      <c r="D71" s="620" t="s">
        <v>415</v>
      </c>
      <c r="E71" s="621"/>
      <c r="F71" s="621"/>
      <c r="G71" s="199">
        <v>20</v>
      </c>
      <c r="H71" s="201">
        <v>1802.1482139012248</v>
      </c>
      <c r="I71" s="202">
        <v>90.107410695061262</v>
      </c>
      <c r="J71" s="350">
        <f>I71-I46</f>
        <v>3.255238137245442E-2</v>
      </c>
      <c r="K71" s="620" t="s">
        <v>405</v>
      </c>
      <c r="L71" s="621"/>
      <c r="M71" s="98"/>
      <c r="N71" s="178"/>
      <c r="O71" s="178"/>
      <c r="P71" s="494"/>
      <c r="Q71" s="494"/>
      <c r="R71" s="178"/>
      <c r="S71" s="188"/>
    </row>
    <row r="72" spans="1:19">
      <c r="A72" s="637"/>
      <c r="B72" s="640"/>
      <c r="C72" s="199">
        <v>2</v>
      </c>
      <c r="D72" s="620" t="s">
        <v>524</v>
      </c>
      <c r="E72" s="621"/>
      <c r="F72" s="621"/>
      <c r="G72" s="201">
        <v>20</v>
      </c>
      <c r="H72" s="201">
        <v>1801.9225504184299</v>
      </c>
      <c r="I72" s="202">
        <v>90.096127520921513</v>
      </c>
      <c r="J72" s="350">
        <f>I72-I45</f>
        <v>6.6699036514137333E-3</v>
      </c>
      <c r="K72" s="620" t="s">
        <v>405</v>
      </c>
      <c r="L72" s="621"/>
      <c r="M72" s="98"/>
      <c r="N72" s="178"/>
      <c r="O72" s="178"/>
      <c r="P72" s="494"/>
      <c r="Q72" s="494"/>
      <c r="R72" s="178"/>
      <c r="S72" s="188"/>
    </row>
    <row r="73" spans="1:19">
      <c r="A73" s="637"/>
      <c r="B73" s="640"/>
      <c r="C73" s="199">
        <v>3</v>
      </c>
      <c r="D73" s="620" t="s">
        <v>413</v>
      </c>
      <c r="E73" s="621"/>
      <c r="F73" s="621"/>
      <c r="G73" s="201">
        <v>22</v>
      </c>
      <c r="H73" s="201">
        <v>1801.356663867203</v>
      </c>
      <c r="I73" s="202">
        <v>81.879848357600139</v>
      </c>
      <c r="J73" s="350">
        <f>I73-I47</f>
        <v>-2.155978766869282E-2</v>
      </c>
      <c r="K73" s="620" t="s">
        <v>405</v>
      </c>
      <c r="L73" s="621"/>
      <c r="M73" s="98"/>
      <c r="N73" s="178"/>
      <c r="O73" s="178"/>
      <c r="P73" s="494"/>
      <c r="Q73" s="494"/>
      <c r="R73" s="178"/>
      <c r="S73" s="188"/>
    </row>
    <row r="74" spans="1:19">
      <c r="A74" s="637"/>
      <c r="B74" s="640"/>
      <c r="C74" s="199">
        <v>4</v>
      </c>
      <c r="D74" s="620" t="s">
        <v>411</v>
      </c>
      <c r="E74" s="621"/>
      <c r="F74" s="621"/>
      <c r="G74" s="199">
        <v>23</v>
      </c>
      <c r="H74" s="201">
        <v>1802.2653912242042</v>
      </c>
      <c r="I74" s="202">
        <v>78.359364835834981</v>
      </c>
      <c r="J74" s="350">
        <f>I74-I48</f>
        <v>2.3633870394419887E-2</v>
      </c>
      <c r="K74" s="620" t="s">
        <v>405</v>
      </c>
      <c r="L74" s="621"/>
      <c r="M74" s="98"/>
      <c r="N74" s="178"/>
      <c r="O74" s="178"/>
      <c r="P74" s="494"/>
      <c r="Q74" s="494"/>
      <c r="R74" s="178"/>
      <c r="S74" s="188"/>
    </row>
    <row r="75" spans="1:19">
      <c r="A75" s="637"/>
      <c r="B75" s="640"/>
      <c r="C75" s="199">
        <v>5</v>
      </c>
      <c r="D75" s="620" t="s">
        <v>331</v>
      </c>
      <c r="E75" s="621"/>
      <c r="F75" s="621"/>
      <c r="G75" s="201">
        <v>23</v>
      </c>
      <c r="H75" s="201">
        <v>1801.8330089793192</v>
      </c>
      <c r="I75" s="202">
        <v>78.340565607796492</v>
      </c>
      <c r="J75" s="350">
        <f>I75-I49</f>
        <v>6.2111801242252795E-3</v>
      </c>
      <c r="K75" s="620" t="s">
        <v>405</v>
      </c>
      <c r="L75" s="621"/>
      <c r="M75" s="98"/>
      <c r="N75" s="178"/>
      <c r="O75" s="178"/>
      <c r="P75" s="494"/>
      <c r="Q75" s="494"/>
      <c r="R75" s="178"/>
      <c r="S75" s="188"/>
    </row>
    <row r="76" spans="1:19">
      <c r="A76" s="637"/>
      <c r="B76" s="640"/>
      <c r="C76" s="203" t="s">
        <v>187</v>
      </c>
      <c r="D76" s="620" t="s">
        <v>471</v>
      </c>
      <c r="E76" s="621"/>
      <c r="F76" s="621"/>
      <c r="G76" s="199">
        <v>25</v>
      </c>
      <c r="H76" s="201">
        <v>1803.5930326107775</v>
      </c>
      <c r="I76" s="202">
        <v>72.143721304431082</v>
      </c>
      <c r="J76" s="350">
        <f>I76-I50</f>
        <v>4.4571428571387628E-2</v>
      </c>
      <c r="K76" s="620" t="s">
        <v>405</v>
      </c>
      <c r="L76" s="621"/>
      <c r="M76" s="98"/>
      <c r="N76" s="178"/>
      <c r="O76" s="178"/>
      <c r="P76" s="494"/>
      <c r="Q76" s="494"/>
      <c r="R76" s="178"/>
      <c r="S76" s="188"/>
    </row>
    <row r="77" spans="1:19">
      <c r="A77" s="637"/>
      <c r="B77" s="640"/>
      <c r="C77" s="203" t="s">
        <v>192</v>
      </c>
      <c r="D77" s="620" t="s">
        <v>562</v>
      </c>
      <c r="E77" s="621"/>
      <c r="F77" s="621"/>
      <c r="G77" s="199">
        <v>24</v>
      </c>
      <c r="H77" s="201">
        <v>1804.1380027594175</v>
      </c>
      <c r="I77" s="202">
        <v>75.172416781642383</v>
      </c>
      <c r="J77" s="350">
        <f>I77-I52</f>
        <v>2.5490470421146938E-2</v>
      </c>
      <c r="K77" s="620" t="s">
        <v>405</v>
      </c>
      <c r="L77" s="621"/>
      <c r="M77" s="98"/>
      <c r="N77" s="178"/>
      <c r="O77" s="178"/>
      <c r="P77" s="494"/>
      <c r="Q77" s="494"/>
      <c r="R77" s="178"/>
      <c r="S77" s="188"/>
    </row>
    <row r="78" spans="1:19">
      <c r="A78" s="637"/>
      <c r="B78" s="640"/>
      <c r="C78" s="203" t="s">
        <v>188</v>
      </c>
      <c r="D78" s="620" t="s">
        <v>330</v>
      </c>
      <c r="E78" s="621"/>
      <c r="F78" s="621"/>
      <c r="G78" s="199">
        <v>24</v>
      </c>
      <c r="H78" s="201">
        <v>1804.3103701457853</v>
      </c>
      <c r="I78" s="202">
        <v>75.179598756074384</v>
      </c>
      <c r="J78" s="350">
        <f>I78-I51</f>
        <v>5.1190476190512868E-2</v>
      </c>
      <c r="K78" s="620" t="s">
        <v>405</v>
      </c>
      <c r="L78" s="621"/>
      <c r="M78" s="98"/>
      <c r="N78" s="178"/>
      <c r="O78" s="178"/>
      <c r="P78" s="494"/>
      <c r="Q78" s="494"/>
      <c r="R78" s="178"/>
      <c r="S78" s="188"/>
    </row>
    <row r="79" spans="1:19">
      <c r="A79" s="637"/>
      <c r="B79" s="640"/>
      <c r="C79" s="203" t="s">
        <v>193</v>
      </c>
      <c r="D79" s="630"/>
      <c r="E79" s="631"/>
      <c r="F79" s="632"/>
      <c r="G79" s="199"/>
      <c r="H79" s="201"/>
      <c r="I79" s="202"/>
      <c r="J79" s="350"/>
      <c r="K79" s="630"/>
      <c r="L79" s="632"/>
      <c r="M79" s="98"/>
      <c r="N79" s="178"/>
      <c r="O79" s="178"/>
      <c r="P79" s="494"/>
      <c r="Q79" s="494"/>
      <c r="R79" s="178"/>
      <c r="S79" s="188"/>
    </row>
    <row r="80" spans="1:19">
      <c r="A80" s="638"/>
      <c r="B80" s="641"/>
      <c r="C80" s="203" t="s">
        <v>194</v>
      </c>
      <c r="D80" s="630"/>
      <c r="E80" s="631"/>
      <c r="F80" s="632"/>
      <c r="G80" s="199"/>
      <c r="H80" s="201"/>
      <c r="I80" s="202"/>
      <c r="J80" s="350"/>
      <c r="K80" s="630"/>
      <c r="L80" s="632"/>
      <c r="M80" s="98"/>
      <c r="N80" s="178"/>
      <c r="O80" s="178"/>
      <c r="P80" s="494"/>
      <c r="Q80" s="494"/>
      <c r="R80" s="178"/>
      <c r="S80" s="188"/>
    </row>
    <row r="81" spans="1:19" s="188" customFormat="1" ht="15.75" customHeight="1">
      <c r="A81" s="626" t="s">
        <v>681</v>
      </c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</row>
    <row r="82" spans="1:19" s="189" customFormat="1" ht="15.75" customHeight="1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</row>
    <row r="83" spans="1:19" s="105" customFormat="1" ht="15.75" customHeight="1">
      <c r="A83" s="636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38"/>
      <c r="B84" s="194" t="s">
        <v>189</v>
      </c>
      <c r="C84" s="194" t="s">
        <v>155</v>
      </c>
      <c r="D84" s="194" t="s">
        <v>190</v>
      </c>
      <c r="E84" s="194" t="s">
        <v>156</v>
      </c>
      <c r="F84" s="193" t="s">
        <v>327</v>
      </c>
      <c r="G84" s="208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>
      <c r="A85" s="642" t="s">
        <v>171</v>
      </c>
      <c r="B85" s="643"/>
      <c r="C85" s="159" t="s">
        <v>47</v>
      </c>
      <c r="D85" s="642" t="s">
        <v>12</v>
      </c>
      <c r="E85" s="644"/>
      <c r="F85" s="643"/>
      <c r="G85" s="159" t="s">
        <v>46</v>
      </c>
      <c r="H85" s="159" t="s">
        <v>352</v>
      </c>
      <c r="I85" s="159" t="s">
        <v>353</v>
      </c>
      <c r="J85" s="159" t="s">
        <v>311</v>
      </c>
      <c r="K85" s="642" t="s">
        <v>51</v>
      </c>
      <c r="L85" s="643"/>
      <c r="M85" s="192"/>
      <c r="N85" s="178"/>
      <c r="O85" s="493"/>
      <c r="P85" s="493"/>
      <c r="Q85" s="493"/>
      <c r="R85" s="178"/>
      <c r="S85" s="177"/>
    </row>
    <row r="86" spans="1:19">
      <c r="A86" s="636">
        <v>5</v>
      </c>
      <c r="B86" s="639" t="s">
        <v>327</v>
      </c>
      <c r="C86" s="199">
        <v>1</v>
      </c>
      <c r="D86" s="620" t="s">
        <v>517</v>
      </c>
      <c r="E86" s="621"/>
      <c r="F86" s="621"/>
      <c r="G86" s="201">
        <v>17</v>
      </c>
      <c r="H86" s="201">
        <v>1802.842454046664</v>
      </c>
      <c r="I86" s="202">
        <v>106.049556120392</v>
      </c>
      <c r="J86" s="350">
        <f t="shared" ref="J86:J93" si="1">I86-I60</f>
        <v>3.1068725434025168E-2</v>
      </c>
      <c r="K86" s="620" t="s">
        <v>405</v>
      </c>
      <c r="L86" s="621"/>
      <c r="N86" s="178"/>
      <c r="O86" s="178"/>
      <c r="P86" s="494"/>
      <c r="Q86" s="494"/>
      <c r="R86" s="178"/>
      <c r="S86" s="188"/>
    </row>
    <row r="87" spans="1:19">
      <c r="A87" s="637"/>
      <c r="B87" s="640"/>
      <c r="C87" s="199">
        <v>2</v>
      </c>
      <c r="D87" s="620" t="s">
        <v>443</v>
      </c>
      <c r="E87" s="621"/>
      <c r="F87" s="621"/>
      <c r="G87" s="201">
        <v>19</v>
      </c>
      <c r="H87" s="201">
        <v>1802.7891975832329</v>
      </c>
      <c r="I87" s="202">
        <v>94.883641978064887</v>
      </c>
      <c r="J87" s="350">
        <f t="shared" si="1"/>
        <v>4.6047993102476426E-2</v>
      </c>
      <c r="K87" s="620" t="s">
        <v>405</v>
      </c>
      <c r="L87" s="621"/>
      <c r="N87" s="178"/>
      <c r="O87" s="178"/>
      <c r="P87" s="494"/>
      <c r="Q87" s="494"/>
      <c r="R87" s="178"/>
      <c r="S87" s="188"/>
    </row>
    <row r="88" spans="1:19">
      <c r="A88" s="637"/>
      <c r="B88" s="640"/>
      <c r="C88" s="199">
        <v>3</v>
      </c>
      <c r="D88" s="620" t="s">
        <v>552</v>
      </c>
      <c r="E88" s="621"/>
      <c r="F88" s="621"/>
      <c r="G88" s="201">
        <v>20</v>
      </c>
      <c r="H88" s="201">
        <v>1803.2870038483613</v>
      </c>
      <c r="I88" s="202">
        <v>90.164350192418055</v>
      </c>
      <c r="J88" s="350">
        <f t="shared" si="1"/>
        <v>5.0064478132327395E-2</v>
      </c>
      <c r="K88" s="620" t="s">
        <v>405</v>
      </c>
      <c r="L88" s="621"/>
      <c r="N88" s="178"/>
      <c r="O88" s="178"/>
      <c r="P88" s="494"/>
      <c r="Q88" s="494"/>
      <c r="R88" s="178"/>
      <c r="S88" s="188"/>
    </row>
    <row r="89" spans="1:19">
      <c r="A89" s="637"/>
      <c r="B89" s="640"/>
      <c r="C89" s="199">
        <v>4</v>
      </c>
      <c r="D89" s="620" t="s">
        <v>322</v>
      </c>
      <c r="E89" s="621"/>
      <c r="F89" s="621"/>
      <c r="G89" s="201">
        <v>23</v>
      </c>
      <c r="H89" s="201">
        <v>1808.1300691840238</v>
      </c>
      <c r="I89" s="202">
        <v>78.614350834087972</v>
      </c>
      <c r="J89" s="350">
        <f t="shared" si="1"/>
        <v>7.2672153765438452E-2</v>
      </c>
      <c r="K89" s="620" t="s">
        <v>405</v>
      </c>
      <c r="L89" s="621"/>
      <c r="N89" s="178"/>
      <c r="O89" s="178"/>
      <c r="P89" s="494"/>
      <c r="Q89" s="494"/>
      <c r="R89" s="178"/>
      <c r="S89" s="188"/>
    </row>
    <row r="90" spans="1:19">
      <c r="A90" s="637"/>
      <c r="B90" s="640"/>
      <c r="C90" s="199">
        <v>5</v>
      </c>
      <c r="D90" s="620" t="s">
        <v>328</v>
      </c>
      <c r="E90" s="621"/>
      <c r="F90" s="621"/>
      <c r="G90" s="201">
        <v>23</v>
      </c>
      <c r="H90" s="201">
        <v>1806.9103043730108</v>
      </c>
      <c r="I90" s="202">
        <v>78.561317581435247</v>
      </c>
      <c r="J90" s="350">
        <f t="shared" si="1"/>
        <v>7.5890462570001205E-2</v>
      </c>
      <c r="K90" s="620" t="s">
        <v>405</v>
      </c>
      <c r="L90" s="621"/>
      <c r="N90" s="178"/>
      <c r="O90" s="178"/>
      <c r="P90" s="494"/>
      <c r="Q90" s="494"/>
      <c r="R90" s="178"/>
      <c r="S90" s="188"/>
    </row>
    <row r="91" spans="1:19">
      <c r="A91" s="637"/>
      <c r="B91" s="640"/>
      <c r="C91" s="203" t="s">
        <v>187</v>
      </c>
      <c r="D91" s="620" t="s">
        <v>321</v>
      </c>
      <c r="E91" s="621"/>
      <c r="F91" s="621"/>
      <c r="G91" s="201">
        <v>24</v>
      </c>
      <c r="H91" s="201">
        <v>1805.8691076591226</v>
      </c>
      <c r="I91" s="202">
        <v>75.244546152463457</v>
      </c>
      <c r="J91" s="350">
        <f t="shared" si="1"/>
        <v>2.1428571428629084E-2</v>
      </c>
      <c r="K91" s="620" t="s">
        <v>405</v>
      </c>
      <c r="L91" s="621"/>
      <c r="N91" s="178"/>
      <c r="O91" s="178"/>
      <c r="P91" s="494"/>
      <c r="Q91" s="494"/>
      <c r="R91" s="178"/>
      <c r="S91" s="188"/>
    </row>
    <row r="92" spans="1:19">
      <c r="A92" s="637"/>
      <c r="B92" s="640"/>
      <c r="C92" s="203" t="s">
        <v>192</v>
      </c>
      <c r="D92" s="620" t="s">
        <v>577</v>
      </c>
      <c r="E92" s="621"/>
      <c r="F92" s="621"/>
      <c r="G92" s="201">
        <v>21</v>
      </c>
      <c r="H92" s="201">
        <v>1625.50492461555</v>
      </c>
      <c r="I92" s="202">
        <v>77.404996410264275</v>
      </c>
      <c r="J92" s="350">
        <f t="shared" si="1"/>
        <v>8.0816326530637639E-2</v>
      </c>
      <c r="K92" s="620" t="s">
        <v>405</v>
      </c>
      <c r="L92" s="621"/>
      <c r="N92" s="178"/>
      <c r="O92" s="178"/>
      <c r="P92" s="494"/>
      <c r="Q92" s="494"/>
      <c r="R92" s="178"/>
      <c r="S92" s="188"/>
    </row>
    <row r="93" spans="1:19">
      <c r="A93" s="637"/>
      <c r="B93" s="640"/>
      <c r="C93" s="203" t="s">
        <v>188</v>
      </c>
      <c r="D93" s="620" t="s">
        <v>320</v>
      </c>
      <c r="E93" s="621"/>
      <c r="F93" s="621"/>
      <c r="G93" s="201">
        <v>23</v>
      </c>
      <c r="H93" s="201">
        <v>1802.0602275845038</v>
      </c>
      <c r="I93" s="202">
        <v>78.35044467758712</v>
      </c>
      <c r="J93" s="350">
        <f t="shared" si="1"/>
        <v>-2.1061583000005157E-2</v>
      </c>
      <c r="K93" s="620" t="s">
        <v>405</v>
      </c>
      <c r="L93" s="621"/>
      <c r="N93" s="178"/>
      <c r="O93" s="178"/>
      <c r="P93" s="494"/>
      <c r="Q93" s="494"/>
      <c r="R93" s="178"/>
      <c r="S93" s="188"/>
    </row>
    <row r="94" spans="1:19">
      <c r="A94" s="637"/>
      <c r="B94" s="640"/>
      <c r="C94" s="203" t="s">
        <v>193</v>
      </c>
      <c r="D94" s="620"/>
      <c r="E94" s="621"/>
      <c r="F94" s="621"/>
      <c r="G94" s="201"/>
      <c r="H94" s="201"/>
      <c r="I94" s="202"/>
      <c r="J94" s="350"/>
      <c r="K94" s="630"/>
      <c r="L94" s="632"/>
      <c r="M94" s="98"/>
      <c r="N94" s="178"/>
      <c r="O94" s="178"/>
      <c r="P94" s="494"/>
      <c r="Q94" s="494"/>
      <c r="R94" s="178"/>
      <c r="S94" s="188"/>
    </row>
    <row r="95" spans="1:19">
      <c r="A95" s="638"/>
      <c r="B95" s="641"/>
      <c r="C95" s="203" t="s">
        <v>194</v>
      </c>
      <c r="D95" s="620"/>
      <c r="E95" s="621"/>
      <c r="F95" s="621"/>
      <c r="G95" s="201"/>
      <c r="H95" s="201"/>
      <c r="I95" s="202"/>
      <c r="J95" s="199"/>
      <c r="K95" s="630"/>
      <c r="L95" s="632"/>
      <c r="M95" s="98"/>
      <c r="N95" s="178"/>
      <c r="O95" s="178"/>
      <c r="P95" s="494"/>
      <c r="Q95" s="494"/>
      <c r="R95" s="178"/>
      <c r="S95" s="188"/>
    </row>
    <row r="96" spans="1:19" s="103" customFormat="1">
      <c r="A96" s="633" t="s">
        <v>171</v>
      </c>
      <c r="B96" s="635"/>
      <c r="C96" s="206" t="s">
        <v>47</v>
      </c>
      <c r="D96" s="622" t="s">
        <v>12</v>
      </c>
      <c r="E96" s="623"/>
      <c r="F96" s="623"/>
      <c r="G96" s="206" t="s">
        <v>46</v>
      </c>
      <c r="H96" s="206" t="s">
        <v>352</v>
      </c>
      <c r="I96" s="206" t="s">
        <v>353</v>
      </c>
      <c r="J96" s="159" t="s">
        <v>311</v>
      </c>
      <c r="K96" s="633" t="s">
        <v>51</v>
      </c>
      <c r="L96" s="635"/>
      <c r="M96" s="127"/>
      <c r="N96" s="178"/>
      <c r="O96" s="178"/>
      <c r="P96" s="494"/>
      <c r="Q96" s="494"/>
      <c r="R96" s="178"/>
      <c r="S96" s="198"/>
    </row>
    <row r="97" spans="1:19">
      <c r="A97" s="636">
        <v>6</v>
      </c>
      <c r="B97" s="639" t="s">
        <v>136</v>
      </c>
      <c r="C97" s="199">
        <v>1</v>
      </c>
      <c r="D97" s="620" t="s">
        <v>415</v>
      </c>
      <c r="E97" s="621"/>
      <c r="F97" s="621"/>
      <c r="G97" s="199">
        <v>20</v>
      </c>
      <c r="H97" s="201">
        <v>1803.7608602799087</v>
      </c>
      <c r="I97" s="202">
        <v>90.18804301399544</v>
      </c>
      <c r="J97" s="350">
        <f t="shared" ref="J97:J102" si="2">I97-I71</f>
        <v>8.0632318934178215E-2</v>
      </c>
      <c r="K97" s="620" t="s">
        <v>405</v>
      </c>
      <c r="L97" s="621"/>
      <c r="M97" s="98"/>
      <c r="N97" s="178"/>
      <c r="O97" s="178"/>
      <c r="P97" s="494"/>
      <c r="Q97" s="494"/>
      <c r="R97" s="178"/>
      <c r="S97" s="188"/>
    </row>
    <row r="98" spans="1:19">
      <c r="A98" s="637"/>
      <c r="B98" s="640"/>
      <c r="C98" s="199">
        <v>2</v>
      </c>
      <c r="D98" s="620" t="s">
        <v>524</v>
      </c>
      <c r="E98" s="621"/>
      <c r="F98" s="621"/>
      <c r="G98" s="201">
        <v>20</v>
      </c>
      <c r="H98" s="201">
        <v>1802.425894614146</v>
      </c>
      <c r="I98" s="202">
        <v>90.121294730707319</v>
      </c>
      <c r="J98" s="350">
        <f t="shared" si="2"/>
        <v>2.5167209785806222E-2</v>
      </c>
      <c r="K98" s="620" t="s">
        <v>405</v>
      </c>
      <c r="L98" s="621"/>
      <c r="M98" s="98"/>
      <c r="N98" s="178"/>
      <c r="O98" s="178"/>
      <c r="P98" s="494"/>
      <c r="Q98" s="494"/>
      <c r="R98" s="178"/>
      <c r="S98" s="188"/>
    </row>
    <row r="99" spans="1:19">
      <c r="A99" s="637"/>
      <c r="B99" s="640"/>
      <c r="C99" s="199">
        <v>3</v>
      </c>
      <c r="D99" s="620" t="s">
        <v>413</v>
      </c>
      <c r="E99" s="621"/>
      <c r="F99" s="621"/>
      <c r="G99" s="201">
        <v>22</v>
      </c>
      <c r="H99" s="201">
        <v>1802.473000701654</v>
      </c>
      <c r="I99" s="202">
        <v>81.930590940984288</v>
      </c>
      <c r="J99" s="350">
        <f t="shared" si="2"/>
        <v>5.0742583384149498E-2</v>
      </c>
      <c r="K99" s="620" t="s">
        <v>405</v>
      </c>
      <c r="L99" s="621"/>
      <c r="M99" s="98"/>
      <c r="N99" s="178"/>
      <c r="O99" s="178"/>
      <c r="P99" s="494"/>
      <c r="Q99" s="494"/>
      <c r="R99" s="178"/>
      <c r="S99" s="188"/>
    </row>
    <row r="100" spans="1:19">
      <c r="A100" s="637"/>
      <c r="B100" s="640"/>
      <c r="C100" s="199">
        <v>4</v>
      </c>
      <c r="D100" s="620" t="s">
        <v>411</v>
      </c>
      <c r="E100" s="621"/>
      <c r="F100" s="621"/>
      <c r="G100" s="199">
        <v>23</v>
      </c>
      <c r="H100" s="201">
        <v>1803.6517244595427</v>
      </c>
      <c r="I100" s="202">
        <v>78.419640193893173</v>
      </c>
      <c r="J100" s="350">
        <f t="shared" si="2"/>
        <v>6.0275358058191841E-2</v>
      </c>
      <c r="K100" s="620" t="s">
        <v>405</v>
      </c>
      <c r="L100" s="621"/>
      <c r="M100" s="98"/>
      <c r="N100" s="178"/>
      <c r="O100" s="178"/>
      <c r="P100" s="494"/>
      <c r="Q100" s="494"/>
      <c r="R100" s="178"/>
      <c r="S100" s="188"/>
    </row>
    <row r="101" spans="1:19">
      <c r="A101" s="637"/>
      <c r="B101" s="640"/>
      <c r="C101" s="199">
        <v>5</v>
      </c>
      <c r="D101" s="620" t="s">
        <v>331</v>
      </c>
      <c r="E101" s="621"/>
      <c r="F101" s="621"/>
      <c r="G101" s="201">
        <v>23</v>
      </c>
      <c r="H101" s="201">
        <v>1801.5849236846666</v>
      </c>
      <c r="I101" s="202">
        <v>78.329779290637674</v>
      </c>
      <c r="J101" s="350">
        <f t="shared" si="2"/>
        <v>-1.0786317158817837E-2</v>
      </c>
      <c r="K101" s="620" t="s">
        <v>405</v>
      </c>
      <c r="L101" s="621"/>
      <c r="M101" s="98"/>
      <c r="N101" s="178"/>
      <c r="O101" s="178"/>
      <c r="P101" s="494"/>
      <c r="Q101" s="494"/>
      <c r="R101" s="178"/>
      <c r="S101" s="188"/>
    </row>
    <row r="102" spans="1:19">
      <c r="A102" s="637"/>
      <c r="B102" s="640"/>
      <c r="C102" s="203" t="s">
        <v>187</v>
      </c>
      <c r="D102" s="620" t="s">
        <v>471</v>
      </c>
      <c r="E102" s="621"/>
      <c r="F102" s="621"/>
      <c r="G102" s="199">
        <v>25</v>
      </c>
      <c r="H102" s="201">
        <v>1804.2216040393489</v>
      </c>
      <c r="I102" s="202">
        <v>72.16886416157395</v>
      </c>
      <c r="J102" s="350">
        <f t="shared" si="2"/>
        <v>2.514285714286757E-2</v>
      </c>
      <c r="K102" s="620" t="s">
        <v>405</v>
      </c>
      <c r="L102" s="621"/>
      <c r="M102" s="98"/>
      <c r="N102" s="178"/>
      <c r="O102" s="178"/>
      <c r="P102" s="494"/>
      <c r="Q102" s="494"/>
      <c r="R102" s="178"/>
      <c r="S102" s="188"/>
    </row>
    <row r="103" spans="1:19">
      <c r="A103" s="637"/>
      <c r="B103" s="640"/>
      <c r="C103" s="203" t="s">
        <v>192</v>
      </c>
      <c r="D103" s="620" t="s">
        <v>719</v>
      </c>
      <c r="E103" s="621"/>
      <c r="F103" s="621"/>
      <c r="G103" s="199">
        <v>24</v>
      </c>
      <c r="H103" s="201">
        <v>1739.823368544854</v>
      </c>
      <c r="I103" s="202">
        <v>72.492640356035594</v>
      </c>
      <c r="J103" s="350"/>
      <c r="K103" s="645" t="s">
        <v>634</v>
      </c>
      <c r="L103" s="632"/>
      <c r="M103" s="98"/>
      <c r="N103" s="178"/>
      <c r="O103" s="178"/>
      <c r="P103" s="494"/>
      <c r="Q103" s="494"/>
      <c r="R103" s="178"/>
      <c r="S103" s="188"/>
    </row>
    <row r="104" spans="1:19">
      <c r="A104" s="637"/>
      <c r="B104" s="640"/>
      <c r="C104" s="203" t="s">
        <v>188</v>
      </c>
      <c r="D104" s="620" t="s">
        <v>720</v>
      </c>
      <c r="E104" s="621"/>
      <c r="F104" s="621"/>
      <c r="G104" s="199">
        <v>24</v>
      </c>
      <c r="H104" s="201">
        <v>1741.2940989120973</v>
      </c>
      <c r="I104" s="202">
        <v>72.553920788004035</v>
      </c>
      <c r="J104" s="350"/>
      <c r="K104" s="645" t="s">
        <v>634</v>
      </c>
      <c r="L104" s="632"/>
      <c r="M104" s="98"/>
      <c r="N104" s="178"/>
      <c r="O104" s="178"/>
      <c r="P104" s="494"/>
      <c r="Q104" s="494"/>
      <c r="R104" s="178"/>
      <c r="S104" s="188"/>
    </row>
    <row r="105" spans="1:19">
      <c r="A105" s="637"/>
      <c r="B105" s="640"/>
      <c r="C105" s="203" t="s">
        <v>193</v>
      </c>
      <c r="D105" s="620" t="s">
        <v>330</v>
      </c>
      <c r="E105" s="621"/>
      <c r="F105" s="621"/>
      <c r="G105" s="199">
        <v>24</v>
      </c>
      <c r="H105" s="201">
        <v>1804.4246558600719</v>
      </c>
      <c r="I105" s="202">
        <v>75.184360660836333</v>
      </c>
      <c r="J105" s="350">
        <f>I105-I78</f>
        <v>4.7619047619491539E-3</v>
      </c>
      <c r="K105" s="620" t="s">
        <v>405</v>
      </c>
      <c r="L105" s="621"/>
      <c r="M105" s="98"/>
      <c r="N105" s="178"/>
      <c r="O105" s="178"/>
      <c r="P105" s="494"/>
      <c r="Q105" s="494"/>
      <c r="R105" s="178"/>
      <c r="S105" s="188"/>
    </row>
    <row r="106" spans="1:19">
      <c r="A106" s="638"/>
      <c r="B106" s="641"/>
      <c r="C106" s="203" t="s">
        <v>194</v>
      </c>
      <c r="D106" s="620" t="s">
        <v>562</v>
      </c>
      <c r="E106" s="621"/>
      <c r="F106" s="621"/>
      <c r="G106" s="199">
        <v>24</v>
      </c>
      <c r="H106" s="201">
        <v>1806.138002759418</v>
      </c>
      <c r="I106" s="202">
        <v>75.25575011497574</v>
      </c>
      <c r="J106" s="350">
        <f>I106-I77</f>
        <v>8.3333333333357018E-2</v>
      </c>
      <c r="K106" s="620" t="s">
        <v>405</v>
      </c>
      <c r="L106" s="621"/>
      <c r="M106" s="98"/>
      <c r="N106" s="178"/>
      <c r="O106" s="178"/>
      <c r="P106" s="494"/>
      <c r="Q106" s="494"/>
      <c r="R106" s="178"/>
      <c r="S106" s="188"/>
    </row>
    <row r="107" spans="1:19" s="188" customFormat="1" ht="15.75" customHeight="1">
      <c r="A107" s="626" t="s">
        <v>696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</row>
    <row r="108" spans="1:19" s="189" customFormat="1" ht="15.75" customHeight="1">
      <c r="A108" s="626"/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</row>
    <row r="109" spans="1:19" s="105" customFormat="1" ht="15.75" customHeight="1">
      <c r="A109" s="636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90">
        <v>5</v>
      </c>
      <c r="G109" s="190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5.75" customHeight="1">
      <c r="A110" s="638"/>
      <c r="B110" s="194" t="s">
        <v>189</v>
      </c>
      <c r="C110" s="194" t="s">
        <v>155</v>
      </c>
      <c r="D110" s="194" t="s">
        <v>190</v>
      </c>
      <c r="E110" s="194" t="s">
        <v>156</v>
      </c>
      <c r="F110" s="193" t="s">
        <v>327</v>
      </c>
      <c r="G110" s="208" t="s">
        <v>136</v>
      </c>
      <c r="H110" s="196" t="s">
        <v>191</v>
      </c>
      <c r="I110" s="195" t="s">
        <v>351</v>
      </c>
      <c r="J110" s="195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>
      <c r="A111" s="642" t="s">
        <v>171</v>
      </c>
      <c r="B111" s="643"/>
      <c r="C111" s="159" t="s">
        <v>47</v>
      </c>
      <c r="D111" s="642" t="s">
        <v>12</v>
      </c>
      <c r="E111" s="644"/>
      <c r="F111" s="643"/>
      <c r="G111" s="159" t="s">
        <v>46</v>
      </c>
      <c r="H111" s="159" t="s">
        <v>352</v>
      </c>
      <c r="I111" s="159" t="s">
        <v>353</v>
      </c>
      <c r="J111" s="159" t="s">
        <v>311</v>
      </c>
      <c r="K111" s="642" t="s">
        <v>51</v>
      </c>
      <c r="L111" s="643"/>
      <c r="M111" s="192"/>
      <c r="N111" s="178"/>
      <c r="O111" s="493"/>
      <c r="P111" s="493"/>
      <c r="Q111" s="493"/>
      <c r="R111" s="178"/>
      <c r="S111" s="177"/>
    </row>
    <row r="112" spans="1:19">
      <c r="A112" s="636">
        <v>5</v>
      </c>
      <c r="B112" s="639" t="s">
        <v>327</v>
      </c>
      <c r="C112" s="199">
        <v>1</v>
      </c>
      <c r="D112" s="620" t="s">
        <v>517</v>
      </c>
      <c r="E112" s="621"/>
      <c r="F112" s="621"/>
      <c r="G112" s="201">
        <v>17</v>
      </c>
      <c r="H112" s="201">
        <v>1805.9142857142858</v>
      </c>
      <c r="I112" s="202">
        <v>106.23025210084033</v>
      </c>
      <c r="J112" s="350">
        <f t="shared" ref="J112:J119" si="3">I112-I86</f>
        <v>0.18069598044833413</v>
      </c>
      <c r="K112" s="630"/>
      <c r="L112" s="632"/>
      <c r="N112" s="178"/>
      <c r="O112" s="178"/>
      <c r="P112" s="494"/>
      <c r="Q112" s="494"/>
      <c r="R112" s="178"/>
      <c r="S112" s="188"/>
    </row>
    <row r="113" spans="1:19">
      <c r="A113" s="637"/>
      <c r="B113" s="640"/>
      <c r="C113" s="199">
        <v>2</v>
      </c>
      <c r="D113" s="620" t="s">
        <v>443</v>
      </c>
      <c r="E113" s="621"/>
      <c r="F113" s="621"/>
      <c r="G113" s="201">
        <v>19</v>
      </c>
      <c r="H113" s="201">
        <v>1805.742857142857</v>
      </c>
      <c r="I113" s="202">
        <v>95.039097744360916</v>
      </c>
      <c r="J113" s="350">
        <f t="shared" si="3"/>
        <v>0.1554557662960292</v>
      </c>
      <c r="K113" s="630"/>
      <c r="L113" s="632"/>
      <c r="N113" s="178"/>
      <c r="O113" s="178"/>
      <c r="P113" s="494"/>
      <c r="Q113" s="494"/>
      <c r="R113" s="178"/>
      <c r="S113" s="188"/>
    </row>
    <row r="114" spans="1:19">
      <c r="A114" s="637"/>
      <c r="B114" s="640"/>
      <c r="C114" s="199">
        <v>3</v>
      </c>
      <c r="D114" s="620" t="s">
        <v>552</v>
      </c>
      <c r="E114" s="621"/>
      <c r="F114" s="621"/>
      <c r="G114" s="201">
        <v>20</v>
      </c>
      <c r="H114" s="201">
        <v>1805.5714285714289</v>
      </c>
      <c r="I114" s="202">
        <v>90.278571428571425</v>
      </c>
      <c r="J114" s="350">
        <f t="shared" si="3"/>
        <v>0.11422123615336943</v>
      </c>
      <c r="K114" s="630"/>
      <c r="L114" s="632"/>
      <c r="N114" s="178"/>
      <c r="O114" s="178"/>
      <c r="P114" s="494"/>
      <c r="Q114" s="494"/>
      <c r="R114" s="178"/>
      <c r="S114" s="188"/>
    </row>
    <row r="115" spans="1:19">
      <c r="A115" s="637"/>
      <c r="B115" s="640"/>
      <c r="C115" s="199">
        <v>4</v>
      </c>
      <c r="D115" s="620" t="s">
        <v>322</v>
      </c>
      <c r="E115" s="621"/>
      <c r="F115" s="621"/>
      <c r="G115" s="201">
        <v>23</v>
      </c>
      <c r="H115" s="201">
        <v>1805.2729676137842</v>
      </c>
      <c r="I115" s="202">
        <v>78.490129026686276</v>
      </c>
      <c r="J115" s="350">
        <f t="shared" si="3"/>
        <v>-0.12422180740169608</v>
      </c>
      <c r="K115" s="630"/>
      <c r="L115" s="632"/>
      <c r="N115" s="178"/>
      <c r="O115" s="178"/>
      <c r="P115" s="494"/>
      <c r="Q115" s="494"/>
      <c r="R115" s="178"/>
      <c r="S115" s="188"/>
    </row>
    <row r="116" spans="1:19">
      <c r="A116" s="637"/>
      <c r="B116" s="640"/>
      <c r="C116" s="199">
        <v>5</v>
      </c>
      <c r="D116" s="620" t="s">
        <v>328</v>
      </c>
      <c r="E116" s="621"/>
      <c r="F116" s="621"/>
      <c r="G116" s="201">
        <v>23</v>
      </c>
      <c r="H116" s="201">
        <v>1805.1614214156341</v>
      </c>
      <c r="I116" s="202">
        <v>78.485279191984091</v>
      </c>
      <c r="J116" s="350">
        <f t="shared" si="3"/>
        <v>-7.6038389451156263E-2</v>
      </c>
      <c r="K116" s="630"/>
      <c r="L116" s="632"/>
      <c r="N116" s="178"/>
      <c r="O116" s="178"/>
      <c r="P116" s="494"/>
      <c r="Q116" s="494"/>
      <c r="R116" s="178"/>
      <c r="S116" s="188"/>
    </row>
    <row r="117" spans="1:19">
      <c r="A117" s="637"/>
      <c r="B117" s="640"/>
      <c r="C117" s="203" t="s">
        <v>187</v>
      </c>
      <c r="D117" s="620" t="s">
        <v>321</v>
      </c>
      <c r="E117" s="621"/>
      <c r="F117" s="621"/>
      <c r="G117" s="201">
        <v>24</v>
      </c>
      <c r="H117" s="201">
        <v>1805.9262505162662</v>
      </c>
      <c r="I117" s="202">
        <v>75.246927104844431</v>
      </c>
      <c r="J117" s="350">
        <f t="shared" si="3"/>
        <v>2.380952380974577E-3</v>
      </c>
      <c r="K117" s="630"/>
      <c r="L117" s="632"/>
      <c r="N117" s="178"/>
      <c r="O117" s="178"/>
      <c r="P117" s="494"/>
      <c r="Q117" s="494"/>
      <c r="R117" s="178"/>
      <c r="S117" s="188"/>
    </row>
    <row r="118" spans="1:19">
      <c r="A118" s="637"/>
      <c r="B118" s="640"/>
      <c r="C118" s="203" t="s">
        <v>192</v>
      </c>
      <c r="D118" s="620" t="s">
        <v>577</v>
      </c>
      <c r="E118" s="621"/>
      <c r="F118" s="621"/>
      <c r="G118" s="201">
        <v>21</v>
      </c>
      <c r="H118" s="201">
        <v>1626.1477817584075</v>
      </c>
      <c r="I118" s="202">
        <v>77.43560865516227</v>
      </c>
      <c r="J118" s="350">
        <f t="shared" si="3"/>
        <v>3.0612244897994856E-2</v>
      </c>
      <c r="K118" s="630"/>
      <c r="L118" s="632"/>
      <c r="N118" s="178"/>
      <c r="O118" s="178"/>
      <c r="P118" s="494"/>
      <c r="Q118" s="494"/>
      <c r="R118" s="178"/>
      <c r="S118" s="188"/>
    </row>
    <row r="119" spans="1:19">
      <c r="A119" s="637"/>
      <c r="B119" s="640"/>
      <c r="C119" s="203" t="s">
        <v>188</v>
      </c>
      <c r="D119" s="620" t="s">
        <v>320</v>
      </c>
      <c r="E119" s="621"/>
      <c r="F119" s="621"/>
      <c r="G119" s="201">
        <v>23</v>
      </c>
      <c r="H119" s="201">
        <v>1803.709577134407</v>
      </c>
      <c r="I119" s="202">
        <v>78.422155527582945</v>
      </c>
      <c r="J119" s="350">
        <f t="shared" si="3"/>
        <v>7.1710849995824333E-2</v>
      </c>
      <c r="K119" s="630"/>
      <c r="L119" s="632"/>
      <c r="N119" s="178"/>
      <c r="O119" s="178"/>
      <c r="P119" s="494"/>
      <c r="Q119" s="494"/>
      <c r="R119" s="178"/>
      <c r="S119" s="188"/>
    </row>
    <row r="120" spans="1:19">
      <c r="A120" s="637"/>
      <c r="B120" s="640"/>
      <c r="C120" s="203" t="s">
        <v>193</v>
      </c>
      <c r="D120" s="620"/>
      <c r="E120" s="621"/>
      <c r="F120" s="621"/>
      <c r="G120" s="201"/>
      <c r="H120" s="201"/>
      <c r="I120" s="202"/>
      <c r="J120" s="350"/>
      <c r="K120" s="630"/>
      <c r="L120" s="632"/>
      <c r="M120" s="98"/>
      <c r="N120" s="178"/>
      <c r="O120" s="178"/>
      <c r="P120" s="494"/>
      <c r="Q120" s="494"/>
      <c r="R120" s="178"/>
      <c r="S120" s="188"/>
    </row>
    <row r="121" spans="1:19">
      <c r="A121" s="638"/>
      <c r="B121" s="641"/>
      <c r="C121" s="203" t="s">
        <v>194</v>
      </c>
      <c r="D121" s="620"/>
      <c r="E121" s="621"/>
      <c r="F121" s="621"/>
      <c r="G121" s="201"/>
      <c r="H121" s="201"/>
      <c r="I121" s="202"/>
      <c r="J121" s="199"/>
      <c r="K121" s="630"/>
      <c r="L121" s="632"/>
      <c r="M121" s="98"/>
      <c r="N121" s="178"/>
      <c r="O121" s="178"/>
      <c r="P121" s="494"/>
      <c r="Q121" s="494"/>
      <c r="R121" s="178"/>
      <c r="S121" s="188"/>
    </row>
    <row r="122" spans="1:19" s="103" customFormat="1">
      <c r="A122" s="633" t="s">
        <v>171</v>
      </c>
      <c r="B122" s="635"/>
      <c r="C122" s="206" t="s">
        <v>47</v>
      </c>
      <c r="D122" s="622" t="s">
        <v>12</v>
      </c>
      <c r="E122" s="623"/>
      <c r="F122" s="623"/>
      <c r="G122" s="206" t="s">
        <v>46</v>
      </c>
      <c r="H122" s="206" t="s">
        <v>352</v>
      </c>
      <c r="I122" s="206" t="s">
        <v>353</v>
      </c>
      <c r="J122" s="159" t="s">
        <v>311</v>
      </c>
      <c r="K122" s="633" t="s">
        <v>51</v>
      </c>
      <c r="L122" s="635"/>
      <c r="M122" s="127"/>
      <c r="N122" s="178"/>
      <c r="O122" s="178"/>
      <c r="P122" s="494"/>
      <c r="Q122" s="494"/>
      <c r="R122" s="178"/>
      <c r="S122" s="198"/>
    </row>
    <row r="123" spans="1:19">
      <c r="A123" s="636">
        <v>6</v>
      </c>
      <c r="B123" s="639" t="s">
        <v>136</v>
      </c>
      <c r="C123" s="199">
        <v>1</v>
      </c>
      <c r="D123" s="620" t="s">
        <v>415</v>
      </c>
      <c r="E123" s="621"/>
      <c r="F123" s="621"/>
      <c r="G123" s="199">
        <v>20</v>
      </c>
      <c r="H123" s="201">
        <v>1805.7586744991058</v>
      </c>
      <c r="I123" s="202">
        <v>90.287933724955295</v>
      </c>
      <c r="J123" s="350">
        <f>I123-I97</f>
        <v>9.98907109598548E-2</v>
      </c>
      <c r="K123" s="630"/>
      <c r="L123" s="632"/>
      <c r="M123" s="98"/>
      <c r="N123" s="178"/>
      <c r="O123" s="178"/>
      <c r="P123" s="494"/>
      <c r="Q123" s="494"/>
      <c r="R123" s="178"/>
      <c r="S123" s="188"/>
    </row>
    <row r="124" spans="1:19">
      <c r="A124" s="637"/>
      <c r="B124" s="640"/>
      <c r="C124" s="199">
        <v>2</v>
      </c>
      <c r="D124" s="620" t="s">
        <v>524</v>
      </c>
      <c r="E124" s="621"/>
      <c r="F124" s="621"/>
      <c r="G124" s="201">
        <v>20</v>
      </c>
      <c r="H124" s="201">
        <v>1805.5351154465286</v>
      </c>
      <c r="I124" s="202">
        <v>90.276755772326425</v>
      </c>
      <c r="J124" s="350">
        <f>I124-I98</f>
        <v>0.15546104161910534</v>
      </c>
      <c r="K124" s="630"/>
      <c r="L124" s="632"/>
      <c r="M124" s="98"/>
      <c r="N124" s="178"/>
      <c r="O124" s="178"/>
      <c r="P124" s="494"/>
      <c r="Q124" s="494"/>
      <c r="R124" s="178"/>
      <c r="S124" s="188"/>
    </row>
    <row r="125" spans="1:19">
      <c r="A125" s="637"/>
      <c r="B125" s="640"/>
      <c r="C125" s="199">
        <v>3</v>
      </c>
      <c r="D125" s="620" t="s">
        <v>413</v>
      </c>
      <c r="E125" s="621"/>
      <c r="F125" s="621"/>
      <c r="G125" s="201">
        <v>22</v>
      </c>
      <c r="H125" s="201">
        <v>1804.6757355285415</v>
      </c>
      <c r="I125" s="202">
        <v>82.030715251297337</v>
      </c>
      <c r="J125" s="350">
        <f>I125-I99</f>
        <v>0.10012431031304914</v>
      </c>
      <c r="K125" s="630"/>
      <c r="L125" s="632"/>
      <c r="M125" s="98"/>
      <c r="N125" s="178"/>
      <c r="O125" s="178"/>
      <c r="P125" s="494"/>
      <c r="Q125" s="494"/>
      <c r="R125" s="178"/>
      <c r="S125" s="188"/>
    </row>
    <row r="126" spans="1:19">
      <c r="A126" s="637"/>
      <c r="B126" s="640"/>
      <c r="C126" s="199">
        <v>4</v>
      </c>
      <c r="D126" s="620" t="s">
        <v>411</v>
      </c>
      <c r="E126" s="621"/>
      <c r="F126" s="621"/>
      <c r="G126" s="199">
        <v>23</v>
      </c>
      <c r="H126" s="201">
        <v>1807.0715973447548</v>
      </c>
      <c r="I126" s="202">
        <v>78.568330319337164</v>
      </c>
      <c r="J126" s="350">
        <f>I126-I100</f>
        <v>0.14869012544399141</v>
      </c>
      <c r="K126" s="630"/>
      <c r="L126" s="632"/>
      <c r="M126" s="98"/>
      <c r="N126" s="178"/>
      <c r="O126" s="178"/>
      <c r="P126" s="494"/>
      <c r="Q126" s="494"/>
      <c r="R126" s="178"/>
      <c r="S126" s="188"/>
    </row>
    <row r="127" spans="1:19">
      <c r="A127" s="637"/>
      <c r="B127" s="640"/>
      <c r="C127" s="199">
        <v>5</v>
      </c>
      <c r="D127" s="620" t="s">
        <v>331</v>
      </c>
      <c r="E127" s="621"/>
      <c r="F127" s="621"/>
      <c r="G127" s="201">
        <v>23</v>
      </c>
      <c r="H127" s="201">
        <v>1803.4065242441777</v>
      </c>
      <c r="I127" s="202">
        <v>78.40897931496427</v>
      </c>
      <c r="J127" s="350">
        <f>I127-I101</f>
        <v>7.9200024326596008E-2</v>
      </c>
      <c r="K127" s="630"/>
      <c r="L127" s="632"/>
      <c r="M127" s="98"/>
      <c r="N127" s="178"/>
      <c r="O127" s="178"/>
      <c r="P127" s="494"/>
      <c r="Q127" s="494"/>
      <c r="R127" s="178"/>
      <c r="S127" s="188"/>
    </row>
    <row r="128" spans="1:19">
      <c r="A128" s="637"/>
      <c r="B128" s="640"/>
      <c r="C128" s="203" t="s">
        <v>187</v>
      </c>
      <c r="D128" s="620" t="s">
        <v>719</v>
      </c>
      <c r="E128" s="621"/>
      <c r="F128" s="621"/>
      <c r="G128" s="199">
        <v>24</v>
      </c>
      <c r="H128" s="201">
        <v>1803.3312119715854</v>
      </c>
      <c r="I128" s="202">
        <v>75.138800498816067</v>
      </c>
      <c r="J128" s="350">
        <f>I128-I103</f>
        <v>2.6461601427804737</v>
      </c>
      <c r="K128" s="630"/>
      <c r="L128" s="632"/>
      <c r="M128" s="98"/>
      <c r="N128" s="178"/>
      <c r="O128" s="178"/>
      <c r="P128" s="494"/>
      <c r="Q128" s="494"/>
      <c r="R128" s="178"/>
      <c r="S128" s="188"/>
    </row>
    <row r="129" spans="1:19">
      <c r="A129" s="637"/>
      <c r="B129" s="640"/>
      <c r="C129" s="203" t="s">
        <v>192</v>
      </c>
      <c r="D129" s="620" t="s">
        <v>330</v>
      </c>
      <c r="E129" s="621"/>
      <c r="F129" s="621"/>
      <c r="G129" s="199">
        <v>24</v>
      </c>
      <c r="H129" s="201">
        <v>1804.2246558600734</v>
      </c>
      <c r="I129" s="202">
        <v>75.176027327503078</v>
      </c>
      <c r="J129" s="350">
        <f>I129-I105</f>
        <v>-8.3333333332546999E-3</v>
      </c>
      <c r="K129" s="630"/>
      <c r="L129" s="632"/>
      <c r="M129" s="98"/>
      <c r="N129" s="178"/>
      <c r="O129" s="178"/>
      <c r="P129" s="494"/>
      <c r="Q129" s="494"/>
      <c r="R129" s="178"/>
      <c r="S129" s="188"/>
    </row>
    <row r="130" spans="1:19">
      <c r="A130" s="637"/>
      <c r="B130" s="640"/>
      <c r="C130" s="203" t="s">
        <v>188</v>
      </c>
      <c r="D130" s="620" t="s">
        <v>720</v>
      </c>
      <c r="E130" s="621"/>
      <c r="F130" s="621"/>
      <c r="G130" s="199">
        <v>24</v>
      </c>
      <c r="H130" s="201">
        <v>1807.0361122913848</v>
      </c>
      <c r="I130" s="202">
        <v>75.293171345474363</v>
      </c>
      <c r="J130" s="350">
        <f>I130-I104</f>
        <v>2.7392505574703279</v>
      </c>
      <c r="K130" s="630"/>
      <c r="L130" s="632"/>
      <c r="M130" s="98"/>
      <c r="N130" s="178"/>
      <c r="O130" s="178"/>
      <c r="P130" s="494"/>
      <c r="Q130" s="494"/>
      <c r="R130" s="178"/>
      <c r="S130" s="188"/>
    </row>
    <row r="131" spans="1:19">
      <c r="A131" s="637"/>
      <c r="B131" s="640"/>
      <c r="C131" s="203" t="s">
        <v>193</v>
      </c>
      <c r="D131" s="620" t="s">
        <v>562</v>
      </c>
      <c r="E131" s="621"/>
      <c r="F131" s="621"/>
      <c r="G131" s="199">
        <v>24</v>
      </c>
      <c r="H131" s="201">
        <v>1808.2237170451324</v>
      </c>
      <c r="I131" s="202">
        <v>75.342654876880516</v>
      </c>
      <c r="J131" s="350">
        <f>I131-I106</f>
        <v>8.6904761904776251E-2</v>
      </c>
      <c r="K131" s="630"/>
      <c r="L131" s="632"/>
      <c r="M131" s="98"/>
      <c r="N131" s="178"/>
      <c r="O131" s="178"/>
      <c r="P131" s="494"/>
      <c r="Q131" s="494"/>
      <c r="R131" s="178"/>
      <c r="S131" s="188"/>
    </row>
    <row r="132" spans="1:19">
      <c r="A132" s="638"/>
      <c r="B132" s="641"/>
      <c r="C132" s="203" t="s">
        <v>194</v>
      </c>
      <c r="D132" s="630"/>
      <c r="E132" s="631"/>
      <c r="F132" s="632"/>
      <c r="G132" s="199"/>
      <c r="H132" s="201"/>
      <c r="I132" s="202"/>
      <c r="J132" s="350"/>
      <c r="K132" s="630"/>
      <c r="L132" s="632"/>
      <c r="M132" s="98"/>
      <c r="N132" s="178"/>
      <c r="O132" s="178"/>
      <c r="P132" s="494"/>
      <c r="Q132" s="494"/>
      <c r="R132" s="178"/>
      <c r="S132" s="188"/>
    </row>
    <row r="133" spans="1:19" s="188" customFormat="1" ht="15.75" customHeight="1">
      <c r="A133" s="626" t="s">
        <v>738</v>
      </c>
      <c r="B133" s="626"/>
      <c r="C133" s="626"/>
      <c r="D133" s="626"/>
      <c r="E133" s="626"/>
      <c r="F133" s="626"/>
      <c r="G133" s="626"/>
      <c r="H133" s="626"/>
      <c r="I133" s="626"/>
      <c r="J133" s="626"/>
      <c r="K133" s="626"/>
      <c r="L133" s="626"/>
    </row>
    <row r="134" spans="1:19" s="189" customFormat="1" ht="15.75" customHeight="1">
      <c r="A134" s="626"/>
      <c r="B134" s="626"/>
      <c r="C134" s="626"/>
      <c r="D134" s="626"/>
      <c r="E134" s="626"/>
      <c r="F134" s="626"/>
      <c r="G134" s="626"/>
      <c r="H134" s="626"/>
      <c r="I134" s="626"/>
      <c r="J134" s="626"/>
      <c r="K134" s="626"/>
      <c r="L134" s="626"/>
    </row>
    <row r="135" spans="1:19" s="105" customFormat="1" ht="15.75" customHeight="1">
      <c r="A135" s="636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90">
        <v>5</v>
      </c>
      <c r="G135" s="190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  <c r="N135" s="178"/>
      <c r="O135" s="178"/>
      <c r="P135" s="178"/>
      <c r="Q135" s="178"/>
      <c r="R135" s="178"/>
      <c r="S135" s="177"/>
    </row>
    <row r="136" spans="1:19" ht="15.75" customHeight="1">
      <c r="A136" s="638"/>
      <c r="B136" s="194" t="s">
        <v>189</v>
      </c>
      <c r="C136" s="194" t="s">
        <v>155</v>
      </c>
      <c r="D136" s="194" t="s">
        <v>190</v>
      </c>
      <c r="E136" s="194" t="s">
        <v>156</v>
      </c>
      <c r="F136" s="193" t="s">
        <v>327</v>
      </c>
      <c r="G136" s="208" t="s">
        <v>136</v>
      </c>
      <c r="H136" s="196" t="s">
        <v>191</v>
      </c>
      <c r="I136" s="195" t="s">
        <v>351</v>
      </c>
      <c r="J136" s="195" t="s">
        <v>142</v>
      </c>
      <c r="K136" s="197"/>
      <c r="L136" s="197"/>
      <c r="M136" s="189"/>
      <c r="N136" s="178"/>
      <c r="O136" s="178"/>
      <c r="P136" s="178"/>
      <c r="Q136" s="178"/>
      <c r="R136" s="178"/>
      <c r="S136" s="188"/>
    </row>
    <row r="137" spans="1:19" s="105" customFormat="1">
      <c r="A137" s="642" t="s">
        <v>171</v>
      </c>
      <c r="B137" s="643"/>
      <c r="C137" s="159" t="s">
        <v>47</v>
      </c>
      <c r="D137" s="642" t="s">
        <v>12</v>
      </c>
      <c r="E137" s="644"/>
      <c r="F137" s="643"/>
      <c r="G137" s="159" t="s">
        <v>46</v>
      </c>
      <c r="H137" s="159" t="s">
        <v>352</v>
      </c>
      <c r="I137" s="159" t="s">
        <v>353</v>
      </c>
      <c r="J137" s="159" t="s">
        <v>311</v>
      </c>
      <c r="K137" s="642" t="s">
        <v>51</v>
      </c>
      <c r="L137" s="643"/>
      <c r="M137" s="192"/>
      <c r="N137" s="178"/>
      <c r="O137" s="493"/>
      <c r="P137" s="493"/>
      <c r="Q137" s="493"/>
      <c r="R137" s="178"/>
      <c r="S137" s="177"/>
    </row>
    <row r="138" spans="1:19">
      <c r="A138" s="636">
        <v>5</v>
      </c>
      <c r="B138" s="639" t="s">
        <v>327</v>
      </c>
      <c r="C138" s="199">
        <v>1</v>
      </c>
      <c r="D138" s="630"/>
      <c r="E138" s="631"/>
      <c r="F138" s="632"/>
      <c r="G138" s="201"/>
      <c r="H138" s="201"/>
      <c r="I138" s="202"/>
      <c r="J138" s="350">
        <f>I138-I113</f>
        <v>-95.039097744360916</v>
      </c>
      <c r="K138" s="630"/>
      <c r="L138" s="632"/>
      <c r="N138" s="178"/>
      <c r="O138" s="178"/>
      <c r="P138" s="494"/>
      <c r="Q138" s="494"/>
      <c r="R138" s="178"/>
      <c r="S138" s="188"/>
    </row>
    <row r="139" spans="1:19">
      <c r="A139" s="637"/>
      <c r="B139" s="640"/>
      <c r="C139" s="199">
        <v>2</v>
      </c>
      <c r="D139" s="630"/>
      <c r="E139" s="631"/>
      <c r="F139" s="632"/>
      <c r="G139" s="201"/>
      <c r="H139" s="201"/>
      <c r="I139" s="202"/>
      <c r="J139" s="350"/>
      <c r="K139" s="630"/>
      <c r="L139" s="632"/>
      <c r="N139" s="178"/>
      <c r="O139" s="178"/>
      <c r="P139" s="494"/>
      <c r="Q139" s="494"/>
      <c r="R139" s="178"/>
      <c r="S139" s="188"/>
    </row>
    <row r="140" spans="1:19">
      <c r="A140" s="637"/>
      <c r="B140" s="640"/>
      <c r="C140" s="199">
        <v>3</v>
      </c>
      <c r="D140" s="630"/>
      <c r="E140" s="631"/>
      <c r="F140" s="632"/>
      <c r="G140" s="201"/>
      <c r="H140" s="201"/>
      <c r="I140" s="202"/>
      <c r="J140" s="350">
        <f t="shared" ref="J140:J146" si="4">I140-I114</f>
        <v>-90.278571428571425</v>
      </c>
      <c r="K140" s="630"/>
      <c r="L140" s="632"/>
      <c r="N140" s="178"/>
      <c r="O140" s="178"/>
      <c r="P140" s="494"/>
      <c r="Q140" s="494"/>
      <c r="R140" s="178"/>
      <c r="S140" s="188"/>
    </row>
    <row r="141" spans="1:19">
      <c r="A141" s="637"/>
      <c r="B141" s="640"/>
      <c r="C141" s="199">
        <v>4</v>
      </c>
      <c r="D141" s="630"/>
      <c r="E141" s="631"/>
      <c r="F141" s="632"/>
      <c r="G141" s="201"/>
      <c r="H141" s="201"/>
      <c r="I141" s="202"/>
      <c r="J141" s="350">
        <f t="shared" si="4"/>
        <v>-78.490129026686276</v>
      </c>
      <c r="K141" s="630"/>
      <c r="L141" s="632"/>
      <c r="N141" s="178"/>
      <c r="O141" s="178"/>
      <c r="P141" s="494"/>
      <c r="Q141" s="494"/>
      <c r="R141" s="178"/>
      <c r="S141" s="188"/>
    </row>
    <row r="142" spans="1:19">
      <c r="A142" s="637"/>
      <c r="B142" s="640"/>
      <c r="C142" s="199">
        <v>5</v>
      </c>
      <c r="D142" s="630"/>
      <c r="E142" s="631"/>
      <c r="F142" s="632"/>
      <c r="G142" s="201"/>
      <c r="H142" s="201"/>
      <c r="I142" s="202"/>
      <c r="J142" s="350">
        <f t="shared" si="4"/>
        <v>-78.485279191984091</v>
      </c>
      <c r="K142" s="630"/>
      <c r="L142" s="632"/>
      <c r="N142" s="178"/>
      <c r="O142" s="178"/>
      <c r="P142" s="494"/>
      <c r="Q142" s="494"/>
      <c r="R142" s="178"/>
      <c r="S142" s="188"/>
    </row>
    <row r="143" spans="1:19">
      <c r="A143" s="637"/>
      <c r="B143" s="640"/>
      <c r="C143" s="203" t="s">
        <v>187</v>
      </c>
      <c r="D143" s="630"/>
      <c r="E143" s="631"/>
      <c r="F143" s="632"/>
      <c r="G143" s="201"/>
      <c r="H143" s="201"/>
      <c r="I143" s="202"/>
      <c r="J143" s="350">
        <f t="shared" si="4"/>
        <v>-75.246927104844431</v>
      </c>
      <c r="K143" s="630"/>
      <c r="L143" s="632"/>
      <c r="N143" s="178"/>
      <c r="O143" s="178"/>
      <c r="P143" s="494"/>
      <c r="Q143" s="494"/>
      <c r="R143" s="178"/>
      <c r="S143" s="188"/>
    </row>
    <row r="144" spans="1:19">
      <c r="A144" s="637"/>
      <c r="B144" s="640"/>
      <c r="C144" s="203" t="s">
        <v>192</v>
      </c>
      <c r="D144" s="630"/>
      <c r="E144" s="631"/>
      <c r="F144" s="632"/>
      <c r="G144" s="201"/>
      <c r="H144" s="201"/>
      <c r="I144" s="202"/>
      <c r="J144" s="350">
        <f t="shared" si="4"/>
        <v>-77.43560865516227</v>
      </c>
      <c r="K144" s="630"/>
      <c r="L144" s="632"/>
      <c r="N144" s="178"/>
      <c r="O144" s="178"/>
      <c r="P144" s="494"/>
      <c r="Q144" s="494"/>
      <c r="R144" s="178"/>
      <c r="S144" s="188"/>
    </row>
    <row r="145" spans="1:19">
      <c r="A145" s="637"/>
      <c r="B145" s="640"/>
      <c r="C145" s="203" t="s">
        <v>188</v>
      </c>
      <c r="D145" s="630"/>
      <c r="E145" s="631"/>
      <c r="F145" s="632"/>
      <c r="G145" s="201"/>
      <c r="H145" s="201"/>
      <c r="I145" s="202"/>
      <c r="J145" s="350">
        <f t="shared" si="4"/>
        <v>-78.422155527582945</v>
      </c>
      <c r="K145" s="630"/>
      <c r="L145" s="632"/>
      <c r="N145" s="178"/>
      <c r="O145" s="178"/>
      <c r="P145" s="494"/>
      <c r="Q145" s="494"/>
      <c r="R145" s="178"/>
      <c r="S145" s="188"/>
    </row>
    <row r="146" spans="1:19">
      <c r="A146" s="637"/>
      <c r="B146" s="640"/>
      <c r="C146" s="203" t="s">
        <v>193</v>
      </c>
      <c r="D146" s="630"/>
      <c r="E146" s="631"/>
      <c r="F146" s="632"/>
      <c r="G146" s="201"/>
      <c r="H146" s="201"/>
      <c r="I146" s="202"/>
      <c r="J146" s="350">
        <f t="shared" si="4"/>
        <v>0</v>
      </c>
      <c r="K146" s="630"/>
      <c r="L146" s="632"/>
      <c r="M146" s="98"/>
      <c r="N146" s="178"/>
      <c r="O146" s="178"/>
      <c r="P146" s="494"/>
      <c r="Q146" s="494"/>
      <c r="R146" s="178"/>
      <c r="S146" s="188"/>
    </row>
    <row r="147" spans="1:19">
      <c r="A147" s="638"/>
      <c r="B147" s="641"/>
      <c r="C147" s="203" t="s">
        <v>194</v>
      </c>
      <c r="D147" s="630"/>
      <c r="E147" s="631"/>
      <c r="F147" s="632"/>
      <c r="G147" s="201"/>
      <c r="H147" s="201"/>
      <c r="I147" s="202"/>
      <c r="J147" s="199"/>
      <c r="K147" s="630"/>
      <c r="L147" s="632"/>
      <c r="M147" s="98"/>
      <c r="N147" s="178"/>
      <c r="O147" s="178"/>
      <c r="P147" s="494"/>
      <c r="Q147" s="494"/>
      <c r="R147" s="178"/>
      <c r="S147" s="188"/>
    </row>
    <row r="148" spans="1:19" s="103" customFormat="1">
      <c r="A148" s="633" t="s">
        <v>171</v>
      </c>
      <c r="B148" s="635"/>
      <c r="C148" s="206" t="s">
        <v>47</v>
      </c>
      <c r="D148" s="633" t="s">
        <v>12</v>
      </c>
      <c r="E148" s="634"/>
      <c r="F148" s="635"/>
      <c r="G148" s="206" t="s">
        <v>46</v>
      </c>
      <c r="H148" s="206" t="s">
        <v>352</v>
      </c>
      <c r="I148" s="206" t="s">
        <v>353</v>
      </c>
      <c r="J148" s="159" t="s">
        <v>311</v>
      </c>
      <c r="K148" s="633" t="s">
        <v>51</v>
      </c>
      <c r="L148" s="635"/>
      <c r="M148" s="127"/>
      <c r="N148" s="178"/>
      <c r="O148" s="178"/>
      <c r="P148" s="494"/>
      <c r="Q148" s="494"/>
      <c r="R148" s="178"/>
      <c r="S148" s="198"/>
    </row>
    <row r="149" spans="1:19">
      <c r="A149" s="636">
        <v>6</v>
      </c>
      <c r="B149" s="639" t="s">
        <v>136</v>
      </c>
      <c r="C149" s="199">
        <v>1</v>
      </c>
      <c r="D149" s="630"/>
      <c r="E149" s="631"/>
      <c r="F149" s="632"/>
      <c r="G149" s="199"/>
      <c r="H149" s="201"/>
      <c r="I149" s="202"/>
      <c r="J149" s="350">
        <f t="shared" ref="J149:J154" si="5">I149-I123</f>
        <v>-90.287933724955295</v>
      </c>
      <c r="K149" s="630"/>
      <c r="L149" s="632"/>
      <c r="M149" s="98"/>
      <c r="N149" s="178"/>
      <c r="O149" s="178"/>
      <c r="P149" s="494"/>
      <c r="Q149" s="494"/>
      <c r="R149" s="178"/>
      <c r="S149" s="188"/>
    </row>
    <row r="150" spans="1:19">
      <c r="A150" s="637"/>
      <c r="B150" s="640"/>
      <c r="C150" s="199">
        <v>2</v>
      </c>
      <c r="D150" s="630"/>
      <c r="E150" s="631"/>
      <c r="F150" s="632"/>
      <c r="G150" s="201"/>
      <c r="H150" s="201"/>
      <c r="I150" s="202"/>
      <c r="J150" s="350">
        <f t="shared" si="5"/>
        <v>-90.276755772326425</v>
      </c>
      <c r="K150" s="630"/>
      <c r="L150" s="632"/>
      <c r="M150" s="98"/>
      <c r="N150" s="178"/>
      <c r="O150" s="178"/>
      <c r="P150" s="494"/>
      <c r="Q150" s="494"/>
      <c r="R150" s="178"/>
      <c r="S150" s="188"/>
    </row>
    <row r="151" spans="1:19">
      <c r="A151" s="637"/>
      <c r="B151" s="640"/>
      <c r="C151" s="199">
        <v>3</v>
      </c>
      <c r="D151" s="630"/>
      <c r="E151" s="631"/>
      <c r="F151" s="632"/>
      <c r="G151" s="201"/>
      <c r="H151" s="201"/>
      <c r="I151" s="202"/>
      <c r="J151" s="350">
        <f t="shared" si="5"/>
        <v>-82.030715251297337</v>
      </c>
      <c r="K151" s="630"/>
      <c r="L151" s="632"/>
      <c r="M151" s="98"/>
      <c r="N151" s="178"/>
      <c r="O151" s="178"/>
      <c r="P151" s="494"/>
      <c r="Q151" s="494"/>
      <c r="R151" s="178"/>
      <c r="S151" s="188"/>
    </row>
    <row r="152" spans="1:19">
      <c r="A152" s="637"/>
      <c r="B152" s="640"/>
      <c r="C152" s="199">
        <v>4</v>
      </c>
      <c r="D152" s="630"/>
      <c r="E152" s="631"/>
      <c r="F152" s="632"/>
      <c r="G152" s="199"/>
      <c r="H152" s="201"/>
      <c r="I152" s="202"/>
      <c r="J152" s="350">
        <f t="shared" si="5"/>
        <v>-78.568330319337164</v>
      </c>
      <c r="K152" s="630"/>
      <c r="L152" s="632"/>
      <c r="M152" s="98"/>
      <c r="N152" s="178"/>
      <c r="O152" s="178"/>
      <c r="P152" s="494"/>
      <c r="Q152" s="494"/>
      <c r="R152" s="178"/>
      <c r="S152" s="188"/>
    </row>
    <row r="153" spans="1:19">
      <c r="A153" s="637"/>
      <c r="B153" s="640"/>
      <c r="C153" s="199">
        <v>5</v>
      </c>
      <c r="D153" s="630"/>
      <c r="E153" s="631"/>
      <c r="F153" s="632"/>
      <c r="G153" s="201"/>
      <c r="H153" s="201"/>
      <c r="I153" s="202"/>
      <c r="J153" s="350">
        <f t="shared" si="5"/>
        <v>-78.40897931496427</v>
      </c>
      <c r="K153" s="630"/>
      <c r="L153" s="632"/>
      <c r="M153" s="98"/>
      <c r="N153" s="178"/>
      <c r="O153" s="178"/>
      <c r="P153" s="494"/>
      <c r="Q153" s="494"/>
      <c r="R153" s="178"/>
      <c r="S153" s="188"/>
    </row>
    <row r="154" spans="1:19">
      <c r="A154" s="637"/>
      <c r="B154" s="640"/>
      <c r="C154" s="203" t="s">
        <v>187</v>
      </c>
      <c r="D154" s="630"/>
      <c r="E154" s="631"/>
      <c r="F154" s="632"/>
      <c r="G154" s="199"/>
      <c r="H154" s="201"/>
      <c r="I154" s="202"/>
      <c r="J154" s="350">
        <f t="shared" si="5"/>
        <v>-75.138800498816067</v>
      </c>
      <c r="K154" s="630"/>
      <c r="L154" s="632"/>
      <c r="M154" s="98"/>
      <c r="N154" s="178"/>
      <c r="O154" s="178"/>
      <c r="P154" s="494"/>
      <c r="Q154" s="494"/>
      <c r="R154" s="178"/>
      <c r="S154" s="188"/>
    </row>
    <row r="155" spans="1:19">
      <c r="A155" s="637"/>
      <c r="B155" s="640"/>
      <c r="C155" s="203" t="s">
        <v>192</v>
      </c>
      <c r="D155" s="630"/>
      <c r="E155" s="631"/>
      <c r="F155" s="632"/>
      <c r="G155" s="199"/>
      <c r="H155" s="201"/>
      <c r="I155" s="202"/>
      <c r="J155" s="350"/>
      <c r="K155" s="630"/>
      <c r="L155" s="632"/>
      <c r="M155" s="98"/>
      <c r="N155" s="178"/>
      <c r="O155" s="178"/>
      <c r="P155" s="494"/>
      <c r="Q155" s="494"/>
      <c r="R155" s="178"/>
      <c r="S155" s="188"/>
    </row>
    <row r="156" spans="1:19">
      <c r="A156" s="637"/>
      <c r="B156" s="640"/>
      <c r="C156" s="203" t="s">
        <v>188</v>
      </c>
      <c r="D156" s="630"/>
      <c r="E156" s="631"/>
      <c r="F156" s="632"/>
      <c r="G156" s="199"/>
      <c r="H156" s="201"/>
      <c r="I156" s="202"/>
      <c r="J156" s="350">
        <f>I156-I129</f>
        <v>-75.176027327503078</v>
      </c>
      <c r="K156" s="630"/>
      <c r="L156" s="632"/>
      <c r="M156" s="98"/>
      <c r="N156" s="178"/>
      <c r="O156" s="178"/>
      <c r="P156" s="494"/>
      <c r="Q156" s="494"/>
      <c r="R156" s="178"/>
      <c r="S156" s="188"/>
    </row>
    <row r="157" spans="1:19">
      <c r="A157" s="637"/>
      <c r="B157" s="640"/>
      <c r="C157" s="203" t="s">
        <v>193</v>
      </c>
      <c r="D157" s="630"/>
      <c r="E157" s="631"/>
      <c r="F157" s="632"/>
      <c r="G157" s="199"/>
      <c r="H157" s="201"/>
      <c r="I157" s="202"/>
      <c r="J157" s="350">
        <f>I157-I130</f>
        <v>-75.293171345474363</v>
      </c>
      <c r="K157" s="630"/>
      <c r="L157" s="632"/>
      <c r="M157" s="98"/>
      <c r="N157" s="178"/>
      <c r="O157" s="178"/>
      <c r="P157" s="494"/>
      <c r="Q157" s="494"/>
      <c r="R157" s="178"/>
      <c r="S157" s="188"/>
    </row>
    <row r="158" spans="1:19">
      <c r="A158" s="638"/>
      <c r="B158" s="641"/>
      <c r="C158" s="203" t="s">
        <v>194</v>
      </c>
      <c r="D158" s="630"/>
      <c r="E158" s="631"/>
      <c r="F158" s="632"/>
      <c r="G158" s="199"/>
      <c r="H158" s="201"/>
      <c r="I158" s="202"/>
      <c r="J158" s="350">
        <f>I158-I131</f>
        <v>-75.342654876880516</v>
      </c>
      <c r="K158" s="630"/>
      <c r="L158" s="632"/>
      <c r="M158" s="98"/>
      <c r="N158" s="178"/>
      <c r="O158" s="178"/>
      <c r="P158" s="494"/>
      <c r="Q158" s="494"/>
      <c r="R158" s="178"/>
      <c r="S158" s="188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54:F54"/>
    <mergeCell ref="K54:L54"/>
    <mergeCell ref="K42:L42"/>
    <mergeCell ref="D43:F43"/>
    <mergeCell ref="K43:L43"/>
    <mergeCell ref="D80:F80"/>
    <mergeCell ref="K80:L80"/>
    <mergeCell ref="K68:L68"/>
    <mergeCell ref="D69:F69"/>
    <mergeCell ref="K69:L69"/>
    <mergeCell ref="D78:F78"/>
    <mergeCell ref="K78:L78"/>
    <mergeCell ref="D79:F79"/>
    <mergeCell ref="K79:L79"/>
    <mergeCell ref="K75:L75"/>
    <mergeCell ref="D65:F65"/>
    <mergeCell ref="K65:L65"/>
    <mergeCell ref="D66:F66"/>
    <mergeCell ref="D68:F68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16:F16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D76:F76"/>
    <mergeCell ref="K76:L76"/>
    <mergeCell ref="D77:F77"/>
    <mergeCell ref="K77:L77"/>
    <mergeCell ref="K7:L7"/>
    <mergeCell ref="K67:L67"/>
    <mergeCell ref="D25:F25"/>
    <mergeCell ref="K25:L25"/>
    <mergeCell ref="D26:F26"/>
    <mergeCell ref="K26:L26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:L2"/>
    <mergeCell ref="K66:L66"/>
    <mergeCell ref="D67:F67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A3:L4"/>
    <mergeCell ref="A5:A6"/>
    <mergeCell ref="A7:B7"/>
    <mergeCell ref="D7:F7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58"/>
  <sheetViews>
    <sheetView view="pageBreakPreview" topLeftCell="A101" zoomScale="110" zoomScaleNormal="60" zoomScaleSheetLayoutView="110" workbookViewId="0">
      <selection activeCell="J125" sqref="J125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19" t="s">
        <v>350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98"/>
    </row>
    <row r="2" spans="1:18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N2" s="189"/>
      <c r="O2" s="189"/>
      <c r="P2" s="189"/>
      <c r="Q2" s="189"/>
      <c r="R2" s="189"/>
    </row>
    <row r="3" spans="1:18" s="188" customFormat="1" ht="15.75" customHeight="1">
      <c r="A3" s="626" t="s">
        <v>611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</row>
    <row r="4" spans="1:18" s="189" customFormat="1" ht="15.75" customHeight="1">
      <c r="A4" s="626"/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</row>
    <row r="5" spans="1:18" s="105" customFormat="1" ht="16.350000000000001" customHeight="1">
      <c r="A5" s="636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38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3" t="s">
        <v>191</v>
      </c>
      <c r="I6" s="208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42" t="s">
        <v>171</v>
      </c>
      <c r="B7" s="643"/>
      <c r="C7" s="159" t="s">
        <v>47</v>
      </c>
      <c r="D7" s="642" t="s">
        <v>12</v>
      </c>
      <c r="E7" s="644"/>
      <c r="F7" s="643"/>
      <c r="G7" s="159" t="s">
        <v>46</v>
      </c>
      <c r="H7" s="159" t="s">
        <v>352</v>
      </c>
      <c r="I7" s="159" t="s">
        <v>353</v>
      </c>
      <c r="J7" s="159" t="s">
        <v>311</v>
      </c>
      <c r="K7" s="642" t="s">
        <v>51</v>
      </c>
      <c r="L7" s="643"/>
      <c r="M7" s="126"/>
      <c r="N7" s="188"/>
      <c r="O7" s="198"/>
      <c r="P7" s="380"/>
      <c r="Q7" s="380"/>
      <c r="R7" s="198"/>
    </row>
    <row r="8" spans="1:18">
      <c r="A8" s="636">
        <v>7</v>
      </c>
      <c r="B8" s="639" t="s">
        <v>356</v>
      </c>
      <c r="C8" s="199">
        <v>1</v>
      </c>
      <c r="D8" s="646"/>
      <c r="E8" s="621"/>
      <c r="F8" s="621"/>
      <c r="G8" s="199"/>
      <c r="H8" s="201"/>
      <c r="I8" s="202"/>
      <c r="J8" s="199"/>
      <c r="K8" s="630"/>
      <c r="L8" s="632"/>
      <c r="N8" s="381"/>
      <c r="O8" s="198"/>
      <c r="P8" s="380"/>
      <c r="Q8" s="380"/>
      <c r="R8" s="198"/>
    </row>
    <row r="9" spans="1:18">
      <c r="A9" s="637"/>
      <c r="B9" s="640"/>
      <c r="C9" s="199">
        <v>2</v>
      </c>
      <c r="D9" s="646"/>
      <c r="E9" s="621"/>
      <c r="F9" s="621"/>
      <c r="G9" s="199"/>
      <c r="H9" s="201"/>
      <c r="I9" s="202"/>
      <c r="J9" s="199"/>
      <c r="K9" s="630"/>
      <c r="L9" s="632"/>
      <c r="O9" s="198"/>
      <c r="P9" s="380"/>
      <c r="Q9" s="380"/>
      <c r="R9" s="198"/>
    </row>
    <row r="10" spans="1:18">
      <c r="A10" s="637"/>
      <c r="B10" s="640"/>
      <c r="C10" s="199">
        <v>3</v>
      </c>
      <c r="D10" s="630"/>
      <c r="E10" s="631"/>
      <c r="F10" s="632"/>
      <c r="G10" s="199"/>
      <c r="H10" s="201"/>
      <c r="I10" s="202"/>
      <c r="J10" s="199"/>
      <c r="K10" s="630"/>
      <c r="L10" s="632"/>
      <c r="O10" s="198"/>
      <c r="P10" s="380"/>
      <c r="Q10" s="380"/>
      <c r="R10" s="198"/>
    </row>
    <row r="11" spans="1:18">
      <c r="A11" s="637"/>
      <c r="B11" s="640"/>
      <c r="C11" s="199">
        <v>4</v>
      </c>
      <c r="D11" s="630"/>
      <c r="E11" s="631"/>
      <c r="F11" s="632"/>
      <c r="G11" s="199"/>
      <c r="H11" s="201"/>
      <c r="I11" s="202"/>
      <c r="J11" s="199"/>
      <c r="K11" s="630"/>
      <c r="L11" s="632"/>
      <c r="O11" s="198"/>
      <c r="P11" s="380"/>
      <c r="Q11" s="380"/>
      <c r="R11" s="198"/>
    </row>
    <row r="12" spans="1:18">
      <c r="A12" s="637"/>
      <c r="B12" s="640"/>
      <c r="C12" s="199">
        <v>5</v>
      </c>
      <c r="D12" s="630"/>
      <c r="E12" s="631"/>
      <c r="F12" s="632"/>
      <c r="G12" s="199"/>
      <c r="H12" s="201"/>
      <c r="I12" s="202"/>
      <c r="J12" s="199"/>
      <c r="K12" s="630"/>
      <c r="L12" s="632"/>
      <c r="N12" s="177"/>
      <c r="O12" s="198"/>
      <c r="P12" s="380"/>
      <c r="Q12" s="380"/>
      <c r="R12" s="198"/>
    </row>
    <row r="13" spans="1:18">
      <c r="A13" s="637"/>
      <c r="B13" s="640"/>
      <c r="C13" s="203" t="s">
        <v>187</v>
      </c>
      <c r="D13" s="630"/>
      <c r="E13" s="631"/>
      <c r="F13" s="632"/>
      <c r="G13" s="199"/>
      <c r="H13" s="201"/>
      <c r="I13" s="202"/>
      <c r="J13" s="199"/>
      <c r="K13" s="630"/>
      <c r="L13" s="632"/>
      <c r="N13" s="381"/>
      <c r="O13" s="198"/>
      <c r="P13" s="380"/>
      <c r="Q13" s="380"/>
      <c r="R13" s="198"/>
    </row>
    <row r="14" spans="1:18">
      <c r="A14" s="637"/>
      <c r="B14" s="640"/>
      <c r="C14" s="203" t="s">
        <v>192</v>
      </c>
      <c r="D14" s="630"/>
      <c r="E14" s="631"/>
      <c r="F14" s="632"/>
      <c r="G14" s="199"/>
      <c r="H14" s="201"/>
      <c r="I14" s="202"/>
      <c r="J14" s="199"/>
      <c r="K14" s="630"/>
      <c r="L14" s="632"/>
      <c r="O14" s="198"/>
      <c r="P14" s="380"/>
      <c r="Q14" s="380"/>
      <c r="R14" s="198"/>
    </row>
    <row r="15" spans="1:18">
      <c r="A15" s="637"/>
      <c r="B15" s="640"/>
      <c r="C15" s="203" t="s">
        <v>188</v>
      </c>
      <c r="D15" s="630"/>
      <c r="E15" s="631"/>
      <c r="F15" s="632"/>
      <c r="G15" s="199"/>
      <c r="H15" s="201"/>
      <c r="I15" s="202"/>
      <c r="J15" s="199"/>
      <c r="K15" s="630"/>
      <c r="L15" s="632"/>
      <c r="O15" s="198"/>
      <c r="P15" s="380"/>
      <c r="Q15" s="380"/>
      <c r="R15" s="198"/>
    </row>
    <row r="16" spans="1:18">
      <c r="A16" s="637"/>
      <c r="B16" s="640"/>
      <c r="C16" s="203" t="s">
        <v>193</v>
      </c>
      <c r="D16" s="630"/>
      <c r="E16" s="631"/>
      <c r="F16" s="632"/>
      <c r="G16" s="199"/>
      <c r="H16" s="201"/>
      <c r="I16" s="202"/>
      <c r="J16" s="199"/>
      <c r="K16" s="630"/>
      <c r="L16" s="632"/>
      <c r="M16" s="98"/>
      <c r="O16" s="198"/>
      <c r="P16" s="380"/>
      <c r="Q16" s="380"/>
      <c r="R16" s="198"/>
    </row>
    <row r="17" spans="1:18">
      <c r="A17" s="638"/>
      <c r="B17" s="641"/>
      <c r="C17" s="203" t="s">
        <v>194</v>
      </c>
      <c r="D17" s="630"/>
      <c r="E17" s="631"/>
      <c r="F17" s="632"/>
      <c r="G17" s="199"/>
      <c r="H17" s="201"/>
      <c r="I17" s="202"/>
      <c r="J17" s="199"/>
      <c r="K17" s="630"/>
      <c r="L17" s="632"/>
      <c r="M17" s="98"/>
      <c r="N17" s="198"/>
      <c r="O17" s="198"/>
      <c r="P17" s="380"/>
      <c r="Q17" s="380"/>
      <c r="R17" s="198"/>
    </row>
    <row r="18" spans="1:18" s="103" customFormat="1">
      <c r="A18" s="633" t="s">
        <v>171</v>
      </c>
      <c r="B18" s="635"/>
      <c r="C18" s="206" t="s">
        <v>47</v>
      </c>
      <c r="D18" s="633" t="s">
        <v>12</v>
      </c>
      <c r="E18" s="634"/>
      <c r="F18" s="635"/>
      <c r="G18" s="206" t="s">
        <v>46</v>
      </c>
      <c r="H18" s="206" t="s">
        <v>352</v>
      </c>
      <c r="I18" s="206" t="s">
        <v>353</v>
      </c>
      <c r="J18" s="159" t="s">
        <v>311</v>
      </c>
      <c r="K18" s="633" t="s">
        <v>51</v>
      </c>
      <c r="L18" s="635"/>
      <c r="M18" s="127"/>
      <c r="N18" s="188"/>
      <c r="O18" s="198"/>
      <c r="P18" s="380"/>
      <c r="Q18" s="380"/>
      <c r="R18" s="198"/>
    </row>
    <row r="19" spans="1:18">
      <c r="A19" s="636">
        <v>8</v>
      </c>
      <c r="B19" s="639" t="s">
        <v>357</v>
      </c>
      <c r="C19" s="199">
        <v>1</v>
      </c>
      <c r="D19" s="646" t="s">
        <v>535</v>
      </c>
      <c r="E19" s="621"/>
      <c r="F19" s="621"/>
      <c r="G19" s="199">
        <v>19</v>
      </c>
      <c r="H19" s="201">
        <v>3192.7189541137695</v>
      </c>
      <c r="I19" s="202">
        <v>168.03783969019838</v>
      </c>
      <c r="J19" s="350">
        <v>1.6378551565139787E-2</v>
      </c>
      <c r="K19" s="620" t="s">
        <v>405</v>
      </c>
      <c r="L19" s="621"/>
      <c r="M19" s="98"/>
      <c r="O19" s="198"/>
      <c r="P19" s="380"/>
      <c r="Q19" s="380"/>
      <c r="R19" s="198"/>
    </row>
    <row r="20" spans="1:18">
      <c r="A20" s="637"/>
      <c r="B20" s="640"/>
      <c r="C20" s="199">
        <v>2</v>
      </c>
      <c r="D20" s="646" t="s">
        <v>494</v>
      </c>
      <c r="E20" s="621"/>
      <c r="F20" s="621"/>
      <c r="G20" s="199">
        <v>19</v>
      </c>
      <c r="H20" s="201">
        <v>3191.5807994668603</v>
      </c>
      <c r="I20" s="202">
        <v>167.97793681404528</v>
      </c>
      <c r="J20" s="350">
        <v>-3.7894736842133625E-2</v>
      </c>
      <c r="K20" s="620" t="s">
        <v>405</v>
      </c>
      <c r="L20" s="621"/>
      <c r="M20" s="98"/>
      <c r="O20" s="177"/>
      <c r="P20" s="379"/>
      <c r="Q20" s="379"/>
      <c r="R20" s="177"/>
    </row>
    <row r="21" spans="1:18">
      <c r="A21" s="637"/>
      <c r="B21" s="640"/>
      <c r="C21" s="199">
        <v>3</v>
      </c>
      <c r="D21" s="646" t="s">
        <v>492</v>
      </c>
      <c r="E21" s="621"/>
      <c r="F21" s="621"/>
      <c r="G21" s="199">
        <v>20</v>
      </c>
      <c r="H21" s="201">
        <v>3266.9501893310226</v>
      </c>
      <c r="I21" s="202">
        <v>163.34750946655114</v>
      </c>
      <c r="J21" s="350">
        <v>3.5244386212743279</v>
      </c>
      <c r="K21" s="647" t="s">
        <v>635</v>
      </c>
      <c r="L21" s="621"/>
      <c r="M21" s="98"/>
      <c r="O21" s="198"/>
      <c r="P21" s="380"/>
      <c r="Q21" s="380"/>
      <c r="R21" s="198"/>
    </row>
    <row r="22" spans="1:18">
      <c r="A22" s="637"/>
      <c r="B22" s="640"/>
      <c r="C22" s="199">
        <v>4</v>
      </c>
      <c r="D22" s="646" t="s">
        <v>578</v>
      </c>
      <c r="E22" s="621"/>
      <c r="F22" s="621"/>
      <c r="G22" s="199">
        <v>20</v>
      </c>
      <c r="H22" s="201">
        <v>3260.9709961494686</v>
      </c>
      <c r="I22" s="202">
        <v>163.04854980747339</v>
      </c>
      <c r="J22" s="350">
        <v>0.10296440169366861</v>
      </c>
      <c r="K22" s="620" t="s">
        <v>405</v>
      </c>
      <c r="L22" s="621"/>
      <c r="M22" s="98"/>
      <c r="O22" s="198"/>
      <c r="P22" s="380"/>
      <c r="Q22" s="380"/>
      <c r="R22" s="198"/>
    </row>
    <row r="23" spans="1:18">
      <c r="A23" s="637"/>
      <c r="B23" s="640"/>
      <c r="C23" s="199">
        <v>5</v>
      </c>
      <c r="D23" s="646" t="s">
        <v>493</v>
      </c>
      <c r="E23" s="621"/>
      <c r="F23" s="621"/>
      <c r="G23" s="199">
        <v>21</v>
      </c>
      <c r="H23" s="201">
        <v>3267.3140019737198</v>
      </c>
      <c r="I23" s="202">
        <v>155.58638104636762</v>
      </c>
      <c r="J23" s="350">
        <v>3.3532468630354515</v>
      </c>
      <c r="K23" s="647" t="s">
        <v>635</v>
      </c>
      <c r="L23" s="621"/>
      <c r="M23" s="98"/>
      <c r="O23" s="198"/>
      <c r="P23" s="380"/>
      <c r="Q23" s="380"/>
      <c r="R23" s="198"/>
    </row>
    <row r="24" spans="1:18">
      <c r="A24" s="637"/>
      <c r="B24" s="640"/>
      <c r="C24" s="203" t="s">
        <v>187</v>
      </c>
      <c r="D24" s="630" t="s">
        <v>542</v>
      </c>
      <c r="E24" s="631"/>
      <c r="F24" s="632"/>
      <c r="G24" s="199">
        <v>24</v>
      </c>
      <c r="H24" s="201">
        <v>3267.1187397653316</v>
      </c>
      <c r="I24" s="202">
        <v>136.12994749022218</v>
      </c>
      <c r="J24" s="350">
        <v>6.9151789093069738E-2</v>
      </c>
      <c r="K24" s="620" t="s">
        <v>405</v>
      </c>
      <c r="L24" s="621"/>
      <c r="M24" s="98"/>
      <c r="O24" s="198"/>
      <c r="P24" s="380"/>
      <c r="Q24" s="380"/>
      <c r="R24" s="198"/>
    </row>
    <row r="25" spans="1:18">
      <c r="A25" s="637"/>
      <c r="B25" s="640"/>
      <c r="C25" s="203" t="s">
        <v>192</v>
      </c>
      <c r="D25" s="630" t="s">
        <v>530</v>
      </c>
      <c r="E25" s="631"/>
      <c r="F25" s="632"/>
      <c r="G25" s="199">
        <v>24</v>
      </c>
      <c r="H25" s="201">
        <v>3267.2659825817213</v>
      </c>
      <c r="I25" s="202">
        <v>136.13608260757172</v>
      </c>
      <c r="J25" s="350">
        <v>7.5368595813216643E-2</v>
      </c>
      <c r="K25" s="620" t="s">
        <v>405</v>
      </c>
      <c r="L25" s="621"/>
      <c r="M25" s="98"/>
      <c r="O25" s="198"/>
      <c r="P25" s="380"/>
      <c r="Q25" s="380"/>
      <c r="R25" s="198"/>
    </row>
    <row r="26" spans="1:18">
      <c r="A26" s="637"/>
      <c r="B26" s="640"/>
      <c r="C26" s="203" t="s">
        <v>188</v>
      </c>
      <c r="D26" s="630" t="s">
        <v>610</v>
      </c>
      <c r="E26" s="631"/>
      <c r="F26" s="632"/>
      <c r="G26" s="199">
        <v>22</v>
      </c>
      <c r="H26" s="201">
        <v>3263.7566377250323</v>
      </c>
      <c r="I26" s="202">
        <v>148.35257444204692</v>
      </c>
      <c r="J26" s="350">
        <v>5.963314243613496</v>
      </c>
      <c r="K26" s="620" t="s">
        <v>405</v>
      </c>
      <c r="L26" s="621"/>
      <c r="M26" s="98"/>
      <c r="O26" s="198"/>
      <c r="P26" s="380"/>
      <c r="Q26" s="380"/>
      <c r="R26" s="198"/>
    </row>
    <row r="27" spans="1:18">
      <c r="A27" s="637"/>
      <c r="B27" s="640"/>
      <c r="C27" s="203" t="s">
        <v>193</v>
      </c>
      <c r="D27" s="630"/>
      <c r="E27" s="631"/>
      <c r="F27" s="632"/>
      <c r="G27" s="199"/>
      <c r="H27" s="201"/>
      <c r="I27" s="202"/>
      <c r="J27" s="199"/>
      <c r="K27" s="630"/>
      <c r="L27" s="632"/>
      <c r="M27" s="98"/>
      <c r="O27" s="198"/>
      <c r="P27" s="380"/>
      <c r="Q27" s="380"/>
      <c r="R27" s="198"/>
    </row>
    <row r="28" spans="1:18">
      <c r="A28" s="638"/>
      <c r="B28" s="641"/>
      <c r="C28" s="203" t="s">
        <v>194</v>
      </c>
      <c r="D28" s="630"/>
      <c r="E28" s="631"/>
      <c r="F28" s="632"/>
      <c r="G28" s="199"/>
      <c r="H28" s="201"/>
      <c r="I28" s="202"/>
      <c r="J28" s="199"/>
      <c r="K28" s="630"/>
      <c r="L28" s="632"/>
      <c r="M28" s="98"/>
      <c r="O28" s="198"/>
      <c r="P28" s="380"/>
      <c r="Q28" s="380"/>
      <c r="R28" s="198"/>
    </row>
    <row r="29" spans="1:18" s="188" customFormat="1" ht="15.75" customHeight="1">
      <c r="A29" s="626" t="s">
        <v>627</v>
      </c>
      <c r="B29" s="626"/>
      <c r="C29" s="626"/>
      <c r="D29" s="626"/>
      <c r="E29" s="626"/>
      <c r="F29" s="626"/>
      <c r="G29" s="626"/>
      <c r="H29" s="626"/>
      <c r="I29" s="626"/>
      <c r="J29" s="626"/>
      <c r="K29" s="626"/>
      <c r="L29" s="626"/>
    </row>
    <row r="30" spans="1:18" s="189" customFormat="1" ht="15.75" customHeight="1">
      <c r="A30" s="626"/>
      <c r="B30" s="626"/>
      <c r="C30" s="626"/>
      <c r="D30" s="626"/>
      <c r="E30" s="626"/>
      <c r="F30" s="626"/>
      <c r="G30" s="626"/>
      <c r="H30" s="626"/>
      <c r="I30" s="626"/>
      <c r="J30" s="626"/>
      <c r="K30" s="626"/>
      <c r="L30" s="626"/>
    </row>
    <row r="31" spans="1:18" s="105" customFormat="1" ht="16.350000000000001" customHeight="1">
      <c r="A31" s="636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38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3" t="s">
        <v>191</v>
      </c>
      <c r="I32" s="208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42" t="s">
        <v>171</v>
      </c>
      <c r="B33" s="643"/>
      <c r="C33" s="159" t="s">
        <v>47</v>
      </c>
      <c r="D33" s="642" t="s">
        <v>12</v>
      </c>
      <c r="E33" s="644"/>
      <c r="F33" s="643"/>
      <c r="G33" s="159" t="s">
        <v>46</v>
      </c>
      <c r="H33" s="159" t="s">
        <v>352</v>
      </c>
      <c r="I33" s="159" t="s">
        <v>353</v>
      </c>
      <c r="J33" s="159" t="s">
        <v>311</v>
      </c>
      <c r="K33" s="642" t="s">
        <v>51</v>
      </c>
      <c r="L33" s="643"/>
      <c r="M33" s="126"/>
      <c r="N33" s="188"/>
      <c r="O33" s="198"/>
      <c r="P33" s="380"/>
      <c r="Q33" s="380"/>
      <c r="R33" s="198"/>
    </row>
    <row r="34" spans="1:18">
      <c r="A34" s="636">
        <v>7</v>
      </c>
      <c r="B34" s="639" t="s">
        <v>356</v>
      </c>
      <c r="C34" s="199">
        <v>1</v>
      </c>
      <c r="D34" s="646"/>
      <c r="E34" s="621"/>
      <c r="F34" s="621"/>
      <c r="G34" s="199"/>
      <c r="H34" s="201"/>
      <c r="I34" s="202"/>
      <c r="J34" s="199"/>
      <c r="K34" s="630"/>
      <c r="L34" s="632"/>
      <c r="N34" s="381"/>
      <c r="O34" s="198"/>
      <c r="P34" s="380"/>
      <c r="Q34" s="380"/>
      <c r="R34" s="198"/>
    </row>
    <row r="35" spans="1:18">
      <c r="A35" s="637"/>
      <c r="B35" s="640"/>
      <c r="C35" s="199">
        <v>2</v>
      </c>
      <c r="D35" s="646"/>
      <c r="E35" s="621"/>
      <c r="F35" s="621"/>
      <c r="G35" s="199"/>
      <c r="H35" s="201"/>
      <c r="I35" s="202"/>
      <c r="J35" s="199"/>
      <c r="K35" s="630"/>
      <c r="L35" s="632"/>
      <c r="O35" s="198"/>
      <c r="P35" s="380"/>
      <c r="Q35" s="380"/>
      <c r="R35" s="198"/>
    </row>
    <row r="36" spans="1:18">
      <c r="A36" s="637"/>
      <c r="B36" s="640"/>
      <c r="C36" s="199">
        <v>3</v>
      </c>
      <c r="D36" s="630"/>
      <c r="E36" s="631"/>
      <c r="F36" s="632"/>
      <c r="G36" s="199"/>
      <c r="H36" s="201"/>
      <c r="I36" s="202"/>
      <c r="J36" s="199"/>
      <c r="K36" s="630"/>
      <c r="L36" s="632"/>
      <c r="O36" s="198"/>
      <c r="P36" s="380"/>
      <c r="Q36" s="380"/>
      <c r="R36" s="198"/>
    </row>
    <row r="37" spans="1:18">
      <c r="A37" s="637"/>
      <c r="B37" s="640"/>
      <c r="C37" s="199">
        <v>4</v>
      </c>
      <c r="D37" s="630"/>
      <c r="E37" s="631"/>
      <c r="F37" s="632"/>
      <c r="G37" s="199"/>
      <c r="H37" s="201"/>
      <c r="I37" s="202"/>
      <c r="J37" s="199"/>
      <c r="K37" s="630"/>
      <c r="L37" s="632"/>
      <c r="O37" s="198"/>
      <c r="P37" s="380"/>
      <c r="Q37" s="380"/>
      <c r="R37" s="198"/>
    </row>
    <row r="38" spans="1:18">
      <c r="A38" s="637"/>
      <c r="B38" s="640"/>
      <c r="C38" s="199">
        <v>5</v>
      </c>
      <c r="D38" s="630"/>
      <c r="E38" s="631"/>
      <c r="F38" s="632"/>
      <c r="G38" s="199"/>
      <c r="H38" s="201"/>
      <c r="I38" s="202"/>
      <c r="J38" s="199"/>
      <c r="K38" s="630"/>
      <c r="L38" s="632"/>
      <c r="N38" s="177"/>
      <c r="O38" s="198"/>
      <c r="P38" s="380"/>
      <c r="Q38" s="380"/>
      <c r="R38" s="198"/>
    </row>
    <row r="39" spans="1:18">
      <c r="A39" s="637"/>
      <c r="B39" s="640"/>
      <c r="C39" s="203" t="s">
        <v>187</v>
      </c>
      <c r="D39" s="630"/>
      <c r="E39" s="631"/>
      <c r="F39" s="632"/>
      <c r="G39" s="199"/>
      <c r="H39" s="201"/>
      <c r="I39" s="202"/>
      <c r="J39" s="199"/>
      <c r="K39" s="630"/>
      <c r="L39" s="632"/>
      <c r="N39" s="381"/>
      <c r="O39" s="198"/>
      <c r="P39" s="380"/>
      <c r="Q39" s="380"/>
      <c r="R39" s="198"/>
    </row>
    <row r="40" spans="1:18">
      <c r="A40" s="637"/>
      <c r="B40" s="640"/>
      <c r="C40" s="203" t="s">
        <v>192</v>
      </c>
      <c r="D40" s="630"/>
      <c r="E40" s="631"/>
      <c r="F40" s="632"/>
      <c r="G40" s="199"/>
      <c r="H40" s="201"/>
      <c r="I40" s="202"/>
      <c r="J40" s="199"/>
      <c r="K40" s="630"/>
      <c r="L40" s="632"/>
      <c r="O40" s="198"/>
      <c r="P40" s="380"/>
      <c r="Q40" s="380"/>
      <c r="R40" s="198"/>
    </row>
    <row r="41" spans="1:18">
      <c r="A41" s="637"/>
      <c r="B41" s="640"/>
      <c r="C41" s="203" t="s">
        <v>188</v>
      </c>
      <c r="D41" s="630"/>
      <c r="E41" s="631"/>
      <c r="F41" s="632"/>
      <c r="G41" s="199"/>
      <c r="H41" s="201"/>
      <c r="I41" s="202"/>
      <c r="J41" s="199"/>
      <c r="K41" s="630"/>
      <c r="L41" s="632"/>
      <c r="O41" s="198"/>
      <c r="P41" s="380"/>
      <c r="Q41" s="380"/>
      <c r="R41" s="198"/>
    </row>
    <row r="42" spans="1:18">
      <c r="A42" s="637"/>
      <c r="B42" s="640"/>
      <c r="C42" s="203" t="s">
        <v>193</v>
      </c>
      <c r="D42" s="630"/>
      <c r="E42" s="631"/>
      <c r="F42" s="632"/>
      <c r="G42" s="199"/>
      <c r="H42" s="201"/>
      <c r="I42" s="202"/>
      <c r="J42" s="199"/>
      <c r="K42" s="630"/>
      <c r="L42" s="632"/>
      <c r="M42" s="98"/>
      <c r="O42" s="198"/>
      <c r="P42" s="380"/>
      <c r="Q42" s="380"/>
      <c r="R42" s="198"/>
    </row>
    <row r="43" spans="1:18">
      <c r="A43" s="638"/>
      <c r="B43" s="641"/>
      <c r="C43" s="203" t="s">
        <v>194</v>
      </c>
      <c r="D43" s="630"/>
      <c r="E43" s="631"/>
      <c r="F43" s="632"/>
      <c r="G43" s="199"/>
      <c r="H43" s="201"/>
      <c r="I43" s="202"/>
      <c r="J43" s="199"/>
      <c r="K43" s="630"/>
      <c r="L43" s="632"/>
      <c r="M43" s="98"/>
      <c r="N43" s="198"/>
      <c r="O43" s="198"/>
      <c r="P43" s="380"/>
      <c r="Q43" s="380"/>
      <c r="R43" s="198"/>
    </row>
    <row r="44" spans="1:18" s="103" customFormat="1">
      <c r="A44" s="633" t="s">
        <v>171</v>
      </c>
      <c r="B44" s="635"/>
      <c r="C44" s="206" t="s">
        <v>47</v>
      </c>
      <c r="D44" s="633" t="s">
        <v>12</v>
      </c>
      <c r="E44" s="634"/>
      <c r="F44" s="635"/>
      <c r="G44" s="206" t="s">
        <v>46</v>
      </c>
      <c r="H44" s="206" t="s">
        <v>352</v>
      </c>
      <c r="I44" s="206" t="s">
        <v>353</v>
      </c>
      <c r="J44" s="159" t="s">
        <v>311</v>
      </c>
      <c r="K44" s="633" t="s">
        <v>51</v>
      </c>
      <c r="L44" s="635"/>
      <c r="M44" s="127"/>
      <c r="N44" s="188"/>
      <c r="O44" s="198"/>
      <c r="P44" s="380"/>
      <c r="Q44" s="380"/>
      <c r="R44" s="198"/>
    </row>
    <row r="45" spans="1:18">
      <c r="A45" s="636">
        <v>8</v>
      </c>
      <c r="B45" s="639" t="s">
        <v>357</v>
      </c>
      <c r="C45" s="199">
        <v>1</v>
      </c>
      <c r="D45" s="630" t="s">
        <v>494</v>
      </c>
      <c r="E45" s="631"/>
      <c r="F45" s="632"/>
      <c r="G45" s="199">
        <v>19</v>
      </c>
      <c r="H45" s="201">
        <v>3193.9944520161762</v>
      </c>
      <c r="I45" s="202">
        <v>168.10497115874614</v>
      </c>
      <c r="J45" s="350">
        <f>I45-I20</f>
        <v>0.12703434470085995</v>
      </c>
      <c r="K45" s="620" t="s">
        <v>405</v>
      </c>
      <c r="L45" s="621"/>
      <c r="M45" s="98"/>
      <c r="O45" s="198"/>
      <c r="P45" s="380"/>
      <c r="Q45" s="380"/>
      <c r="R45" s="198"/>
    </row>
    <row r="46" spans="1:18">
      <c r="A46" s="637"/>
      <c r="B46" s="640"/>
      <c r="C46" s="199">
        <v>2</v>
      </c>
      <c r="D46" s="630" t="s">
        <v>535</v>
      </c>
      <c r="E46" s="631"/>
      <c r="F46" s="632"/>
      <c r="G46" s="199">
        <v>19</v>
      </c>
      <c r="H46" s="201">
        <v>3192.2953150191497</v>
      </c>
      <c r="I46" s="202">
        <v>168.01554289574474</v>
      </c>
      <c r="J46" s="350">
        <f>I46-I19</f>
        <v>-2.2296794453637858E-2</v>
      </c>
      <c r="K46" s="620" t="s">
        <v>405</v>
      </c>
      <c r="L46" s="621"/>
      <c r="M46" s="98"/>
      <c r="O46" s="177"/>
      <c r="P46" s="379"/>
      <c r="Q46" s="379"/>
      <c r="R46" s="177"/>
    </row>
    <row r="47" spans="1:18">
      <c r="A47" s="637"/>
      <c r="B47" s="640"/>
      <c r="C47" s="199">
        <v>3</v>
      </c>
      <c r="D47" s="630" t="s">
        <v>492</v>
      </c>
      <c r="E47" s="631"/>
      <c r="F47" s="632"/>
      <c r="G47" s="199">
        <v>20</v>
      </c>
      <c r="H47" s="201">
        <v>3267.3469793534973</v>
      </c>
      <c r="I47" s="202">
        <v>163.3673489676749</v>
      </c>
      <c r="J47" s="350">
        <f>I47-I21</f>
        <v>1.9839501123755099E-2</v>
      </c>
      <c r="K47" s="620" t="s">
        <v>405</v>
      </c>
      <c r="L47" s="621"/>
      <c r="M47" s="98"/>
      <c r="O47" s="198"/>
      <c r="P47" s="380"/>
      <c r="Q47" s="380"/>
      <c r="R47" s="198"/>
    </row>
    <row r="48" spans="1:18">
      <c r="A48" s="637"/>
      <c r="B48" s="640"/>
      <c r="C48" s="199">
        <v>4</v>
      </c>
      <c r="D48" s="630" t="s">
        <v>578</v>
      </c>
      <c r="E48" s="631"/>
      <c r="F48" s="632"/>
      <c r="G48" s="199">
        <v>20</v>
      </c>
      <c r="H48" s="201">
        <v>3261.4338532923257</v>
      </c>
      <c r="I48" s="202">
        <v>163.07169266461628</v>
      </c>
      <c r="J48" s="350">
        <f>I48-I22</f>
        <v>2.3142857142886442E-2</v>
      </c>
      <c r="K48" s="620" t="s">
        <v>405</v>
      </c>
      <c r="L48" s="621"/>
      <c r="M48" s="98"/>
      <c r="O48" s="198"/>
      <c r="P48" s="380"/>
      <c r="Q48" s="380"/>
      <c r="R48" s="198"/>
    </row>
    <row r="49" spans="1:18">
      <c r="A49" s="637"/>
      <c r="B49" s="640"/>
      <c r="C49" s="199">
        <v>5</v>
      </c>
      <c r="D49" s="630" t="s">
        <v>493</v>
      </c>
      <c r="E49" s="631"/>
      <c r="F49" s="632"/>
      <c r="G49" s="199">
        <v>21</v>
      </c>
      <c r="H49" s="201">
        <v>3268.7777543417183</v>
      </c>
      <c r="I49" s="202">
        <v>155.65608354008182</v>
      </c>
      <c r="J49" s="350">
        <f>I49-I23</f>
        <v>6.9702493714203229E-2</v>
      </c>
      <c r="K49" s="620" t="s">
        <v>405</v>
      </c>
      <c r="L49" s="621"/>
      <c r="M49" s="98"/>
      <c r="O49" s="198"/>
      <c r="P49" s="380"/>
      <c r="Q49" s="380"/>
      <c r="R49" s="198"/>
    </row>
    <row r="50" spans="1:18">
      <c r="A50" s="637"/>
      <c r="B50" s="640"/>
      <c r="C50" s="203" t="s">
        <v>187</v>
      </c>
      <c r="D50" s="630" t="s">
        <v>530</v>
      </c>
      <c r="E50" s="631"/>
      <c r="F50" s="632"/>
      <c r="G50" s="199">
        <v>24</v>
      </c>
      <c r="H50" s="201">
        <v>3267.7442866123492</v>
      </c>
      <c r="I50" s="202">
        <v>136.15601194218124</v>
      </c>
      <c r="J50" s="350">
        <f>I50-I25</f>
        <v>1.9929334609514626E-2</v>
      </c>
      <c r="K50" s="620" t="s">
        <v>405</v>
      </c>
      <c r="L50" s="621"/>
      <c r="M50" s="98"/>
      <c r="O50" s="198"/>
      <c r="P50" s="380"/>
      <c r="Q50" s="380"/>
      <c r="R50" s="198"/>
    </row>
    <row r="51" spans="1:18">
      <c r="A51" s="637"/>
      <c r="B51" s="640"/>
      <c r="C51" s="203" t="s">
        <v>192</v>
      </c>
      <c r="D51" s="630" t="s">
        <v>542</v>
      </c>
      <c r="E51" s="631"/>
      <c r="F51" s="632"/>
      <c r="G51" s="199">
        <v>24</v>
      </c>
      <c r="H51" s="201">
        <v>3269.0295530584544</v>
      </c>
      <c r="I51" s="202">
        <v>136.20956471076894</v>
      </c>
      <c r="J51" s="350">
        <f>I51-I24</f>
        <v>7.9617220546765566E-2</v>
      </c>
      <c r="K51" s="620" t="s">
        <v>405</v>
      </c>
      <c r="L51" s="621"/>
      <c r="M51" s="98"/>
      <c r="O51" s="198"/>
      <c r="P51" s="380"/>
      <c r="Q51" s="380"/>
      <c r="R51" s="198"/>
    </row>
    <row r="52" spans="1:18">
      <c r="A52" s="637"/>
      <c r="B52" s="640"/>
      <c r="C52" s="203" t="s">
        <v>188</v>
      </c>
      <c r="D52" s="630" t="s">
        <v>659</v>
      </c>
      <c r="E52" s="631"/>
      <c r="F52" s="632"/>
      <c r="G52" s="199">
        <v>21</v>
      </c>
      <c r="H52" s="201">
        <v>3106.8811845978585</v>
      </c>
      <c r="I52" s="202">
        <v>147.94672307608852</v>
      </c>
      <c r="J52" s="350"/>
      <c r="K52" s="629" t="s">
        <v>669</v>
      </c>
      <c r="L52" s="621"/>
      <c r="M52" s="98"/>
      <c r="O52" s="198"/>
      <c r="P52" s="380"/>
      <c r="Q52" s="380"/>
      <c r="R52" s="198"/>
    </row>
    <row r="53" spans="1:18">
      <c r="A53" s="637"/>
      <c r="B53" s="640"/>
      <c r="C53" s="203" t="s">
        <v>193</v>
      </c>
      <c r="D53" s="630" t="s">
        <v>610</v>
      </c>
      <c r="E53" s="631"/>
      <c r="F53" s="632"/>
      <c r="G53" s="199">
        <v>22</v>
      </c>
      <c r="H53" s="201">
        <v>3263.1652091536039</v>
      </c>
      <c r="I53" s="202">
        <v>148.32569132516383</v>
      </c>
      <c r="J53" s="350">
        <f>I53-I26</f>
        <v>-2.6883116883084313E-2</v>
      </c>
      <c r="K53" s="620" t="s">
        <v>405</v>
      </c>
      <c r="L53" s="621"/>
      <c r="M53" s="98"/>
      <c r="O53" s="198"/>
      <c r="P53" s="380"/>
      <c r="Q53" s="380"/>
      <c r="R53" s="198"/>
    </row>
    <row r="54" spans="1:18">
      <c r="A54" s="638"/>
      <c r="B54" s="641"/>
      <c r="C54" s="203" t="s">
        <v>194</v>
      </c>
      <c r="D54" s="630"/>
      <c r="E54" s="631"/>
      <c r="F54" s="632"/>
      <c r="G54" s="199"/>
      <c r="H54" s="201"/>
      <c r="I54" s="202"/>
      <c r="J54" s="199"/>
      <c r="K54" s="630"/>
      <c r="L54" s="632"/>
      <c r="M54" s="98"/>
      <c r="O54" s="198"/>
      <c r="P54" s="380"/>
      <c r="Q54" s="380"/>
      <c r="R54" s="198"/>
    </row>
    <row r="55" spans="1:18" s="188" customFormat="1" ht="15.75" customHeight="1">
      <c r="A55" s="626" t="s">
        <v>643</v>
      </c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</row>
    <row r="56" spans="1:18" s="189" customFormat="1" ht="15.75" customHeight="1">
      <c r="A56" s="626"/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</row>
    <row r="57" spans="1:18" s="105" customFormat="1" ht="16.350000000000001" customHeight="1">
      <c r="A57" s="636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38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3" t="s">
        <v>191</v>
      </c>
      <c r="I58" s="208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42" t="s">
        <v>171</v>
      </c>
      <c r="B59" s="643"/>
      <c r="C59" s="159" t="s">
        <v>47</v>
      </c>
      <c r="D59" s="642" t="s">
        <v>12</v>
      </c>
      <c r="E59" s="644"/>
      <c r="F59" s="643"/>
      <c r="G59" s="159" t="s">
        <v>46</v>
      </c>
      <c r="H59" s="159" t="s">
        <v>352</v>
      </c>
      <c r="I59" s="159" t="s">
        <v>353</v>
      </c>
      <c r="J59" s="159" t="s">
        <v>311</v>
      </c>
      <c r="K59" s="642" t="s">
        <v>51</v>
      </c>
      <c r="L59" s="643"/>
      <c r="M59" s="126"/>
      <c r="N59" s="188"/>
      <c r="O59" s="198"/>
      <c r="P59" s="380"/>
      <c r="Q59" s="380"/>
      <c r="R59" s="198"/>
    </row>
    <row r="60" spans="1:18">
      <c r="A60" s="636">
        <v>7</v>
      </c>
      <c r="B60" s="639" t="s">
        <v>356</v>
      </c>
      <c r="C60" s="199">
        <v>1</v>
      </c>
      <c r="D60" s="646"/>
      <c r="E60" s="621"/>
      <c r="F60" s="621"/>
      <c r="G60" s="199"/>
      <c r="H60" s="201"/>
      <c r="I60" s="202"/>
      <c r="J60" s="199"/>
      <c r="K60" s="630"/>
      <c r="L60" s="632"/>
      <c r="N60" s="381"/>
      <c r="O60" s="198"/>
      <c r="P60" s="380"/>
      <c r="Q60" s="380"/>
      <c r="R60" s="198"/>
    </row>
    <row r="61" spans="1:18">
      <c r="A61" s="637"/>
      <c r="B61" s="640"/>
      <c r="C61" s="199">
        <v>2</v>
      </c>
      <c r="D61" s="646"/>
      <c r="E61" s="621"/>
      <c r="F61" s="621"/>
      <c r="G61" s="199"/>
      <c r="H61" s="201"/>
      <c r="I61" s="202"/>
      <c r="J61" s="199"/>
      <c r="K61" s="630"/>
      <c r="L61" s="632"/>
      <c r="O61" s="198"/>
      <c r="P61" s="380"/>
      <c r="Q61" s="380"/>
      <c r="R61" s="198"/>
    </row>
    <row r="62" spans="1:18">
      <c r="A62" s="637"/>
      <c r="B62" s="640"/>
      <c r="C62" s="199">
        <v>3</v>
      </c>
      <c r="D62" s="646"/>
      <c r="E62" s="621"/>
      <c r="F62" s="621"/>
      <c r="G62" s="199"/>
      <c r="H62" s="201"/>
      <c r="I62" s="202"/>
      <c r="J62" s="199"/>
      <c r="K62" s="630"/>
      <c r="L62" s="632"/>
      <c r="O62" s="198"/>
      <c r="P62" s="380"/>
      <c r="Q62" s="380"/>
      <c r="R62" s="198"/>
    </row>
    <row r="63" spans="1:18">
      <c r="A63" s="637"/>
      <c r="B63" s="640"/>
      <c r="C63" s="199">
        <v>4</v>
      </c>
      <c r="D63" s="646"/>
      <c r="E63" s="621"/>
      <c r="F63" s="621"/>
      <c r="G63" s="199"/>
      <c r="H63" s="201"/>
      <c r="I63" s="202"/>
      <c r="J63" s="199"/>
      <c r="K63" s="630"/>
      <c r="L63" s="632"/>
      <c r="O63" s="198"/>
      <c r="P63" s="380"/>
      <c r="Q63" s="380"/>
      <c r="R63" s="198"/>
    </row>
    <row r="64" spans="1:18">
      <c r="A64" s="637"/>
      <c r="B64" s="640"/>
      <c r="C64" s="199">
        <v>5</v>
      </c>
      <c r="D64" s="646"/>
      <c r="E64" s="621"/>
      <c r="F64" s="621"/>
      <c r="G64" s="199"/>
      <c r="H64" s="201"/>
      <c r="I64" s="202"/>
      <c r="J64" s="199"/>
      <c r="K64" s="630"/>
      <c r="L64" s="632"/>
      <c r="N64" s="177"/>
      <c r="O64" s="198"/>
      <c r="P64" s="380"/>
      <c r="Q64" s="380"/>
      <c r="R64" s="198"/>
    </row>
    <row r="65" spans="1:18">
      <c r="A65" s="637"/>
      <c r="B65" s="640"/>
      <c r="C65" s="203" t="s">
        <v>187</v>
      </c>
      <c r="D65" s="630"/>
      <c r="E65" s="631"/>
      <c r="F65" s="632"/>
      <c r="G65" s="199"/>
      <c r="H65" s="201"/>
      <c r="I65" s="202"/>
      <c r="J65" s="199"/>
      <c r="K65" s="630"/>
      <c r="L65" s="632"/>
      <c r="N65" s="381"/>
      <c r="O65" s="198"/>
      <c r="P65" s="380"/>
      <c r="Q65" s="380"/>
      <c r="R65" s="198"/>
    </row>
    <row r="66" spans="1:18">
      <c r="A66" s="637"/>
      <c r="B66" s="640"/>
      <c r="C66" s="203" t="s">
        <v>192</v>
      </c>
      <c r="D66" s="630"/>
      <c r="E66" s="631"/>
      <c r="F66" s="632"/>
      <c r="G66" s="199"/>
      <c r="H66" s="201"/>
      <c r="I66" s="202"/>
      <c r="J66" s="199"/>
      <c r="K66" s="630"/>
      <c r="L66" s="632"/>
      <c r="O66" s="198"/>
      <c r="P66" s="380"/>
      <c r="Q66" s="380"/>
      <c r="R66" s="198"/>
    </row>
    <row r="67" spans="1:18">
      <c r="A67" s="637"/>
      <c r="B67" s="640"/>
      <c r="C67" s="203" t="s">
        <v>188</v>
      </c>
      <c r="D67" s="630"/>
      <c r="E67" s="631"/>
      <c r="F67" s="632"/>
      <c r="G67" s="199"/>
      <c r="H67" s="201"/>
      <c r="I67" s="202"/>
      <c r="J67" s="199"/>
      <c r="K67" s="630"/>
      <c r="L67" s="632"/>
      <c r="O67" s="198"/>
      <c r="P67" s="380"/>
      <c r="Q67" s="380"/>
      <c r="R67" s="198"/>
    </row>
    <row r="68" spans="1:18">
      <c r="A68" s="637"/>
      <c r="B68" s="640"/>
      <c r="C68" s="203" t="s">
        <v>193</v>
      </c>
      <c r="D68" s="630"/>
      <c r="E68" s="631"/>
      <c r="F68" s="632"/>
      <c r="G68" s="199"/>
      <c r="H68" s="201"/>
      <c r="I68" s="202"/>
      <c r="J68" s="199"/>
      <c r="K68" s="630"/>
      <c r="L68" s="632"/>
      <c r="M68" s="98"/>
      <c r="O68" s="198"/>
      <c r="P68" s="380"/>
      <c r="Q68" s="380"/>
      <c r="R68" s="198"/>
    </row>
    <row r="69" spans="1:18">
      <c r="A69" s="638"/>
      <c r="B69" s="641"/>
      <c r="C69" s="203" t="s">
        <v>194</v>
      </c>
      <c r="D69" s="630"/>
      <c r="E69" s="631"/>
      <c r="F69" s="632"/>
      <c r="G69" s="199"/>
      <c r="H69" s="201"/>
      <c r="I69" s="202"/>
      <c r="J69" s="199"/>
      <c r="K69" s="630"/>
      <c r="L69" s="632"/>
      <c r="M69" s="98"/>
      <c r="N69" s="198"/>
      <c r="O69" s="198"/>
      <c r="P69" s="380"/>
      <c r="Q69" s="380"/>
      <c r="R69" s="198"/>
    </row>
    <row r="70" spans="1:18" s="103" customFormat="1">
      <c r="A70" s="633" t="s">
        <v>171</v>
      </c>
      <c r="B70" s="635"/>
      <c r="C70" s="206" t="s">
        <v>47</v>
      </c>
      <c r="D70" s="633" t="s">
        <v>12</v>
      </c>
      <c r="E70" s="634"/>
      <c r="F70" s="635"/>
      <c r="G70" s="206" t="s">
        <v>46</v>
      </c>
      <c r="H70" s="206" t="s">
        <v>352</v>
      </c>
      <c r="I70" s="206" t="s">
        <v>353</v>
      </c>
      <c r="J70" s="159" t="s">
        <v>311</v>
      </c>
      <c r="K70" s="633" t="s">
        <v>51</v>
      </c>
      <c r="L70" s="635"/>
      <c r="M70" s="127"/>
      <c r="N70" s="188"/>
      <c r="O70" s="198"/>
      <c r="P70" s="380"/>
      <c r="Q70" s="380"/>
      <c r="R70" s="198"/>
    </row>
    <row r="71" spans="1:18">
      <c r="A71" s="636">
        <v>8</v>
      </c>
      <c r="B71" s="639" t="s">
        <v>357</v>
      </c>
      <c r="C71" s="199">
        <v>1</v>
      </c>
      <c r="D71" s="646" t="s">
        <v>494</v>
      </c>
      <c r="E71" s="621"/>
      <c r="F71" s="621"/>
      <c r="G71" s="199">
        <v>19</v>
      </c>
      <c r="H71" s="201">
        <v>3192.4429535813078</v>
      </c>
      <c r="I71" s="202">
        <v>168.02331334638464</v>
      </c>
      <c r="J71" s="350">
        <f t="shared" ref="J71:J78" si="0">I71-I45</f>
        <v>-8.1657812361498827E-2</v>
      </c>
      <c r="K71" s="620" t="s">
        <v>405</v>
      </c>
      <c r="L71" s="621"/>
      <c r="M71" s="98"/>
      <c r="O71" s="198"/>
      <c r="P71" s="380"/>
      <c r="Q71" s="380"/>
      <c r="R71" s="198"/>
    </row>
    <row r="72" spans="1:18">
      <c r="A72" s="637"/>
      <c r="B72" s="640"/>
      <c r="C72" s="199">
        <v>2</v>
      </c>
      <c r="D72" s="646" t="s">
        <v>535</v>
      </c>
      <c r="E72" s="621"/>
      <c r="F72" s="621"/>
      <c r="G72" s="199">
        <v>19</v>
      </c>
      <c r="H72" s="201">
        <v>3191.6695649779685</v>
      </c>
      <c r="I72" s="202">
        <v>167.98260868305098</v>
      </c>
      <c r="J72" s="350">
        <f t="shared" si="0"/>
        <v>-3.2934212693760401E-2</v>
      </c>
      <c r="K72" s="620" t="s">
        <v>405</v>
      </c>
      <c r="L72" s="621"/>
      <c r="M72" s="98"/>
      <c r="O72" s="177"/>
      <c r="P72" s="379"/>
      <c r="Q72" s="379"/>
      <c r="R72" s="177"/>
    </row>
    <row r="73" spans="1:18">
      <c r="A73" s="637"/>
      <c r="B73" s="640"/>
      <c r="C73" s="199">
        <v>3</v>
      </c>
      <c r="D73" s="646" t="s">
        <v>492</v>
      </c>
      <c r="E73" s="621"/>
      <c r="F73" s="621"/>
      <c r="G73" s="199">
        <v>20</v>
      </c>
      <c r="H73" s="201">
        <v>3268.8898364963547</v>
      </c>
      <c r="I73" s="202">
        <v>163.44449182481776</v>
      </c>
      <c r="J73" s="350">
        <f t="shared" si="0"/>
        <v>7.7142857142860066E-2</v>
      </c>
      <c r="K73" s="620" t="s">
        <v>405</v>
      </c>
      <c r="L73" s="621"/>
      <c r="M73" s="98"/>
      <c r="O73" s="198"/>
      <c r="P73" s="380"/>
      <c r="Q73" s="380"/>
      <c r="R73" s="198"/>
    </row>
    <row r="74" spans="1:18">
      <c r="A74" s="637"/>
      <c r="B74" s="640"/>
      <c r="C74" s="199">
        <v>4</v>
      </c>
      <c r="D74" s="646" t="s">
        <v>578</v>
      </c>
      <c r="E74" s="621"/>
      <c r="F74" s="621"/>
      <c r="G74" s="199">
        <v>20</v>
      </c>
      <c r="H74" s="201">
        <v>3262.4624247208967</v>
      </c>
      <c r="I74" s="202">
        <v>163.12312123604485</v>
      </c>
      <c r="J74" s="350">
        <f t="shared" si="0"/>
        <v>5.1428571428573377E-2</v>
      </c>
      <c r="K74" s="620" t="s">
        <v>405</v>
      </c>
      <c r="L74" s="621"/>
      <c r="M74" s="98"/>
      <c r="O74" s="198"/>
      <c r="P74" s="380"/>
      <c r="Q74" s="380"/>
      <c r="R74" s="198"/>
    </row>
    <row r="75" spans="1:18">
      <c r="A75" s="637"/>
      <c r="B75" s="640"/>
      <c r="C75" s="199">
        <v>5</v>
      </c>
      <c r="D75" s="646" t="s">
        <v>493</v>
      </c>
      <c r="E75" s="621"/>
      <c r="F75" s="621"/>
      <c r="G75" s="199">
        <v>21</v>
      </c>
      <c r="H75" s="201">
        <v>3268.7777543417178</v>
      </c>
      <c r="I75" s="202">
        <v>155.65608354008182</v>
      </c>
      <c r="J75" s="350">
        <f t="shared" si="0"/>
        <v>0</v>
      </c>
      <c r="K75" s="620" t="s">
        <v>405</v>
      </c>
      <c r="L75" s="621"/>
      <c r="M75" s="98"/>
      <c r="O75" s="198"/>
      <c r="P75" s="380"/>
      <c r="Q75" s="380"/>
      <c r="R75" s="198"/>
    </row>
    <row r="76" spans="1:18">
      <c r="A76" s="637"/>
      <c r="B76" s="640"/>
      <c r="C76" s="203" t="s">
        <v>187</v>
      </c>
      <c r="D76" s="630" t="s">
        <v>530</v>
      </c>
      <c r="E76" s="631"/>
      <c r="F76" s="632"/>
      <c r="G76" s="199">
        <v>24</v>
      </c>
      <c r="H76" s="201">
        <v>3264.7614294694918</v>
      </c>
      <c r="I76" s="202">
        <v>136.03172622789549</v>
      </c>
      <c r="J76" s="350">
        <f t="shared" si="0"/>
        <v>-0.12428571428574742</v>
      </c>
      <c r="K76" s="620" t="s">
        <v>405</v>
      </c>
      <c r="L76" s="621"/>
      <c r="M76" s="98"/>
      <c r="O76" s="198"/>
      <c r="P76" s="380"/>
      <c r="Q76" s="380"/>
      <c r="R76" s="198"/>
    </row>
    <row r="77" spans="1:18">
      <c r="A77" s="637"/>
      <c r="B77" s="640"/>
      <c r="C77" s="203" t="s">
        <v>192</v>
      </c>
      <c r="D77" s="630" t="s">
        <v>542</v>
      </c>
      <c r="E77" s="631"/>
      <c r="F77" s="632"/>
      <c r="G77" s="199">
        <v>24</v>
      </c>
      <c r="H77" s="201">
        <v>3267.5112897654326</v>
      </c>
      <c r="I77" s="202">
        <v>136.14630374022639</v>
      </c>
      <c r="J77" s="350">
        <f t="shared" si="0"/>
        <v>-6.326097054255797E-2</v>
      </c>
      <c r="K77" s="620" t="s">
        <v>405</v>
      </c>
      <c r="L77" s="621"/>
      <c r="M77" s="98"/>
      <c r="O77" s="198"/>
      <c r="P77" s="380"/>
      <c r="Q77" s="380"/>
      <c r="R77" s="198"/>
    </row>
    <row r="78" spans="1:18">
      <c r="A78" s="637"/>
      <c r="B78" s="640"/>
      <c r="C78" s="203" t="s">
        <v>188</v>
      </c>
      <c r="D78" s="630" t="s">
        <v>659</v>
      </c>
      <c r="E78" s="631"/>
      <c r="F78" s="632"/>
      <c r="G78" s="199">
        <v>21</v>
      </c>
      <c r="H78" s="201">
        <v>3192.8299533597356</v>
      </c>
      <c r="I78" s="202">
        <v>152.03952158855887</v>
      </c>
      <c r="J78" s="350">
        <f t="shared" si="0"/>
        <v>4.0927985124703525</v>
      </c>
      <c r="K78" s="629" t="s">
        <v>695</v>
      </c>
      <c r="L78" s="621"/>
      <c r="M78" s="98"/>
      <c r="O78" s="198"/>
      <c r="P78" s="380"/>
      <c r="Q78" s="380"/>
      <c r="R78" s="198"/>
    </row>
    <row r="79" spans="1:18">
      <c r="A79" s="637"/>
      <c r="B79" s="640"/>
      <c r="C79" s="203" t="s">
        <v>193</v>
      </c>
      <c r="D79" s="630"/>
      <c r="E79" s="631"/>
      <c r="F79" s="632"/>
      <c r="G79" s="199"/>
      <c r="H79" s="201"/>
      <c r="I79" s="202"/>
      <c r="J79" s="199"/>
      <c r="K79" s="630"/>
      <c r="L79" s="632"/>
      <c r="M79" s="98"/>
      <c r="O79" s="198"/>
      <c r="P79" s="380"/>
      <c r="Q79" s="380"/>
      <c r="R79" s="198"/>
    </row>
    <row r="80" spans="1:18">
      <c r="A80" s="638"/>
      <c r="B80" s="641"/>
      <c r="C80" s="203" t="s">
        <v>194</v>
      </c>
      <c r="D80" s="630"/>
      <c r="E80" s="631"/>
      <c r="F80" s="632"/>
      <c r="G80" s="199"/>
      <c r="H80" s="201"/>
      <c r="I80" s="202"/>
      <c r="J80" s="199"/>
      <c r="K80" s="630"/>
      <c r="L80" s="632"/>
      <c r="M80" s="98"/>
      <c r="O80" s="198"/>
      <c r="P80" s="380"/>
      <c r="Q80" s="380"/>
      <c r="R80" s="198"/>
    </row>
    <row r="81" spans="1:18" s="188" customFormat="1" ht="15.75" customHeight="1">
      <c r="A81" s="626" t="s">
        <v>681</v>
      </c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</row>
    <row r="82" spans="1:18" s="189" customFormat="1" ht="15.75" customHeight="1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</row>
    <row r="83" spans="1:18" s="105" customFormat="1" ht="16.350000000000001" customHeight="1">
      <c r="A83" s="636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38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3" t="s">
        <v>191</v>
      </c>
      <c r="I84" s="208" t="s">
        <v>351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42" t="s">
        <v>171</v>
      </c>
      <c r="B85" s="643"/>
      <c r="C85" s="159" t="s">
        <v>47</v>
      </c>
      <c r="D85" s="642" t="s">
        <v>12</v>
      </c>
      <c r="E85" s="644"/>
      <c r="F85" s="643"/>
      <c r="G85" s="159" t="s">
        <v>46</v>
      </c>
      <c r="H85" s="159" t="s">
        <v>352</v>
      </c>
      <c r="I85" s="159" t="s">
        <v>353</v>
      </c>
      <c r="J85" s="159" t="s">
        <v>311</v>
      </c>
      <c r="K85" s="642" t="s">
        <v>51</v>
      </c>
      <c r="L85" s="643"/>
      <c r="M85" s="126"/>
      <c r="N85" s="188"/>
      <c r="O85" s="198"/>
      <c r="P85" s="380"/>
      <c r="Q85" s="380"/>
      <c r="R85" s="198"/>
    </row>
    <row r="86" spans="1:18">
      <c r="A86" s="636">
        <v>7</v>
      </c>
      <c r="B86" s="639" t="s">
        <v>356</v>
      </c>
      <c r="C86" s="199">
        <v>1</v>
      </c>
      <c r="D86" s="646"/>
      <c r="E86" s="621"/>
      <c r="F86" s="621"/>
      <c r="G86" s="199"/>
      <c r="H86" s="201"/>
      <c r="I86" s="202"/>
      <c r="J86" s="199"/>
      <c r="K86" s="630"/>
      <c r="L86" s="632"/>
      <c r="N86" s="381"/>
      <c r="O86" s="198"/>
      <c r="P86" s="380"/>
      <c r="Q86" s="380"/>
      <c r="R86" s="198"/>
    </row>
    <row r="87" spans="1:18">
      <c r="A87" s="637"/>
      <c r="B87" s="640"/>
      <c r="C87" s="199">
        <v>2</v>
      </c>
      <c r="D87" s="646"/>
      <c r="E87" s="621"/>
      <c r="F87" s="621"/>
      <c r="G87" s="199"/>
      <c r="H87" s="201"/>
      <c r="I87" s="202"/>
      <c r="J87" s="199"/>
      <c r="K87" s="630"/>
      <c r="L87" s="632"/>
      <c r="O87" s="198"/>
      <c r="P87" s="380"/>
      <c r="Q87" s="380"/>
      <c r="R87" s="198"/>
    </row>
    <row r="88" spans="1:18">
      <c r="A88" s="637"/>
      <c r="B88" s="640"/>
      <c r="C88" s="199">
        <v>3</v>
      </c>
      <c r="D88" s="630"/>
      <c r="E88" s="631"/>
      <c r="F88" s="632"/>
      <c r="G88" s="199"/>
      <c r="H88" s="201"/>
      <c r="I88" s="202"/>
      <c r="J88" s="199"/>
      <c r="K88" s="630"/>
      <c r="L88" s="632"/>
      <c r="O88" s="198"/>
      <c r="P88" s="380"/>
      <c r="Q88" s="380"/>
      <c r="R88" s="198"/>
    </row>
    <row r="89" spans="1:18">
      <c r="A89" s="637"/>
      <c r="B89" s="640"/>
      <c r="C89" s="199">
        <v>4</v>
      </c>
      <c r="D89" s="630"/>
      <c r="E89" s="631"/>
      <c r="F89" s="632"/>
      <c r="G89" s="199"/>
      <c r="H89" s="201"/>
      <c r="I89" s="202"/>
      <c r="J89" s="199"/>
      <c r="K89" s="630"/>
      <c r="L89" s="632"/>
      <c r="O89" s="198"/>
      <c r="P89" s="380"/>
      <c r="Q89" s="380"/>
      <c r="R89" s="198"/>
    </row>
    <row r="90" spans="1:18">
      <c r="A90" s="637"/>
      <c r="B90" s="640"/>
      <c r="C90" s="199">
        <v>5</v>
      </c>
      <c r="D90" s="630"/>
      <c r="E90" s="631"/>
      <c r="F90" s="632"/>
      <c r="G90" s="199"/>
      <c r="H90" s="201"/>
      <c r="I90" s="202"/>
      <c r="J90" s="199"/>
      <c r="K90" s="630"/>
      <c r="L90" s="632"/>
      <c r="N90" s="177"/>
      <c r="O90" s="198"/>
      <c r="P90" s="380"/>
      <c r="Q90" s="380"/>
      <c r="R90" s="198"/>
    </row>
    <row r="91" spans="1:18">
      <c r="A91" s="637"/>
      <c r="B91" s="640"/>
      <c r="C91" s="203" t="s">
        <v>187</v>
      </c>
      <c r="D91" s="630"/>
      <c r="E91" s="631"/>
      <c r="F91" s="632"/>
      <c r="G91" s="199"/>
      <c r="H91" s="201"/>
      <c r="I91" s="202"/>
      <c r="J91" s="199"/>
      <c r="K91" s="630"/>
      <c r="L91" s="632"/>
      <c r="N91" s="381"/>
      <c r="O91" s="198"/>
      <c r="P91" s="380"/>
      <c r="Q91" s="380"/>
      <c r="R91" s="198"/>
    </row>
    <row r="92" spans="1:18">
      <c r="A92" s="637"/>
      <c r="B92" s="640"/>
      <c r="C92" s="203" t="s">
        <v>192</v>
      </c>
      <c r="D92" s="630"/>
      <c r="E92" s="631"/>
      <c r="F92" s="632"/>
      <c r="G92" s="199"/>
      <c r="H92" s="201"/>
      <c r="I92" s="202"/>
      <c r="J92" s="199"/>
      <c r="K92" s="630"/>
      <c r="L92" s="632"/>
      <c r="O92" s="198"/>
      <c r="P92" s="380"/>
      <c r="Q92" s="380"/>
      <c r="R92" s="198"/>
    </row>
    <row r="93" spans="1:18">
      <c r="A93" s="637"/>
      <c r="B93" s="640"/>
      <c r="C93" s="203" t="s">
        <v>188</v>
      </c>
      <c r="D93" s="630"/>
      <c r="E93" s="631"/>
      <c r="F93" s="632"/>
      <c r="G93" s="199"/>
      <c r="H93" s="201"/>
      <c r="I93" s="202"/>
      <c r="J93" s="199"/>
      <c r="K93" s="630"/>
      <c r="L93" s="632"/>
      <c r="O93" s="198"/>
      <c r="P93" s="380"/>
      <c r="Q93" s="380"/>
      <c r="R93" s="198"/>
    </row>
    <row r="94" spans="1:18">
      <c r="A94" s="637"/>
      <c r="B94" s="640"/>
      <c r="C94" s="203" t="s">
        <v>193</v>
      </c>
      <c r="D94" s="630"/>
      <c r="E94" s="631"/>
      <c r="F94" s="632"/>
      <c r="G94" s="199"/>
      <c r="H94" s="201"/>
      <c r="I94" s="202"/>
      <c r="J94" s="199"/>
      <c r="K94" s="630"/>
      <c r="L94" s="632"/>
      <c r="M94" s="98"/>
      <c r="O94" s="198"/>
      <c r="P94" s="380"/>
      <c r="Q94" s="380"/>
      <c r="R94" s="198"/>
    </row>
    <row r="95" spans="1:18">
      <c r="A95" s="638"/>
      <c r="B95" s="641"/>
      <c r="C95" s="203" t="s">
        <v>194</v>
      </c>
      <c r="D95" s="630"/>
      <c r="E95" s="631"/>
      <c r="F95" s="632"/>
      <c r="G95" s="199"/>
      <c r="H95" s="201"/>
      <c r="I95" s="202"/>
      <c r="J95" s="199"/>
      <c r="K95" s="630"/>
      <c r="L95" s="632"/>
      <c r="M95" s="98"/>
      <c r="N95" s="198"/>
      <c r="O95" s="198"/>
      <c r="P95" s="380"/>
      <c r="Q95" s="380"/>
      <c r="R95" s="198"/>
    </row>
    <row r="96" spans="1:18" s="103" customFormat="1">
      <c r="A96" s="633" t="s">
        <v>171</v>
      </c>
      <c r="B96" s="635"/>
      <c r="C96" s="206" t="s">
        <v>47</v>
      </c>
      <c r="D96" s="633" t="s">
        <v>12</v>
      </c>
      <c r="E96" s="634"/>
      <c r="F96" s="635"/>
      <c r="G96" s="206" t="s">
        <v>46</v>
      </c>
      <c r="H96" s="206" t="s">
        <v>352</v>
      </c>
      <c r="I96" s="206" t="s">
        <v>353</v>
      </c>
      <c r="J96" s="159" t="s">
        <v>311</v>
      </c>
      <c r="K96" s="633" t="s">
        <v>51</v>
      </c>
      <c r="L96" s="635"/>
      <c r="M96" s="127"/>
      <c r="N96" s="188"/>
      <c r="O96" s="198"/>
      <c r="P96" s="380"/>
      <c r="Q96" s="380"/>
      <c r="R96" s="198"/>
    </row>
    <row r="97" spans="1:18">
      <c r="A97" s="636">
        <v>8</v>
      </c>
      <c r="B97" s="639" t="s">
        <v>357</v>
      </c>
      <c r="C97" s="199">
        <v>1</v>
      </c>
      <c r="D97" s="630" t="s">
        <v>535</v>
      </c>
      <c r="E97" s="631"/>
      <c r="F97" s="632"/>
      <c r="G97" s="199">
        <v>18</v>
      </c>
      <c r="H97" s="201">
        <v>3192.5429648050526</v>
      </c>
      <c r="I97" s="202">
        <v>177.36349804472516</v>
      </c>
      <c r="J97" s="350">
        <f>I97-I72</f>
        <v>9.3808893616741784</v>
      </c>
      <c r="K97" s="620" t="s">
        <v>740</v>
      </c>
      <c r="L97" s="621"/>
      <c r="M97" s="98"/>
      <c r="O97" s="198"/>
      <c r="P97" s="380"/>
      <c r="Q97" s="380"/>
      <c r="R97" s="198"/>
    </row>
    <row r="98" spans="1:18">
      <c r="A98" s="637"/>
      <c r="B98" s="640"/>
      <c r="C98" s="199">
        <v>2</v>
      </c>
      <c r="D98" s="630" t="s">
        <v>494</v>
      </c>
      <c r="E98" s="631"/>
      <c r="F98" s="632"/>
      <c r="G98" s="199">
        <v>18</v>
      </c>
      <c r="H98" s="201">
        <v>3192.4662703610566</v>
      </c>
      <c r="I98" s="202">
        <v>177.35923724228093</v>
      </c>
      <c r="J98" s="350">
        <f>I98-I71</f>
        <v>9.3359238958962862</v>
      </c>
      <c r="K98" s="620" t="s">
        <v>740</v>
      </c>
      <c r="L98" s="621"/>
      <c r="M98" s="98"/>
      <c r="O98" s="177"/>
      <c r="P98" s="379"/>
      <c r="Q98" s="379"/>
      <c r="R98" s="177"/>
    </row>
    <row r="99" spans="1:18">
      <c r="A99" s="637"/>
      <c r="B99" s="640"/>
      <c r="C99" s="199">
        <v>3</v>
      </c>
      <c r="D99" s="630" t="s">
        <v>578</v>
      </c>
      <c r="E99" s="631"/>
      <c r="F99" s="632"/>
      <c r="G99" s="199">
        <v>19</v>
      </c>
      <c r="H99" s="201">
        <v>3266.0685622503356</v>
      </c>
      <c r="I99" s="202">
        <v>171.89834538159661</v>
      </c>
      <c r="J99" s="350">
        <f>I99-I74</f>
        <v>8.7752241455517606</v>
      </c>
      <c r="K99" s="620" t="s">
        <v>740</v>
      </c>
      <c r="L99" s="621"/>
      <c r="M99" s="98"/>
      <c r="O99" s="198"/>
      <c r="P99" s="380"/>
      <c r="Q99" s="380"/>
      <c r="R99" s="198"/>
    </row>
    <row r="100" spans="1:18">
      <c r="A100" s="637"/>
      <c r="B100" s="640"/>
      <c r="C100" s="199">
        <v>4</v>
      </c>
      <c r="D100" s="630" t="s">
        <v>492</v>
      </c>
      <c r="E100" s="631"/>
      <c r="F100" s="632"/>
      <c r="G100" s="199">
        <v>19.714285714285715</v>
      </c>
      <c r="H100" s="201">
        <v>3268.8566148898717</v>
      </c>
      <c r="I100" s="202">
        <v>165.90016909035822</v>
      </c>
      <c r="J100" s="350">
        <f>I100-I73</f>
        <v>2.4556772655404586</v>
      </c>
      <c r="K100" s="620" t="s">
        <v>741</v>
      </c>
      <c r="L100" s="621"/>
      <c r="M100" s="98"/>
      <c r="O100" s="198"/>
      <c r="P100" s="380"/>
      <c r="Q100" s="380"/>
      <c r="R100" s="198"/>
    </row>
    <row r="101" spans="1:18">
      <c r="A101" s="637"/>
      <c r="B101" s="640"/>
      <c r="C101" s="199">
        <v>5</v>
      </c>
      <c r="D101" s="630" t="s">
        <v>493</v>
      </c>
      <c r="E101" s="631"/>
      <c r="F101" s="632"/>
      <c r="G101" s="199">
        <v>20.714285714285715</v>
      </c>
      <c r="H101" s="201">
        <v>3269.2102443144759</v>
      </c>
      <c r="I101" s="202">
        <v>157.90084156599545</v>
      </c>
      <c r="J101" s="350">
        <f>I101-I75</f>
        <v>2.2447580259136259</v>
      </c>
      <c r="K101" s="620" t="s">
        <v>741</v>
      </c>
      <c r="L101" s="621"/>
      <c r="M101" s="98"/>
      <c r="O101" s="198"/>
      <c r="P101" s="380"/>
      <c r="Q101" s="380"/>
      <c r="R101" s="198"/>
    </row>
    <row r="102" spans="1:18">
      <c r="A102" s="637"/>
      <c r="B102" s="640"/>
      <c r="C102" s="203" t="s">
        <v>187</v>
      </c>
      <c r="D102" s="630" t="s">
        <v>530</v>
      </c>
      <c r="E102" s="631"/>
      <c r="F102" s="632"/>
      <c r="G102" s="199">
        <v>23</v>
      </c>
      <c r="H102" s="201">
        <v>3264.4603718554549</v>
      </c>
      <c r="I102" s="202">
        <v>141.93305964588936</v>
      </c>
      <c r="J102" s="350">
        <f>I102-I76</f>
        <v>5.9013334179938681</v>
      </c>
      <c r="K102" s="620" t="s">
        <v>740</v>
      </c>
      <c r="L102" s="621"/>
      <c r="M102" s="98"/>
      <c r="O102" s="198"/>
      <c r="P102" s="380"/>
      <c r="Q102" s="380"/>
      <c r="R102" s="198"/>
    </row>
    <row r="103" spans="1:18">
      <c r="A103" s="637"/>
      <c r="B103" s="640"/>
      <c r="C103" s="203" t="s">
        <v>192</v>
      </c>
      <c r="D103" s="630" t="s">
        <v>542</v>
      </c>
      <c r="E103" s="631"/>
      <c r="F103" s="632"/>
      <c r="G103" s="199">
        <v>23</v>
      </c>
      <c r="H103" s="201">
        <v>3267.2541469082912</v>
      </c>
      <c r="I103" s="202">
        <v>142.05452812644742</v>
      </c>
      <c r="J103" s="350">
        <f>I103-I77</f>
        <v>5.9082243862210362</v>
      </c>
      <c r="K103" s="620" t="s">
        <v>740</v>
      </c>
      <c r="L103" s="621"/>
      <c r="M103" s="98"/>
      <c r="O103" s="198"/>
      <c r="P103" s="380"/>
      <c r="Q103" s="380"/>
      <c r="R103" s="198"/>
    </row>
    <row r="104" spans="1:18">
      <c r="A104" s="637"/>
      <c r="B104" s="640"/>
      <c r="C104" s="203" t="s">
        <v>188</v>
      </c>
      <c r="D104" s="630" t="s">
        <v>659</v>
      </c>
      <c r="E104" s="631"/>
      <c r="F104" s="632"/>
      <c r="G104" s="199">
        <v>21</v>
      </c>
      <c r="H104" s="201">
        <v>3192.542326631125</v>
      </c>
      <c r="I104" s="202">
        <v>152.02582507767261</v>
      </c>
      <c r="J104" s="350">
        <f>I104-I78</f>
        <v>-1.3696510886262558E-2</v>
      </c>
      <c r="K104" s="620" t="s">
        <v>740</v>
      </c>
      <c r="L104" s="621"/>
      <c r="M104" s="98"/>
      <c r="O104" s="198"/>
      <c r="P104" s="380"/>
      <c r="Q104" s="380"/>
      <c r="R104" s="198"/>
    </row>
    <row r="105" spans="1:18">
      <c r="A105" s="637"/>
      <c r="B105" s="640"/>
      <c r="C105" s="203" t="s">
        <v>193</v>
      </c>
      <c r="D105" s="630"/>
      <c r="E105" s="631"/>
      <c r="F105" s="632"/>
      <c r="G105" s="199"/>
      <c r="H105" s="201"/>
      <c r="I105" s="202"/>
      <c r="J105" s="199"/>
      <c r="K105" s="630"/>
      <c r="L105" s="632"/>
      <c r="M105" s="98"/>
      <c r="O105" s="198"/>
      <c r="P105" s="380"/>
      <c r="Q105" s="380"/>
      <c r="R105" s="198"/>
    </row>
    <row r="106" spans="1:18">
      <c r="A106" s="638"/>
      <c r="B106" s="641"/>
      <c r="C106" s="203" t="s">
        <v>194</v>
      </c>
      <c r="D106" s="630"/>
      <c r="E106" s="631"/>
      <c r="F106" s="632"/>
      <c r="G106" s="199"/>
      <c r="H106" s="201"/>
      <c r="I106" s="202"/>
      <c r="J106" s="199"/>
      <c r="K106" s="630"/>
      <c r="L106" s="632"/>
      <c r="M106" s="98"/>
      <c r="O106" s="198"/>
      <c r="P106" s="380"/>
      <c r="Q106" s="380"/>
      <c r="R106" s="198"/>
    </row>
    <row r="107" spans="1:18" s="188" customFormat="1" ht="15.75" customHeight="1">
      <c r="A107" s="626" t="s">
        <v>696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</row>
    <row r="108" spans="1:18" s="189" customFormat="1" ht="15.75" customHeight="1">
      <c r="A108" s="626"/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</row>
    <row r="109" spans="1:18" s="105" customFormat="1" ht="16.350000000000001" customHeight="1">
      <c r="A109" s="636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90">
        <v>7</v>
      </c>
      <c r="I109" s="190">
        <v>8</v>
      </c>
      <c r="J109" s="169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50000000000001" customHeight="1">
      <c r="A110" s="638"/>
      <c r="B110" s="194" t="s">
        <v>189</v>
      </c>
      <c r="C110" s="194" t="s">
        <v>155</v>
      </c>
      <c r="D110" s="194" t="s">
        <v>190</v>
      </c>
      <c r="E110" s="194" t="s">
        <v>156</v>
      </c>
      <c r="F110" s="194" t="s">
        <v>138</v>
      </c>
      <c r="G110" s="195" t="s">
        <v>136</v>
      </c>
      <c r="H110" s="193" t="s">
        <v>191</v>
      </c>
      <c r="I110" s="208" t="s">
        <v>351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642" t="s">
        <v>171</v>
      </c>
      <c r="B111" s="643"/>
      <c r="C111" s="159" t="s">
        <v>47</v>
      </c>
      <c r="D111" s="642" t="s">
        <v>12</v>
      </c>
      <c r="E111" s="644"/>
      <c r="F111" s="643"/>
      <c r="G111" s="159" t="s">
        <v>46</v>
      </c>
      <c r="H111" s="159" t="s">
        <v>352</v>
      </c>
      <c r="I111" s="159" t="s">
        <v>353</v>
      </c>
      <c r="J111" s="159" t="s">
        <v>311</v>
      </c>
      <c r="K111" s="642" t="s">
        <v>51</v>
      </c>
      <c r="L111" s="643"/>
      <c r="M111" s="126"/>
      <c r="N111" s="188"/>
      <c r="O111" s="198"/>
      <c r="P111" s="380"/>
      <c r="Q111" s="380"/>
      <c r="R111" s="198"/>
    </row>
    <row r="112" spans="1:18">
      <c r="A112" s="636">
        <v>7</v>
      </c>
      <c r="B112" s="639" t="s">
        <v>356</v>
      </c>
      <c r="C112" s="199">
        <v>1</v>
      </c>
      <c r="D112" s="646"/>
      <c r="E112" s="621"/>
      <c r="F112" s="621"/>
      <c r="G112" s="199"/>
      <c r="H112" s="201"/>
      <c r="I112" s="202"/>
      <c r="J112" s="199"/>
      <c r="K112" s="630"/>
      <c r="L112" s="632"/>
      <c r="N112" s="381"/>
      <c r="O112" s="198"/>
      <c r="P112" s="380"/>
      <c r="Q112" s="380"/>
      <c r="R112" s="198"/>
    </row>
    <row r="113" spans="1:18">
      <c r="A113" s="637"/>
      <c r="B113" s="640"/>
      <c r="C113" s="199">
        <v>2</v>
      </c>
      <c r="D113" s="646"/>
      <c r="E113" s="621"/>
      <c r="F113" s="621"/>
      <c r="G113" s="199"/>
      <c r="H113" s="201"/>
      <c r="I113" s="202"/>
      <c r="J113" s="199"/>
      <c r="K113" s="630"/>
      <c r="L113" s="632"/>
      <c r="O113" s="198"/>
      <c r="P113" s="380"/>
      <c r="Q113" s="380"/>
      <c r="R113" s="198"/>
    </row>
    <row r="114" spans="1:18">
      <c r="A114" s="637"/>
      <c r="B114" s="640"/>
      <c r="C114" s="199">
        <v>3</v>
      </c>
      <c r="D114" s="630"/>
      <c r="E114" s="631"/>
      <c r="F114" s="632"/>
      <c r="G114" s="199"/>
      <c r="H114" s="201"/>
      <c r="I114" s="202"/>
      <c r="J114" s="199"/>
      <c r="K114" s="630"/>
      <c r="L114" s="632"/>
      <c r="O114" s="198"/>
      <c r="P114" s="380"/>
      <c r="Q114" s="380"/>
      <c r="R114" s="198"/>
    </row>
    <row r="115" spans="1:18">
      <c r="A115" s="637"/>
      <c r="B115" s="640"/>
      <c r="C115" s="199">
        <v>4</v>
      </c>
      <c r="D115" s="630"/>
      <c r="E115" s="631"/>
      <c r="F115" s="632"/>
      <c r="G115" s="199"/>
      <c r="H115" s="201"/>
      <c r="I115" s="202"/>
      <c r="J115" s="199"/>
      <c r="K115" s="630"/>
      <c r="L115" s="632"/>
      <c r="O115" s="198"/>
      <c r="P115" s="380"/>
      <c r="Q115" s="380"/>
      <c r="R115" s="198"/>
    </row>
    <row r="116" spans="1:18">
      <c r="A116" s="637"/>
      <c r="B116" s="640"/>
      <c r="C116" s="199">
        <v>5</v>
      </c>
      <c r="D116" s="630"/>
      <c r="E116" s="631"/>
      <c r="F116" s="632"/>
      <c r="G116" s="199"/>
      <c r="H116" s="201"/>
      <c r="I116" s="202"/>
      <c r="J116" s="199"/>
      <c r="K116" s="630"/>
      <c r="L116" s="632"/>
      <c r="N116" s="177"/>
      <c r="O116" s="198"/>
      <c r="P116" s="380"/>
      <c r="Q116" s="380"/>
      <c r="R116" s="198"/>
    </row>
    <row r="117" spans="1:18">
      <c r="A117" s="637"/>
      <c r="B117" s="640"/>
      <c r="C117" s="203" t="s">
        <v>187</v>
      </c>
      <c r="D117" s="630"/>
      <c r="E117" s="631"/>
      <c r="F117" s="632"/>
      <c r="G117" s="199"/>
      <c r="H117" s="201"/>
      <c r="I117" s="202"/>
      <c r="J117" s="199"/>
      <c r="K117" s="630"/>
      <c r="L117" s="632"/>
      <c r="N117" s="381"/>
      <c r="O117" s="198"/>
      <c r="P117" s="380"/>
      <c r="Q117" s="380"/>
      <c r="R117" s="198"/>
    </row>
    <row r="118" spans="1:18">
      <c r="A118" s="637"/>
      <c r="B118" s="640"/>
      <c r="C118" s="203" t="s">
        <v>192</v>
      </c>
      <c r="D118" s="630"/>
      <c r="E118" s="631"/>
      <c r="F118" s="632"/>
      <c r="G118" s="199"/>
      <c r="H118" s="201"/>
      <c r="I118" s="202"/>
      <c r="J118" s="199"/>
      <c r="K118" s="630"/>
      <c r="L118" s="632"/>
      <c r="O118" s="198"/>
      <c r="P118" s="380"/>
      <c r="Q118" s="380"/>
      <c r="R118" s="198"/>
    </row>
    <row r="119" spans="1:18">
      <c r="A119" s="637"/>
      <c r="B119" s="640"/>
      <c r="C119" s="203" t="s">
        <v>188</v>
      </c>
      <c r="D119" s="630"/>
      <c r="E119" s="631"/>
      <c r="F119" s="632"/>
      <c r="G119" s="199"/>
      <c r="H119" s="201"/>
      <c r="I119" s="202"/>
      <c r="J119" s="199"/>
      <c r="K119" s="630"/>
      <c r="L119" s="632"/>
      <c r="O119" s="198"/>
      <c r="P119" s="380"/>
      <c r="Q119" s="380"/>
      <c r="R119" s="198"/>
    </row>
    <row r="120" spans="1:18">
      <c r="A120" s="637"/>
      <c r="B120" s="640"/>
      <c r="C120" s="203" t="s">
        <v>193</v>
      </c>
      <c r="D120" s="630"/>
      <c r="E120" s="631"/>
      <c r="F120" s="632"/>
      <c r="G120" s="199"/>
      <c r="H120" s="201"/>
      <c r="I120" s="202"/>
      <c r="J120" s="199"/>
      <c r="K120" s="630"/>
      <c r="L120" s="632"/>
      <c r="M120" s="98"/>
      <c r="O120" s="198"/>
      <c r="P120" s="380"/>
      <c r="Q120" s="380"/>
      <c r="R120" s="198"/>
    </row>
    <row r="121" spans="1:18">
      <c r="A121" s="638"/>
      <c r="B121" s="641"/>
      <c r="C121" s="203" t="s">
        <v>194</v>
      </c>
      <c r="D121" s="630"/>
      <c r="E121" s="631"/>
      <c r="F121" s="632"/>
      <c r="G121" s="199"/>
      <c r="H121" s="201"/>
      <c r="I121" s="202"/>
      <c r="J121" s="199"/>
      <c r="K121" s="630"/>
      <c r="L121" s="632"/>
      <c r="M121" s="98"/>
      <c r="N121" s="198"/>
      <c r="O121" s="198"/>
      <c r="P121" s="380"/>
      <c r="Q121" s="380"/>
      <c r="R121" s="198"/>
    </row>
    <row r="122" spans="1:18" s="103" customFormat="1">
      <c r="A122" s="633" t="s">
        <v>171</v>
      </c>
      <c r="B122" s="635"/>
      <c r="C122" s="206" t="s">
        <v>47</v>
      </c>
      <c r="D122" s="633" t="s">
        <v>12</v>
      </c>
      <c r="E122" s="634"/>
      <c r="F122" s="635"/>
      <c r="G122" s="206" t="s">
        <v>46</v>
      </c>
      <c r="H122" s="206" t="s">
        <v>352</v>
      </c>
      <c r="I122" s="206" t="s">
        <v>353</v>
      </c>
      <c r="J122" s="159" t="s">
        <v>311</v>
      </c>
      <c r="K122" s="633" t="s">
        <v>51</v>
      </c>
      <c r="L122" s="635"/>
      <c r="M122" s="127"/>
      <c r="N122" s="188"/>
      <c r="O122" s="198"/>
      <c r="P122" s="380"/>
      <c r="Q122" s="380"/>
      <c r="R122" s="198"/>
    </row>
    <row r="123" spans="1:18">
      <c r="A123" s="636">
        <v>8</v>
      </c>
      <c r="B123" s="639" t="s">
        <v>357</v>
      </c>
      <c r="C123" s="199">
        <v>1</v>
      </c>
      <c r="D123" s="630" t="s">
        <v>494</v>
      </c>
      <c r="E123" s="631"/>
      <c r="F123" s="632"/>
      <c r="G123" s="199">
        <v>18</v>
      </c>
      <c r="H123" s="201">
        <v>3194.2829075900913</v>
      </c>
      <c r="I123" s="202">
        <v>177.46016153278285</v>
      </c>
      <c r="J123" s="350">
        <f>I123-I98</f>
        <v>0.10092429050192209</v>
      </c>
      <c r="K123" s="620"/>
      <c r="L123" s="621"/>
      <c r="M123" s="98"/>
      <c r="O123" s="198"/>
      <c r="P123" s="380"/>
      <c r="Q123" s="380"/>
      <c r="R123" s="198"/>
    </row>
    <row r="124" spans="1:18">
      <c r="A124" s="637"/>
      <c r="B124" s="640"/>
      <c r="C124" s="199">
        <v>2</v>
      </c>
      <c r="D124" s="630" t="s">
        <v>535</v>
      </c>
      <c r="E124" s="631"/>
      <c r="F124" s="632"/>
      <c r="G124" s="199">
        <v>18</v>
      </c>
      <c r="H124" s="201">
        <v>3193.1890176192533</v>
      </c>
      <c r="I124" s="202">
        <v>177.39938986773629</v>
      </c>
      <c r="J124" s="350">
        <f>I124-I97</f>
        <v>3.5891823011127144E-2</v>
      </c>
      <c r="K124" s="620"/>
      <c r="L124" s="621"/>
      <c r="M124" s="98"/>
      <c r="O124" s="177"/>
      <c r="P124" s="379"/>
      <c r="Q124" s="379"/>
      <c r="R124" s="177"/>
    </row>
    <row r="125" spans="1:18">
      <c r="A125" s="637"/>
      <c r="B125" s="640"/>
      <c r="C125" s="199">
        <v>3</v>
      </c>
      <c r="D125" s="630" t="s">
        <v>492</v>
      </c>
      <c r="E125" s="631"/>
      <c r="F125" s="632"/>
      <c r="G125" s="199">
        <v>19</v>
      </c>
      <c r="H125" s="201">
        <v>3267.6685714285704</v>
      </c>
      <c r="I125" s="202">
        <v>171.98255639097738</v>
      </c>
      <c r="J125" s="350">
        <f>I125-I100</f>
        <v>6.0823873006191604</v>
      </c>
      <c r="K125" s="620"/>
      <c r="L125" s="621"/>
      <c r="M125" s="98"/>
      <c r="O125" s="198"/>
      <c r="P125" s="380"/>
      <c r="Q125" s="380"/>
      <c r="R125" s="198"/>
    </row>
    <row r="126" spans="1:18">
      <c r="A126" s="637"/>
      <c r="B126" s="640"/>
      <c r="C126" s="199">
        <v>4</v>
      </c>
      <c r="D126" s="630" t="s">
        <v>578</v>
      </c>
      <c r="E126" s="631"/>
      <c r="F126" s="632"/>
      <c r="G126" s="199">
        <v>19</v>
      </c>
      <c r="H126" s="201">
        <v>3265.3896203596464</v>
      </c>
      <c r="I126" s="202">
        <v>171.86261159787614</v>
      </c>
      <c r="J126" s="350">
        <f>I126-I99</f>
        <v>-3.5733783720473866E-2</v>
      </c>
      <c r="K126" s="620"/>
      <c r="L126" s="621"/>
      <c r="M126" s="98"/>
      <c r="O126" s="198"/>
      <c r="P126" s="380"/>
      <c r="Q126" s="380"/>
      <c r="R126" s="198"/>
    </row>
    <row r="127" spans="1:18">
      <c r="A127" s="637"/>
      <c r="B127" s="640"/>
      <c r="C127" s="199">
        <v>5</v>
      </c>
      <c r="D127" s="630" t="s">
        <v>493</v>
      </c>
      <c r="E127" s="631"/>
      <c r="F127" s="632"/>
      <c r="G127" s="199">
        <v>20</v>
      </c>
      <c r="H127" s="201">
        <v>3270.2400000000007</v>
      </c>
      <c r="I127" s="202">
        <v>163.512</v>
      </c>
      <c r="J127" s="350">
        <f>I127-I101</f>
        <v>5.6111584340045511</v>
      </c>
      <c r="K127" s="620"/>
      <c r="L127" s="621"/>
      <c r="M127" s="98"/>
      <c r="O127" s="198"/>
      <c r="P127" s="380"/>
      <c r="Q127" s="380"/>
      <c r="R127" s="198"/>
    </row>
    <row r="128" spans="1:18">
      <c r="A128" s="637"/>
      <c r="B128" s="640"/>
      <c r="C128" s="203" t="s">
        <v>187</v>
      </c>
      <c r="D128" s="630" t="s">
        <v>530</v>
      </c>
      <c r="E128" s="631"/>
      <c r="F128" s="632"/>
      <c r="G128" s="199">
        <v>23</v>
      </c>
      <c r="H128" s="201">
        <v>3263.4450916669825</v>
      </c>
      <c r="I128" s="202">
        <v>141.88891702899926</v>
      </c>
      <c r="J128" s="350">
        <f>I128-I102</f>
        <v>-4.4142616890098907E-2</v>
      </c>
      <c r="K128" s="620"/>
      <c r="L128" s="621"/>
      <c r="M128" s="98"/>
      <c r="O128" s="198"/>
      <c r="P128" s="380"/>
      <c r="Q128" s="380"/>
      <c r="R128" s="198"/>
    </row>
    <row r="129" spans="1:18">
      <c r="A129" s="637"/>
      <c r="B129" s="640"/>
      <c r="C129" s="203" t="s">
        <v>192</v>
      </c>
      <c r="D129" s="630" t="s">
        <v>542</v>
      </c>
      <c r="E129" s="631"/>
      <c r="F129" s="632"/>
      <c r="G129" s="199">
        <v>23</v>
      </c>
      <c r="H129" s="201">
        <v>3270.082718336861</v>
      </c>
      <c r="I129" s="202">
        <v>142.17750949290698</v>
      </c>
      <c r="J129" s="350">
        <f>I129-I103</f>
        <v>0.12298136645955537</v>
      </c>
      <c r="K129" s="620"/>
      <c r="L129" s="621"/>
      <c r="M129" s="98"/>
      <c r="O129" s="198"/>
      <c r="P129" s="380"/>
      <c r="Q129" s="380"/>
      <c r="R129" s="198"/>
    </row>
    <row r="130" spans="1:18">
      <c r="A130" s="637"/>
      <c r="B130" s="640"/>
      <c r="C130" s="203" t="s">
        <v>188</v>
      </c>
      <c r="D130" s="630" t="s">
        <v>659</v>
      </c>
      <c r="E130" s="631"/>
      <c r="F130" s="632"/>
      <c r="G130" s="199">
        <v>21</v>
      </c>
      <c r="H130" s="201">
        <v>3193.4587010693799</v>
      </c>
      <c r="I130" s="202">
        <v>152.06946195568474</v>
      </c>
      <c r="J130" s="350">
        <f>I130-I104</f>
        <v>4.3636878012137004E-2</v>
      </c>
      <c r="K130" s="620"/>
      <c r="L130" s="621"/>
      <c r="M130" s="98"/>
      <c r="O130" s="198"/>
      <c r="P130" s="380"/>
      <c r="Q130" s="380"/>
      <c r="R130" s="198"/>
    </row>
    <row r="131" spans="1:18">
      <c r="A131" s="637"/>
      <c r="B131" s="640"/>
      <c r="C131" s="203" t="s">
        <v>193</v>
      </c>
      <c r="D131" s="630"/>
      <c r="E131" s="631"/>
      <c r="F131" s="632"/>
      <c r="G131" s="199"/>
      <c r="H131" s="201"/>
      <c r="I131" s="202"/>
      <c r="J131" s="199"/>
      <c r="K131" s="630"/>
      <c r="L131" s="632"/>
      <c r="M131" s="98"/>
      <c r="O131" s="198"/>
      <c r="P131" s="380"/>
      <c r="Q131" s="380"/>
      <c r="R131" s="198"/>
    </row>
    <row r="132" spans="1:18">
      <c r="A132" s="638"/>
      <c r="B132" s="641"/>
      <c r="C132" s="203" t="s">
        <v>194</v>
      </c>
      <c r="D132" s="630"/>
      <c r="E132" s="631"/>
      <c r="F132" s="632"/>
      <c r="G132" s="199"/>
      <c r="H132" s="201"/>
      <c r="I132" s="202"/>
      <c r="J132" s="199"/>
      <c r="K132" s="630"/>
      <c r="L132" s="632"/>
      <c r="M132" s="98"/>
      <c r="O132" s="198"/>
      <c r="P132" s="380"/>
      <c r="Q132" s="380"/>
      <c r="R132" s="198"/>
    </row>
    <row r="133" spans="1:18" s="188" customFormat="1" ht="15.75" customHeight="1">
      <c r="A133" s="626" t="s">
        <v>738</v>
      </c>
      <c r="B133" s="626"/>
      <c r="C133" s="626"/>
      <c r="D133" s="626"/>
      <c r="E133" s="626"/>
      <c r="F133" s="626"/>
      <c r="G133" s="626"/>
      <c r="H133" s="626"/>
      <c r="I133" s="626"/>
      <c r="J133" s="626"/>
      <c r="K133" s="626"/>
      <c r="L133" s="626"/>
    </row>
    <row r="134" spans="1:18" s="189" customFormat="1" ht="15.75" customHeight="1">
      <c r="A134" s="626"/>
      <c r="B134" s="626"/>
      <c r="C134" s="626"/>
      <c r="D134" s="626"/>
      <c r="E134" s="626"/>
      <c r="F134" s="626"/>
      <c r="G134" s="626"/>
      <c r="H134" s="626"/>
      <c r="I134" s="626"/>
      <c r="J134" s="626"/>
      <c r="K134" s="626"/>
      <c r="L134" s="626"/>
    </row>
    <row r="135" spans="1:18" s="105" customFormat="1" ht="16.350000000000001" customHeight="1">
      <c r="A135" s="636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69">
        <v>5</v>
      </c>
      <c r="G135" s="169">
        <v>6</v>
      </c>
      <c r="H135" s="190">
        <v>7</v>
      </c>
      <c r="I135" s="190">
        <v>8</v>
      </c>
      <c r="J135" s="169">
        <v>9</v>
      </c>
      <c r="K135" s="191"/>
      <c r="L135" s="191"/>
      <c r="M135" s="126"/>
      <c r="N135" s="177"/>
      <c r="O135" s="177"/>
      <c r="P135" s="177"/>
      <c r="Q135" s="177"/>
      <c r="R135" s="177"/>
    </row>
    <row r="136" spans="1:18" ht="16.350000000000001" customHeight="1">
      <c r="A136" s="638"/>
      <c r="B136" s="194" t="s">
        <v>189</v>
      </c>
      <c r="C136" s="194" t="s">
        <v>155</v>
      </c>
      <c r="D136" s="194" t="s">
        <v>190</v>
      </c>
      <c r="E136" s="194" t="s">
        <v>156</v>
      </c>
      <c r="F136" s="194" t="s">
        <v>138</v>
      </c>
      <c r="G136" s="195" t="s">
        <v>136</v>
      </c>
      <c r="H136" s="193" t="s">
        <v>191</v>
      </c>
      <c r="I136" s="208" t="s">
        <v>351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05" customFormat="1" ht="15.75" customHeight="1">
      <c r="A137" s="642" t="s">
        <v>171</v>
      </c>
      <c r="B137" s="643"/>
      <c r="C137" s="159" t="s">
        <v>47</v>
      </c>
      <c r="D137" s="642" t="s">
        <v>12</v>
      </c>
      <c r="E137" s="644"/>
      <c r="F137" s="643"/>
      <c r="G137" s="159" t="s">
        <v>46</v>
      </c>
      <c r="H137" s="159" t="s">
        <v>352</v>
      </c>
      <c r="I137" s="159" t="s">
        <v>353</v>
      </c>
      <c r="J137" s="159" t="s">
        <v>311</v>
      </c>
      <c r="K137" s="642" t="s">
        <v>51</v>
      </c>
      <c r="L137" s="643"/>
      <c r="M137" s="126"/>
      <c r="N137" s="188"/>
      <c r="O137" s="198"/>
      <c r="P137" s="380"/>
      <c r="Q137" s="380"/>
      <c r="R137" s="198"/>
    </row>
    <row r="138" spans="1:18">
      <c r="A138" s="636">
        <v>7</v>
      </c>
      <c r="B138" s="639" t="s">
        <v>356</v>
      </c>
      <c r="C138" s="199">
        <v>1</v>
      </c>
      <c r="D138" s="646"/>
      <c r="E138" s="621"/>
      <c r="F138" s="621"/>
      <c r="G138" s="199"/>
      <c r="H138" s="201"/>
      <c r="I138" s="202"/>
      <c r="J138" s="199"/>
      <c r="K138" s="630"/>
      <c r="L138" s="632"/>
      <c r="N138" s="381"/>
      <c r="O138" s="198"/>
      <c r="P138" s="380"/>
      <c r="Q138" s="380"/>
      <c r="R138" s="198"/>
    </row>
    <row r="139" spans="1:18">
      <c r="A139" s="637"/>
      <c r="B139" s="640"/>
      <c r="C139" s="199">
        <v>2</v>
      </c>
      <c r="D139" s="646"/>
      <c r="E139" s="621"/>
      <c r="F139" s="621"/>
      <c r="G139" s="199"/>
      <c r="H139" s="201"/>
      <c r="I139" s="202"/>
      <c r="J139" s="199"/>
      <c r="K139" s="630"/>
      <c r="L139" s="632"/>
      <c r="O139" s="198"/>
      <c r="P139" s="380"/>
      <c r="Q139" s="380"/>
      <c r="R139" s="198"/>
    </row>
    <row r="140" spans="1:18">
      <c r="A140" s="637"/>
      <c r="B140" s="640"/>
      <c r="C140" s="199">
        <v>3</v>
      </c>
      <c r="D140" s="630"/>
      <c r="E140" s="631"/>
      <c r="F140" s="632"/>
      <c r="G140" s="199"/>
      <c r="H140" s="201"/>
      <c r="I140" s="202"/>
      <c r="J140" s="199"/>
      <c r="K140" s="630"/>
      <c r="L140" s="632"/>
      <c r="O140" s="198"/>
      <c r="P140" s="380"/>
      <c r="Q140" s="380"/>
      <c r="R140" s="198"/>
    </row>
    <row r="141" spans="1:18">
      <c r="A141" s="637"/>
      <c r="B141" s="640"/>
      <c r="C141" s="199">
        <v>4</v>
      </c>
      <c r="D141" s="630"/>
      <c r="E141" s="631"/>
      <c r="F141" s="632"/>
      <c r="G141" s="199"/>
      <c r="H141" s="201"/>
      <c r="I141" s="202"/>
      <c r="J141" s="199"/>
      <c r="K141" s="630"/>
      <c r="L141" s="632"/>
      <c r="O141" s="198"/>
      <c r="P141" s="380"/>
      <c r="Q141" s="380"/>
      <c r="R141" s="198"/>
    </row>
    <row r="142" spans="1:18">
      <c r="A142" s="637"/>
      <c r="B142" s="640"/>
      <c r="C142" s="199">
        <v>5</v>
      </c>
      <c r="D142" s="630"/>
      <c r="E142" s="631"/>
      <c r="F142" s="632"/>
      <c r="G142" s="199"/>
      <c r="H142" s="201"/>
      <c r="I142" s="202"/>
      <c r="J142" s="199"/>
      <c r="K142" s="630"/>
      <c r="L142" s="632"/>
      <c r="N142" s="177"/>
      <c r="O142" s="198"/>
      <c r="P142" s="380"/>
      <c r="Q142" s="380"/>
      <c r="R142" s="198"/>
    </row>
    <row r="143" spans="1:18">
      <c r="A143" s="637"/>
      <c r="B143" s="640"/>
      <c r="C143" s="203" t="s">
        <v>187</v>
      </c>
      <c r="D143" s="630"/>
      <c r="E143" s="631"/>
      <c r="F143" s="632"/>
      <c r="G143" s="199"/>
      <c r="H143" s="201"/>
      <c r="I143" s="202"/>
      <c r="J143" s="199"/>
      <c r="K143" s="630"/>
      <c r="L143" s="632"/>
      <c r="N143" s="381"/>
      <c r="O143" s="198"/>
      <c r="P143" s="380"/>
      <c r="Q143" s="380"/>
      <c r="R143" s="198"/>
    </row>
    <row r="144" spans="1:18">
      <c r="A144" s="637"/>
      <c r="B144" s="640"/>
      <c r="C144" s="203" t="s">
        <v>192</v>
      </c>
      <c r="D144" s="630"/>
      <c r="E144" s="631"/>
      <c r="F144" s="632"/>
      <c r="G144" s="199"/>
      <c r="H144" s="201"/>
      <c r="I144" s="202"/>
      <c r="J144" s="199"/>
      <c r="K144" s="630"/>
      <c r="L144" s="632"/>
      <c r="O144" s="198"/>
      <c r="P144" s="380"/>
      <c r="Q144" s="380"/>
      <c r="R144" s="198"/>
    </row>
    <row r="145" spans="1:18">
      <c r="A145" s="637"/>
      <c r="B145" s="640"/>
      <c r="C145" s="203" t="s">
        <v>188</v>
      </c>
      <c r="D145" s="630"/>
      <c r="E145" s="631"/>
      <c r="F145" s="632"/>
      <c r="G145" s="199"/>
      <c r="H145" s="201"/>
      <c r="I145" s="202"/>
      <c r="J145" s="199"/>
      <c r="K145" s="630"/>
      <c r="L145" s="632"/>
      <c r="O145" s="198"/>
      <c r="P145" s="380"/>
      <c r="Q145" s="380"/>
      <c r="R145" s="198"/>
    </row>
    <row r="146" spans="1:18">
      <c r="A146" s="637"/>
      <c r="B146" s="640"/>
      <c r="C146" s="203" t="s">
        <v>193</v>
      </c>
      <c r="D146" s="630"/>
      <c r="E146" s="631"/>
      <c r="F146" s="632"/>
      <c r="G146" s="199"/>
      <c r="H146" s="201"/>
      <c r="I146" s="202"/>
      <c r="J146" s="199"/>
      <c r="K146" s="630"/>
      <c r="L146" s="632"/>
      <c r="M146" s="98"/>
      <c r="O146" s="198"/>
      <c r="P146" s="380"/>
      <c r="Q146" s="380"/>
      <c r="R146" s="198"/>
    </row>
    <row r="147" spans="1:18">
      <c r="A147" s="638"/>
      <c r="B147" s="641"/>
      <c r="C147" s="203" t="s">
        <v>194</v>
      </c>
      <c r="D147" s="630"/>
      <c r="E147" s="631"/>
      <c r="F147" s="632"/>
      <c r="G147" s="199"/>
      <c r="H147" s="201"/>
      <c r="I147" s="202"/>
      <c r="J147" s="199"/>
      <c r="K147" s="630"/>
      <c r="L147" s="632"/>
      <c r="M147" s="98"/>
      <c r="N147" s="198"/>
      <c r="O147" s="198"/>
      <c r="P147" s="380"/>
      <c r="Q147" s="380"/>
      <c r="R147" s="198"/>
    </row>
    <row r="148" spans="1:18" s="103" customFormat="1">
      <c r="A148" s="633" t="s">
        <v>171</v>
      </c>
      <c r="B148" s="635"/>
      <c r="C148" s="206" t="s">
        <v>47</v>
      </c>
      <c r="D148" s="633" t="s">
        <v>12</v>
      </c>
      <c r="E148" s="634"/>
      <c r="F148" s="635"/>
      <c r="G148" s="206" t="s">
        <v>46</v>
      </c>
      <c r="H148" s="206" t="s">
        <v>352</v>
      </c>
      <c r="I148" s="206" t="s">
        <v>353</v>
      </c>
      <c r="J148" s="159" t="s">
        <v>311</v>
      </c>
      <c r="K148" s="633" t="s">
        <v>51</v>
      </c>
      <c r="L148" s="635"/>
      <c r="M148" s="127"/>
      <c r="N148" s="188"/>
      <c r="O148" s="198"/>
      <c r="P148" s="380"/>
      <c r="Q148" s="380"/>
      <c r="R148" s="198"/>
    </row>
    <row r="149" spans="1:18">
      <c r="A149" s="636">
        <v>8</v>
      </c>
      <c r="B149" s="639" t="s">
        <v>357</v>
      </c>
      <c r="C149" s="199">
        <v>1</v>
      </c>
      <c r="D149" s="630"/>
      <c r="E149" s="631"/>
      <c r="F149" s="632"/>
      <c r="G149" s="199"/>
      <c r="H149" s="201"/>
      <c r="I149" s="202"/>
      <c r="J149" s="350">
        <f>I149-I123</f>
        <v>-177.46016153278285</v>
      </c>
      <c r="K149" s="620"/>
      <c r="L149" s="621"/>
      <c r="M149" s="98"/>
      <c r="O149" s="198"/>
      <c r="P149" s="380"/>
      <c r="Q149" s="380"/>
      <c r="R149" s="198"/>
    </row>
    <row r="150" spans="1:18">
      <c r="A150" s="637"/>
      <c r="B150" s="640"/>
      <c r="C150" s="199">
        <v>2</v>
      </c>
      <c r="D150" s="630"/>
      <c r="E150" s="631"/>
      <c r="F150" s="632"/>
      <c r="G150" s="199"/>
      <c r="H150" s="201"/>
      <c r="I150" s="202"/>
      <c r="J150" s="350">
        <f>I150-I126</f>
        <v>-171.86261159787614</v>
      </c>
      <c r="K150" s="620"/>
      <c r="L150" s="621"/>
      <c r="M150" s="98"/>
      <c r="O150" s="177"/>
      <c r="P150" s="379"/>
      <c r="Q150" s="379"/>
      <c r="R150" s="177"/>
    </row>
    <row r="151" spans="1:18">
      <c r="A151" s="637"/>
      <c r="B151" s="640"/>
      <c r="C151" s="199">
        <v>3</v>
      </c>
      <c r="D151" s="630"/>
      <c r="E151" s="631"/>
      <c r="F151" s="632"/>
      <c r="G151" s="199"/>
      <c r="H151" s="201"/>
      <c r="I151" s="202"/>
      <c r="J151" s="350">
        <f>I151-I124</f>
        <v>-177.39938986773629</v>
      </c>
      <c r="K151" s="620"/>
      <c r="L151" s="621"/>
      <c r="M151" s="98"/>
      <c r="O151" s="198"/>
      <c r="P151" s="380"/>
      <c r="Q151" s="380"/>
      <c r="R151" s="198"/>
    </row>
    <row r="152" spans="1:18">
      <c r="A152" s="637"/>
      <c r="B152" s="640"/>
      <c r="C152" s="199">
        <v>4</v>
      </c>
      <c r="D152" s="630"/>
      <c r="E152" s="631"/>
      <c r="F152" s="632"/>
      <c r="G152" s="199"/>
      <c r="H152" s="201"/>
      <c r="I152" s="202"/>
      <c r="J152" s="350">
        <f>I152-I125</f>
        <v>-171.98255639097738</v>
      </c>
      <c r="K152" s="620"/>
      <c r="L152" s="621"/>
      <c r="M152" s="98"/>
      <c r="O152" s="198"/>
      <c r="P152" s="380"/>
      <c r="Q152" s="380"/>
      <c r="R152" s="198"/>
    </row>
    <row r="153" spans="1:18">
      <c r="A153" s="637"/>
      <c r="B153" s="640"/>
      <c r="C153" s="199">
        <v>5</v>
      </c>
      <c r="D153" s="630"/>
      <c r="E153" s="631"/>
      <c r="F153" s="632"/>
      <c r="G153" s="199"/>
      <c r="H153" s="201"/>
      <c r="I153" s="202"/>
      <c r="J153" s="350">
        <f>I153-I127</f>
        <v>-163.512</v>
      </c>
      <c r="K153" s="620"/>
      <c r="L153" s="621"/>
      <c r="M153" s="98"/>
      <c r="O153" s="198"/>
      <c r="P153" s="380"/>
      <c r="Q153" s="380"/>
      <c r="R153" s="198"/>
    </row>
    <row r="154" spans="1:18">
      <c r="A154" s="637"/>
      <c r="B154" s="640"/>
      <c r="C154" s="203" t="s">
        <v>187</v>
      </c>
      <c r="D154" s="630"/>
      <c r="E154" s="631"/>
      <c r="F154" s="632"/>
      <c r="G154" s="199"/>
      <c r="H154" s="201"/>
      <c r="I154" s="202"/>
      <c r="J154" s="350">
        <f>I154-I129</f>
        <v>-142.17750949290698</v>
      </c>
      <c r="K154" s="620"/>
      <c r="L154" s="621"/>
      <c r="M154" s="98"/>
      <c r="O154" s="198"/>
      <c r="P154" s="380"/>
      <c r="Q154" s="380"/>
      <c r="R154" s="198"/>
    </row>
    <row r="155" spans="1:18">
      <c r="A155" s="637"/>
      <c r="B155" s="640"/>
      <c r="C155" s="203" t="s">
        <v>192</v>
      </c>
      <c r="D155" s="630"/>
      <c r="E155" s="631"/>
      <c r="F155" s="632"/>
      <c r="G155" s="199"/>
      <c r="H155" s="201"/>
      <c r="I155" s="202"/>
      <c r="J155" s="350">
        <f>I155-I128</f>
        <v>-141.88891702899926</v>
      </c>
      <c r="K155" s="620"/>
      <c r="L155" s="621"/>
      <c r="M155" s="98"/>
      <c r="O155" s="198"/>
      <c r="P155" s="380"/>
      <c r="Q155" s="380"/>
      <c r="R155" s="198"/>
    </row>
    <row r="156" spans="1:18">
      <c r="A156" s="637"/>
      <c r="B156" s="640"/>
      <c r="C156" s="203" t="s">
        <v>188</v>
      </c>
      <c r="D156" s="630"/>
      <c r="E156" s="631"/>
      <c r="F156" s="632"/>
      <c r="G156" s="199"/>
      <c r="H156" s="201"/>
      <c r="I156" s="202"/>
      <c r="J156" s="350">
        <f>I156-I130</f>
        <v>-152.06946195568474</v>
      </c>
      <c r="K156" s="620"/>
      <c r="L156" s="621"/>
      <c r="M156" s="98"/>
      <c r="O156" s="198"/>
      <c r="P156" s="380"/>
      <c r="Q156" s="380"/>
      <c r="R156" s="198"/>
    </row>
    <row r="157" spans="1:18">
      <c r="A157" s="637"/>
      <c r="B157" s="640"/>
      <c r="C157" s="203" t="s">
        <v>193</v>
      </c>
      <c r="D157" s="630"/>
      <c r="E157" s="631"/>
      <c r="F157" s="632"/>
      <c r="G157" s="199"/>
      <c r="H157" s="201"/>
      <c r="I157" s="202"/>
      <c r="J157" s="199"/>
      <c r="K157" s="630"/>
      <c r="L157" s="632"/>
      <c r="M157" s="98"/>
      <c r="O157" s="198"/>
      <c r="P157" s="380"/>
      <c r="Q157" s="380"/>
      <c r="R157" s="198"/>
    </row>
    <row r="158" spans="1:18">
      <c r="A158" s="638"/>
      <c r="B158" s="641"/>
      <c r="C158" s="203" t="s">
        <v>194</v>
      </c>
      <c r="D158" s="630"/>
      <c r="E158" s="631"/>
      <c r="F158" s="632"/>
      <c r="G158" s="199"/>
      <c r="H158" s="201"/>
      <c r="I158" s="202"/>
      <c r="J158" s="199"/>
      <c r="K158" s="630"/>
      <c r="L158" s="632"/>
      <c r="M158" s="98"/>
      <c r="O158" s="198"/>
      <c r="P158" s="380"/>
      <c r="Q158" s="380"/>
      <c r="R158" s="198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94:F94"/>
    <mergeCell ref="K54:L54"/>
    <mergeCell ref="D64:F64"/>
    <mergeCell ref="K64:L64"/>
    <mergeCell ref="D65:F65"/>
    <mergeCell ref="K42:L42"/>
    <mergeCell ref="D43:F43"/>
    <mergeCell ref="K43:L43"/>
    <mergeCell ref="K92:L92"/>
    <mergeCell ref="D93:F93"/>
    <mergeCell ref="K93:L93"/>
    <mergeCell ref="K62:L62"/>
    <mergeCell ref="D63:F63"/>
    <mergeCell ref="K63:L63"/>
    <mergeCell ref="D71:F71"/>
    <mergeCell ref="A55:L56"/>
    <mergeCell ref="A57:A58"/>
    <mergeCell ref="A59:B59"/>
    <mergeCell ref="D59:F59"/>
    <mergeCell ref="K59:L59"/>
    <mergeCell ref="K65:L65"/>
    <mergeCell ref="D66:F66"/>
    <mergeCell ref="K66:L66"/>
    <mergeCell ref="A71:A80"/>
    <mergeCell ref="B71:B8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8:F28"/>
    <mergeCell ref="K28:L28"/>
    <mergeCell ref="D27:F27"/>
    <mergeCell ref="K27:L27"/>
    <mergeCell ref="D26:F26"/>
    <mergeCell ref="K26:L26"/>
    <mergeCell ref="D13:F13"/>
    <mergeCell ref="K13:L13"/>
    <mergeCell ref="D14:F14"/>
    <mergeCell ref="K14:L14"/>
    <mergeCell ref="D15:F15"/>
    <mergeCell ref="K15:L15"/>
    <mergeCell ref="D16:F16"/>
    <mergeCell ref="K10:L10"/>
    <mergeCell ref="D11:F11"/>
    <mergeCell ref="K11:L11"/>
    <mergeCell ref="D12:F12"/>
    <mergeCell ref="K12:L12"/>
    <mergeCell ref="K16:L16"/>
    <mergeCell ref="D17:F17"/>
    <mergeCell ref="K17:L17"/>
    <mergeCell ref="D25:F25"/>
    <mergeCell ref="K25:L25"/>
    <mergeCell ref="K7:L7"/>
    <mergeCell ref="A70:B70"/>
    <mergeCell ref="D70:F70"/>
    <mergeCell ref="K70:L70"/>
    <mergeCell ref="A60:A69"/>
    <mergeCell ref="B60:B69"/>
    <mergeCell ref="D60:F60"/>
    <mergeCell ref="D68:F68"/>
    <mergeCell ref="K68:L68"/>
    <mergeCell ref="D69:F69"/>
    <mergeCell ref="K69:L69"/>
    <mergeCell ref="D67:F67"/>
    <mergeCell ref="K67:L67"/>
    <mergeCell ref="K60:L60"/>
    <mergeCell ref="D61:F61"/>
    <mergeCell ref="K61:L61"/>
    <mergeCell ref="D62:F62"/>
    <mergeCell ref="A8:A17"/>
    <mergeCell ref="B8:B17"/>
    <mergeCell ref="D8:F8"/>
    <mergeCell ref="K8:L8"/>
    <mergeCell ref="D9:F9"/>
    <mergeCell ref="K9:L9"/>
    <mergeCell ref="D10:F10"/>
    <mergeCell ref="A1:L2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9:F79"/>
    <mergeCell ref="D76:F76"/>
    <mergeCell ref="K76:L76"/>
    <mergeCell ref="D77:F77"/>
    <mergeCell ref="K77:L77"/>
    <mergeCell ref="D78:F78"/>
    <mergeCell ref="K78:L78"/>
    <mergeCell ref="A3:L4"/>
    <mergeCell ref="A5:A6"/>
    <mergeCell ref="A7:B7"/>
    <mergeCell ref="D7:F7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S158"/>
  <sheetViews>
    <sheetView view="pageBreakPreview" topLeftCell="A110" zoomScale="110" zoomScaleNormal="60" zoomScaleSheetLayoutView="110" workbookViewId="0">
      <selection activeCell="L122" sqref="L122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19" t="s">
        <v>350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98"/>
    </row>
    <row r="2" spans="1:19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N2" s="189"/>
      <c r="O2" s="189"/>
      <c r="P2" s="189"/>
      <c r="Q2" s="189"/>
      <c r="R2" s="189"/>
    </row>
    <row r="3" spans="1:19" s="188" customFormat="1" ht="15.75" customHeight="1">
      <c r="A3" s="626" t="s">
        <v>611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</row>
    <row r="4" spans="1:19" s="189" customFormat="1" ht="15.75" customHeight="1">
      <c r="A4" s="626"/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</row>
    <row r="5" spans="1:19" s="105" customFormat="1" ht="16.350000000000001" customHeight="1">
      <c r="A5" s="501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6.350000000000001" customHeight="1">
      <c r="A6" s="503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6" t="s">
        <v>191</v>
      </c>
      <c r="I6" s="195" t="s">
        <v>351</v>
      </c>
      <c r="J6" s="208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5.75" customHeight="1">
      <c r="A7" s="507" t="s">
        <v>171</v>
      </c>
      <c r="B7" s="508"/>
      <c r="C7" s="159" t="s">
        <v>47</v>
      </c>
      <c r="D7" s="507" t="s">
        <v>12</v>
      </c>
      <c r="E7" s="509"/>
      <c r="F7" s="508"/>
      <c r="G7" s="159" t="s">
        <v>46</v>
      </c>
      <c r="H7" s="159" t="s">
        <v>352</v>
      </c>
      <c r="I7" s="159" t="s">
        <v>353</v>
      </c>
      <c r="J7" s="159" t="s">
        <v>311</v>
      </c>
      <c r="K7" s="507" t="s">
        <v>51</v>
      </c>
      <c r="L7" s="508"/>
      <c r="M7" s="192"/>
      <c r="N7" s="178"/>
      <c r="O7" s="493"/>
      <c r="P7" s="493"/>
      <c r="Q7" s="493"/>
      <c r="R7" s="178"/>
      <c r="S7" s="177"/>
    </row>
    <row r="8" spans="1:19" ht="15.75" customHeight="1">
      <c r="A8" s="501">
        <f>J5</f>
        <v>9</v>
      </c>
      <c r="B8" s="504" t="str">
        <f>J6</f>
        <v>微波小吃</v>
      </c>
      <c r="C8" s="199">
        <v>1</v>
      </c>
      <c r="D8" s="630" t="s">
        <v>538</v>
      </c>
      <c r="E8" s="631"/>
      <c r="F8" s="632"/>
      <c r="G8" s="199">
        <v>11</v>
      </c>
      <c r="H8" s="201">
        <v>1808.6422812068051</v>
      </c>
      <c r="I8" s="202">
        <v>164.42202556425499</v>
      </c>
      <c r="J8" s="350">
        <v>0.10093068578561315</v>
      </c>
      <c r="K8" s="630" t="s">
        <v>405</v>
      </c>
      <c r="L8" s="632"/>
      <c r="N8" s="178"/>
      <c r="O8" s="178"/>
      <c r="P8" s="494"/>
      <c r="Q8" s="494"/>
      <c r="R8" s="178"/>
      <c r="S8" s="188"/>
    </row>
    <row r="9" spans="1:19" ht="15.75" customHeight="1">
      <c r="A9" s="502"/>
      <c r="B9" s="505"/>
      <c r="C9" s="199">
        <v>2</v>
      </c>
      <c r="D9" s="630" t="s">
        <v>536</v>
      </c>
      <c r="E9" s="631"/>
      <c r="F9" s="632"/>
      <c r="G9" s="199">
        <v>11</v>
      </c>
      <c r="H9" s="201">
        <v>1807.6010354301091</v>
      </c>
      <c r="I9" s="202">
        <v>164.32736685728267</v>
      </c>
      <c r="J9" s="350">
        <v>0.10649350649353551</v>
      </c>
      <c r="K9" s="630" t="s">
        <v>405</v>
      </c>
      <c r="L9" s="632"/>
      <c r="N9" s="178"/>
      <c r="O9" s="178"/>
      <c r="P9" s="494"/>
      <c r="Q9" s="494"/>
      <c r="R9" s="178"/>
      <c r="S9" s="188"/>
    </row>
    <row r="10" spans="1:19" ht="15.75" customHeight="1">
      <c r="A10" s="502"/>
      <c r="B10" s="505"/>
      <c r="C10" s="199">
        <v>3</v>
      </c>
      <c r="D10" s="630" t="s">
        <v>549</v>
      </c>
      <c r="E10" s="631"/>
      <c r="F10" s="632"/>
      <c r="G10" s="199">
        <v>19</v>
      </c>
      <c r="H10" s="201">
        <v>1801.9709154418076</v>
      </c>
      <c r="I10" s="202">
        <v>94.840574496937251</v>
      </c>
      <c r="J10" s="350">
        <v>0.19830533900081093</v>
      </c>
      <c r="K10" s="630" t="s">
        <v>405</v>
      </c>
      <c r="L10" s="632"/>
      <c r="N10" s="178"/>
      <c r="O10" s="178"/>
      <c r="P10" s="494"/>
      <c r="Q10" s="494"/>
      <c r="R10" s="178"/>
      <c r="S10" s="188"/>
    </row>
    <row r="11" spans="1:19" ht="15.75" customHeight="1">
      <c r="A11" s="502"/>
      <c r="B11" s="505"/>
      <c r="C11" s="199">
        <v>4</v>
      </c>
      <c r="D11" s="630" t="s">
        <v>332</v>
      </c>
      <c r="E11" s="631"/>
      <c r="F11" s="632"/>
      <c r="G11" s="201">
        <v>13</v>
      </c>
      <c r="H11" s="201">
        <v>1083.2587167482773</v>
      </c>
      <c r="I11" s="202">
        <v>83.32759359602133</v>
      </c>
      <c r="J11" s="350">
        <v>5.172740700622569E-2</v>
      </c>
      <c r="K11" s="630" t="s">
        <v>405</v>
      </c>
      <c r="L11" s="632"/>
      <c r="N11" s="178"/>
      <c r="O11" s="178"/>
      <c r="P11" s="494"/>
      <c r="Q11" s="494"/>
      <c r="R11" s="178"/>
      <c r="S11" s="188"/>
    </row>
    <row r="12" spans="1:19" ht="15.75" customHeight="1">
      <c r="A12" s="502"/>
      <c r="B12" s="505"/>
      <c r="C12" s="199">
        <v>5</v>
      </c>
      <c r="D12" s="630" t="s">
        <v>537</v>
      </c>
      <c r="E12" s="631"/>
      <c r="F12" s="632"/>
      <c r="G12" s="199">
        <v>22</v>
      </c>
      <c r="H12" s="201">
        <v>1800.827514282724</v>
      </c>
      <c r="I12" s="202">
        <v>81.855796103760184</v>
      </c>
      <c r="J12" s="350">
        <v>3.8041841579229185E-2</v>
      </c>
      <c r="K12" s="630" t="s">
        <v>405</v>
      </c>
      <c r="L12" s="632"/>
      <c r="N12" s="178"/>
      <c r="O12" s="178"/>
      <c r="P12" s="494"/>
      <c r="Q12" s="494"/>
      <c r="R12" s="178"/>
      <c r="S12" s="188"/>
    </row>
    <row r="13" spans="1:19" ht="15.75" customHeight="1">
      <c r="A13" s="502"/>
      <c r="B13" s="505"/>
      <c r="C13" s="203" t="s">
        <v>187</v>
      </c>
      <c r="D13" s="630"/>
      <c r="E13" s="631"/>
      <c r="F13" s="632"/>
      <c r="G13" s="199"/>
      <c r="H13" s="201"/>
      <c r="I13" s="202"/>
      <c r="J13" s="199"/>
      <c r="K13" s="495"/>
      <c r="L13" s="497"/>
      <c r="N13" s="178"/>
      <c r="O13" s="178"/>
      <c r="P13" s="494"/>
      <c r="Q13" s="494"/>
      <c r="R13" s="178"/>
      <c r="S13" s="188"/>
    </row>
    <row r="14" spans="1:19" ht="15.75" customHeight="1">
      <c r="A14" s="502"/>
      <c r="B14" s="505"/>
      <c r="C14" s="203" t="s">
        <v>192</v>
      </c>
      <c r="D14" s="495"/>
      <c r="E14" s="496"/>
      <c r="F14" s="497"/>
      <c r="G14" s="199"/>
      <c r="H14" s="201"/>
      <c r="I14" s="202"/>
      <c r="J14" s="199"/>
      <c r="K14" s="495"/>
      <c r="L14" s="497"/>
      <c r="N14" s="178"/>
      <c r="O14" s="178"/>
      <c r="P14" s="494"/>
      <c r="Q14" s="494"/>
      <c r="R14" s="178"/>
      <c r="S14" s="188"/>
    </row>
    <row r="15" spans="1:19" ht="15.75" customHeight="1">
      <c r="A15" s="502"/>
      <c r="B15" s="505"/>
      <c r="C15" s="203" t="s">
        <v>188</v>
      </c>
      <c r="D15" s="495"/>
      <c r="E15" s="496"/>
      <c r="F15" s="497"/>
      <c r="G15" s="199"/>
      <c r="H15" s="201"/>
      <c r="I15" s="202"/>
      <c r="J15" s="199"/>
      <c r="K15" s="495"/>
      <c r="L15" s="497"/>
      <c r="N15" s="178"/>
      <c r="O15" s="178"/>
      <c r="P15" s="494"/>
      <c r="Q15" s="494"/>
      <c r="R15" s="178"/>
      <c r="S15" s="188"/>
    </row>
    <row r="16" spans="1:19" ht="15.75" customHeight="1">
      <c r="A16" s="502"/>
      <c r="B16" s="505"/>
      <c r="C16" s="203" t="s">
        <v>193</v>
      </c>
      <c r="D16" s="495"/>
      <c r="E16" s="496"/>
      <c r="F16" s="497"/>
      <c r="G16" s="199"/>
      <c r="H16" s="201"/>
      <c r="I16" s="202"/>
      <c r="J16" s="199"/>
      <c r="K16" s="495"/>
      <c r="L16" s="497"/>
      <c r="M16" s="98"/>
      <c r="N16" s="178"/>
      <c r="O16" s="178"/>
      <c r="P16" s="494"/>
      <c r="Q16" s="494"/>
      <c r="R16" s="178"/>
      <c r="S16" s="188"/>
    </row>
    <row r="17" spans="1:19" ht="15.75" customHeight="1">
      <c r="A17" s="503"/>
      <c r="B17" s="506"/>
      <c r="C17" s="203" t="s">
        <v>194</v>
      </c>
      <c r="D17" s="495"/>
      <c r="E17" s="496"/>
      <c r="F17" s="497"/>
      <c r="G17" s="199"/>
      <c r="H17" s="201"/>
      <c r="I17" s="202"/>
      <c r="J17" s="199"/>
      <c r="K17" s="495"/>
      <c r="L17" s="497"/>
      <c r="M17" s="98"/>
      <c r="N17" s="178"/>
      <c r="O17" s="178"/>
      <c r="P17" s="494"/>
      <c r="Q17" s="494"/>
      <c r="R17" s="178"/>
      <c r="S17" s="188"/>
    </row>
    <row r="18" spans="1:19" s="103" customFormat="1" ht="15.75" customHeight="1">
      <c r="A18" s="498" t="s">
        <v>171</v>
      </c>
      <c r="B18" s="499"/>
      <c r="C18" s="206" t="s">
        <v>47</v>
      </c>
      <c r="D18" s="498" t="s">
        <v>12</v>
      </c>
      <c r="E18" s="500"/>
      <c r="F18" s="499"/>
      <c r="G18" s="206" t="s">
        <v>46</v>
      </c>
      <c r="H18" s="206" t="s">
        <v>352</v>
      </c>
      <c r="I18" s="206" t="s">
        <v>353</v>
      </c>
      <c r="J18" s="159" t="s">
        <v>311</v>
      </c>
      <c r="K18" s="498" t="s">
        <v>51</v>
      </c>
      <c r="L18" s="499"/>
      <c r="M18" s="127"/>
      <c r="N18" s="178"/>
      <c r="O18" s="178"/>
      <c r="P18" s="494"/>
      <c r="Q18" s="494"/>
      <c r="R18" s="178"/>
      <c r="S18" s="198"/>
    </row>
    <row r="19" spans="1:19" ht="15.75" customHeight="1">
      <c r="A19" s="501"/>
      <c r="B19" s="504"/>
      <c r="C19" s="199">
        <v>1</v>
      </c>
      <c r="D19" s="495"/>
      <c r="E19" s="496"/>
      <c r="F19" s="497"/>
      <c r="G19" s="199"/>
      <c r="H19" s="201"/>
      <c r="I19" s="202"/>
      <c r="J19" s="199"/>
      <c r="K19" s="495"/>
      <c r="L19" s="497"/>
      <c r="M19" s="98"/>
      <c r="N19" s="178"/>
      <c r="O19" s="178"/>
      <c r="P19" s="494"/>
      <c r="Q19" s="494"/>
      <c r="R19" s="178"/>
      <c r="S19" s="188"/>
    </row>
    <row r="20" spans="1:19" ht="15.75" customHeight="1">
      <c r="A20" s="502"/>
      <c r="B20" s="505"/>
      <c r="C20" s="199">
        <v>2</v>
      </c>
      <c r="D20" s="495"/>
      <c r="E20" s="496"/>
      <c r="F20" s="497"/>
      <c r="G20" s="199"/>
      <c r="H20" s="201"/>
      <c r="I20" s="202"/>
      <c r="J20" s="199"/>
      <c r="K20" s="495"/>
      <c r="L20" s="497"/>
      <c r="M20" s="98"/>
      <c r="N20" s="178"/>
      <c r="O20" s="178"/>
      <c r="P20" s="494"/>
      <c r="Q20" s="494"/>
      <c r="R20" s="178"/>
      <c r="S20" s="188"/>
    </row>
    <row r="21" spans="1:19" ht="15.75" customHeight="1">
      <c r="A21" s="502"/>
      <c r="B21" s="505"/>
      <c r="C21" s="199">
        <v>3</v>
      </c>
      <c r="D21" s="495"/>
      <c r="E21" s="496"/>
      <c r="F21" s="497"/>
      <c r="G21" s="199"/>
      <c r="H21" s="201"/>
      <c r="I21" s="202"/>
      <c r="J21" s="199"/>
      <c r="K21" s="495"/>
      <c r="L21" s="497"/>
      <c r="M21" s="98"/>
      <c r="N21" s="178"/>
      <c r="O21" s="178"/>
      <c r="P21" s="494"/>
      <c r="Q21" s="494"/>
      <c r="R21" s="178"/>
      <c r="S21" s="188"/>
    </row>
    <row r="22" spans="1:19" ht="15.75" customHeight="1">
      <c r="A22" s="502"/>
      <c r="B22" s="505"/>
      <c r="C22" s="199">
        <v>4</v>
      </c>
      <c r="D22" s="495"/>
      <c r="E22" s="496"/>
      <c r="F22" s="497"/>
      <c r="G22" s="199"/>
      <c r="H22" s="201"/>
      <c r="I22" s="202"/>
      <c r="J22" s="199"/>
      <c r="K22" s="495"/>
      <c r="L22" s="497"/>
      <c r="M22" s="98"/>
      <c r="N22" s="178"/>
      <c r="O22" s="178"/>
      <c r="P22" s="494"/>
      <c r="Q22" s="494"/>
      <c r="R22" s="178"/>
      <c r="S22" s="188"/>
    </row>
    <row r="23" spans="1:19" ht="15.75" customHeight="1">
      <c r="A23" s="502"/>
      <c r="B23" s="505"/>
      <c r="C23" s="199">
        <v>5</v>
      </c>
      <c r="D23" s="495"/>
      <c r="E23" s="496"/>
      <c r="F23" s="497"/>
      <c r="G23" s="199"/>
      <c r="H23" s="201"/>
      <c r="I23" s="202"/>
      <c r="J23" s="199"/>
      <c r="K23" s="495"/>
      <c r="L23" s="497"/>
      <c r="M23" s="98"/>
      <c r="N23" s="178"/>
      <c r="O23" s="178"/>
      <c r="P23" s="494"/>
      <c r="Q23" s="494"/>
      <c r="R23" s="178"/>
      <c r="S23" s="188"/>
    </row>
    <row r="24" spans="1:19" ht="15.75" customHeight="1">
      <c r="A24" s="502"/>
      <c r="B24" s="505"/>
      <c r="C24" s="203" t="s">
        <v>187</v>
      </c>
      <c r="D24" s="495"/>
      <c r="E24" s="496"/>
      <c r="F24" s="497"/>
      <c r="G24" s="199"/>
      <c r="H24" s="201"/>
      <c r="I24" s="202"/>
      <c r="J24" s="199"/>
      <c r="K24" s="495"/>
      <c r="L24" s="497"/>
      <c r="M24" s="98"/>
      <c r="N24" s="178"/>
      <c r="O24" s="178"/>
      <c r="P24" s="494"/>
      <c r="Q24" s="494"/>
      <c r="R24" s="178"/>
      <c r="S24" s="188"/>
    </row>
    <row r="25" spans="1:19" ht="15.75" customHeight="1">
      <c r="A25" s="502"/>
      <c r="B25" s="505"/>
      <c r="C25" s="203" t="s">
        <v>192</v>
      </c>
      <c r="D25" s="495"/>
      <c r="E25" s="496"/>
      <c r="F25" s="497"/>
      <c r="G25" s="199"/>
      <c r="H25" s="201"/>
      <c r="I25" s="202"/>
      <c r="J25" s="199"/>
      <c r="K25" s="495"/>
      <c r="L25" s="497"/>
      <c r="M25" s="98"/>
      <c r="N25" s="178"/>
      <c r="O25" s="178"/>
      <c r="P25" s="494"/>
      <c r="Q25" s="494"/>
      <c r="R25" s="178"/>
      <c r="S25" s="188"/>
    </row>
    <row r="26" spans="1:19" ht="15.75" customHeight="1">
      <c r="A26" s="502"/>
      <c r="B26" s="505"/>
      <c r="C26" s="203" t="s">
        <v>188</v>
      </c>
      <c r="D26" s="495"/>
      <c r="E26" s="496"/>
      <c r="F26" s="497"/>
      <c r="G26" s="199"/>
      <c r="H26" s="201"/>
      <c r="I26" s="202"/>
      <c r="J26" s="199"/>
      <c r="K26" s="495"/>
      <c r="L26" s="497"/>
      <c r="M26" s="98"/>
      <c r="N26" s="178"/>
      <c r="O26" s="178"/>
      <c r="P26" s="494"/>
      <c r="Q26" s="494"/>
      <c r="R26" s="178"/>
      <c r="S26" s="188"/>
    </row>
    <row r="27" spans="1:19" ht="15.75" customHeight="1">
      <c r="A27" s="502"/>
      <c r="B27" s="505"/>
      <c r="C27" s="203" t="s">
        <v>193</v>
      </c>
      <c r="D27" s="495"/>
      <c r="E27" s="496"/>
      <c r="F27" s="497"/>
      <c r="G27" s="199"/>
      <c r="H27" s="201"/>
      <c r="I27" s="202"/>
      <c r="J27" s="199"/>
      <c r="K27" s="495"/>
      <c r="L27" s="497"/>
      <c r="M27" s="98"/>
      <c r="N27" s="178"/>
      <c r="O27" s="178"/>
      <c r="P27" s="494"/>
      <c r="Q27" s="494"/>
      <c r="R27" s="178"/>
      <c r="S27" s="188"/>
    </row>
    <row r="28" spans="1:19" ht="15.75" customHeight="1">
      <c r="A28" s="503"/>
      <c r="B28" s="506"/>
      <c r="C28" s="203" t="s">
        <v>194</v>
      </c>
      <c r="D28" s="495"/>
      <c r="E28" s="496"/>
      <c r="F28" s="497"/>
      <c r="G28" s="199"/>
      <c r="H28" s="201"/>
      <c r="I28" s="202"/>
      <c r="J28" s="199"/>
      <c r="K28" s="495"/>
      <c r="L28" s="497"/>
      <c r="M28" s="98"/>
      <c r="N28" s="178"/>
      <c r="O28" s="178"/>
      <c r="P28" s="494"/>
      <c r="Q28" s="494"/>
      <c r="R28" s="178"/>
      <c r="S28" s="188"/>
    </row>
    <row r="29" spans="1:19" s="188" customFormat="1" ht="15.75" customHeight="1">
      <c r="A29" s="626" t="s">
        <v>627</v>
      </c>
      <c r="B29" s="626"/>
      <c r="C29" s="626"/>
      <c r="D29" s="626"/>
      <c r="E29" s="626"/>
      <c r="F29" s="626"/>
      <c r="G29" s="626"/>
      <c r="H29" s="626"/>
      <c r="I29" s="626"/>
      <c r="J29" s="626"/>
      <c r="K29" s="626"/>
      <c r="L29" s="626"/>
    </row>
    <row r="30" spans="1:19" s="189" customFormat="1" ht="15.75" customHeight="1">
      <c r="A30" s="626"/>
      <c r="B30" s="626"/>
      <c r="C30" s="626"/>
      <c r="D30" s="626"/>
      <c r="E30" s="626"/>
      <c r="F30" s="626"/>
      <c r="G30" s="626"/>
      <c r="H30" s="626"/>
      <c r="I30" s="626"/>
      <c r="J30" s="626"/>
      <c r="K30" s="626"/>
      <c r="L30" s="626"/>
    </row>
    <row r="31" spans="1:19" s="105" customFormat="1" ht="16.350000000000001" customHeight="1">
      <c r="A31" s="501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6.350000000000001" customHeight="1">
      <c r="A32" s="503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6" t="s">
        <v>191</v>
      </c>
      <c r="I32" s="195" t="s">
        <v>351</v>
      </c>
      <c r="J32" s="208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5.75" customHeight="1">
      <c r="A33" s="507" t="s">
        <v>171</v>
      </c>
      <c r="B33" s="508"/>
      <c r="C33" s="159" t="s">
        <v>47</v>
      </c>
      <c r="D33" s="507" t="s">
        <v>12</v>
      </c>
      <c r="E33" s="509"/>
      <c r="F33" s="508"/>
      <c r="G33" s="159" t="s">
        <v>46</v>
      </c>
      <c r="H33" s="159" t="s">
        <v>352</v>
      </c>
      <c r="I33" s="159" t="s">
        <v>353</v>
      </c>
      <c r="J33" s="159" t="s">
        <v>311</v>
      </c>
      <c r="K33" s="507" t="s">
        <v>51</v>
      </c>
      <c r="L33" s="508"/>
      <c r="M33" s="192"/>
      <c r="N33" s="178"/>
      <c r="O33" s="493"/>
      <c r="P33" s="493"/>
      <c r="Q33" s="493"/>
      <c r="R33" s="178"/>
      <c r="S33" s="177"/>
    </row>
    <row r="34" spans="1:19" ht="15.75" customHeight="1">
      <c r="A34" s="501">
        <f>J31</f>
        <v>9</v>
      </c>
      <c r="B34" s="504" t="str">
        <f>J32</f>
        <v>微波小吃</v>
      </c>
      <c r="C34" s="199">
        <v>1</v>
      </c>
      <c r="D34" s="630" t="s">
        <v>538</v>
      </c>
      <c r="E34" s="631"/>
      <c r="F34" s="632"/>
      <c r="G34" s="199">
        <v>11</v>
      </c>
      <c r="H34" s="201">
        <v>1808.470852635377</v>
      </c>
      <c r="I34" s="202">
        <v>164.40644114867064</v>
      </c>
      <c r="J34" s="350">
        <f>I34-I8</f>
        <v>-1.5584415584356748E-2</v>
      </c>
      <c r="K34" s="630" t="s">
        <v>405</v>
      </c>
      <c r="L34" s="632"/>
      <c r="N34" s="178"/>
      <c r="O34" s="178"/>
      <c r="P34" s="494"/>
      <c r="Q34" s="494"/>
      <c r="R34" s="178"/>
      <c r="S34" s="188"/>
    </row>
    <row r="35" spans="1:19" ht="15.75" customHeight="1">
      <c r="A35" s="502"/>
      <c r="B35" s="505"/>
      <c r="C35" s="199">
        <v>2</v>
      </c>
      <c r="D35" s="630" t="s">
        <v>536</v>
      </c>
      <c r="E35" s="631"/>
      <c r="F35" s="632"/>
      <c r="G35" s="199">
        <v>11</v>
      </c>
      <c r="H35" s="201">
        <v>1807.8339577632796</v>
      </c>
      <c r="I35" s="202">
        <v>164.34854161484358</v>
      </c>
      <c r="J35" s="350">
        <f>I35-I9</f>
        <v>2.1174757560913804E-2</v>
      </c>
      <c r="K35" s="630" t="s">
        <v>405</v>
      </c>
      <c r="L35" s="632"/>
      <c r="N35" s="178"/>
      <c r="O35" s="178"/>
      <c r="P35" s="494"/>
      <c r="Q35" s="494"/>
      <c r="R35" s="178"/>
      <c r="S35" s="188"/>
    </row>
    <row r="36" spans="1:19" ht="15.75" customHeight="1">
      <c r="A36" s="502"/>
      <c r="B36" s="505"/>
      <c r="C36" s="199">
        <v>3</v>
      </c>
      <c r="D36" s="630" t="s">
        <v>549</v>
      </c>
      <c r="E36" s="631"/>
      <c r="F36" s="632"/>
      <c r="G36" s="199">
        <v>19</v>
      </c>
      <c r="H36" s="201">
        <v>1804.3994868703796</v>
      </c>
      <c r="I36" s="202">
        <v>94.968394045809461</v>
      </c>
      <c r="J36" s="350">
        <f>I36-I10</f>
        <v>0.12781954887221048</v>
      </c>
      <c r="K36" s="630" t="s">
        <v>405</v>
      </c>
      <c r="L36" s="632"/>
      <c r="N36" s="178"/>
      <c r="O36" s="178"/>
      <c r="P36" s="494"/>
      <c r="Q36" s="494"/>
      <c r="R36" s="178"/>
      <c r="S36" s="188"/>
    </row>
    <row r="37" spans="1:19" ht="15.75" customHeight="1">
      <c r="A37" s="502"/>
      <c r="B37" s="505"/>
      <c r="C37" s="199">
        <v>4</v>
      </c>
      <c r="D37" s="630" t="s">
        <v>332</v>
      </c>
      <c r="E37" s="631"/>
      <c r="F37" s="632"/>
      <c r="G37" s="201">
        <v>13</v>
      </c>
      <c r="H37" s="201">
        <v>1082.8472881768489</v>
      </c>
      <c r="I37" s="202">
        <v>83.295945244373002</v>
      </c>
      <c r="J37" s="350">
        <f>I37-I11</f>
        <v>-3.1648351648328799E-2</v>
      </c>
      <c r="K37" s="630" t="s">
        <v>405</v>
      </c>
      <c r="L37" s="632"/>
      <c r="N37" s="178"/>
      <c r="O37" s="178"/>
      <c r="P37" s="494"/>
      <c r="Q37" s="494"/>
      <c r="R37" s="178"/>
      <c r="S37" s="188"/>
    </row>
    <row r="38" spans="1:19" ht="15.75" customHeight="1">
      <c r="A38" s="502"/>
      <c r="B38" s="505"/>
      <c r="C38" s="199">
        <v>5</v>
      </c>
      <c r="D38" s="630" t="s">
        <v>537</v>
      </c>
      <c r="E38" s="631"/>
      <c r="F38" s="632"/>
      <c r="G38" s="199">
        <v>22</v>
      </c>
      <c r="H38" s="201">
        <v>1803.9989428541526</v>
      </c>
      <c r="I38" s="202">
        <v>81.999951947916017</v>
      </c>
      <c r="J38" s="350">
        <f>I38-I12</f>
        <v>0.14415584415583282</v>
      </c>
      <c r="K38" s="630" t="s">
        <v>405</v>
      </c>
      <c r="L38" s="632"/>
      <c r="N38" s="178"/>
      <c r="O38" s="178"/>
      <c r="P38" s="494"/>
      <c r="Q38" s="494"/>
      <c r="R38" s="178"/>
      <c r="S38" s="188"/>
    </row>
    <row r="39" spans="1:19" ht="15.75" customHeight="1">
      <c r="A39" s="502"/>
      <c r="B39" s="505"/>
      <c r="C39" s="203" t="s">
        <v>187</v>
      </c>
      <c r="D39" s="630"/>
      <c r="E39" s="631"/>
      <c r="F39" s="632"/>
      <c r="G39" s="199"/>
      <c r="H39" s="201"/>
      <c r="I39" s="202"/>
      <c r="J39" s="199"/>
      <c r="K39" s="495"/>
      <c r="L39" s="497"/>
      <c r="N39" s="178"/>
      <c r="O39" s="178"/>
      <c r="P39" s="494"/>
      <c r="Q39" s="494"/>
      <c r="R39" s="178"/>
      <c r="S39" s="188"/>
    </row>
    <row r="40" spans="1:19" ht="15.75" customHeight="1">
      <c r="A40" s="502"/>
      <c r="B40" s="505"/>
      <c r="C40" s="203" t="s">
        <v>192</v>
      </c>
      <c r="D40" s="495"/>
      <c r="E40" s="496"/>
      <c r="F40" s="497"/>
      <c r="G40" s="199"/>
      <c r="H40" s="201"/>
      <c r="I40" s="202"/>
      <c r="J40" s="199"/>
      <c r="K40" s="495"/>
      <c r="L40" s="497"/>
      <c r="N40" s="178"/>
      <c r="O40" s="178"/>
      <c r="P40" s="494"/>
      <c r="Q40" s="494"/>
      <c r="R40" s="178"/>
      <c r="S40" s="188"/>
    </row>
    <row r="41" spans="1:19" ht="15.75" customHeight="1">
      <c r="A41" s="502"/>
      <c r="B41" s="505"/>
      <c r="C41" s="203" t="s">
        <v>188</v>
      </c>
      <c r="D41" s="495"/>
      <c r="E41" s="496"/>
      <c r="F41" s="497"/>
      <c r="G41" s="199"/>
      <c r="H41" s="201"/>
      <c r="I41" s="202"/>
      <c r="J41" s="199"/>
      <c r="K41" s="495"/>
      <c r="L41" s="497"/>
      <c r="N41" s="178"/>
      <c r="O41" s="178"/>
      <c r="P41" s="494"/>
      <c r="Q41" s="494"/>
      <c r="R41" s="178"/>
      <c r="S41" s="188"/>
    </row>
    <row r="42" spans="1:19" ht="15.75" customHeight="1">
      <c r="A42" s="502"/>
      <c r="B42" s="505"/>
      <c r="C42" s="203" t="s">
        <v>193</v>
      </c>
      <c r="D42" s="495"/>
      <c r="E42" s="496"/>
      <c r="F42" s="497"/>
      <c r="G42" s="199"/>
      <c r="H42" s="201"/>
      <c r="I42" s="202"/>
      <c r="J42" s="199"/>
      <c r="K42" s="495"/>
      <c r="L42" s="497"/>
      <c r="M42" s="98"/>
      <c r="N42" s="178"/>
      <c r="O42" s="178"/>
      <c r="P42" s="494"/>
      <c r="Q42" s="494"/>
      <c r="R42" s="178"/>
      <c r="S42" s="188"/>
    </row>
    <row r="43" spans="1:19" ht="15.75" customHeight="1">
      <c r="A43" s="503"/>
      <c r="B43" s="506"/>
      <c r="C43" s="203" t="s">
        <v>194</v>
      </c>
      <c r="D43" s="495"/>
      <c r="E43" s="496"/>
      <c r="F43" s="497"/>
      <c r="G43" s="199"/>
      <c r="H43" s="201"/>
      <c r="I43" s="202"/>
      <c r="J43" s="199"/>
      <c r="K43" s="495"/>
      <c r="L43" s="497"/>
      <c r="M43" s="98"/>
      <c r="N43" s="178"/>
      <c r="O43" s="178"/>
      <c r="P43" s="494"/>
      <c r="Q43" s="494"/>
      <c r="R43" s="178"/>
      <c r="S43" s="188"/>
    </row>
    <row r="44" spans="1:19" s="103" customFormat="1" ht="15.75" customHeight="1">
      <c r="A44" s="498" t="s">
        <v>171</v>
      </c>
      <c r="B44" s="499"/>
      <c r="C44" s="206" t="s">
        <v>47</v>
      </c>
      <c r="D44" s="498" t="s">
        <v>12</v>
      </c>
      <c r="E44" s="500"/>
      <c r="F44" s="499"/>
      <c r="G44" s="206" t="s">
        <v>46</v>
      </c>
      <c r="H44" s="206" t="s">
        <v>352</v>
      </c>
      <c r="I44" s="206" t="s">
        <v>353</v>
      </c>
      <c r="J44" s="159" t="s">
        <v>311</v>
      </c>
      <c r="K44" s="498" t="s">
        <v>51</v>
      </c>
      <c r="L44" s="499"/>
      <c r="M44" s="127"/>
      <c r="N44" s="178"/>
      <c r="O44" s="178"/>
      <c r="P44" s="494"/>
      <c r="Q44" s="494"/>
      <c r="R44" s="178"/>
      <c r="S44" s="198"/>
    </row>
    <row r="45" spans="1:19" ht="15.75" customHeight="1">
      <c r="A45" s="501"/>
      <c r="B45" s="504"/>
      <c r="C45" s="199">
        <v>1</v>
      </c>
      <c r="D45" s="495"/>
      <c r="E45" s="496"/>
      <c r="F45" s="497"/>
      <c r="G45" s="199"/>
      <c r="H45" s="201"/>
      <c r="I45" s="202"/>
      <c r="J45" s="199"/>
      <c r="K45" s="495"/>
      <c r="L45" s="497"/>
      <c r="M45" s="98"/>
      <c r="N45" s="178"/>
      <c r="O45" s="178"/>
      <c r="P45" s="494"/>
      <c r="Q45" s="494"/>
      <c r="R45" s="178"/>
      <c r="S45" s="188"/>
    </row>
    <row r="46" spans="1:19" ht="15.75" customHeight="1">
      <c r="A46" s="502"/>
      <c r="B46" s="505"/>
      <c r="C46" s="199">
        <v>2</v>
      </c>
      <c r="D46" s="495"/>
      <c r="E46" s="496"/>
      <c r="F46" s="497"/>
      <c r="G46" s="199"/>
      <c r="H46" s="201"/>
      <c r="I46" s="202"/>
      <c r="J46" s="199"/>
      <c r="K46" s="495"/>
      <c r="L46" s="497"/>
      <c r="M46" s="98"/>
      <c r="N46" s="178"/>
      <c r="O46" s="178"/>
      <c r="P46" s="494"/>
      <c r="Q46" s="494"/>
      <c r="R46" s="178"/>
      <c r="S46" s="188"/>
    </row>
    <row r="47" spans="1:19" ht="15.75" customHeight="1">
      <c r="A47" s="502"/>
      <c r="B47" s="505"/>
      <c r="C47" s="199">
        <v>3</v>
      </c>
      <c r="D47" s="495"/>
      <c r="E47" s="496"/>
      <c r="F47" s="497"/>
      <c r="G47" s="199"/>
      <c r="H47" s="201"/>
      <c r="I47" s="202"/>
      <c r="J47" s="199"/>
      <c r="K47" s="495"/>
      <c r="L47" s="497"/>
      <c r="M47" s="98"/>
      <c r="N47" s="178"/>
      <c r="O47" s="178"/>
      <c r="P47" s="494"/>
      <c r="Q47" s="494"/>
      <c r="R47" s="178"/>
      <c r="S47" s="188"/>
    </row>
    <row r="48" spans="1:19" ht="15.75" customHeight="1">
      <c r="A48" s="502"/>
      <c r="B48" s="505"/>
      <c r="C48" s="199">
        <v>4</v>
      </c>
      <c r="D48" s="495"/>
      <c r="E48" s="496"/>
      <c r="F48" s="497"/>
      <c r="G48" s="199"/>
      <c r="H48" s="201"/>
      <c r="I48" s="202"/>
      <c r="J48" s="199"/>
      <c r="K48" s="495"/>
      <c r="L48" s="497"/>
      <c r="M48" s="98"/>
      <c r="N48" s="178"/>
      <c r="O48" s="178"/>
      <c r="P48" s="494"/>
      <c r="Q48" s="494"/>
      <c r="R48" s="178"/>
      <c r="S48" s="188"/>
    </row>
    <row r="49" spans="1:19" ht="15.75" customHeight="1">
      <c r="A49" s="502"/>
      <c r="B49" s="505"/>
      <c r="C49" s="199">
        <v>5</v>
      </c>
      <c r="D49" s="495"/>
      <c r="E49" s="496"/>
      <c r="F49" s="497"/>
      <c r="G49" s="199"/>
      <c r="H49" s="201"/>
      <c r="I49" s="202"/>
      <c r="J49" s="199"/>
      <c r="K49" s="495"/>
      <c r="L49" s="497"/>
      <c r="M49" s="98"/>
      <c r="N49" s="178"/>
      <c r="O49" s="178"/>
      <c r="P49" s="494"/>
      <c r="Q49" s="494"/>
      <c r="R49" s="178"/>
      <c r="S49" s="188"/>
    </row>
    <row r="50" spans="1:19" ht="15.75" customHeight="1">
      <c r="A50" s="502"/>
      <c r="B50" s="505"/>
      <c r="C50" s="203" t="s">
        <v>187</v>
      </c>
      <c r="D50" s="495"/>
      <c r="E50" s="496"/>
      <c r="F50" s="497"/>
      <c r="G50" s="199"/>
      <c r="H50" s="201"/>
      <c r="I50" s="202"/>
      <c r="J50" s="199"/>
      <c r="K50" s="495"/>
      <c r="L50" s="497"/>
      <c r="M50" s="98"/>
      <c r="N50" s="178"/>
      <c r="O50" s="178"/>
      <c r="P50" s="494"/>
      <c r="Q50" s="494"/>
      <c r="R50" s="178"/>
      <c r="S50" s="188"/>
    </row>
    <row r="51" spans="1:19" ht="15.75" customHeight="1">
      <c r="A51" s="502"/>
      <c r="B51" s="505"/>
      <c r="C51" s="203" t="s">
        <v>192</v>
      </c>
      <c r="D51" s="495"/>
      <c r="E51" s="496"/>
      <c r="F51" s="497"/>
      <c r="G51" s="199"/>
      <c r="H51" s="201"/>
      <c r="I51" s="202"/>
      <c r="J51" s="199"/>
      <c r="K51" s="495"/>
      <c r="L51" s="497"/>
      <c r="M51" s="98"/>
      <c r="N51" s="178"/>
      <c r="O51" s="178"/>
      <c r="P51" s="494"/>
      <c r="Q51" s="494"/>
      <c r="R51" s="178"/>
      <c r="S51" s="188"/>
    </row>
    <row r="52" spans="1:19" ht="15.75" customHeight="1">
      <c r="A52" s="502"/>
      <c r="B52" s="505"/>
      <c r="C52" s="203" t="s">
        <v>188</v>
      </c>
      <c r="D52" s="495"/>
      <c r="E52" s="496"/>
      <c r="F52" s="497"/>
      <c r="G52" s="199"/>
      <c r="H52" s="201"/>
      <c r="I52" s="202"/>
      <c r="J52" s="199"/>
      <c r="K52" s="495"/>
      <c r="L52" s="497"/>
      <c r="M52" s="98"/>
      <c r="N52" s="178"/>
      <c r="O52" s="178"/>
      <c r="P52" s="494"/>
      <c r="Q52" s="494"/>
      <c r="R52" s="178"/>
      <c r="S52" s="188"/>
    </row>
    <row r="53" spans="1:19" ht="15.75" customHeight="1">
      <c r="A53" s="502"/>
      <c r="B53" s="505"/>
      <c r="C53" s="203" t="s">
        <v>193</v>
      </c>
      <c r="D53" s="495"/>
      <c r="E53" s="496"/>
      <c r="F53" s="497"/>
      <c r="G53" s="199"/>
      <c r="H53" s="201"/>
      <c r="I53" s="202"/>
      <c r="J53" s="199"/>
      <c r="K53" s="495"/>
      <c r="L53" s="497"/>
      <c r="M53" s="98"/>
      <c r="N53" s="178"/>
      <c r="O53" s="178"/>
      <c r="P53" s="494"/>
      <c r="Q53" s="494"/>
      <c r="R53" s="178"/>
      <c r="S53" s="188"/>
    </row>
    <row r="54" spans="1:19" ht="15.75" customHeight="1">
      <c r="A54" s="503"/>
      <c r="B54" s="506"/>
      <c r="C54" s="203" t="s">
        <v>194</v>
      </c>
      <c r="D54" s="495"/>
      <c r="E54" s="496"/>
      <c r="F54" s="497"/>
      <c r="G54" s="199"/>
      <c r="H54" s="201"/>
      <c r="I54" s="202"/>
      <c r="J54" s="199"/>
      <c r="K54" s="495"/>
      <c r="L54" s="497"/>
      <c r="M54" s="98"/>
      <c r="N54" s="178"/>
      <c r="O54" s="178"/>
      <c r="P54" s="494"/>
      <c r="Q54" s="494"/>
      <c r="R54" s="178"/>
      <c r="S54" s="188"/>
    </row>
    <row r="55" spans="1:19" s="188" customFormat="1" ht="15.75" customHeight="1">
      <c r="A55" s="626" t="s">
        <v>643</v>
      </c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</row>
    <row r="56" spans="1:19" s="189" customFormat="1" ht="15.75" customHeight="1">
      <c r="A56" s="626"/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</row>
    <row r="57" spans="1:19" s="105" customFormat="1" ht="16.350000000000001" customHeight="1">
      <c r="A57" s="501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6.350000000000001" customHeight="1">
      <c r="A58" s="503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6" t="s">
        <v>191</v>
      </c>
      <c r="I58" s="195" t="s">
        <v>351</v>
      </c>
      <c r="J58" s="208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5.75" customHeight="1">
      <c r="A59" s="507" t="s">
        <v>171</v>
      </c>
      <c r="B59" s="508"/>
      <c r="C59" s="159" t="s">
        <v>47</v>
      </c>
      <c r="D59" s="507" t="s">
        <v>12</v>
      </c>
      <c r="E59" s="509"/>
      <c r="F59" s="508"/>
      <c r="G59" s="159" t="s">
        <v>46</v>
      </c>
      <c r="H59" s="159" t="s">
        <v>352</v>
      </c>
      <c r="I59" s="159" t="s">
        <v>353</v>
      </c>
      <c r="J59" s="159" t="s">
        <v>311</v>
      </c>
      <c r="K59" s="507" t="s">
        <v>51</v>
      </c>
      <c r="L59" s="508"/>
      <c r="M59" s="192"/>
      <c r="N59" s="178"/>
      <c r="O59" s="493"/>
      <c r="P59" s="493"/>
      <c r="Q59" s="493"/>
      <c r="R59" s="178"/>
      <c r="S59" s="177"/>
    </row>
    <row r="60" spans="1:19" ht="15.75" customHeight="1">
      <c r="A60" s="501">
        <f>J57</f>
        <v>9</v>
      </c>
      <c r="B60" s="504" t="str">
        <f>J58</f>
        <v>微波小吃</v>
      </c>
      <c r="C60" s="199">
        <v>1</v>
      </c>
      <c r="D60" s="630" t="s">
        <v>538</v>
      </c>
      <c r="E60" s="631"/>
      <c r="F60" s="632"/>
      <c r="G60" s="199">
        <v>11</v>
      </c>
      <c r="H60" s="201">
        <v>1808.3279954925197</v>
      </c>
      <c r="I60" s="202">
        <v>164.39345413568361</v>
      </c>
      <c r="J60" s="350">
        <f>I60-I34</f>
        <v>-1.2987012987025537E-2</v>
      </c>
      <c r="K60" s="495"/>
      <c r="L60" s="497"/>
      <c r="N60" s="178"/>
      <c r="O60" s="178"/>
      <c r="P60" s="494"/>
      <c r="Q60" s="494"/>
      <c r="R60" s="178"/>
      <c r="S60" s="188"/>
    </row>
    <row r="61" spans="1:19" ht="15.75" customHeight="1">
      <c r="A61" s="502"/>
      <c r="B61" s="505"/>
      <c r="C61" s="199">
        <v>2</v>
      </c>
      <c r="D61" s="630" t="s">
        <v>549</v>
      </c>
      <c r="E61" s="631"/>
      <c r="F61" s="632"/>
      <c r="G61" s="199">
        <v>19</v>
      </c>
      <c r="H61" s="201">
        <v>1805.3137725846659</v>
      </c>
      <c r="I61" s="202">
        <v>95.016514346561351</v>
      </c>
      <c r="J61" s="350">
        <f>I61-I36</f>
        <v>4.8120300751889999E-2</v>
      </c>
      <c r="K61" s="495"/>
      <c r="L61" s="497"/>
      <c r="N61" s="178"/>
      <c r="O61" s="178"/>
      <c r="P61" s="494"/>
      <c r="Q61" s="494"/>
      <c r="R61" s="178"/>
      <c r="S61" s="188"/>
    </row>
    <row r="62" spans="1:19" ht="15.75" customHeight="1">
      <c r="A62" s="502"/>
      <c r="B62" s="505"/>
      <c r="C62" s="199">
        <v>3</v>
      </c>
      <c r="D62" s="630" t="s">
        <v>332</v>
      </c>
      <c r="E62" s="631"/>
      <c r="F62" s="632"/>
      <c r="G62" s="199">
        <v>13</v>
      </c>
      <c r="H62" s="201">
        <v>1082.6244310339914</v>
      </c>
      <c r="I62" s="202">
        <v>83.278802387230101</v>
      </c>
      <c r="J62" s="350">
        <f>I62-I37</f>
        <v>-1.7142857142900425E-2</v>
      </c>
      <c r="K62" s="495"/>
      <c r="L62" s="497"/>
      <c r="N62" s="178"/>
      <c r="O62" s="178"/>
      <c r="P62" s="494"/>
      <c r="Q62" s="494"/>
      <c r="R62" s="178"/>
      <c r="S62" s="188"/>
    </row>
    <row r="63" spans="1:19" ht="15.75" customHeight="1">
      <c r="A63" s="502"/>
      <c r="B63" s="505"/>
      <c r="C63" s="199">
        <v>4</v>
      </c>
      <c r="D63" s="630"/>
      <c r="E63" s="631"/>
      <c r="F63" s="632"/>
      <c r="G63" s="201"/>
      <c r="H63" s="201"/>
      <c r="I63" s="202"/>
      <c r="J63" s="350"/>
      <c r="K63" s="495"/>
      <c r="L63" s="497"/>
      <c r="N63" s="178"/>
      <c r="O63" s="178"/>
      <c r="P63" s="494"/>
      <c r="Q63" s="494"/>
      <c r="R63" s="178"/>
      <c r="S63" s="188"/>
    </row>
    <row r="64" spans="1:19" ht="15.75" customHeight="1">
      <c r="A64" s="502"/>
      <c r="B64" s="505"/>
      <c r="C64" s="199">
        <v>5</v>
      </c>
      <c r="D64" s="630"/>
      <c r="E64" s="631"/>
      <c r="F64" s="632"/>
      <c r="G64" s="199"/>
      <c r="H64" s="201"/>
      <c r="I64" s="202"/>
      <c r="J64" s="350"/>
      <c r="K64" s="495"/>
      <c r="L64" s="497"/>
      <c r="N64" s="178"/>
      <c r="O64" s="178"/>
      <c r="P64" s="494"/>
      <c r="Q64" s="494"/>
      <c r="R64" s="178"/>
      <c r="S64" s="188"/>
    </row>
    <row r="65" spans="1:19" ht="15.75" customHeight="1">
      <c r="A65" s="502"/>
      <c r="B65" s="505"/>
      <c r="C65" s="203" t="s">
        <v>187</v>
      </c>
      <c r="D65" s="630"/>
      <c r="E65" s="631"/>
      <c r="F65" s="632"/>
      <c r="G65" s="199"/>
      <c r="H65" s="201"/>
      <c r="I65" s="202"/>
      <c r="J65" s="199"/>
      <c r="K65" s="495"/>
      <c r="L65" s="497"/>
      <c r="N65" s="178"/>
      <c r="O65" s="178"/>
      <c r="P65" s="494"/>
      <c r="Q65" s="494"/>
      <c r="R65" s="178"/>
      <c r="S65" s="188"/>
    </row>
    <row r="66" spans="1:19" ht="15.75" customHeight="1">
      <c r="A66" s="502"/>
      <c r="B66" s="505"/>
      <c r="C66" s="203" t="s">
        <v>192</v>
      </c>
      <c r="D66" s="495"/>
      <c r="E66" s="496"/>
      <c r="F66" s="497"/>
      <c r="G66" s="199"/>
      <c r="H66" s="201"/>
      <c r="I66" s="202"/>
      <c r="J66" s="199"/>
      <c r="K66" s="495"/>
      <c r="L66" s="497"/>
      <c r="N66" s="178"/>
      <c r="O66" s="178"/>
      <c r="P66" s="494"/>
      <c r="Q66" s="494"/>
      <c r="R66" s="178"/>
      <c r="S66" s="188"/>
    </row>
    <row r="67" spans="1:19" ht="15.75" customHeight="1">
      <c r="A67" s="502"/>
      <c r="B67" s="505"/>
      <c r="C67" s="203" t="s">
        <v>188</v>
      </c>
      <c r="D67" s="495"/>
      <c r="E67" s="496"/>
      <c r="F67" s="497"/>
      <c r="G67" s="199"/>
      <c r="H67" s="201"/>
      <c r="I67" s="202"/>
      <c r="J67" s="199"/>
      <c r="K67" s="495"/>
      <c r="L67" s="497"/>
      <c r="N67" s="178"/>
      <c r="O67" s="178"/>
      <c r="P67" s="494"/>
      <c r="Q67" s="494"/>
      <c r="R67" s="178"/>
      <c r="S67" s="188"/>
    </row>
    <row r="68" spans="1:19" ht="15.75" customHeight="1">
      <c r="A68" s="502"/>
      <c r="B68" s="505"/>
      <c r="C68" s="203" t="s">
        <v>193</v>
      </c>
      <c r="D68" s="495"/>
      <c r="E68" s="496"/>
      <c r="F68" s="497"/>
      <c r="G68" s="199"/>
      <c r="H68" s="201"/>
      <c r="I68" s="202"/>
      <c r="J68" s="199"/>
      <c r="K68" s="495"/>
      <c r="L68" s="497"/>
      <c r="M68" s="98"/>
      <c r="N68" s="178"/>
      <c r="O68" s="178"/>
      <c r="P68" s="494"/>
      <c r="Q68" s="494"/>
      <c r="R68" s="178"/>
      <c r="S68" s="188"/>
    </row>
    <row r="69" spans="1:19" ht="15.75" customHeight="1">
      <c r="A69" s="503"/>
      <c r="B69" s="506"/>
      <c r="C69" s="203" t="s">
        <v>194</v>
      </c>
      <c r="D69" s="495"/>
      <c r="E69" s="496"/>
      <c r="F69" s="497"/>
      <c r="G69" s="199"/>
      <c r="H69" s="201"/>
      <c r="I69" s="202"/>
      <c r="J69" s="199"/>
      <c r="K69" s="495"/>
      <c r="L69" s="497"/>
      <c r="M69" s="98"/>
      <c r="N69" s="178"/>
      <c r="O69" s="178"/>
      <c r="P69" s="494"/>
      <c r="Q69" s="494"/>
      <c r="R69" s="178"/>
      <c r="S69" s="188"/>
    </row>
    <row r="70" spans="1:19" s="103" customFormat="1" ht="15.75" customHeight="1">
      <c r="A70" s="498" t="s">
        <v>171</v>
      </c>
      <c r="B70" s="499"/>
      <c r="C70" s="206" t="s">
        <v>47</v>
      </c>
      <c r="D70" s="498" t="s">
        <v>12</v>
      </c>
      <c r="E70" s="500"/>
      <c r="F70" s="499"/>
      <c r="G70" s="206" t="s">
        <v>46</v>
      </c>
      <c r="H70" s="206" t="s">
        <v>352</v>
      </c>
      <c r="I70" s="206" t="s">
        <v>353</v>
      </c>
      <c r="J70" s="159" t="s">
        <v>311</v>
      </c>
      <c r="K70" s="498" t="s">
        <v>51</v>
      </c>
      <c r="L70" s="499"/>
      <c r="M70" s="127"/>
      <c r="N70" s="178"/>
      <c r="O70" s="178"/>
      <c r="P70" s="494"/>
      <c r="Q70" s="494"/>
      <c r="R70" s="178"/>
      <c r="S70" s="198"/>
    </row>
    <row r="71" spans="1:19" ht="15.75" customHeight="1">
      <c r="A71" s="501"/>
      <c r="B71" s="504"/>
      <c r="C71" s="199">
        <v>1</v>
      </c>
      <c r="D71" s="495"/>
      <c r="E71" s="496"/>
      <c r="F71" s="497"/>
      <c r="G71" s="199"/>
      <c r="H71" s="201"/>
      <c r="I71" s="202"/>
      <c r="J71" s="199"/>
      <c r="K71" s="495"/>
      <c r="L71" s="497"/>
      <c r="M71" s="98"/>
      <c r="N71" s="178"/>
      <c r="O71" s="178"/>
      <c r="P71" s="494"/>
      <c r="Q71" s="494"/>
      <c r="R71" s="178"/>
      <c r="S71" s="188"/>
    </row>
    <row r="72" spans="1:19" ht="15.75" customHeight="1">
      <c r="A72" s="502"/>
      <c r="B72" s="505"/>
      <c r="C72" s="199">
        <v>2</v>
      </c>
      <c r="D72" s="495"/>
      <c r="E72" s="496"/>
      <c r="F72" s="497"/>
      <c r="G72" s="199"/>
      <c r="H72" s="201"/>
      <c r="I72" s="202"/>
      <c r="J72" s="199"/>
      <c r="K72" s="495"/>
      <c r="L72" s="497"/>
      <c r="M72" s="98"/>
      <c r="N72" s="178"/>
      <c r="O72" s="178"/>
      <c r="P72" s="494"/>
      <c r="Q72" s="494"/>
      <c r="R72" s="178"/>
      <c r="S72" s="188"/>
    </row>
    <row r="73" spans="1:19" ht="15.75" customHeight="1">
      <c r="A73" s="502"/>
      <c r="B73" s="505"/>
      <c r="C73" s="199">
        <v>3</v>
      </c>
      <c r="D73" s="495"/>
      <c r="E73" s="496"/>
      <c r="F73" s="497"/>
      <c r="G73" s="199"/>
      <c r="H73" s="201"/>
      <c r="I73" s="202"/>
      <c r="J73" s="199"/>
      <c r="K73" s="495"/>
      <c r="L73" s="497"/>
      <c r="M73" s="98"/>
      <c r="N73" s="178"/>
      <c r="O73" s="178"/>
      <c r="P73" s="494"/>
      <c r="Q73" s="494"/>
      <c r="R73" s="178"/>
      <c r="S73" s="188"/>
    </row>
    <row r="74" spans="1:19" ht="15.75" customHeight="1">
      <c r="A74" s="502"/>
      <c r="B74" s="505"/>
      <c r="C74" s="199">
        <v>4</v>
      </c>
      <c r="D74" s="495"/>
      <c r="E74" s="496"/>
      <c r="F74" s="497"/>
      <c r="G74" s="199"/>
      <c r="H74" s="201"/>
      <c r="I74" s="202"/>
      <c r="J74" s="199"/>
      <c r="K74" s="495"/>
      <c r="L74" s="497"/>
      <c r="M74" s="98"/>
      <c r="N74" s="178"/>
      <c r="O74" s="178"/>
      <c r="P74" s="494"/>
      <c r="Q74" s="494"/>
      <c r="R74" s="178"/>
      <c r="S74" s="188"/>
    </row>
    <row r="75" spans="1:19" ht="15.75" customHeight="1">
      <c r="A75" s="502"/>
      <c r="B75" s="505"/>
      <c r="C75" s="199">
        <v>5</v>
      </c>
      <c r="D75" s="495"/>
      <c r="E75" s="496"/>
      <c r="F75" s="497"/>
      <c r="G75" s="199"/>
      <c r="H75" s="201"/>
      <c r="I75" s="202"/>
      <c r="J75" s="199"/>
      <c r="K75" s="495"/>
      <c r="L75" s="497"/>
      <c r="M75" s="98"/>
      <c r="N75" s="178"/>
      <c r="O75" s="178"/>
      <c r="P75" s="494"/>
      <c r="Q75" s="494"/>
      <c r="R75" s="178"/>
      <c r="S75" s="188"/>
    </row>
    <row r="76" spans="1:19" ht="15.75" customHeight="1">
      <c r="A76" s="502"/>
      <c r="B76" s="505"/>
      <c r="C76" s="203" t="s">
        <v>187</v>
      </c>
      <c r="D76" s="495"/>
      <c r="E76" s="496"/>
      <c r="F76" s="497"/>
      <c r="G76" s="199"/>
      <c r="H76" s="201"/>
      <c r="I76" s="202"/>
      <c r="J76" s="199"/>
      <c r="K76" s="495"/>
      <c r="L76" s="497"/>
      <c r="M76" s="98"/>
      <c r="N76" s="178"/>
      <c r="O76" s="178"/>
      <c r="P76" s="494"/>
      <c r="Q76" s="494"/>
      <c r="R76" s="178"/>
      <c r="S76" s="188"/>
    </row>
    <row r="77" spans="1:19" ht="15.75" customHeight="1">
      <c r="A77" s="502"/>
      <c r="B77" s="505"/>
      <c r="C77" s="203" t="s">
        <v>192</v>
      </c>
      <c r="D77" s="495"/>
      <c r="E77" s="496"/>
      <c r="F77" s="497"/>
      <c r="G77" s="199"/>
      <c r="H77" s="201"/>
      <c r="I77" s="202"/>
      <c r="J77" s="199"/>
      <c r="K77" s="495"/>
      <c r="L77" s="497"/>
      <c r="M77" s="98"/>
      <c r="N77" s="178"/>
      <c r="O77" s="178"/>
      <c r="P77" s="494"/>
      <c r="Q77" s="494"/>
      <c r="R77" s="178"/>
      <c r="S77" s="188"/>
    </row>
    <row r="78" spans="1:19" ht="15.75" customHeight="1">
      <c r="A78" s="502"/>
      <c r="B78" s="505"/>
      <c r="C78" s="203" t="s">
        <v>188</v>
      </c>
      <c r="D78" s="495"/>
      <c r="E78" s="496"/>
      <c r="F78" s="497"/>
      <c r="G78" s="199"/>
      <c r="H78" s="201"/>
      <c r="I78" s="202"/>
      <c r="J78" s="199"/>
      <c r="K78" s="495"/>
      <c r="L78" s="497"/>
      <c r="M78" s="98"/>
      <c r="N78" s="178"/>
      <c r="O78" s="178"/>
      <c r="P78" s="494"/>
      <c r="Q78" s="494"/>
      <c r="R78" s="178"/>
      <c r="S78" s="188"/>
    </row>
    <row r="79" spans="1:19" ht="15.75" customHeight="1">
      <c r="A79" s="502"/>
      <c r="B79" s="505"/>
      <c r="C79" s="203" t="s">
        <v>193</v>
      </c>
      <c r="D79" s="495"/>
      <c r="E79" s="496"/>
      <c r="F79" s="497"/>
      <c r="G79" s="199"/>
      <c r="H79" s="201"/>
      <c r="I79" s="202"/>
      <c r="J79" s="199"/>
      <c r="K79" s="495"/>
      <c r="L79" s="497"/>
      <c r="M79" s="98"/>
      <c r="N79" s="178"/>
      <c r="O79" s="178"/>
      <c r="P79" s="494"/>
      <c r="Q79" s="494"/>
      <c r="R79" s="178"/>
      <c r="S79" s="188"/>
    </row>
    <row r="80" spans="1:19" ht="15.75" customHeight="1">
      <c r="A80" s="503"/>
      <c r="B80" s="506"/>
      <c r="C80" s="203" t="s">
        <v>194</v>
      </c>
      <c r="D80" s="495"/>
      <c r="E80" s="496"/>
      <c r="F80" s="497"/>
      <c r="G80" s="199"/>
      <c r="H80" s="201"/>
      <c r="I80" s="202"/>
      <c r="J80" s="199"/>
      <c r="K80" s="495"/>
      <c r="L80" s="497"/>
      <c r="M80" s="98"/>
      <c r="N80" s="178"/>
      <c r="O80" s="178"/>
      <c r="P80" s="494"/>
      <c r="Q80" s="494"/>
      <c r="R80" s="178"/>
      <c r="S80" s="188"/>
    </row>
    <row r="81" spans="1:19" s="188" customFormat="1" ht="15.75" customHeight="1">
      <c r="A81" s="626" t="s">
        <v>681</v>
      </c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</row>
    <row r="82" spans="1:19" s="189" customFormat="1" ht="15.75" customHeight="1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</row>
    <row r="83" spans="1:19" s="105" customFormat="1" ht="16.350000000000001" customHeight="1">
      <c r="A83" s="501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6.350000000000001" customHeight="1">
      <c r="A84" s="503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6" t="s">
        <v>191</v>
      </c>
      <c r="I84" s="195" t="s">
        <v>351</v>
      </c>
      <c r="J84" s="208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5.75" customHeight="1">
      <c r="A85" s="507" t="s">
        <v>171</v>
      </c>
      <c r="B85" s="508"/>
      <c r="C85" s="159" t="s">
        <v>47</v>
      </c>
      <c r="D85" s="507" t="s">
        <v>12</v>
      </c>
      <c r="E85" s="509"/>
      <c r="F85" s="508"/>
      <c r="G85" s="159" t="s">
        <v>46</v>
      </c>
      <c r="H85" s="159" t="s">
        <v>352</v>
      </c>
      <c r="I85" s="159" t="s">
        <v>353</v>
      </c>
      <c r="J85" s="159" t="s">
        <v>311</v>
      </c>
      <c r="K85" s="507" t="s">
        <v>51</v>
      </c>
      <c r="L85" s="508"/>
      <c r="M85" s="192"/>
      <c r="N85" s="178"/>
      <c r="O85" s="493"/>
      <c r="P85" s="493"/>
      <c r="Q85" s="493"/>
      <c r="R85" s="178"/>
      <c r="S85" s="177"/>
    </row>
    <row r="86" spans="1:19" ht="15.75" customHeight="1">
      <c r="A86" s="501">
        <f>J83</f>
        <v>9</v>
      </c>
      <c r="B86" s="504" t="str">
        <f>J84</f>
        <v>微波小吃</v>
      </c>
      <c r="C86" s="199">
        <v>1</v>
      </c>
      <c r="D86" s="630" t="s">
        <v>549</v>
      </c>
      <c r="E86" s="631"/>
      <c r="F86" s="632"/>
      <c r="G86" s="199">
        <v>19</v>
      </c>
      <c r="H86" s="201">
        <v>1804.3994868703812</v>
      </c>
      <c r="I86" s="202">
        <v>94.968394045809532</v>
      </c>
      <c r="J86" s="350">
        <f>I86-I61</f>
        <v>-4.8120300751818945E-2</v>
      </c>
      <c r="K86" s="630" t="s">
        <v>405</v>
      </c>
      <c r="L86" s="632"/>
      <c r="N86" s="178"/>
      <c r="O86" s="178"/>
      <c r="P86" s="494"/>
      <c r="Q86" s="494"/>
      <c r="R86" s="178"/>
      <c r="S86" s="188"/>
    </row>
    <row r="87" spans="1:19" ht="15.75" customHeight="1">
      <c r="A87" s="502"/>
      <c r="B87" s="505"/>
      <c r="C87" s="199">
        <v>2</v>
      </c>
      <c r="D87" s="630" t="s">
        <v>332</v>
      </c>
      <c r="E87" s="631"/>
      <c r="F87" s="632"/>
      <c r="G87" s="199">
        <v>13</v>
      </c>
      <c r="H87" s="201">
        <v>1083.9444310339913</v>
      </c>
      <c r="I87" s="202">
        <v>83.380340848768554</v>
      </c>
      <c r="J87" s="350">
        <f>I87-I62</f>
        <v>0.10153846153845336</v>
      </c>
      <c r="K87" s="630" t="s">
        <v>405</v>
      </c>
      <c r="L87" s="632"/>
      <c r="N87" s="178"/>
      <c r="O87" s="178"/>
      <c r="P87" s="494"/>
      <c r="Q87" s="494"/>
      <c r="R87" s="178"/>
      <c r="S87" s="188"/>
    </row>
    <row r="88" spans="1:19" ht="15.75" customHeight="1">
      <c r="A88" s="502"/>
      <c r="B88" s="505"/>
      <c r="C88" s="199">
        <v>3</v>
      </c>
      <c r="D88" s="630"/>
      <c r="E88" s="631"/>
      <c r="F88" s="632"/>
      <c r="G88" s="199"/>
      <c r="H88" s="201"/>
      <c r="I88" s="202"/>
      <c r="J88" s="350"/>
      <c r="K88" s="495"/>
      <c r="L88" s="497"/>
      <c r="N88" s="178"/>
      <c r="O88" s="178"/>
      <c r="P88" s="494"/>
      <c r="Q88" s="494"/>
      <c r="R88" s="178"/>
      <c r="S88" s="188"/>
    </row>
    <row r="89" spans="1:19" ht="15.75" customHeight="1">
      <c r="A89" s="502"/>
      <c r="B89" s="505"/>
      <c r="C89" s="199">
        <v>4</v>
      </c>
      <c r="D89" s="630"/>
      <c r="E89" s="631"/>
      <c r="F89" s="632"/>
      <c r="G89" s="201"/>
      <c r="H89" s="201"/>
      <c r="I89" s="202"/>
      <c r="J89" s="350"/>
      <c r="K89" s="495"/>
      <c r="L89" s="497"/>
      <c r="N89" s="178"/>
      <c r="O89" s="178"/>
      <c r="P89" s="494"/>
      <c r="Q89" s="494"/>
      <c r="R89" s="178"/>
      <c r="S89" s="188"/>
    </row>
    <row r="90" spans="1:19" ht="15.75" customHeight="1">
      <c r="A90" s="502"/>
      <c r="B90" s="505"/>
      <c r="C90" s="199">
        <v>5</v>
      </c>
      <c r="D90" s="630"/>
      <c r="E90" s="631"/>
      <c r="F90" s="632"/>
      <c r="G90" s="199"/>
      <c r="H90" s="201"/>
      <c r="I90" s="202"/>
      <c r="J90" s="350"/>
      <c r="K90" s="495"/>
      <c r="L90" s="497"/>
      <c r="N90" s="178"/>
      <c r="O90" s="178"/>
      <c r="P90" s="494"/>
      <c r="Q90" s="494"/>
      <c r="R90" s="178"/>
      <c r="S90" s="188"/>
    </row>
    <row r="91" spans="1:19" ht="15.75" customHeight="1">
      <c r="A91" s="502"/>
      <c r="B91" s="505"/>
      <c r="C91" s="203" t="s">
        <v>187</v>
      </c>
      <c r="D91" s="630"/>
      <c r="E91" s="631"/>
      <c r="F91" s="632"/>
      <c r="G91" s="199"/>
      <c r="H91" s="201"/>
      <c r="I91" s="202"/>
      <c r="J91" s="199"/>
      <c r="K91" s="495"/>
      <c r="L91" s="497"/>
      <c r="N91" s="178"/>
      <c r="O91" s="178"/>
      <c r="P91" s="494"/>
      <c r="Q91" s="494"/>
      <c r="R91" s="178"/>
      <c r="S91" s="188"/>
    </row>
    <row r="92" spans="1:19" ht="15.75" customHeight="1">
      <c r="A92" s="502"/>
      <c r="B92" s="505"/>
      <c r="C92" s="203" t="s">
        <v>192</v>
      </c>
      <c r="D92" s="495"/>
      <c r="E92" s="496"/>
      <c r="F92" s="497"/>
      <c r="G92" s="199"/>
      <c r="H92" s="201"/>
      <c r="I92" s="202"/>
      <c r="J92" s="199"/>
      <c r="K92" s="495"/>
      <c r="L92" s="497"/>
      <c r="N92" s="178"/>
      <c r="O92" s="178"/>
      <c r="P92" s="494"/>
      <c r="Q92" s="494"/>
      <c r="R92" s="178"/>
      <c r="S92" s="188"/>
    </row>
    <row r="93" spans="1:19" ht="15.75" customHeight="1">
      <c r="A93" s="502"/>
      <c r="B93" s="505"/>
      <c r="C93" s="203" t="s">
        <v>188</v>
      </c>
      <c r="D93" s="495"/>
      <c r="E93" s="496"/>
      <c r="F93" s="497"/>
      <c r="G93" s="199"/>
      <c r="H93" s="201"/>
      <c r="I93" s="202"/>
      <c r="J93" s="199"/>
      <c r="K93" s="495"/>
      <c r="L93" s="497"/>
      <c r="N93" s="178"/>
      <c r="O93" s="178"/>
      <c r="P93" s="494"/>
      <c r="Q93" s="494"/>
      <c r="R93" s="178"/>
      <c r="S93" s="188"/>
    </row>
    <row r="94" spans="1:19" ht="15.75" customHeight="1">
      <c r="A94" s="502"/>
      <c r="B94" s="505"/>
      <c r="C94" s="203" t="s">
        <v>193</v>
      </c>
      <c r="D94" s="495"/>
      <c r="E94" s="496"/>
      <c r="F94" s="497"/>
      <c r="G94" s="199"/>
      <c r="H94" s="201"/>
      <c r="I94" s="202"/>
      <c r="J94" s="199"/>
      <c r="K94" s="495"/>
      <c r="L94" s="497"/>
      <c r="M94" s="98"/>
      <c r="N94" s="178"/>
      <c r="O94" s="178"/>
      <c r="P94" s="494"/>
      <c r="Q94" s="494"/>
      <c r="R94" s="178"/>
      <c r="S94" s="188"/>
    </row>
    <row r="95" spans="1:19" ht="15.75" customHeight="1">
      <c r="A95" s="503"/>
      <c r="B95" s="506"/>
      <c r="C95" s="203" t="s">
        <v>194</v>
      </c>
      <c r="D95" s="495"/>
      <c r="E95" s="496"/>
      <c r="F95" s="497"/>
      <c r="G95" s="199"/>
      <c r="H95" s="201"/>
      <c r="I95" s="202"/>
      <c r="J95" s="199"/>
      <c r="K95" s="495"/>
      <c r="L95" s="497"/>
      <c r="M95" s="98"/>
      <c r="N95" s="178"/>
      <c r="O95" s="178"/>
      <c r="P95" s="494"/>
      <c r="Q95" s="494"/>
      <c r="R95" s="178"/>
      <c r="S95" s="188"/>
    </row>
    <row r="96" spans="1:19" s="103" customFormat="1" ht="15.75" customHeight="1">
      <c r="A96" s="498" t="s">
        <v>171</v>
      </c>
      <c r="B96" s="499"/>
      <c r="C96" s="206" t="s">
        <v>47</v>
      </c>
      <c r="D96" s="498" t="s">
        <v>12</v>
      </c>
      <c r="E96" s="500"/>
      <c r="F96" s="499"/>
      <c r="G96" s="206" t="s">
        <v>46</v>
      </c>
      <c r="H96" s="206" t="s">
        <v>352</v>
      </c>
      <c r="I96" s="206" t="s">
        <v>353</v>
      </c>
      <c r="J96" s="159" t="s">
        <v>311</v>
      </c>
      <c r="K96" s="498" t="s">
        <v>51</v>
      </c>
      <c r="L96" s="499"/>
      <c r="M96" s="127"/>
      <c r="N96" s="178"/>
      <c r="O96" s="178"/>
      <c r="P96" s="494"/>
      <c r="Q96" s="494"/>
      <c r="R96" s="178"/>
      <c r="S96" s="198"/>
    </row>
    <row r="97" spans="1:19" ht="15.75" customHeight="1">
      <c r="A97" s="501"/>
      <c r="B97" s="504"/>
      <c r="C97" s="199">
        <v>1</v>
      </c>
      <c r="D97" s="495"/>
      <c r="E97" s="496"/>
      <c r="F97" s="497"/>
      <c r="G97" s="199"/>
      <c r="H97" s="201"/>
      <c r="I97" s="202"/>
      <c r="J97" s="199"/>
      <c r="K97" s="495"/>
      <c r="L97" s="497"/>
      <c r="M97" s="98"/>
      <c r="N97" s="178"/>
      <c r="O97" s="178"/>
      <c r="P97" s="494"/>
      <c r="Q97" s="494"/>
      <c r="R97" s="178"/>
      <c r="S97" s="188"/>
    </row>
    <row r="98" spans="1:19" ht="15.75" customHeight="1">
      <c r="A98" s="502"/>
      <c r="B98" s="505"/>
      <c r="C98" s="199">
        <v>2</v>
      </c>
      <c r="D98" s="495"/>
      <c r="E98" s="496"/>
      <c r="F98" s="497"/>
      <c r="G98" s="199"/>
      <c r="H98" s="201"/>
      <c r="I98" s="202"/>
      <c r="J98" s="199"/>
      <c r="K98" s="495"/>
      <c r="L98" s="497"/>
      <c r="M98" s="98"/>
      <c r="N98" s="178"/>
      <c r="O98" s="178"/>
      <c r="P98" s="494"/>
      <c r="Q98" s="494"/>
      <c r="R98" s="178"/>
      <c r="S98" s="188"/>
    </row>
    <row r="99" spans="1:19" ht="15.75" customHeight="1">
      <c r="A99" s="502"/>
      <c r="B99" s="505"/>
      <c r="C99" s="199">
        <v>3</v>
      </c>
      <c r="D99" s="495"/>
      <c r="E99" s="496"/>
      <c r="F99" s="497"/>
      <c r="G99" s="199"/>
      <c r="H99" s="201"/>
      <c r="I99" s="202"/>
      <c r="J99" s="199"/>
      <c r="K99" s="495"/>
      <c r="L99" s="497"/>
      <c r="M99" s="98"/>
      <c r="N99" s="178"/>
      <c r="O99" s="178"/>
      <c r="P99" s="494"/>
      <c r="Q99" s="494"/>
      <c r="R99" s="178"/>
      <c r="S99" s="188"/>
    </row>
    <row r="100" spans="1:19" ht="15.75" customHeight="1">
      <c r="A100" s="502"/>
      <c r="B100" s="505"/>
      <c r="C100" s="199">
        <v>4</v>
      </c>
      <c r="D100" s="495"/>
      <c r="E100" s="496"/>
      <c r="F100" s="497"/>
      <c r="G100" s="199"/>
      <c r="H100" s="201"/>
      <c r="I100" s="202"/>
      <c r="J100" s="199"/>
      <c r="K100" s="495"/>
      <c r="L100" s="497"/>
      <c r="M100" s="98"/>
      <c r="N100" s="178"/>
      <c r="O100" s="178"/>
      <c r="P100" s="494"/>
      <c r="Q100" s="494"/>
      <c r="R100" s="178"/>
      <c r="S100" s="188"/>
    </row>
    <row r="101" spans="1:19" ht="15.75" customHeight="1">
      <c r="A101" s="502"/>
      <c r="B101" s="505"/>
      <c r="C101" s="199">
        <v>5</v>
      </c>
      <c r="D101" s="495"/>
      <c r="E101" s="496"/>
      <c r="F101" s="497"/>
      <c r="G101" s="199"/>
      <c r="H101" s="201"/>
      <c r="I101" s="202"/>
      <c r="J101" s="199"/>
      <c r="K101" s="495"/>
      <c r="L101" s="497"/>
      <c r="M101" s="98"/>
      <c r="N101" s="178"/>
      <c r="O101" s="178"/>
      <c r="P101" s="494"/>
      <c r="Q101" s="494"/>
      <c r="R101" s="178"/>
      <c r="S101" s="188"/>
    </row>
    <row r="102" spans="1:19" ht="15.75" customHeight="1">
      <c r="A102" s="502"/>
      <c r="B102" s="505"/>
      <c r="C102" s="203" t="s">
        <v>187</v>
      </c>
      <c r="D102" s="495"/>
      <c r="E102" s="496"/>
      <c r="F102" s="497"/>
      <c r="G102" s="199"/>
      <c r="H102" s="201"/>
      <c r="I102" s="202"/>
      <c r="J102" s="199"/>
      <c r="K102" s="495"/>
      <c r="L102" s="497"/>
      <c r="M102" s="98"/>
      <c r="N102" s="178"/>
      <c r="O102" s="178"/>
      <c r="P102" s="494"/>
      <c r="Q102" s="494"/>
      <c r="R102" s="178"/>
      <c r="S102" s="188"/>
    </row>
    <row r="103" spans="1:19" ht="15.75" customHeight="1">
      <c r="A103" s="502"/>
      <c r="B103" s="505"/>
      <c r="C103" s="203" t="s">
        <v>192</v>
      </c>
      <c r="D103" s="495"/>
      <c r="E103" s="496"/>
      <c r="F103" s="497"/>
      <c r="G103" s="199"/>
      <c r="H103" s="201"/>
      <c r="I103" s="202"/>
      <c r="J103" s="199"/>
      <c r="K103" s="495"/>
      <c r="L103" s="497"/>
      <c r="M103" s="98"/>
      <c r="N103" s="178"/>
      <c r="O103" s="178"/>
      <c r="P103" s="494"/>
      <c r="Q103" s="494"/>
      <c r="R103" s="178"/>
      <c r="S103" s="188"/>
    </row>
    <row r="104" spans="1:19" ht="15.75" customHeight="1">
      <c r="A104" s="502"/>
      <c r="B104" s="505"/>
      <c r="C104" s="203" t="s">
        <v>188</v>
      </c>
      <c r="D104" s="495"/>
      <c r="E104" s="496"/>
      <c r="F104" s="497"/>
      <c r="G104" s="199"/>
      <c r="H104" s="201"/>
      <c r="I104" s="202"/>
      <c r="J104" s="199"/>
      <c r="K104" s="495"/>
      <c r="L104" s="497"/>
      <c r="M104" s="98"/>
      <c r="N104" s="178"/>
      <c r="O104" s="178"/>
      <c r="P104" s="494"/>
      <c r="Q104" s="494"/>
      <c r="R104" s="178"/>
      <c r="S104" s="188"/>
    </row>
    <row r="105" spans="1:19" ht="15.75" customHeight="1">
      <c r="A105" s="502"/>
      <c r="B105" s="505"/>
      <c r="C105" s="203" t="s">
        <v>193</v>
      </c>
      <c r="D105" s="495"/>
      <c r="E105" s="496"/>
      <c r="F105" s="497"/>
      <c r="G105" s="199"/>
      <c r="H105" s="201"/>
      <c r="I105" s="202"/>
      <c r="J105" s="199"/>
      <c r="K105" s="495"/>
      <c r="L105" s="497"/>
      <c r="M105" s="98"/>
      <c r="N105" s="178"/>
      <c r="O105" s="178"/>
      <c r="P105" s="494"/>
      <c r="Q105" s="494"/>
      <c r="R105" s="178"/>
      <c r="S105" s="188"/>
    </row>
    <row r="106" spans="1:19" ht="15.75" customHeight="1">
      <c r="A106" s="503"/>
      <c r="B106" s="506"/>
      <c r="C106" s="203" t="s">
        <v>194</v>
      </c>
      <c r="D106" s="495"/>
      <c r="E106" s="496"/>
      <c r="F106" s="497"/>
      <c r="G106" s="199"/>
      <c r="H106" s="201"/>
      <c r="I106" s="202"/>
      <c r="J106" s="199"/>
      <c r="K106" s="495"/>
      <c r="L106" s="497"/>
      <c r="M106" s="98"/>
      <c r="N106" s="178"/>
      <c r="O106" s="178"/>
      <c r="P106" s="494"/>
      <c r="Q106" s="494"/>
      <c r="R106" s="178"/>
      <c r="S106" s="188"/>
    </row>
    <row r="107" spans="1:19" s="188" customFormat="1" ht="15.75" customHeight="1">
      <c r="A107" s="626" t="s">
        <v>696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</row>
    <row r="108" spans="1:19" s="189" customFormat="1" ht="15.75" customHeight="1">
      <c r="A108" s="626"/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</row>
    <row r="109" spans="1:19" s="105" customFormat="1" ht="16.350000000000001" customHeight="1">
      <c r="A109" s="501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90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6.350000000000001" customHeight="1">
      <c r="A110" s="503"/>
      <c r="B110" s="194" t="s">
        <v>189</v>
      </c>
      <c r="C110" s="194" t="s">
        <v>155</v>
      </c>
      <c r="D110" s="194" t="s">
        <v>190</v>
      </c>
      <c r="E110" s="194" t="s">
        <v>156</v>
      </c>
      <c r="F110" s="194" t="s">
        <v>138</v>
      </c>
      <c r="G110" s="195" t="s">
        <v>136</v>
      </c>
      <c r="H110" s="196" t="s">
        <v>191</v>
      </c>
      <c r="I110" s="195" t="s">
        <v>351</v>
      </c>
      <c r="J110" s="208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 ht="15.75" customHeight="1">
      <c r="A111" s="507" t="s">
        <v>171</v>
      </c>
      <c r="B111" s="508"/>
      <c r="C111" s="159" t="s">
        <v>47</v>
      </c>
      <c r="D111" s="507" t="s">
        <v>12</v>
      </c>
      <c r="E111" s="509"/>
      <c r="F111" s="508"/>
      <c r="G111" s="159" t="s">
        <v>46</v>
      </c>
      <c r="H111" s="159" t="s">
        <v>352</v>
      </c>
      <c r="I111" s="159" t="s">
        <v>353</v>
      </c>
      <c r="J111" s="159" t="s">
        <v>311</v>
      </c>
      <c r="K111" s="507" t="s">
        <v>51</v>
      </c>
      <c r="L111" s="508"/>
      <c r="M111" s="192"/>
      <c r="N111" s="178"/>
      <c r="O111" s="493"/>
      <c r="P111" s="493"/>
      <c r="Q111" s="493"/>
      <c r="R111" s="178"/>
      <c r="S111" s="177"/>
    </row>
    <row r="112" spans="1:19" ht="15.75" customHeight="1">
      <c r="A112" s="501">
        <f>J109</f>
        <v>9</v>
      </c>
      <c r="B112" s="504" t="str">
        <f>J110</f>
        <v>微波小吃</v>
      </c>
      <c r="C112" s="199">
        <v>1</v>
      </c>
      <c r="D112" s="630" t="s">
        <v>549</v>
      </c>
      <c r="E112" s="631"/>
      <c r="F112" s="632"/>
      <c r="G112" s="199">
        <v>19</v>
      </c>
      <c r="H112" s="201">
        <v>1803.5423440132395</v>
      </c>
      <c r="I112" s="202">
        <v>94.923281263854719</v>
      </c>
      <c r="J112" s="350">
        <f>I112-I86</f>
        <v>-4.5112781954813386E-2</v>
      </c>
      <c r="K112" s="495"/>
      <c r="L112" s="497"/>
      <c r="N112" s="178"/>
      <c r="O112" s="178"/>
      <c r="P112" s="494"/>
      <c r="Q112" s="494"/>
      <c r="R112" s="178"/>
      <c r="S112" s="188"/>
    </row>
    <row r="113" spans="1:19" ht="15.75" customHeight="1">
      <c r="A113" s="502"/>
      <c r="B113" s="505"/>
      <c r="C113" s="199">
        <v>2</v>
      </c>
      <c r="D113" s="630" t="s">
        <v>332</v>
      </c>
      <c r="E113" s="631"/>
      <c r="F113" s="632"/>
      <c r="G113" s="199">
        <v>13</v>
      </c>
      <c r="H113" s="201">
        <v>1084.3558596054202</v>
      </c>
      <c r="I113" s="202">
        <v>83.411989200416926</v>
      </c>
      <c r="J113" s="350">
        <f>I113-I87</f>
        <v>3.1648351648371431E-2</v>
      </c>
      <c r="K113" s="495"/>
      <c r="L113" s="497"/>
      <c r="N113" s="178"/>
      <c r="O113" s="178"/>
      <c r="P113" s="494"/>
      <c r="Q113" s="494"/>
      <c r="R113" s="178"/>
      <c r="S113" s="188"/>
    </row>
    <row r="114" spans="1:19" ht="15.75" customHeight="1">
      <c r="A114" s="502"/>
      <c r="B114" s="505"/>
      <c r="C114" s="199">
        <v>3</v>
      </c>
      <c r="D114" s="630"/>
      <c r="E114" s="631"/>
      <c r="F114" s="632"/>
      <c r="G114" s="199"/>
      <c r="H114" s="201"/>
      <c r="I114" s="202"/>
      <c r="J114" s="350"/>
      <c r="K114" s="495"/>
      <c r="L114" s="497"/>
      <c r="N114" s="178"/>
      <c r="O114" s="178"/>
      <c r="P114" s="494"/>
      <c r="Q114" s="494"/>
      <c r="R114" s="178"/>
      <c r="S114" s="188"/>
    </row>
    <row r="115" spans="1:19" ht="15.75" customHeight="1">
      <c r="A115" s="502"/>
      <c r="B115" s="505"/>
      <c r="C115" s="199">
        <v>4</v>
      </c>
      <c r="D115" s="630"/>
      <c r="E115" s="631"/>
      <c r="F115" s="632"/>
      <c r="G115" s="201"/>
      <c r="H115" s="201"/>
      <c r="I115" s="202"/>
      <c r="J115" s="350"/>
      <c r="K115" s="495"/>
      <c r="L115" s="497"/>
      <c r="N115" s="178"/>
      <c r="O115" s="178"/>
      <c r="P115" s="494"/>
      <c r="Q115" s="494"/>
      <c r="R115" s="178"/>
      <c r="S115" s="188"/>
    </row>
    <row r="116" spans="1:19" ht="15.75" customHeight="1">
      <c r="A116" s="502"/>
      <c r="B116" s="505"/>
      <c r="C116" s="199">
        <v>5</v>
      </c>
      <c r="D116" s="630"/>
      <c r="E116" s="631"/>
      <c r="F116" s="632"/>
      <c r="G116" s="199"/>
      <c r="H116" s="201"/>
      <c r="I116" s="202"/>
      <c r="J116" s="350"/>
      <c r="K116" s="495"/>
      <c r="L116" s="497"/>
      <c r="N116" s="178"/>
      <c r="O116" s="178"/>
      <c r="P116" s="494"/>
      <c r="Q116" s="494"/>
      <c r="R116" s="178"/>
      <c r="S116" s="188"/>
    </row>
    <row r="117" spans="1:19" ht="15.75" customHeight="1">
      <c r="A117" s="502"/>
      <c r="B117" s="505"/>
      <c r="C117" s="203" t="s">
        <v>187</v>
      </c>
      <c r="D117" s="630"/>
      <c r="E117" s="631"/>
      <c r="F117" s="632"/>
      <c r="G117" s="199"/>
      <c r="H117" s="201"/>
      <c r="I117" s="202"/>
      <c r="J117" s="199"/>
      <c r="K117" s="495"/>
      <c r="L117" s="497"/>
      <c r="N117" s="178"/>
      <c r="O117" s="178"/>
      <c r="P117" s="494"/>
      <c r="Q117" s="494"/>
      <c r="R117" s="178"/>
      <c r="S117" s="188"/>
    </row>
    <row r="118" spans="1:19" ht="15.75" customHeight="1">
      <c r="A118" s="502"/>
      <c r="B118" s="505"/>
      <c r="C118" s="203" t="s">
        <v>192</v>
      </c>
      <c r="D118" s="495"/>
      <c r="E118" s="496"/>
      <c r="F118" s="497"/>
      <c r="G118" s="199"/>
      <c r="H118" s="201"/>
      <c r="I118" s="202"/>
      <c r="J118" s="199"/>
      <c r="K118" s="495"/>
      <c r="L118" s="497"/>
      <c r="N118" s="178"/>
      <c r="O118" s="178"/>
      <c r="P118" s="494"/>
      <c r="Q118" s="494"/>
      <c r="R118" s="178"/>
      <c r="S118" s="188"/>
    </row>
    <row r="119" spans="1:19" ht="15.75" customHeight="1">
      <c r="A119" s="502"/>
      <c r="B119" s="505"/>
      <c r="C119" s="203" t="s">
        <v>188</v>
      </c>
      <c r="D119" s="495"/>
      <c r="E119" s="496"/>
      <c r="F119" s="497"/>
      <c r="G119" s="199"/>
      <c r="H119" s="201"/>
      <c r="I119" s="202"/>
      <c r="J119" s="199"/>
      <c r="K119" s="495"/>
      <c r="L119" s="497"/>
      <c r="N119" s="178"/>
      <c r="O119" s="178"/>
      <c r="P119" s="494"/>
      <c r="Q119" s="494"/>
      <c r="R119" s="178"/>
      <c r="S119" s="188"/>
    </row>
    <row r="120" spans="1:19" ht="15.75" customHeight="1">
      <c r="A120" s="502"/>
      <c r="B120" s="505"/>
      <c r="C120" s="203" t="s">
        <v>193</v>
      </c>
      <c r="D120" s="495"/>
      <c r="E120" s="496"/>
      <c r="F120" s="497"/>
      <c r="G120" s="199"/>
      <c r="H120" s="201"/>
      <c r="I120" s="202"/>
      <c r="J120" s="199"/>
      <c r="K120" s="495"/>
      <c r="L120" s="497"/>
      <c r="M120" s="98"/>
      <c r="N120" s="178"/>
      <c r="O120" s="178"/>
      <c r="P120" s="494"/>
      <c r="Q120" s="494"/>
      <c r="R120" s="178"/>
      <c r="S120" s="188"/>
    </row>
    <row r="121" spans="1:19" ht="15.75" customHeight="1">
      <c r="A121" s="503"/>
      <c r="B121" s="506"/>
      <c r="C121" s="203" t="s">
        <v>194</v>
      </c>
      <c r="D121" s="495"/>
      <c r="E121" s="496"/>
      <c r="F121" s="497"/>
      <c r="G121" s="199"/>
      <c r="H121" s="201"/>
      <c r="I121" s="202"/>
      <c r="J121" s="199"/>
      <c r="K121" s="495"/>
      <c r="L121" s="497"/>
      <c r="M121" s="98"/>
      <c r="N121" s="178"/>
      <c r="O121" s="178"/>
      <c r="P121" s="494"/>
      <c r="Q121" s="494"/>
      <c r="R121" s="178"/>
      <c r="S121" s="188"/>
    </row>
    <row r="122" spans="1:19" s="103" customFormat="1" ht="15.75" customHeight="1">
      <c r="A122" s="498" t="s">
        <v>171</v>
      </c>
      <c r="B122" s="499"/>
      <c r="C122" s="206" t="s">
        <v>47</v>
      </c>
      <c r="D122" s="498" t="s">
        <v>12</v>
      </c>
      <c r="E122" s="500"/>
      <c r="F122" s="499"/>
      <c r="G122" s="206" t="s">
        <v>46</v>
      </c>
      <c r="H122" s="206" t="s">
        <v>352</v>
      </c>
      <c r="I122" s="206" t="s">
        <v>353</v>
      </c>
      <c r="J122" s="159" t="s">
        <v>311</v>
      </c>
      <c r="K122" s="498" t="s">
        <v>51</v>
      </c>
      <c r="L122" s="499"/>
      <c r="M122" s="127"/>
      <c r="N122" s="178"/>
      <c r="O122" s="178"/>
      <c r="P122" s="494"/>
      <c r="Q122" s="494"/>
      <c r="R122" s="178"/>
      <c r="S122" s="198"/>
    </row>
    <row r="123" spans="1:19" ht="15.75" customHeight="1">
      <c r="A123" s="501"/>
      <c r="B123" s="504"/>
      <c r="C123" s="199">
        <v>1</v>
      </c>
      <c r="D123" s="495"/>
      <c r="E123" s="496"/>
      <c r="F123" s="497"/>
      <c r="G123" s="199"/>
      <c r="H123" s="201"/>
      <c r="I123" s="202"/>
      <c r="J123" s="199"/>
      <c r="K123" s="495"/>
      <c r="L123" s="497"/>
      <c r="M123" s="98"/>
      <c r="N123" s="178"/>
      <c r="O123" s="178"/>
      <c r="P123" s="494"/>
      <c r="Q123" s="494"/>
      <c r="R123" s="178"/>
      <c r="S123" s="188"/>
    </row>
    <row r="124" spans="1:19" ht="15.75" customHeight="1">
      <c r="A124" s="502"/>
      <c r="B124" s="505"/>
      <c r="C124" s="199">
        <v>2</v>
      </c>
      <c r="D124" s="495"/>
      <c r="E124" s="496"/>
      <c r="F124" s="497"/>
      <c r="G124" s="199"/>
      <c r="H124" s="201"/>
      <c r="I124" s="202"/>
      <c r="J124" s="199"/>
      <c r="K124" s="495"/>
      <c r="L124" s="497"/>
      <c r="M124" s="98"/>
      <c r="N124" s="178"/>
      <c r="O124" s="178"/>
      <c r="P124" s="494"/>
      <c r="Q124" s="494"/>
      <c r="R124" s="178"/>
      <c r="S124" s="188"/>
    </row>
    <row r="125" spans="1:19" ht="15.75" customHeight="1">
      <c r="A125" s="502"/>
      <c r="B125" s="505"/>
      <c r="C125" s="199">
        <v>3</v>
      </c>
      <c r="D125" s="495"/>
      <c r="E125" s="496"/>
      <c r="F125" s="497"/>
      <c r="G125" s="199"/>
      <c r="H125" s="201"/>
      <c r="I125" s="202"/>
      <c r="J125" s="199"/>
      <c r="K125" s="495"/>
      <c r="L125" s="497"/>
      <c r="M125" s="98"/>
      <c r="N125" s="178"/>
      <c r="O125" s="178"/>
      <c r="P125" s="494"/>
      <c r="Q125" s="494"/>
      <c r="R125" s="178"/>
      <c r="S125" s="188"/>
    </row>
    <row r="126" spans="1:19" ht="15.75" customHeight="1">
      <c r="A126" s="502"/>
      <c r="B126" s="505"/>
      <c r="C126" s="199">
        <v>4</v>
      </c>
      <c r="D126" s="495"/>
      <c r="E126" s="496"/>
      <c r="F126" s="497"/>
      <c r="G126" s="199"/>
      <c r="H126" s="201"/>
      <c r="I126" s="202"/>
      <c r="J126" s="199"/>
      <c r="K126" s="495"/>
      <c r="L126" s="497"/>
      <c r="M126" s="98"/>
      <c r="N126" s="178"/>
      <c r="O126" s="178"/>
      <c r="P126" s="494"/>
      <c r="Q126" s="494"/>
      <c r="R126" s="178"/>
      <c r="S126" s="188"/>
    </row>
    <row r="127" spans="1:19" ht="15.75" customHeight="1">
      <c r="A127" s="502"/>
      <c r="B127" s="505"/>
      <c r="C127" s="199">
        <v>5</v>
      </c>
      <c r="D127" s="495"/>
      <c r="E127" s="496"/>
      <c r="F127" s="497"/>
      <c r="G127" s="199"/>
      <c r="H127" s="201"/>
      <c r="I127" s="202"/>
      <c r="J127" s="199"/>
      <c r="K127" s="495"/>
      <c r="L127" s="497"/>
      <c r="M127" s="98"/>
      <c r="N127" s="178"/>
      <c r="O127" s="178"/>
      <c r="P127" s="494"/>
      <c r="Q127" s="494"/>
      <c r="R127" s="178"/>
      <c r="S127" s="188"/>
    </row>
    <row r="128" spans="1:19" ht="15.75" customHeight="1">
      <c r="A128" s="502"/>
      <c r="B128" s="505"/>
      <c r="C128" s="203" t="s">
        <v>187</v>
      </c>
      <c r="D128" s="495"/>
      <c r="E128" s="496"/>
      <c r="F128" s="497"/>
      <c r="G128" s="199"/>
      <c r="H128" s="201"/>
      <c r="I128" s="202"/>
      <c r="J128" s="199"/>
      <c r="K128" s="495"/>
      <c r="L128" s="497"/>
      <c r="M128" s="98"/>
      <c r="N128" s="178"/>
      <c r="O128" s="178"/>
      <c r="P128" s="494"/>
      <c r="Q128" s="494"/>
      <c r="R128" s="178"/>
      <c r="S128" s="188"/>
    </row>
    <row r="129" spans="1:19" ht="15.75" customHeight="1">
      <c r="A129" s="502"/>
      <c r="B129" s="505"/>
      <c r="C129" s="203" t="s">
        <v>192</v>
      </c>
      <c r="D129" s="495"/>
      <c r="E129" s="496"/>
      <c r="F129" s="497"/>
      <c r="G129" s="199"/>
      <c r="H129" s="201"/>
      <c r="I129" s="202"/>
      <c r="J129" s="199"/>
      <c r="K129" s="495"/>
      <c r="L129" s="497"/>
      <c r="M129" s="98"/>
      <c r="N129" s="178"/>
      <c r="O129" s="178"/>
      <c r="P129" s="494"/>
      <c r="Q129" s="494"/>
      <c r="R129" s="178"/>
      <c r="S129" s="188"/>
    </row>
    <row r="130" spans="1:19" ht="15.75" customHeight="1">
      <c r="A130" s="502"/>
      <c r="B130" s="505"/>
      <c r="C130" s="203" t="s">
        <v>188</v>
      </c>
      <c r="D130" s="495"/>
      <c r="E130" s="496"/>
      <c r="F130" s="497"/>
      <c r="G130" s="199"/>
      <c r="H130" s="201"/>
      <c r="I130" s="202"/>
      <c r="J130" s="199"/>
      <c r="K130" s="495"/>
      <c r="L130" s="497"/>
      <c r="M130" s="98"/>
      <c r="N130" s="178"/>
      <c r="O130" s="178"/>
      <c r="P130" s="494"/>
      <c r="Q130" s="494"/>
      <c r="R130" s="178"/>
      <c r="S130" s="188"/>
    </row>
    <row r="131" spans="1:19" ht="15.75" customHeight="1">
      <c r="A131" s="502"/>
      <c r="B131" s="505"/>
      <c r="C131" s="203" t="s">
        <v>193</v>
      </c>
      <c r="D131" s="495"/>
      <c r="E131" s="496"/>
      <c r="F131" s="497"/>
      <c r="G131" s="199"/>
      <c r="H131" s="201"/>
      <c r="I131" s="202"/>
      <c r="J131" s="199"/>
      <c r="K131" s="495"/>
      <c r="L131" s="497"/>
      <c r="M131" s="98"/>
      <c r="N131" s="178"/>
      <c r="O131" s="178"/>
      <c r="P131" s="494"/>
      <c r="Q131" s="494"/>
      <c r="R131" s="178"/>
      <c r="S131" s="188"/>
    </row>
    <row r="132" spans="1:19" ht="15.75" customHeight="1">
      <c r="A132" s="503"/>
      <c r="B132" s="506"/>
      <c r="C132" s="203" t="s">
        <v>194</v>
      </c>
      <c r="D132" s="495"/>
      <c r="E132" s="496"/>
      <c r="F132" s="497"/>
      <c r="G132" s="199"/>
      <c r="H132" s="201"/>
      <c r="I132" s="202"/>
      <c r="J132" s="199"/>
      <c r="K132" s="495"/>
      <c r="L132" s="497"/>
      <c r="M132" s="98"/>
      <c r="N132" s="178"/>
      <c r="O132" s="178"/>
      <c r="P132" s="494"/>
      <c r="Q132" s="494"/>
      <c r="R132" s="178"/>
      <c r="S132" s="188"/>
    </row>
    <row r="133" spans="1:19" s="188" customFormat="1" ht="15.75" customHeight="1">
      <c r="A133" s="626" t="s">
        <v>738</v>
      </c>
      <c r="B133" s="626"/>
      <c r="C133" s="626"/>
      <c r="D133" s="626"/>
      <c r="E133" s="626"/>
      <c r="F133" s="626"/>
      <c r="G133" s="626"/>
      <c r="H133" s="626"/>
      <c r="I133" s="626"/>
      <c r="J133" s="626"/>
      <c r="K133" s="626"/>
      <c r="L133" s="626"/>
    </row>
    <row r="134" spans="1:19" s="189" customFormat="1" ht="15.75" customHeight="1">
      <c r="A134" s="626"/>
      <c r="B134" s="626"/>
      <c r="C134" s="626"/>
      <c r="D134" s="626"/>
      <c r="E134" s="626"/>
      <c r="F134" s="626"/>
      <c r="G134" s="626"/>
      <c r="H134" s="626"/>
      <c r="I134" s="626"/>
      <c r="J134" s="626"/>
      <c r="K134" s="626"/>
      <c r="L134" s="626"/>
    </row>
    <row r="135" spans="1:19" s="105" customFormat="1" ht="16.350000000000001" customHeight="1">
      <c r="A135" s="501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69">
        <v>5</v>
      </c>
      <c r="G135" s="169">
        <v>6</v>
      </c>
      <c r="H135" s="169">
        <v>7</v>
      </c>
      <c r="I135" s="169">
        <v>8</v>
      </c>
      <c r="J135" s="190">
        <v>9</v>
      </c>
      <c r="K135" s="191"/>
      <c r="L135" s="191"/>
      <c r="M135" s="192"/>
      <c r="N135" s="178"/>
      <c r="O135" s="178"/>
      <c r="P135" s="178"/>
      <c r="Q135" s="178"/>
      <c r="R135" s="178"/>
      <c r="S135" s="177"/>
    </row>
    <row r="136" spans="1:19" ht="16.350000000000001" customHeight="1">
      <c r="A136" s="503"/>
      <c r="B136" s="194" t="s">
        <v>189</v>
      </c>
      <c r="C136" s="194" t="s">
        <v>155</v>
      </c>
      <c r="D136" s="194" t="s">
        <v>190</v>
      </c>
      <c r="E136" s="194" t="s">
        <v>156</v>
      </c>
      <c r="F136" s="194" t="s">
        <v>138</v>
      </c>
      <c r="G136" s="195" t="s">
        <v>136</v>
      </c>
      <c r="H136" s="196" t="s">
        <v>191</v>
      </c>
      <c r="I136" s="195" t="s">
        <v>351</v>
      </c>
      <c r="J136" s="208" t="s">
        <v>142</v>
      </c>
      <c r="K136" s="197"/>
      <c r="L136" s="197"/>
      <c r="M136" s="189"/>
      <c r="N136" s="178"/>
      <c r="O136" s="178"/>
      <c r="P136" s="178"/>
      <c r="Q136" s="178"/>
      <c r="R136" s="178"/>
      <c r="S136" s="188"/>
    </row>
    <row r="137" spans="1:19" s="105" customFormat="1" ht="15.75" customHeight="1">
      <c r="A137" s="507" t="s">
        <v>171</v>
      </c>
      <c r="B137" s="508"/>
      <c r="C137" s="159" t="s">
        <v>47</v>
      </c>
      <c r="D137" s="507" t="s">
        <v>12</v>
      </c>
      <c r="E137" s="509"/>
      <c r="F137" s="508"/>
      <c r="G137" s="159" t="s">
        <v>46</v>
      </c>
      <c r="H137" s="159" t="s">
        <v>352</v>
      </c>
      <c r="I137" s="159" t="s">
        <v>353</v>
      </c>
      <c r="J137" s="159" t="s">
        <v>311</v>
      </c>
      <c r="K137" s="507" t="s">
        <v>51</v>
      </c>
      <c r="L137" s="508"/>
      <c r="M137" s="192"/>
      <c r="N137" s="178"/>
      <c r="O137" s="493"/>
      <c r="P137" s="493"/>
      <c r="Q137" s="493"/>
      <c r="R137" s="178"/>
      <c r="S137" s="177"/>
    </row>
    <row r="138" spans="1:19" ht="15.75" customHeight="1">
      <c r="A138" s="501">
        <f>J135</f>
        <v>9</v>
      </c>
      <c r="B138" s="504" t="str">
        <f>J136</f>
        <v>微波小吃</v>
      </c>
      <c r="C138" s="199">
        <v>1</v>
      </c>
      <c r="D138" s="630"/>
      <c r="E138" s="631"/>
      <c r="F138" s="632"/>
      <c r="G138" s="199"/>
      <c r="H138" s="201"/>
      <c r="I138" s="202"/>
      <c r="J138" s="350">
        <f>I138-I112</f>
        <v>-94.923281263854719</v>
      </c>
      <c r="K138" s="495"/>
      <c r="L138" s="497"/>
      <c r="N138" s="178"/>
      <c r="O138" s="178"/>
      <c r="P138" s="494"/>
      <c r="Q138" s="494"/>
      <c r="R138" s="178"/>
      <c r="S138" s="188"/>
    </row>
    <row r="139" spans="1:19" ht="15.75" customHeight="1">
      <c r="A139" s="502"/>
      <c r="B139" s="505"/>
      <c r="C139" s="199">
        <v>2</v>
      </c>
      <c r="D139" s="630"/>
      <c r="E139" s="631"/>
      <c r="F139" s="632"/>
      <c r="G139" s="199"/>
      <c r="H139" s="201"/>
      <c r="I139" s="202"/>
      <c r="J139" s="350">
        <f>I139-I113</f>
        <v>-83.411989200416926</v>
      </c>
      <c r="K139" s="495"/>
      <c r="L139" s="497"/>
      <c r="N139" s="178"/>
      <c r="O139" s="178"/>
      <c r="P139" s="494"/>
      <c r="Q139" s="494"/>
      <c r="R139" s="178"/>
      <c r="S139" s="188"/>
    </row>
    <row r="140" spans="1:19" ht="15.75" customHeight="1">
      <c r="A140" s="502"/>
      <c r="B140" s="505"/>
      <c r="C140" s="199">
        <v>3</v>
      </c>
      <c r="D140" s="630"/>
      <c r="E140" s="631"/>
      <c r="F140" s="632"/>
      <c r="G140" s="199"/>
      <c r="H140" s="201"/>
      <c r="I140" s="202"/>
      <c r="J140" s="350"/>
      <c r="K140" s="495"/>
      <c r="L140" s="497"/>
      <c r="N140" s="178"/>
      <c r="O140" s="178"/>
      <c r="P140" s="494"/>
      <c r="Q140" s="494"/>
      <c r="R140" s="178"/>
      <c r="S140" s="188"/>
    </row>
    <row r="141" spans="1:19" ht="15.75" customHeight="1">
      <c r="A141" s="502"/>
      <c r="B141" s="505"/>
      <c r="C141" s="199">
        <v>4</v>
      </c>
      <c r="D141" s="630"/>
      <c r="E141" s="631"/>
      <c r="F141" s="632"/>
      <c r="G141" s="201"/>
      <c r="H141" s="201"/>
      <c r="I141" s="202"/>
      <c r="J141" s="350"/>
      <c r="K141" s="495"/>
      <c r="L141" s="497"/>
      <c r="N141" s="178"/>
      <c r="O141" s="178"/>
      <c r="P141" s="494"/>
      <c r="Q141" s="494"/>
      <c r="R141" s="178"/>
      <c r="S141" s="188"/>
    </row>
    <row r="142" spans="1:19" ht="15.75" customHeight="1">
      <c r="A142" s="502"/>
      <c r="B142" s="505"/>
      <c r="C142" s="199">
        <v>5</v>
      </c>
      <c r="D142" s="630"/>
      <c r="E142" s="631"/>
      <c r="F142" s="632"/>
      <c r="G142" s="199"/>
      <c r="H142" s="201"/>
      <c r="I142" s="202"/>
      <c r="J142" s="350"/>
      <c r="K142" s="495"/>
      <c r="L142" s="497"/>
      <c r="N142" s="178"/>
      <c r="O142" s="178"/>
      <c r="P142" s="494"/>
      <c r="Q142" s="494"/>
      <c r="R142" s="178"/>
      <c r="S142" s="188"/>
    </row>
    <row r="143" spans="1:19" ht="15.75" customHeight="1">
      <c r="A143" s="502"/>
      <c r="B143" s="505"/>
      <c r="C143" s="203" t="s">
        <v>187</v>
      </c>
      <c r="D143" s="630"/>
      <c r="E143" s="631"/>
      <c r="F143" s="632"/>
      <c r="G143" s="199"/>
      <c r="H143" s="201"/>
      <c r="I143" s="202"/>
      <c r="J143" s="199"/>
      <c r="K143" s="495"/>
      <c r="L143" s="497"/>
      <c r="N143" s="178"/>
      <c r="O143" s="178"/>
      <c r="P143" s="494"/>
      <c r="Q143" s="494"/>
      <c r="R143" s="178"/>
      <c r="S143" s="188"/>
    </row>
    <row r="144" spans="1:19" ht="15.75" customHeight="1">
      <c r="A144" s="502"/>
      <c r="B144" s="505"/>
      <c r="C144" s="203" t="s">
        <v>192</v>
      </c>
      <c r="D144" s="495"/>
      <c r="E144" s="496"/>
      <c r="F144" s="497"/>
      <c r="G144" s="199"/>
      <c r="H144" s="201"/>
      <c r="I144" s="202"/>
      <c r="J144" s="199"/>
      <c r="K144" s="495"/>
      <c r="L144" s="497"/>
      <c r="N144" s="178"/>
      <c r="O144" s="178"/>
      <c r="P144" s="494"/>
      <c r="Q144" s="494"/>
      <c r="R144" s="178"/>
      <c r="S144" s="188"/>
    </row>
    <row r="145" spans="1:19" ht="15.75" customHeight="1">
      <c r="A145" s="502"/>
      <c r="B145" s="505"/>
      <c r="C145" s="203" t="s">
        <v>188</v>
      </c>
      <c r="D145" s="495"/>
      <c r="E145" s="496"/>
      <c r="F145" s="497"/>
      <c r="G145" s="199"/>
      <c r="H145" s="201"/>
      <c r="I145" s="202"/>
      <c r="J145" s="199"/>
      <c r="K145" s="495"/>
      <c r="L145" s="497"/>
      <c r="N145" s="178"/>
      <c r="O145" s="178"/>
      <c r="P145" s="494"/>
      <c r="Q145" s="494"/>
      <c r="R145" s="178"/>
      <c r="S145" s="188"/>
    </row>
    <row r="146" spans="1:19" ht="15.75" customHeight="1">
      <c r="A146" s="502"/>
      <c r="B146" s="505"/>
      <c r="C146" s="203" t="s">
        <v>193</v>
      </c>
      <c r="D146" s="495"/>
      <c r="E146" s="496"/>
      <c r="F146" s="497"/>
      <c r="G146" s="199"/>
      <c r="H146" s="201"/>
      <c r="I146" s="202"/>
      <c r="J146" s="199"/>
      <c r="K146" s="495"/>
      <c r="L146" s="497"/>
      <c r="M146" s="98"/>
      <c r="N146" s="178"/>
      <c r="O146" s="178"/>
      <c r="P146" s="494"/>
      <c r="Q146" s="494"/>
      <c r="R146" s="178"/>
      <c r="S146" s="188"/>
    </row>
    <row r="147" spans="1:19" ht="15.75" customHeight="1">
      <c r="A147" s="503"/>
      <c r="B147" s="506"/>
      <c r="C147" s="203" t="s">
        <v>194</v>
      </c>
      <c r="D147" s="495"/>
      <c r="E147" s="496"/>
      <c r="F147" s="497"/>
      <c r="G147" s="199"/>
      <c r="H147" s="201"/>
      <c r="I147" s="202"/>
      <c r="J147" s="199"/>
      <c r="K147" s="495"/>
      <c r="L147" s="497"/>
      <c r="M147" s="98"/>
      <c r="N147" s="178"/>
      <c r="O147" s="178"/>
      <c r="P147" s="494"/>
      <c r="Q147" s="494"/>
      <c r="R147" s="178"/>
      <c r="S147" s="188"/>
    </row>
    <row r="148" spans="1:19" s="103" customFormat="1" ht="15.75" customHeight="1">
      <c r="A148" s="498" t="s">
        <v>171</v>
      </c>
      <c r="B148" s="499"/>
      <c r="C148" s="206" t="s">
        <v>47</v>
      </c>
      <c r="D148" s="498" t="s">
        <v>12</v>
      </c>
      <c r="E148" s="500"/>
      <c r="F148" s="499"/>
      <c r="G148" s="206" t="s">
        <v>46</v>
      </c>
      <c r="H148" s="206" t="s">
        <v>352</v>
      </c>
      <c r="I148" s="206" t="s">
        <v>353</v>
      </c>
      <c r="J148" s="159" t="s">
        <v>311</v>
      </c>
      <c r="K148" s="498" t="s">
        <v>51</v>
      </c>
      <c r="L148" s="499"/>
      <c r="M148" s="127"/>
      <c r="N148" s="178"/>
      <c r="O148" s="178"/>
      <c r="P148" s="494"/>
      <c r="Q148" s="494"/>
      <c r="R148" s="178"/>
      <c r="S148" s="198"/>
    </row>
    <row r="149" spans="1:19" ht="15.75" customHeight="1">
      <c r="A149" s="501"/>
      <c r="B149" s="504"/>
      <c r="C149" s="199">
        <v>1</v>
      </c>
      <c r="D149" s="495"/>
      <c r="E149" s="496"/>
      <c r="F149" s="497"/>
      <c r="G149" s="199"/>
      <c r="H149" s="201"/>
      <c r="I149" s="202"/>
      <c r="J149" s="199"/>
      <c r="K149" s="495"/>
      <c r="L149" s="497"/>
      <c r="M149" s="98"/>
      <c r="N149" s="178"/>
      <c r="O149" s="178"/>
      <c r="P149" s="494"/>
      <c r="Q149" s="494"/>
      <c r="R149" s="178"/>
      <c r="S149" s="188"/>
    </row>
    <row r="150" spans="1:19" ht="15.75" customHeight="1">
      <c r="A150" s="502"/>
      <c r="B150" s="505"/>
      <c r="C150" s="199">
        <v>2</v>
      </c>
      <c r="D150" s="495"/>
      <c r="E150" s="496"/>
      <c r="F150" s="497"/>
      <c r="G150" s="199"/>
      <c r="H150" s="201"/>
      <c r="I150" s="202"/>
      <c r="J150" s="199"/>
      <c r="K150" s="495"/>
      <c r="L150" s="497"/>
      <c r="M150" s="98"/>
      <c r="N150" s="178"/>
      <c r="O150" s="178"/>
      <c r="P150" s="494"/>
      <c r="Q150" s="494"/>
      <c r="R150" s="178"/>
      <c r="S150" s="188"/>
    </row>
    <row r="151" spans="1:19" ht="15.75" customHeight="1">
      <c r="A151" s="502"/>
      <c r="B151" s="505"/>
      <c r="C151" s="199">
        <v>3</v>
      </c>
      <c r="D151" s="495"/>
      <c r="E151" s="496"/>
      <c r="F151" s="497"/>
      <c r="G151" s="199"/>
      <c r="H151" s="201"/>
      <c r="I151" s="202"/>
      <c r="J151" s="199"/>
      <c r="K151" s="495"/>
      <c r="L151" s="497"/>
      <c r="M151" s="98"/>
      <c r="N151" s="178"/>
      <c r="O151" s="178"/>
      <c r="P151" s="494"/>
      <c r="Q151" s="494"/>
      <c r="R151" s="178"/>
      <c r="S151" s="188"/>
    </row>
    <row r="152" spans="1:19" ht="15.75" customHeight="1">
      <c r="A152" s="502"/>
      <c r="B152" s="505"/>
      <c r="C152" s="199">
        <v>4</v>
      </c>
      <c r="D152" s="495"/>
      <c r="E152" s="496"/>
      <c r="F152" s="497"/>
      <c r="G152" s="199"/>
      <c r="H152" s="201"/>
      <c r="I152" s="202"/>
      <c r="J152" s="199"/>
      <c r="K152" s="495"/>
      <c r="L152" s="497"/>
      <c r="M152" s="98"/>
      <c r="N152" s="178"/>
      <c r="O152" s="178"/>
      <c r="P152" s="494"/>
      <c r="Q152" s="494"/>
      <c r="R152" s="178"/>
      <c r="S152" s="188"/>
    </row>
    <row r="153" spans="1:19" ht="15.75" customHeight="1">
      <c r="A153" s="502"/>
      <c r="B153" s="505"/>
      <c r="C153" s="199">
        <v>5</v>
      </c>
      <c r="D153" s="495"/>
      <c r="E153" s="496"/>
      <c r="F153" s="497"/>
      <c r="G153" s="199"/>
      <c r="H153" s="201"/>
      <c r="I153" s="202"/>
      <c r="J153" s="199"/>
      <c r="K153" s="495"/>
      <c r="L153" s="497"/>
      <c r="M153" s="98"/>
      <c r="N153" s="178"/>
      <c r="O153" s="178"/>
      <c r="P153" s="494"/>
      <c r="Q153" s="494"/>
      <c r="R153" s="178"/>
      <c r="S153" s="188"/>
    </row>
    <row r="154" spans="1:19" ht="15.75" customHeight="1">
      <c r="A154" s="502"/>
      <c r="B154" s="505"/>
      <c r="C154" s="203" t="s">
        <v>187</v>
      </c>
      <c r="D154" s="495"/>
      <c r="E154" s="496"/>
      <c r="F154" s="497"/>
      <c r="G154" s="199"/>
      <c r="H154" s="201"/>
      <c r="I154" s="202"/>
      <c r="J154" s="199"/>
      <c r="K154" s="495"/>
      <c r="L154" s="497"/>
      <c r="M154" s="98"/>
      <c r="N154" s="178"/>
      <c r="O154" s="178"/>
      <c r="P154" s="494"/>
      <c r="Q154" s="494"/>
      <c r="R154" s="178"/>
      <c r="S154" s="188"/>
    </row>
    <row r="155" spans="1:19" ht="15.75" customHeight="1">
      <c r="A155" s="502"/>
      <c r="B155" s="505"/>
      <c r="C155" s="203" t="s">
        <v>192</v>
      </c>
      <c r="D155" s="495"/>
      <c r="E155" s="496"/>
      <c r="F155" s="497"/>
      <c r="G155" s="199"/>
      <c r="H155" s="201"/>
      <c r="I155" s="202"/>
      <c r="J155" s="199"/>
      <c r="K155" s="495"/>
      <c r="L155" s="497"/>
      <c r="M155" s="98"/>
      <c r="N155" s="178"/>
      <c r="O155" s="178"/>
      <c r="P155" s="494"/>
      <c r="Q155" s="494"/>
      <c r="R155" s="178"/>
      <c r="S155" s="188"/>
    </row>
    <row r="156" spans="1:19" ht="15.75" customHeight="1">
      <c r="A156" s="502"/>
      <c r="B156" s="505"/>
      <c r="C156" s="203" t="s">
        <v>188</v>
      </c>
      <c r="D156" s="495"/>
      <c r="E156" s="496"/>
      <c r="F156" s="497"/>
      <c r="G156" s="199"/>
      <c r="H156" s="201"/>
      <c r="I156" s="202"/>
      <c r="J156" s="199"/>
      <c r="K156" s="495"/>
      <c r="L156" s="497"/>
      <c r="M156" s="98"/>
      <c r="N156" s="178"/>
      <c r="O156" s="178"/>
      <c r="P156" s="494"/>
      <c r="Q156" s="494"/>
      <c r="R156" s="178"/>
      <c r="S156" s="188"/>
    </row>
    <row r="157" spans="1:19" ht="15.75" customHeight="1">
      <c r="A157" s="502"/>
      <c r="B157" s="505"/>
      <c r="C157" s="203" t="s">
        <v>193</v>
      </c>
      <c r="D157" s="495"/>
      <c r="E157" s="496"/>
      <c r="F157" s="497"/>
      <c r="G157" s="199"/>
      <c r="H157" s="201"/>
      <c r="I157" s="202"/>
      <c r="J157" s="199"/>
      <c r="K157" s="495"/>
      <c r="L157" s="497"/>
      <c r="M157" s="98"/>
      <c r="N157" s="178"/>
      <c r="O157" s="178"/>
      <c r="P157" s="494"/>
      <c r="Q157" s="494"/>
      <c r="R157" s="178"/>
      <c r="S157" s="188"/>
    </row>
    <row r="158" spans="1:19" ht="15.75" customHeight="1">
      <c r="A158" s="503"/>
      <c r="B158" s="506"/>
      <c r="C158" s="203" t="s">
        <v>194</v>
      </c>
      <c r="D158" s="495"/>
      <c r="E158" s="496"/>
      <c r="F158" s="497"/>
      <c r="G158" s="199"/>
      <c r="H158" s="201"/>
      <c r="I158" s="202"/>
      <c r="J158" s="199"/>
      <c r="K158" s="495"/>
      <c r="L158" s="497"/>
      <c r="M158" s="98"/>
      <c r="N158" s="178"/>
      <c r="O158" s="178"/>
      <c r="P158" s="494"/>
      <c r="Q158" s="494"/>
      <c r="R158" s="178"/>
      <c r="S158" s="188"/>
    </row>
  </sheetData>
  <mergeCells count="55">
    <mergeCell ref="D142:F142"/>
    <mergeCell ref="D143:F143"/>
    <mergeCell ref="A133:L134"/>
    <mergeCell ref="D138:F138"/>
    <mergeCell ref="D139:F139"/>
    <mergeCell ref="D140:F140"/>
    <mergeCell ref="D141:F141"/>
    <mergeCell ref="D90:F90"/>
    <mergeCell ref="D91:F91"/>
    <mergeCell ref="A81:L82"/>
    <mergeCell ref="D86:F86"/>
    <mergeCell ref="D87:F87"/>
    <mergeCell ref="D88:F88"/>
    <mergeCell ref="D89:F89"/>
    <mergeCell ref="K86:L86"/>
    <mergeCell ref="K87:L87"/>
    <mergeCell ref="D63:F63"/>
    <mergeCell ref="D64:F64"/>
    <mergeCell ref="A29:L30"/>
    <mergeCell ref="D34:F34"/>
    <mergeCell ref="D35:F35"/>
    <mergeCell ref="D36:F36"/>
    <mergeCell ref="D37:F37"/>
    <mergeCell ref="D38:F38"/>
    <mergeCell ref="D39:F39"/>
    <mergeCell ref="D60:F60"/>
    <mergeCell ref="D61:F61"/>
    <mergeCell ref="K34:L34"/>
    <mergeCell ref="K35:L35"/>
    <mergeCell ref="K36:L36"/>
    <mergeCell ref="K37:L37"/>
    <mergeCell ref="K38:L38"/>
    <mergeCell ref="D65:F65"/>
    <mergeCell ref="A55:L56"/>
    <mergeCell ref="A1:L2"/>
    <mergeCell ref="D12:F12"/>
    <mergeCell ref="D13:F13"/>
    <mergeCell ref="K8:L8"/>
    <mergeCell ref="K9:L9"/>
    <mergeCell ref="K10:L10"/>
    <mergeCell ref="K11:L11"/>
    <mergeCell ref="K12:L12"/>
    <mergeCell ref="A3:L4"/>
    <mergeCell ref="D8:F8"/>
    <mergeCell ref="D9:F9"/>
    <mergeCell ref="D10:F10"/>
    <mergeCell ref="D11:F11"/>
    <mergeCell ref="D62:F62"/>
    <mergeCell ref="D116:F116"/>
    <mergeCell ref="D117:F117"/>
    <mergeCell ref="A107:L108"/>
    <mergeCell ref="D112:F112"/>
    <mergeCell ref="D113:F113"/>
    <mergeCell ref="D114:F114"/>
    <mergeCell ref="D115:F1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J20" sqref="J20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3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</row>
    <row r="3" spans="1:13" ht="15.75" customHeight="1">
      <c r="A3" s="649" t="s">
        <v>221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</row>
    <row r="4" spans="1:13" s="136" customFormat="1" ht="15.75" customHeight="1">
      <c r="A4" s="649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</row>
    <row r="5" spans="1:13" ht="15.75" customHeight="1">
      <c r="A5" s="225" t="s">
        <v>399</v>
      </c>
      <c r="B5" s="137">
        <f>'生產管理報表(月)'!B6</f>
        <v>175321.62117</v>
      </c>
    </row>
    <row r="6" spans="1:13" ht="15.75" customHeight="1">
      <c r="A6" s="650" t="s">
        <v>222</v>
      </c>
      <c r="B6" s="651" t="s">
        <v>10</v>
      </c>
      <c r="C6" s="651"/>
      <c r="D6" s="652"/>
      <c r="E6" s="650" t="s">
        <v>180</v>
      </c>
      <c r="F6" s="654">
        <v>1</v>
      </c>
      <c r="G6" s="654"/>
      <c r="H6" s="654">
        <v>2</v>
      </c>
      <c r="I6" s="654"/>
      <c r="J6" s="654">
        <v>3</v>
      </c>
      <c r="K6" s="654"/>
      <c r="L6" s="654">
        <v>4</v>
      </c>
      <c r="M6" s="654"/>
    </row>
    <row r="7" spans="1:13" ht="31.35" customHeight="1">
      <c r="A7" s="650"/>
      <c r="B7" s="651"/>
      <c r="C7" s="651"/>
      <c r="D7" s="653"/>
      <c r="E7" s="650"/>
      <c r="F7" s="656" t="s">
        <v>427</v>
      </c>
      <c r="G7" s="656"/>
      <c r="H7" s="656" t="s">
        <v>223</v>
      </c>
      <c r="I7" s="656"/>
      <c r="J7" s="656" t="s">
        <v>166</v>
      </c>
      <c r="K7" s="656"/>
      <c r="L7" s="656" t="s">
        <v>407</v>
      </c>
      <c r="M7" s="656"/>
    </row>
    <row r="8" spans="1:13" ht="15.75" customHeight="1">
      <c r="A8" s="650"/>
      <c r="B8" s="154" t="s">
        <v>11</v>
      </c>
      <c r="C8" s="154" t="s">
        <v>224</v>
      </c>
      <c r="D8" s="653"/>
      <c r="E8" s="650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225</v>
      </c>
      <c r="B9" s="139">
        <f>日別報廢率總表!B2</f>
        <v>351862.88600000006</v>
      </c>
      <c r="C9" s="140">
        <f>B9/($B$5*1000)</f>
        <v>2.0069566072447929E-3</v>
      </c>
      <c r="D9" s="653"/>
      <c r="E9" s="138" t="s">
        <v>225</v>
      </c>
      <c r="F9" s="141">
        <f>'報廢20大－原因別分析'!AG111</f>
        <v>37111.747499999998</v>
      </c>
      <c r="G9" s="355">
        <f>'報廢20大－原因別分析'!AG112</f>
        <v>0.52500000000000002</v>
      </c>
      <c r="H9" s="141">
        <f>'報廢20大－原因別分析'!AH111</f>
        <v>0</v>
      </c>
      <c r="I9" s="355">
        <f>'報廢20大－原因別分析'!AH112</f>
        <v>0</v>
      </c>
      <c r="J9" s="141">
        <f>'報廢20大－原因別分析'!AI111</f>
        <v>24567.7032</v>
      </c>
      <c r="K9" s="355">
        <f>'報廢20大－原因別分析'!AI112</f>
        <v>0.23749999999999999</v>
      </c>
      <c r="L9" s="141">
        <f>'報廢20大－原因別分析'!AJ111</f>
        <v>0</v>
      </c>
      <c r="M9" s="355">
        <f>'報廢20大－原因別分析'!AJ112</f>
        <v>0</v>
      </c>
    </row>
    <row r="10" spans="1:13" ht="19.350000000000001" customHeight="1">
      <c r="A10" s="143" t="s">
        <v>226</v>
      </c>
      <c r="B10" s="144">
        <f>日別報廢率總表!E3</f>
        <v>1054348.78255985</v>
      </c>
      <c r="C10" s="140">
        <f>B10/($B$5*1000)</f>
        <v>6.0137978163999775E-3</v>
      </c>
      <c r="D10" s="653"/>
      <c r="E10" s="143" t="s">
        <v>226</v>
      </c>
      <c r="F10" s="141">
        <f>'超用20大－原因別分析'!AG111</f>
        <v>0</v>
      </c>
      <c r="G10" s="355">
        <f>'超用20大－原因別分析'!AG112</f>
        <v>0</v>
      </c>
      <c r="H10" s="141">
        <f>'超用20大－原因別分析'!AH111</f>
        <v>0</v>
      </c>
      <c r="I10" s="355">
        <f>'超用20大－原因別分析'!AH112</f>
        <v>0</v>
      </c>
      <c r="J10" s="141">
        <f>'報廢20大－原因別分析'!AI111</f>
        <v>24567.7032</v>
      </c>
      <c r="K10" s="355">
        <f>'超用20大－原因別分析'!AI112</f>
        <v>0</v>
      </c>
      <c r="L10" s="141">
        <f>'超用20大－原因別分析'!AJ111</f>
        <v>285539.56020000007</v>
      </c>
      <c r="M10" s="355">
        <f>'超用20大－原因別分析'!AJ112</f>
        <v>0.9</v>
      </c>
    </row>
    <row r="11" spans="1:13" ht="15.75" customHeight="1">
      <c r="D11" s="653"/>
      <c r="E11" s="650" t="s">
        <v>180</v>
      </c>
      <c r="F11" s="654">
        <v>5</v>
      </c>
      <c r="G11" s="654"/>
      <c r="H11" s="654">
        <v>6</v>
      </c>
      <c r="I11" s="654"/>
      <c r="J11" s="654">
        <v>7</v>
      </c>
      <c r="K11" s="654"/>
      <c r="L11" s="655">
        <v>8</v>
      </c>
      <c r="M11" s="655"/>
    </row>
    <row r="12" spans="1:13" ht="31.35" customHeight="1">
      <c r="D12" s="653"/>
      <c r="E12" s="650"/>
      <c r="F12" s="656" t="s">
        <v>172</v>
      </c>
      <c r="G12" s="656"/>
      <c r="H12" s="656" t="s">
        <v>167</v>
      </c>
      <c r="I12" s="656"/>
      <c r="J12" s="656" t="s">
        <v>173</v>
      </c>
      <c r="K12" s="656"/>
      <c r="L12" s="657"/>
      <c r="M12" s="657"/>
    </row>
    <row r="13" spans="1:13" ht="15.75" customHeight="1">
      <c r="D13" s="653"/>
      <c r="E13" s="650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53"/>
      <c r="E14" s="138" t="s">
        <v>225</v>
      </c>
      <c r="F14" s="141">
        <f>'報廢20大－原因別分析'!AK111</f>
        <v>6818.0384000000022</v>
      </c>
      <c r="G14" s="355">
        <f>'報廢20大－原因別分析'!AK112</f>
        <v>7.4999999999999997E-2</v>
      </c>
      <c r="H14" s="141">
        <f>'報廢20大－原因別分析'!AL111</f>
        <v>15600.452700000002</v>
      </c>
      <c r="I14" s="355">
        <f>'報廢20大－原因別分析'!AL112</f>
        <v>0.16250000000000001</v>
      </c>
      <c r="J14" s="141">
        <f>'報廢20大－原因別分析'!AM111</f>
        <v>0</v>
      </c>
      <c r="K14" s="355">
        <f>'報廢20大－原因別分析'!AM112</f>
        <v>0</v>
      </c>
      <c r="L14" s="141"/>
      <c r="M14" s="142"/>
    </row>
    <row r="15" spans="1:13" ht="19.350000000000001" customHeight="1">
      <c r="D15" s="653"/>
      <c r="E15" s="143" t="s">
        <v>226</v>
      </c>
      <c r="F15" s="141">
        <f>'超用20大－原因別分析'!AK111</f>
        <v>34777.262699999919</v>
      </c>
      <c r="G15" s="355">
        <f>'超用20大－原因別分析'!AK112</f>
        <v>0.05</v>
      </c>
      <c r="H15" s="141">
        <f>'超用20大－原因別分析'!AL111</f>
        <v>16484.928200000028</v>
      </c>
      <c r="I15" s="355">
        <f>'超用20大－原因別分析'!AL112</f>
        <v>0.05</v>
      </c>
      <c r="J15" s="141">
        <f>'超用20大－原因別分析'!AM111</f>
        <v>0</v>
      </c>
      <c r="K15" s="355">
        <f>'超用20大－原因別分析'!AM112</f>
        <v>0</v>
      </c>
      <c r="L15" s="141"/>
      <c r="M15" s="142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F29" sqref="F29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</row>
    <row r="2" spans="1:74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</row>
    <row r="3" spans="1:74" ht="15.75" customHeight="1">
      <c r="A3" s="649" t="s">
        <v>408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</row>
    <row r="4" spans="1:74" s="136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74" ht="15.75" customHeight="1">
      <c r="A5" s="651" t="s">
        <v>174</v>
      </c>
      <c r="B5" s="678">
        <v>1</v>
      </c>
      <c r="C5" s="678"/>
      <c r="D5" s="678">
        <v>2</v>
      </c>
      <c r="E5" s="678"/>
      <c r="F5" s="678">
        <v>3</v>
      </c>
      <c r="G5" s="678"/>
      <c r="H5" s="654">
        <v>4</v>
      </c>
      <c r="I5" s="654"/>
      <c r="J5" s="654">
        <v>5</v>
      </c>
      <c r="K5" s="654"/>
      <c r="L5" s="654">
        <v>6</v>
      </c>
      <c r="M5" s="654"/>
      <c r="N5" s="654">
        <v>7</v>
      </c>
      <c r="O5" s="654"/>
      <c r="P5" s="351">
        <v>8</v>
      </c>
    </row>
    <row r="6" spans="1:74" ht="15.75" customHeight="1">
      <c r="A6" s="651"/>
      <c r="B6" s="679" t="s">
        <v>427</v>
      </c>
      <c r="C6" s="679"/>
      <c r="D6" s="679" t="s">
        <v>195</v>
      </c>
      <c r="E6" s="679"/>
      <c r="F6" s="679" t="s">
        <v>166</v>
      </c>
      <c r="G6" s="679"/>
      <c r="H6" s="651" t="s">
        <v>406</v>
      </c>
      <c r="I6" s="651"/>
      <c r="J6" s="651" t="s">
        <v>172</v>
      </c>
      <c r="K6" s="651"/>
      <c r="L6" s="651" t="s">
        <v>167</v>
      </c>
      <c r="M6" s="651"/>
      <c r="N6" s="651" t="s">
        <v>173</v>
      </c>
      <c r="O6" s="651"/>
      <c r="P6" s="352" t="s">
        <v>200</v>
      </c>
    </row>
    <row r="8" spans="1:74" s="235" customFormat="1" ht="15.75" customHeight="1">
      <c r="A8" s="654" t="s">
        <v>174</v>
      </c>
      <c r="B8" s="654"/>
      <c r="C8" s="234" t="s">
        <v>47</v>
      </c>
      <c r="D8" s="672" t="s">
        <v>12</v>
      </c>
      <c r="E8" s="672"/>
      <c r="F8" s="672"/>
      <c r="G8" s="666" t="s">
        <v>53</v>
      </c>
      <c r="H8" s="667"/>
      <c r="I8" s="668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58" t="s">
        <v>51</v>
      </c>
      <c r="P8" s="658"/>
    </row>
    <row r="9" spans="1:74" ht="69.95" customHeight="1">
      <c r="A9" s="654">
        <v>1</v>
      </c>
      <c r="B9" s="669" t="s">
        <v>428</v>
      </c>
      <c r="C9" s="236">
        <v>1</v>
      </c>
      <c r="D9" s="237" t="s">
        <v>319</v>
      </c>
      <c r="E9" s="238"/>
      <c r="F9" s="239"/>
      <c r="G9" s="305" t="s">
        <v>364</v>
      </c>
      <c r="H9" s="304"/>
      <c r="I9" s="305"/>
      <c r="J9" s="236">
        <v>127.84000000000002</v>
      </c>
      <c r="K9" s="241">
        <v>2.7251098129008086E-3</v>
      </c>
      <c r="L9" s="236">
        <v>41.019999999999996</v>
      </c>
      <c r="M9" s="321">
        <f>L9*J9</f>
        <v>5243.9967999999999</v>
      </c>
      <c r="N9" s="242"/>
      <c r="O9" s="673"/>
      <c r="P9" s="673"/>
    </row>
    <row r="10" spans="1:74" ht="84.75" customHeight="1">
      <c r="A10" s="654"/>
      <c r="B10" s="669"/>
      <c r="C10" s="236">
        <v>2</v>
      </c>
      <c r="D10" s="237" t="s">
        <v>319</v>
      </c>
      <c r="E10" s="238"/>
      <c r="F10" s="239"/>
      <c r="G10" s="305" t="s">
        <v>545</v>
      </c>
      <c r="H10" s="304"/>
      <c r="I10" s="305"/>
      <c r="J10" s="236">
        <v>144.79999999999998</v>
      </c>
      <c r="K10" s="241">
        <v>3.7403937074699696E-3</v>
      </c>
      <c r="L10" s="236">
        <v>17.87</v>
      </c>
      <c r="M10" s="321">
        <f t="shared" ref="M10:M13" si="0">L10*J10</f>
        <v>2587.576</v>
      </c>
      <c r="N10" s="242"/>
      <c r="O10" s="674"/>
      <c r="P10" s="674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69.95" customHeight="1">
      <c r="A11" s="654"/>
      <c r="B11" s="669"/>
      <c r="C11" s="236">
        <v>3</v>
      </c>
      <c r="D11" s="237" t="s">
        <v>411</v>
      </c>
      <c r="E11" s="238"/>
      <c r="F11" s="239"/>
      <c r="G11" s="305" t="s">
        <v>435</v>
      </c>
      <c r="H11" s="304"/>
      <c r="I11" s="305"/>
      <c r="J11" s="236">
        <v>160.49</v>
      </c>
      <c r="K11" s="241">
        <v>8.2686517121012514E-3</v>
      </c>
      <c r="L11" s="236">
        <v>15.569999999999999</v>
      </c>
      <c r="M11" s="321">
        <f t="shared" si="0"/>
        <v>2498.8292999999999</v>
      </c>
      <c r="N11" s="242"/>
      <c r="O11" s="675"/>
      <c r="P11" s="675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9.95" customHeight="1">
      <c r="A12" s="654"/>
      <c r="B12" s="669"/>
      <c r="C12" s="236">
        <v>4</v>
      </c>
      <c r="D12" s="237" t="s">
        <v>720</v>
      </c>
      <c r="E12" s="238"/>
      <c r="F12" s="239"/>
      <c r="G12" s="305" t="s">
        <v>723</v>
      </c>
      <c r="H12" s="304"/>
      <c r="I12" s="305"/>
      <c r="J12" s="236">
        <v>440.17999999999995</v>
      </c>
      <c r="K12" s="241">
        <v>2.2159242976075057E-3</v>
      </c>
      <c r="L12" s="236">
        <v>4.82</v>
      </c>
      <c r="M12" s="321">
        <f t="shared" si="0"/>
        <v>2121.6675999999998</v>
      </c>
      <c r="N12" s="242"/>
      <c r="O12" s="675"/>
      <c r="P12" s="675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69.95" customHeight="1" thickBot="1">
      <c r="A13" s="654"/>
      <c r="B13" s="669"/>
      <c r="C13" s="236">
        <v>5</v>
      </c>
      <c r="D13" s="243" t="s">
        <v>336</v>
      </c>
      <c r="E13" s="244"/>
      <c r="F13" s="245"/>
      <c r="G13" s="359" t="s">
        <v>563</v>
      </c>
      <c r="H13" s="358"/>
      <c r="I13" s="359"/>
      <c r="J13" s="246">
        <v>426.69</v>
      </c>
      <c r="K13" s="247">
        <v>2.1573912888688323E-3</v>
      </c>
      <c r="L13" s="246">
        <v>4.7699999999999996</v>
      </c>
      <c r="M13" s="322">
        <f t="shared" si="0"/>
        <v>2035.3112999999998</v>
      </c>
      <c r="N13" s="242"/>
      <c r="O13" s="676"/>
      <c r="P13" s="676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54"/>
      <c r="B14" s="669"/>
      <c r="C14" s="660"/>
      <c r="D14" s="661"/>
      <c r="E14" s="661"/>
      <c r="F14" s="661"/>
      <c r="G14" s="661"/>
      <c r="H14" s="661"/>
      <c r="I14" s="662"/>
      <c r="J14" s="248" t="s">
        <v>58</v>
      </c>
      <c r="K14" s="337">
        <f>M14/'生產管理報表 7-1(月)'!$B$9</f>
        <v>4.1173370583904086E-2</v>
      </c>
      <c r="L14" s="248" t="s">
        <v>59</v>
      </c>
      <c r="M14" s="353">
        <f>SUM(M9:M13)</f>
        <v>14487.380999999999</v>
      </c>
      <c r="N14" s="671"/>
      <c r="O14" s="671"/>
      <c r="P14" s="67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54" t="s">
        <v>174</v>
      </c>
      <c r="B16" s="654"/>
      <c r="C16" s="251" t="s">
        <v>47</v>
      </c>
      <c r="D16" s="663" t="s">
        <v>12</v>
      </c>
      <c r="E16" s="664"/>
      <c r="F16" s="665"/>
      <c r="G16" s="666" t="s">
        <v>53</v>
      </c>
      <c r="H16" s="667"/>
      <c r="I16" s="668"/>
      <c r="J16" s="253" t="s">
        <v>54</v>
      </c>
      <c r="K16" s="253" t="s">
        <v>55</v>
      </c>
      <c r="L16" s="253" t="s">
        <v>56</v>
      </c>
      <c r="M16" s="253" t="s">
        <v>11</v>
      </c>
      <c r="N16" s="234" t="s">
        <v>312</v>
      </c>
      <c r="O16" s="658" t="s">
        <v>51</v>
      </c>
      <c r="P16" s="658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54">
        <v>2</v>
      </c>
      <c r="B17" s="669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42"/>
      <c r="O17" s="659"/>
      <c r="P17" s="659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54"/>
      <c r="B18" s="669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42"/>
      <c r="O18" s="659"/>
      <c r="P18" s="659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54"/>
      <c r="B19" s="669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42"/>
      <c r="O19" s="680"/>
      <c r="P19" s="680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54"/>
      <c r="B20" s="669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42"/>
      <c r="O20" s="680"/>
      <c r="P20" s="680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54"/>
      <c r="B21" s="669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42"/>
      <c r="O21" s="680"/>
      <c r="P21" s="680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54"/>
      <c r="B22" s="669"/>
      <c r="C22" s="660"/>
      <c r="D22" s="661"/>
      <c r="E22" s="661"/>
      <c r="F22" s="661"/>
      <c r="G22" s="661"/>
      <c r="H22" s="661"/>
      <c r="I22" s="662"/>
      <c r="J22" s="248" t="s">
        <v>58</v>
      </c>
      <c r="K22" s="337">
        <f>M22/'生產管理報表 7-1(月)'!$B$9</f>
        <v>0</v>
      </c>
      <c r="L22" s="248" t="s">
        <v>59</v>
      </c>
      <c r="M22" s="249">
        <f>SUM(M17:M21)</f>
        <v>0</v>
      </c>
      <c r="N22" s="671"/>
      <c r="O22" s="671"/>
      <c r="P22" s="67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54" t="s">
        <v>174</v>
      </c>
      <c r="B24" s="654"/>
      <c r="C24" s="251" t="s">
        <v>47</v>
      </c>
      <c r="D24" s="663" t="s">
        <v>12</v>
      </c>
      <c r="E24" s="664"/>
      <c r="F24" s="665"/>
      <c r="G24" s="666" t="s">
        <v>53</v>
      </c>
      <c r="H24" s="667"/>
      <c r="I24" s="668"/>
      <c r="J24" s="252" t="s">
        <v>54</v>
      </c>
      <c r="K24" s="253" t="s">
        <v>55</v>
      </c>
      <c r="L24" s="253" t="s">
        <v>56</v>
      </c>
      <c r="M24" s="253" t="s">
        <v>11</v>
      </c>
      <c r="N24" s="234" t="s">
        <v>312</v>
      </c>
      <c r="O24" s="658" t="s">
        <v>51</v>
      </c>
      <c r="P24" s="658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54">
        <v>3</v>
      </c>
      <c r="B25" s="669" t="s">
        <v>400</v>
      </c>
      <c r="C25" s="255">
        <v>1</v>
      </c>
      <c r="D25" s="237" t="s">
        <v>319</v>
      </c>
      <c r="E25" s="238"/>
      <c r="F25" s="239"/>
      <c r="G25" s="938" t="s">
        <v>423</v>
      </c>
      <c r="H25" s="304"/>
      <c r="I25" s="938"/>
      <c r="J25" s="256">
        <v>2.4499999999999997</v>
      </c>
      <c r="K25" s="257">
        <v>6.9317566142790606E-3</v>
      </c>
      <c r="L25" s="256">
        <v>2616</v>
      </c>
      <c r="M25" s="324">
        <f t="shared" ref="M25:M29" si="2">L25*J25</f>
        <v>6409.1999999999989</v>
      </c>
      <c r="N25" s="242"/>
      <c r="O25" s="659"/>
      <c r="P25" s="659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54"/>
      <c r="B26" s="669"/>
      <c r="C26" s="255">
        <v>2</v>
      </c>
      <c r="D26" s="237" t="s">
        <v>319</v>
      </c>
      <c r="E26" s="238"/>
      <c r="F26" s="239"/>
      <c r="G26" s="938" t="s">
        <v>422</v>
      </c>
      <c r="H26" s="304"/>
      <c r="I26" s="938"/>
      <c r="J26" s="256">
        <v>1.17</v>
      </c>
      <c r="K26" s="257">
        <v>6.3939866368787398E-3</v>
      </c>
      <c r="L26" s="256">
        <v>5292</v>
      </c>
      <c r="M26" s="324">
        <f t="shared" si="2"/>
        <v>6191.6399999999994</v>
      </c>
      <c r="N26" s="242"/>
      <c r="O26" s="659"/>
      <c r="P26" s="659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54"/>
      <c r="B27" s="669"/>
      <c r="C27" s="255">
        <v>3</v>
      </c>
      <c r="D27" s="237" t="s">
        <v>560</v>
      </c>
      <c r="E27" s="238"/>
      <c r="F27" s="239"/>
      <c r="G27" s="938" t="s">
        <v>559</v>
      </c>
      <c r="H27" s="304"/>
      <c r="I27" s="938"/>
      <c r="J27" s="256">
        <v>625.93999999999994</v>
      </c>
      <c r="K27" s="257">
        <v>1.7209144800719293E-3</v>
      </c>
      <c r="L27" s="256">
        <v>8.49</v>
      </c>
      <c r="M27" s="324">
        <f t="shared" si="2"/>
        <v>5314.2305999999999</v>
      </c>
      <c r="N27" s="242"/>
      <c r="O27" s="670"/>
      <c r="P27" s="67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54"/>
      <c r="B28" s="669"/>
      <c r="C28" s="255">
        <v>4</v>
      </c>
      <c r="D28" s="237" t="s">
        <v>436</v>
      </c>
      <c r="E28" s="238"/>
      <c r="F28" s="239"/>
      <c r="G28" s="938" t="s">
        <v>434</v>
      </c>
      <c r="H28" s="304"/>
      <c r="I28" s="938"/>
      <c r="J28" s="256">
        <v>407.74000000000007</v>
      </c>
      <c r="K28" s="257">
        <v>2.4648011180869512E-3</v>
      </c>
      <c r="L28" s="256">
        <v>10.49</v>
      </c>
      <c r="M28" s="324">
        <f t="shared" si="2"/>
        <v>4277.1926000000012</v>
      </c>
      <c r="N28" s="242"/>
      <c r="O28" s="670"/>
      <c r="P28" s="670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54"/>
      <c r="B29" s="669"/>
      <c r="C29" s="261">
        <v>5</v>
      </c>
      <c r="D29" s="243" t="s">
        <v>720</v>
      </c>
      <c r="E29" s="244"/>
      <c r="F29" s="245"/>
      <c r="G29" s="374" t="s">
        <v>724</v>
      </c>
      <c r="H29" s="358"/>
      <c r="I29" s="374"/>
      <c r="J29" s="262">
        <v>1.2300000000000002</v>
      </c>
      <c r="K29" s="263">
        <v>1.0183669758137844E-2</v>
      </c>
      <c r="L29" s="262">
        <v>672</v>
      </c>
      <c r="M29" s="324">
        <f t="shared" si="2"/>
        <v>826.56000000000017</v>
      </c>
      <c r="N29" s="242"/>
      <c r="O29" s="670"/>
      <c r="P29" s="670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54"/>
      <c r="B30" s="669"/>
      <c r="C30" s="660"/>
      <c r="D30" s="661"/>
      <c r="E30" s="661"/>
      <c r="F30" s="661"/>
      <c r="G30" s="661"/>
      <c r="H30" s="661"/>
      <c r="I30" s="662"/>
      <c r="J30" s="273" t="s">
        <v>58</v>
      </c>
      <c r="K30" s="337">
        <f>M30/'生產管理報表 7-1(月)'!$B$9</f>
        <v>6.5419866987619715E-2</v>
      </c>
      <c r="L30" s="273" t="s">
        <v>59</v>
      </c>
      <c r="M30" s="325">
        <f>SUM(M25:M29)</f>
        <v>23018.823200000003</v>
      </c>
      <c r="N30" s="671"/>
      <c r="O30" s="671"/>
      <c r="P30" s="67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D25" sqref="D25:D29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38" style="288" customWidth="1"/>
    <col min="17" max="16384" width="12.5703125" style="288"/>
  </cols>
  <sheetData>
    <row r="1" spans="1:20" s="135" customFormat="1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</row>
    <row r="2" spans="1:20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</row>
    <row r="3" spans="1:20" s="135" customFormat="1" ht="15.75" customHeight="1">
      <c r="A3" s="649" t="s">
        <v>408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</row>
    <row r="4" spans="1:20" s="136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20" s="135" customFormat="1" ht="15.75" customHeight="1">
      <c r="A5" s="747" t="s">
        <v>174</v>
      </c>
      <c r="B5" s="749">
        <v>1</v>
      </c>
      <c r="C5" s="750"/>
      <c r="D5" s="749">
        <v>2</v>
      </c>
      <c r="E5" s="750"/>
      <c r="F5" s="749">
        <v>3</v>
      </c>
      <c r="G5" s="750"/>
      <c r="H5" s="740">
        <v>4</v>
      </c>
      <c r="I5" s="741"/>
      <c r="J5" s="740">
        <v>5</v>
      </c>
      <c r="K5" s="741"/>
      <c r="L5" s="740">
        <v>6</v>
      </c>
      <c r="M5" s="741"/>
      <c r="N5" s="740">
        <v>7</v>
      </c>
      <c r="O5" s="741"/>
      <c r="P5" s="326">
        <v>8</v>
      </c>
    </row>
    <row r="6" spans="1:20" s="135" customFormat="1" ht="15.75" customHeight="1">
      <c r="A6" s="748"/>
      <c r="B6" s="744" t="s">
        <v>427</v>
      </c>
      <c r="C6" s="745"/>
      <c r="D6" s="744" t="s">
        <v>195</v>
      </c>
      <c r="E6" s="745"/>
      <c r="F6" s="744" t="s">
        <v>166</v>
      </c>
      <c r="G6" s="745"/>
      <c r="H6" s="742" t="s">
        <v>406</v>
      </c>
      <c r="I6" s="743"/>
      <c r="J6" s="742" t="s">
        <v>172</v>
      </c>
      <c r="K6" s="743"/>
      <c r="L6" s="742" t="s">
        <v>167</v>
      </c>
      <c r="M6" s="743"/>
      <c r="N6" s="742" t="s">
        <v>173</v>
      </c>
      <c r="O6" s="743"/>
      <c r="P6" s="327" t="s">
        <v>200</v>
      </c>
    </row>
    <row r="7" spans="1:20" s="135" customFormat="1" ht="15.75" customHeight="1">
      <c r="B7" s="232"/>
      <c r="C7" s="233"/>
    </row>
    <row r="8" spans="1:20" s="277" customFormat="1" ht="15.75" customHeight="1">
      <c r="A8" s="684" t="s">
        <v>174</v>
      </c>
      <c r="B8" s="685"/>
      <c r="C8" s="274" t="s">
        <v>47</v>
      </c>
      <c r="D8" s="714" t="s">
        <v>12</v>
      </c>
      <c r="E8" s="715"/>
      <c r="F8" s="716"/>
      <c r="G8" s="717" t="s">
        <v>53</v>
      </c>
      <c r="H8" s="718"/>
      <c r="I8" s="719"/>
      <c r="J8" s="275" t="s">
        <v>54</v>
      </c>
      <c r="K8" s="275" t="s">
        <v>55</v>
      </c>
      <c r="L8" s="275" t="s">
        <v>56</v>
      </c>
      <c r="M8" s="276" t="s">
        <v>11</v>
      </c>
      <c r="N8" s="276" t="s">
        <v>312</v>
      </c>
      <c r="O8" s="692" t="s">
        <v>51</v>
      </c>
      <c r="P8" s="693"/>
      <c r="R8" s="338"/>
      <c r="S8" s="339"/>
    </row>
    <row r="9" spans="1:20" s="297" customFormat="1" ht="20.100000000000001" customHeight="1">
      <c r="A9" s="694">
        <v>4</v>
      </c>
      <c r="B9" s="728" t="s">
        <v>406</v>
      </c>
      <c r="C9" s="278">
        <v>1</v>
      </c>
      <c r="D9" s="237"/>
      <c r="E9" s="238"/>
      <c r="F9" s="239"/>
      <c r="G9" s="267"/>
      <c r="H9" s="238"/>
      <c r="I9" s="267"/>
      <c r="J9" s="236"/>
      <c r="K9" s="241"/>
      <c r="L9" s="236"/>
      <c r="M9" s="321">
        <f t="shared" ref="M9:M13" si="0">L9*J9</f>
        <v>0</v>
      </c>
      <c r="N9" s="313"/>
      <c r="O9" s="731"/>
      <c r="P9" s="732"/>
      <c r="R9" s="340"/>
      <c r="S9" s="340"/>
    </row>
    <row r="10" spans="1:20" s="297" customFormat="1" ht="20.100000000000001" customHeight="1">
      <c r="A10" s="695"/>
      <c r="B10" s="729"/>
      <c r="C10" s="278">
        <v>2</v>
      </c>
      <c r="D10" s="237"/>
      <c r="E10" s="238"/>
      <c r="F10" s="239"/>
      <c r="G10" s="237"/>
      <c r="H10" s="238"/>
      <c r="I10" s="267"/>
      <c r="J10" s="236"/>
      <c r="K10" s="241"/>
      <c r="L10" s="236"/>
      <c r="M10" s="321">
        <f t="shared" si="0"/>
        <v>0</v>
      </c>
      <c r="N10" s="313"/>
      <c r="O10" s="724"/>
      <c r="P10" s="725"/>
      <c r="R10" s="340"/>
      <c r="S10" s="340"/>
    </row>
    <row r="11" spans="1:20" s="297" customFormat="1" ht="20.100000000000001" customHeight="1">
      <c r="A11" s="695"/>
      <c r="B11" s="729"/>
      <c r="C11" s="278">
        <v>3</v>
      </c>
      <c r="D11" s="237"/>
      <c r="E11" s="238"/>
      <c r="F11" s="239"/>
      <c r="G11" s="267"/>
      <c r="H11" s="238"/>
      <c r="I11" s="267"/>
      <c r="J11" s="236"/>
      <c r="K11" s="241"/>
      <c r="L11" s="236"/>
      <c r="M11" s="321">
        <f t="shared" si="0"/>
        <v>0</v>
      </c>
      <c r="N11" s="313"/>
      <c r="O11" s="733"/>
      <c r="P11" s="734"/>
      <c r="R11" s="340"/>
      <c r="S11" s="338"/>
    </row>
    <row r="12" spans="1:20" s="297" customFormat="1" ht="20.100000000000001" customHeight="1">
      <c r="A12" s="695"/>
      <c r="B12" s="729"/>
      <c r="C12" s="278">
        <v>4</v>
      </c>
      <c r="D12" s="237"/>
      <c r="E12" s="238"/>
      <c r="F12" s="239"/>
      <c r="G12" s="243"/>
      <c r="H12" s="244"/>
      <c r="I12" s="270"/>
      <c r="J12" s="236"/>
      <c r="K12" s="241"/>
      <c r="L12" s="236"/>
      <c r="M12" s="321">
        <f t="shared" si="0"/>
        <v>0</v>
      </c>
      <c r="N12" s="313"/>
      <c r="O12" s="724"/>
      <c r="P12" s="725"/>
      <c r="R12" s="340"/>
      <c r="S12" s="338"/>
    </row>
    <row r="13" spans="1:20" s="297" customFormat="1" ht="20.100000000000001" customHeight="1" thickBot="1">
      <c r="A13" s="695"/>
      <c r="B13" s="729"/>
      <c r="C13" s="278">
        <v>5</v>
      </c>
      <c r="D13" s="243"/>
      <c r="E13" s="244"/>
      <c r="F13" s="245"/>
      <c r="G13" s="359"/>
      <c r="H13" s="358"/>
      <c r="I13" s="359"/>
      <c r="J13" s="246"/>
      <c r="K13" s="247"/>
      <c r="L13" s="246"/>
      <c r="M13" s="321">
        <f t="shared" si="0"/>
        <v>0</v>
      </c>
      <c r="N13" s="313"/>
      <c r="O13" s="735"/>
      <c r="P13" s="736"/>
      <c r="R13" s="341"/>
      <c r="S13" s="338"/>
      <c r="T13" s="288"/>
    </row>
    <row r="14" spans="1:20" ht="15.75" customHeight="1" thickTop="1" thickBot="1">
      <c r="A14" s="696"/>
      <c r="B14" s="730"/>
      <c r="C14" s="737"/>
      <c r="D14" s="738"/>
      <c r="E14" s="738"/>
      <c r="F14" s="738"/>
      <c r="G14" s="738"/>
      <c r="H14" s="738"/>
      <c r="I14" s="739"/>
      <c r="J14" s="294" t="s">
        <v>58</v>
      </c>
      <c r="K14" s="432">
        <f>M14/'生產管理報表 7-1(月)'!$B$9</f>
        <v>0</v>
      </c>
      <c r="L14" s="295" t="s">
        <v>59</v>
      </c>
      <c r="M14" s="333">
        <f>SUM(M9:M13)</f>
        <v>0</v>
      </c>
      <c r="N14" s="681"/>
      <c r="O14" s="682"/>
      <c r="P14" s="683"/>
      <c r="R14" s="338"/>
      <c r="S14" s="338"/>
    </row>
    <row r="15" spans="1:20" ht="15.75" customHeight="1" thickTop="1">
      <c r="M15" s="328"/>
      <c r="S15" s="338"/>
    </row>
    <row r="16" spans="1:20" ht="15.75" customHeight="1">
      <c r="A16" s="684" t="s">
        <v>174</v>
      </c>
      <c r="B16" s="685"/>
      <c r="C16" s="274" t="s">
        <v>47</v>
      </c>
      <c r="D16" s="714" t="s">
        <v>12</v>
      </c>
      <c r="E16" s="715"/>
      <c r="F16" s="716"/>
      <c r="G16" s="717" t="s">
        <v>53</v>
      </c>
      <c r="H16" s="718"/>
      <c r="I16" s="719"/>
      <c r="J16" s="275" t="s">
        <v>54</v>
      </c>
      <c r="K16" s="275" t="s">
        <v>55</v>
      </c>
      <c r="L16" s="275" t="s">
        <v>56</v>
      </c>
      <c r="M16" s="329" t="s">
        <v>11</v>
      </c>
      <c r="N16" s="276" t="s">
        <v>312</v>
      </c>
      <c r="O16" s="692" t="s">
        <v>51</v>
      </c>
      <c r="P16" s="693"/>
      <c r="S16" s="339"/>
      <c r="T16" s="297"/>
    </row>
    <row r="17" spans="1:20" s="297" customFormat="1" ht="66.75" customHeight="1">
      <c r="A17" s="694">
        <v>5</v>
      </c>
      <c r="B17" s="707" t="s">
        <v>198</v>
      </c>
      <c r="C17" s="278">
        <v>1</v>
      </c>
      <c r="D17" s="237" t="s">
        <v>319</v>
      </c>
      <c r="E17" s="238"/>
      <c r="F17" s="239"/>
      <c r="G17" s="305" t="s">
        <v>315</v>
      </c>
      <c r="H17" s="304"/>
      <c r="I17" s="305"/>
      <c r="J17" s="311">
        <v>147.43000000000004</v>
      </c>
      <c r="K17" s="312">
        <v>2.3914413528661441E-3</v>
      </c>
      <c r="L17" s="313">
        <v>35.480000000000004</v>
      </c>
      <c r="M17" s="321">
        <f t="shared" ref="M17:M21" si="1">L17*J17</f>
        <v>5230.8164000000015</v>
      </c>
      <c r="N17" s="313"/>
      <c r="O17" s="720"/>
      <c r="P17" s="721"/>
      <c r="S17" s="338"/>
    </row>
    <row r="18" spans="1:20" s="297" customFormat="1" ht="66.75" customHeight="1">
      <c r="A18" s="695"/>
      <c r="B18" s="708"/>
      <c r="C18" s="278">
        <v>2</v>
      </c>
      <c r="D18" s="237" t="s">
        <v>562</v>
      </c>
      <c r="E18" s="238"/>
      <c r="F18" s="239"/>
      <c r="G18" s="305" t="s">
        <v>591</v>
      </c>
      <c r="H18" s="304"/>
      <c r="I18" s="305"/>
      <c r="J18" s="311">
        <v>122.85000000000001</v>
      </c>
      <c r="K18" s="312">
        <v>9.1178231669945368E-3</v>
      </c>
      <c r="L18" s="313">
        <v>12.92</v>
      </c>
      <c r="M18" s="321">
        <f t="shared" si="1"/>
        <v>1587.2220000000002</v>
      </c>
      <c r="N18" s="313"/>
      <c r="O18" s="712"/>
      <c r="P18" s="713"/>
      <c r="S18" s="288"/>
      <c r="T18" s="288"/>
    </row>
    <row r="19" spans="1:20" ht="20.100000000000001" customHeight="1">
      <c r="A19" s="695"/>
      <c r="B19" s="708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22"/>
      <c r="P19" s="723"/>
    </row>
    <row r="20" spans="1:20" ht="20.100000000000001" customHeight="1">
      <c r="A20" s="695"/>
      <c r="B20" s="708"/>
      <c r="C20" s="278">
        <v>4</v>
      </c>
      <c r="D20" s="237"/>
      <c r="E20" s="280"/>
      <c r="F20" s="281"/>
      <c r="G20" s="349"/>
      <c r="H20" s="304"/>
      <c r="I20" s="305"/>
      <c r="J20" s="311"/>
      <c r="K20" s="312"/>
      <c r="L20" s="313"/>
      <c r="M20" s="321">
        <f t="shared" si="1"/>
        <v>0</v>
      </c>
      <c r="N20" s="287"/>
      <c r="O20" s="724"/>
      <c r="P20" s="725"/>
    </row>
    <row r="21" spans="1:20" ht="20.100000000000001" customHeight="1" thickBot="1">
      <c r="A21" s="695"/>
      <c r="B21" s="708"/>
      <c r="C21" s="278">
        <v>5</v>
      </c>
      <c r="D21" s="243"/>
      <c r="E21" s="290"/>
      <c r="F21" s="291"/>
      <c r="G21" s="349"/>
      <c r="H21" s="304"/>
      <c r="I21" s="305"/>
      <c r="J21" s="315"/>
      <c r="K21" s="263"/>
      <c r="L21" s="316"/>
      <c r="M21" s="321">
        <f t="shared" si="1"/>
        <v>0</v>
      </c>
      <c r="N21" s="287"/>
      <c r="O21" s="726"/>
      <c r="P21" s="727"/>
      <c r="R21" s="342"/>
    </row>
    <row r="22" spans="1:20" ht="15.75" customHeight="1" thickTop="1" thickBot="1">
      <c r="A22" s="696"/>
      <c r="B22" s="709"/>
      <c r="C22" s="704"/>
      <c r="D22" s="705"/>
      <c r="E22" s="705"/>
      <c r="F22" s="705"/>
      <c r="G22" s="705"/>
      <c r="H22" s="705"/>
      <c r="I22" s="706"/>
      <c r="J22" s="294" t="s">
        <v>58</v>
      </c>
      <c r="K22" s="337">
        <f>M22/'生產管理報表 7-1(月)'!$B$9</f>
        <v>1.9376975155032408E-2</v>
      </c>
      <c r="L22" s="295" t="s">
        <v>59</v>
      </c>
      <c r="M22" s="333">
        <f>SUM(M17:M21)</f>
        <v>6818.0384000000013</v>
      </c>
      <c r="N22" s="681"/>
      <c r="O22" s="682"/>
      <c r="P22" s="683"/>
      <c r="R22" s="338"/>
    </row>
    <row r="23" spans="1:20" ht="15.75" customHeight="1" thickTop="1">
      <c r="M23" s="328"/>
      <c r="R23" s="338"/>
    </row>
    <row r="24" spans="1:20" ht="15.75" customHeight="1">
      <c r="A24" s="684" t="s">
        <v>174</v>
      </c>
      <c r="B24" s="685"/>
      <c r="C24" s="302" t="s">
        <v>47</v>
      </c>
      <c r="D24" s="686" t="s">
        <v>12</v>
      </c>
      <c r="E24" s="687"/>
      <c r="F24" s="688"/>
      <c r="G24" s="689" t="s">
        <v>53</v>
      </c>
      <c r="H24" s="690"/>
      <c r="I24" s="691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312</v>
      </c>
      <c r="O24" s="692" t="s">
        <v>51</v>
      </c>
      <c r="P24" s="693"/>
      <c r="R24" s="338"/>
    </row>
    <row r="25" spans="1:20" s="297" customFormat="1" ht="81" customHeight="1">
      <c r="A25" s="694">
        <v>6</v>
      </c>
      <c r="B25" s="707" t="s">
        <v>199</v>
      </c>
      <c r="C25" s="278">
        <v>1</v>
      </c>
      <c r="D25" s="237" t="s">
        <v>485</v>
      </c>
      <c r="E25" s="238"/>
      <c r="F25" s="239"/>
      <c r="G25" s="305" t="s">
        <v>314</v>
      </c>
      <c r="H25" s="304"/>
      <c r="I25" s="305"/>
      <c r="J25" s="311">
        <v>15.450000000000001</v>
      </c>
      <c r="K25" s="312">
        <v>2.1188178305298175E-3</v>
      </c>
      <c r="L25" s="313">
        <v>437</v>
      </c>
      <c r="M25" s="321">
        <f t="shared" ref="M25:M29" si="2">L25*J25</f>
        <v>6751.6500000000005</v>
      </c>
      <c r="N25" s="313"/>
      <c r="O25" s="710"/>
      <c r="P25" s="711"/>
    </row>
    <row r="26" spans="1:20" ht="81" customHeight="1">
      <c r="A26" s="695"/>
      <c r="B26" s="708"/>
      <c r="C26" s="278">
        <v>2</v>
      </c>
      <c r="D26" s="237" t="s">
        <v>319</v>
      </c>
      <c r="E26" s="280"/>
      <c r="F26" s="281"/>
      <c r="G26" s="305" t="s">
        <v>495</v>
      </c>
      <c r="H26" s="304"/>
      <c r="I26" s="305"/>
      <c r="J26" s="311">
        <v>39.389999999999993</v>
      </c>
      <c r="K26" s="312">
        <v>1.2199681695418086E-3</v>
      </c>
      <c r="L26" s="313">
        <v>112.64999999999999</v>
      </c>
      <c r="M26" s="321">
        <f t="shared" si="2"/>
        <v>4437.2834999999986</v>
      </c>
      <c r="N26" s="287"/>
      <c r="O26" s="712"/>
      <c r="P26" s="713"/>
    </row>
    <row r="27" spans="1:20" ht="81" customHeight="1">
      <c r="A27" s="695"/>
      <c r="B27" s="708"/>
      <c r="C27" s="278">
        <v>3</v>
      </c>
      <c r="D27" s="237" t="s">
        <v>659</v>
      </c>
      <c r="E27" s="280"/>
      <c r="F27" s="281"/>
      <c r="G27" s="305" t="s">
        <v>660</v>
      </c>
      <c r="H27" s="304"/>
      <c r="I27" s="305"/>
      <c r="J27" s="311">
        <v>48.920000000000009</v>
      </c>
      <c r="K27" s="312">
        <v>5.0881984462485203E-3</v>
      </c>
      <c r="L27" s="313">
        <v>39.019999999999996</v>
      </c>
      <c r="M27" s="321">
        <f t="shared" si="2"/>
        <v>1908.8584000000001</v>
      </c>
      <c r="N27" s="287"/>
      <c r="O27" s="712"/>
      <c r="P27" s="713"/>
    </row>
    <row r="28" spans="1:20" ht="81" customHeight="1">
      <c r="A28" s="695"/>
      <c r="B28" s="708"/>
      <c r="C28" s="278">
        <v>4</v>
      </c>
      <c r="D28" s="237" t="s">
        <v>578</v>
      </c>
      <c r="E28" s="280"/>
      <c r="F28" s="281"/>
      <c r="G28" s="305" t="s">
        <v>589</v>
      </c>
      <c r="H28" s="304"/>
      <c r="I28" s="305"/>
      <c r="J28" s="311">
        <v>52.26</v>
      </c>
      <c r="K28" s="312">
        <v>3.3229729585529388E-3</v>
      </c>
      <c r="L28" s="313">
        <v>33.58</v>
      </c>
      <c r="M28" s="321">
        <f t="shared" si="2"/>
        <v>1754.8907999999999</v>
      </c>
      <c r="N28" s="287"/>
      <c r="O28" s="712"/>
      <c r="P28" s="713"/>
    </row>
    <row r="29" spans="1:20" ht="81" customHeight="1" thickBot="1">
      <c r="A29" s="695"/>
      <c r="B29" s="708"/>
      <c r="C29" s="278">
        <v>5</v>
      </c>
      <c r="D29" s="243" t="s">
        <v>549</v>
      </c>
      <c r="E29" s="290"/>
      <c r="F29" s="291"/>
      <c r="G29" s="305" t="s">
        <v>683</v>
      </c>
      <c r="H29" s="304"/>
      <c r="I29" s="305"/>
      <c r="J29" s="315">
        <v>40.420000000000009</v>
      </c>
      <c r="K29" s="378">
        <v>1.4756321288984605E-2</v>
      </c>
      <c r="L29" s="316">
        <v>18.5</v>
      </c>
      <c r="M29" s="321">
        <f t="shared" si="2"/>
        <v>747.77000000000021</v>
      </c>
      <c r="N29" s="287"/>
      <c r="O29" s="712"/>
      <c r="P29" s="713"/>
    </row>
    <row r="30" spans="1:20" ht="15.75" customHeight="1" thickTop="1" thickBot="1">
      <c r="A30" s="696"/>
      <c r="B30" s="709"/>
      <c r="C30" s="704"/>
      <c r="D30" s="705"/>
      <c r="E30" s="705"/>
      <c r="F30" s="705"/>
      <c r="G30" s="705"/>
      <c r="H30" s="705"/>
      <c r="I30" s="706"/>
      <c r="J30" s="294" t="s">
        <v>58</v>
      </c>
      <c r="K30" s="432">
        <f>M30/'生產管理報表 7-1(月)'!$B$9</f>
        <v>4.4336738316868116E-2</v>
      </c>
      <c r="L30" s="295" t="s">
        <v>59</v>
      </c>
      <c r="M30" s="333">
        <f>SUM(M25:M29)</f>
        <v>15600.4527</v>
      </c>
      <c r="N30" s="681"/>
      <c r="O30" s="682"/>
      <c r="P30" s="683"/>
    </row>
    <row r="31" spans="1:20" ht="15.75" customHeight="1" thickTop="1">
      <c r="M31" s="328"/>
    </row>
    <row r="32" spans="1:20" ht="15.75" customHeight="1">
      <c r="A32" s="684" t="s">
        <v>174</v>
      </c>
      <c r="B32" s="685"/>
      <c r="C32" s="302" t="s">
        <v>47</v>
      </c>
      <c r="D32" s="686" t="s">
        <v>12</v>
      </c>
      <c r="E32" s="687"/>
      <c r="F32" s="688"/>
      <c r="G32" s="689" t="s">
        <v>53</v>
      </c>
      <c r="H32" s="690"/>
      <c r="I32" s="691"/>
      <c r="J32" s="303" t="s">
        <v>54</v>
      </c>
      <c r="K32" s="275" t="s">
        <v>55</v>
      </c>
      <c r="L32" s="275" t="s">
        <v>56</v>
      </c>
      <c r="M32" s="329" t="s">
        <v>11</v>
      </c>
      <c r="N32" s="276" t="s">
        <v>312</v>
      </c>
      <c r="O32" s="692" t="s">
        <v>51</v>
      </c>
      <c r="P32" s="693"/>
    </row>
    <row r="33" spans="1:16" ht="20.100000000000001" customHeight="1">
      <c r="A33" s="694">
        <v>7</v>
      </c>
      <c r="B33" s="697" t="s">
        <v>231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700"/>
      <c r="P33" s="701"/>
    </row>
    <row r="34" spans="1:16" ht="20.100000000000001" customHeight="1">
      <c r="A34" s="695"/>
      <c r="B34" s="698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702"/>
      <c r="P34" s="703"/>
    </row>
    <row r="35" spans="1:16" ht="20.100000000000001" customHeight="1">
      <c r="A35" s="695"/>
      <c r="B35" s="698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702"/>
      <c r="P35" s="703"/>
    </row>
    <row r="36" spans="1:16" ht="20.100000000000001" customHeight="1">
      <c r="A36" s="695"/>
      <c r="B36" s="698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</row>
    <row r="37" spans="1:16" ht="20.100000000000001" customHeight="1" thickBot="1">
      <c r="A37" s="695"/>
      <c r="B37" s="698"/>
      <c r="C37" s="278">
        <v>5</v>
      </c>
      <c r="D37" s="289"/>
      <c r="E37" s="290"/>
      <c r="F37" s="291"/>
      <c r="G37" s="282"/>
      <c r="H37" s="283"/>
      <c r="I37" s="284"/>
      <c r="J37" s="292"/>
      <c r="K37" s="263"/>
      <c r="L37" s="293"/>
      <c r="M37" s="332">
        <v>0</v>
      </c>
      <c r="N37" s="287"/>
      <c r="O37" s="300"/>
      <c r="P37" s="301"/>
    </row>
    <row r="38" spans="1:16" ht="15.75" customHeight="1" thickTop="1" thickBot="1">
      <c r="A38" s="696"/>
      <c r="B38" s="699"/>
      <c r="C38" s="704"/>
      <c r="D38" s="705"/>
      <c r="E38" s="705"/>
      <c r="F38" s="705"/>
      <c r="G38" s="705"/>
      <c r="H38" s="705"/>
      <c r="I38" s="706"/>
      <c r="J38" s="294" t="s">
        <v>58</v>
      </c>
      <c r="K38" s="432">
        <f>M38/'生產管理報表 7-1(月)'!$B$9</f>
        <v>0</v>
      </c>
      <c r="L38" s="295" t="s">
        <v>59</v>
      </c>
      <c r="M38" s="333">
        <f>SUM(M33:M37)</f>
        <v>0</v>
      </c>
      <c r="N38" s="681"/>
      <c r="O38" s="682"/>
      <c r="P38" s="683"/>
    </row>
    <row r="39" spans="1:16" ht="15.75" customHeight="1" thickTop="1"/>
    <row r="44" spans="1:16" ht="15.75" customHeight="1">
      <c r="O44" s="288" ph="1"/>
      <c r="P44" s="288" ph="1"/>
    </row>
    <row r="46" spans="1:16" ht="15.75" customHeight="1">
      <c r="O46" s="288" ph="1"/>
      <c r="P46" s="288" ph="1"/>
    </row>
    <row r="47" spans="1:16" ht="15.75" customHeight="1">
      <c r="O47" s="288" ph="1"/>
      <c r="P47" s="288" ph="1"/>
    </row>
    <row r="117" spans="15:16" ht="15.75" customHeight="1">
      <c r="O117" s="288" ph="1"/>
      <c r="P117" s="288" ph="1"/>
    </row>
    <row r="119" spans="15:16" ht="15.75" customHeight="1">
      <c r="O119" s="288" ph="1"/>
      <c r="P119" s="288" ph="1"/>
    </row>
    <row r="120" spans="15:16" ht="15.75" customHeight="1">
      <c r="O120" s="288" ph="1"/>
      <c r="P120" s="288" ph="1"/>
    </row>
    <row r="153" spans="15:16" ht="15.75" customHeight="1">
      <c r="O153" s="288" ph="1"/>
      <c r="P153" s="288" ph="1"/>
    </row>
    <row r="155" spans="15:16" ht="15.75" customHeight="1">
      <c r="O155" s="288" ph="1"/>
      <c r="P155" s="288" ph="1"/>
    </row>
    <row r="156" spans="15:16" ht="15.75" customHeight="1">
      <c r="O156" s="288" ph="1"/>
      <c r="P156" s="288" ph="1"/>
    </row>
  </sheetData>
  <mergeCells count="67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</row>
    <row r="2" spans="1:75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</row>
    <row r="3" spans="1:75" ht="15.75" customHeight="1">
      <c r="A3" s="649" t="s">
        <v>409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</row>
    <row r="4" spans="1:75" s="136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75" ht="15.75" customHeight="1">
      <c r="A5" s="651" t="s">
        <v>174</v>
      </c>
      <c r="B5" s="678">
        <v>1</v>
      </c>
      <c r="C5" s="678"/>
      <c r="D5" s="678">
        <v>2</v>
      </c>
      <c r="E5" s="678"/>
      <c r="F5" s="678">
        <v>3</v>
      </c>
      <c r="G5" s="678"/>
      <c r="H5" s="654">
        <v>4</v>
      </c>
      <c r="I5" s="654"/>
      <c r="J5" s="654">
        <v>5</v>
      </c>
      <c r="K5" s="654"/>
      <c r="L5" s="654">
        <v>6</v>
      </c>
      <c r="M5" s="654"/>
      <c r="N5" s="654">
        <v>7</v>
      </c>
      <c r="O5" s="654"/>
      <c r="P5" s="654">
        <v>8</v>
      </c>
      <c r="Q5" s="654"/>
    </row>
    <row r="6" spans="1:75" ht="15.75" customHeight="1">
      <c r="A6" s="651"/>
      <c r="B6" s="679" t="s">
        <v>427</v>
      </c>
      <c r="C6" s="679"/>
      <c r="D6" s="679" t="s">
        <v>195</v>
      </c>
      <c r="E6" s="679"/>
      <c r="F6" s="679" t="s">
        <v>166</v>
      </c>
      <c r="G6" s="679"/>
      <c r="H6" s="651" t="s">
        <v>406</v>
      </c>
      <c r="I6" s="651"/>
      <c r="J6" s="651" t="s">
        <v>172</v>
      </c>
      <c r="K6" s="651"/>
      <c r="L6" s="651" t="s">
        <v>167</v>
      </c>
      <c r="M6" s="651"/>
      <c r="N6" s="651" t="s">
        <v>173</v>
      </c>
      <c r="O6" s="651"/>
      <c r="P6" s="770" t="s">
        <v>200</v>
      </c>
      <c r="Q6" s="651"/>
    </row>
    <row r="8" spans="1:75" s="235" customFormat="1" ht="15.75" customHeight="1">
      <c r="A8" s="654" t="s">
        <v>174</v>
      </c>
      <c r="B8" s="654"/>
      <c r="C8" s="234" t="s">
        <v>47</v>
      </c>
      <c r="D8" s="672" t="s">
        <v>12</v>
      </c>
      <c r="E8" s="672"/>
      <c r="F8" s="672"/>
      <c r="G8" s="666" t="s">
        <v>53</v>
      </c>
      <c r="H8" s="667"/>
      <c r="I8" s="668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58" t="s">
        <v>51</v>
      </c>
      <c r="P8" s="658"/>
    </row>
    <row r="9" spans="1:75" ht="24.95" customHeight="1">
      <c r="A9" s="654">
        <v>1</v>
      </c>
      <c r="B9" s="669" t="s">
        <v>428</v>
      </c>
      <c r="C9" s="236">
        <v>1</v>
      </c>
      <c r="D9" s="237"/>
      <c r="E9" s="238"/>
      <c r="F9" s="239"/>
      <c r="G9" s="267"/>
      <c r="H9" s="238"/>
      <c r="I9" s="267"/>
      <c r="J9" s="236"/>
      <c r="K9" s="241"/>
      <c r="L9" s="236"/>
      <c r="M9" s="321">
        <f>L9*J9</f>
        <v>0</v>
      </c>
      <c r="N9" s="242"/>
      <c r="O9" s="731"/>
      <c r="P9" s="732"/>
    </row>
    <row r="10" spans="1:75" ht="24.95" customHeight="1">
      <c r="A10" s="654"/>
      <c r="B10" s="669"/>
      <c r="C10" s="236">
        <v>2</v>
      </c>
      <c r="D10" s="237"/>
      <c r="E10" s="238"/>
      <c r="F10" s="239"/>
      <c r="G10" s="237"/>
      <c r="H10" s="238"/>
      <c r="I10" s="267"/>
      <c r="J10" s="236"/>
      <c r="K10" s="241"/>
      <c r="L10" s="236"/>
      <c r="M10" s="321">
        <f t="shared" ref="M10:M13" si="0">L10*J10</f>
        <v>0</v>
      </c>
      <c r="N10" s="242"/>
      <c r="O10" s="765"/>
      <c r="P10" s="766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54"/>
      <c r="B11" s="669"/>
      <c r="C11" s="236">
        <v>3</v>
      </c>
      <c r="D11" s="237"/>
      <c r="E11" s="238"/>
      <c r="F11" s="239"/>
      <c r="G11" s="267"/>
      <c r="H11" s="238"/>
      <c r="I11" s="267"/>
      <c r="J11" s="236"/>
      <c r="K11" s="241"/>
      <c r="L11" s="236"/>
      <c r="M11" s="321">
        <f t="shared" si="0"/>
        <v>0</v>
      </c>
      <c r="N11" s="242"/>
      <c r="O11" s="765"/>
      <c r="P11" s="766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54"/>
      <c r="B12" s="669"/>
      <c r="C12" s="236">
        <v>4</v>
      </c>
      <c r="D12" s="237"/>
      <c r="E12" s="238"/>
      <c r="F12" s="239"/>
      <c r="G12" s="243"/>
      <c r="H12" s="244"/>
      <c r="I12" s="270"/>
      <c r="J12" s="236"/>
      <c r="K12" s="241"/>
      <c r="L12" s="236"/>
      <c r="M12" s="321">
        <f t="shared" si="0"/>
        <v>0</v>
      </c>
      <c r="N12" s="242"/>
      <c r="O12" s="765"/>
      <c r="P12" s="766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54"/>
      <c r="B13" s="669"/>
      <c r="C13" s="236">
        <v>5</v>
      </c>
      <c r="D13" s="243"/>
      <c r="E13" s="244"/>
      <c r="F13" s="245"/>
      <c r="G13" s="359"/>
      <c r="H13" s="358"/>
      <c r="I13" s="359"/>
      <c r="J13" s="246"/>
      <c r="K13" s="247"/>
      <c r="L13" s="246"/>
      <c r="M13" s="322">
        <f t="shared" si="0"/>
        <v>0</v>
      </c>
      <c r="N13" s="242"/>
      <c r="O13" s="765"/>
      <c r="P13" s="766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54"/>
      <c r="B14" s="669"/>
      <c r="C14" s="660"/>
      <c r="D14" s="661"/>
      <c r="E14" s="661"/>
      <c r="F14" s="661"/>
      <c r="G14" s="661"/>
      <c r="H14" s="661"/>
      <c r="I14" s="662"/>
      <c r="J14" s="248" t="s">
        <v>58</v>
      </c>
      <c r="K14" s="337">
        <f>M14/'生產管理報表 7-1(月)'!$B$10</f>
        <v>0</v>
      </c>
      <c r="L14" s="248" t="s">
        <v>59</v>
      </c>
      <c r="M14" s="323">
        <f>SUM(M9:M13)</f>
        <v>0</v>
      </c>
      <c r="N14" s="767"/>
      <c r="O14" s="768"/>
      <c r="P14" s="76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54" t="s">
        <v>174</v>
      </c>
      <c r="B16" s="654"/>
      <c r="C16" s="251" t="s">
        <v>47</v>
      </c>
      <c r="D16" s="663" t="s">
        <v>12</v>
      </c>
      <c r="E16" s="664"/>
      <c r="F16" s="665"/>
      <c r="G16" s="666" t="s">
        <v>53</v>
      </c>
      <c r="H16" s="667"/>
      <c r="I16" s="668"/>
      <c r="J16" s="253" t="s">
        <v>54</v>
      </c>
      <c r="K16" s="253" t="s">
        <v>55</v>
      </c>
      <c r="L16" s="253" t="s">
        <v>56</v>
      </c>
      <c r="M16" s="253" t="s">
        <v>11</v>
      </c>
      <c r="N16" s="254" t="s">
        <v>312</v>
      </c>
      <c r="O16" s="758" t="s">
        <v>51</v>
      </c>
      <c r="P16" s="75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54">
        <v>2</v>
      </c>
      <c r="B17" s="669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760"/>
      <c r="P17" s="76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54"/>
      <c r="B18" s="669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760"/>
      <c r="P18" s="76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54"/>
      <c r="B19" s="669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59"/>
      <c r="O19" s="760"/>
      <c r="P19" s="76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54"/>
      <c r="B20" s="669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760"/>
      <c r="P20" s="76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54"/>
      <c r="B21" s="669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65"/>
      <c r="O21" s="760"/>
      <c r="P21" s="76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54"/>
      <c r="B22" s="669"/>
      <c r="C22" s="660"/>
      <c r="D22" s="661"/>
      <c r="E22" s="661"/>
      <c r="F22" s="661"/>
      <c r="G22" s="661"/>
      <c r="H22" s="661"/>
      <c r="I22" s="662"/>
      <c r="J22" s="248" t="s">
        <v>58</v>
      </c>
      <c r="K22" s="337">
        <f>M22/'生產管理報表 7-1(月)'!$B$10</f>
        <v>0</v>
      </c>
      <c r="L22" s="248" t="s">
        <v>59</v>
      </c>
      <c r="M22" s="249">
        <f>SUM(M17:M21)</f>
        <v>0</v>
      </c>
      <c r="N22" s="762"/>
      <c r="O22" s="763"/>
      <c r="P22" s="764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54" t="s">
        <v>174</v>
      </c>
      <c r="B24" s="654"/>
      <c r="C24" s="251" t="s">
        <v>47</v>
      </c>
      <c r="D24" s="663" t="s">
        <v>12</v>
      </c>
      <c r="E24" s="664"/>
      <c r="F24" s="665"/>
      <c r="G24" s="666" t="s">
        <v>53</v>
      </c>
      <c r="H24" s="667"/>
      <c r="I24" s="668"/>
      <c r="J24" s="252" t="s">
        <v>54</v>
      </c>
      <c r="K24" s="253" t="s">
        <v>55</v>
      </c>
      <c r="L24" s="253" t="s">
        <v>56</v>
      </c>
      <c r="M24" s="253" t="s">
        <v>11</v>
      </c>
      <c r="N24" s="254" t="s">
        <v>312</v>
      </c>
      <c r="O24" s="756" t="s">
        <v>51</v>
      </c>
      <c r="P24" s="757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54">
        <v>3</v>
      </c>
      <c r="B25" s="669" t="s">
        <v>400</v>
      </c>
      <c r="C25" s="255">
        <v>1</v>
      </c>
      <c r="D25" s="237"/>
      <c r="E25" s="238"/>
      <c r="F25" s="239"/>
      <c r="G25" s="357"/>
      <c r="H25" s="358"/>
      <c r="I25" s="359"/>
      <c r="J25" s="268"/>
      <c r="K25" s="257"/>
      <c r="L25" s="256"/>
      <c r="M25" s="324">
        <f t="shared" ref="M25:M29" si="2">L25*J25</f>
        <v>0</v>
      </c>
      <c r="N25" s="269"/>
      <c r="O25" s="751"/>
      <c r="P25" s="752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54"/>
      <c r="B26" s="669"/>
      <c r="C26" s="255">
        <v>2</v>
      </c>
      <c r="D26" s="237"/>
      <c r="E26" s="238"/>
      <c r="F26" s="239"/>
      <c r="G26" s="357"/>
      <c r="H26" s="358"/>
      <c r="I26" s="359"/>
      <c r="J26" s="268"/>
      <c r="K26" s="257"/>
      <c r="L26" s="256"/>
      <c r="M26" s="324">
        <f t="shared" si="2"/>
        <v>0</v>
      </c>
      <c r="N26" s="269"/>
      <c r="O26" s="751"/>
      <c r="P26" s="752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54"/>
      <c r="B27" s="669"/>
      <c r="C27" s="255">
        <v>3</v>
      </c>
      <c r="D27" s="237"/>
      <c r="E27" s="238"/>
      <c r="F27" s="239"/>
      <c r="G27" s="357"/>
      <c r="H27" s="358"/>
      <c r="I27" s="359"/>
      <c r="J27" s="268"/>
      <c r="K27" s="257"/>
      <c r="L27" s="256"/>
      <c r="M27" s="324">
        <f t="shared" si="2"/>
        <v>0</v>
      </c>
      <c r="N27" s="269"/>
      <c r="O27" s="751"/>
      <c r="P27" s="752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54"/>
      <c r="B28" s="669"/>
      <c r="C28" s="255">
        <v>4</v>
      </c>
      <c r="D28" s="237"/>
      <c r="E28" s="238"/>
      <c r="F28" s="239"/>
      <c r="G28" s="237"/>
      <c r="H28" s="238"/>
      <c r="I28" s="267"/>
      <c r="J28" s="268"/>
      <c r="K28" s="257"/>
      <c r="L28" s="256"/>
      <c r="M28" s="324">
        <f t="shared" si="2"/>
        <v>0</v>
      </c>
      <c r="N28" s="269"/>
      <c r="O28" s="751"/>
      <c r="P28" s="752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54"/>
      <c r="B29" s="669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751"/>
      <c r="P29" s="752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54"/>
      <c r="B30" s="669"/>
      <c r="C30" s="660"/>
      <c r="D30" s="661"/>
      <c r="E30" s="661"/>
      <c r="F30" s="661"/>
      <c r="G30" s="661"/>
      <c r="H30" s="661"/>
      <c r="I30" s="662"/>
      <c r="J30" s="273" t="s">
        <v>58</v>
      </c>
      <c r="K30" s="337">
        <f>M30/'生產管理報表 7-1(月)'!$B$10</f>
        <v>0</v>
      </c>
      <c r="L30" s="273" t="s">
        <v>59</v>
      </c>
      <c r="M30" s="325">
        <f>SUM(M25:M29)</f>
        <v>0</v>
      </c>
      <c r="N30" s="753"/>
      <c r="O30" s="754"/>
      <c r="P30" s="755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P15" sqref="P15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52" style="288" customWidth="1"/>
    <col min="17" max="16384" width="12.5703125" style="288"/>
  </cols>
  <sheetData>
    <row r="1" spans="1:20" s="135" customFormat="1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</row>
    <row r="2" spans="1:20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</row>
    <row r="3" spans="1:20" s="135" customFormat="1" ht="15.75" customHeight="1">
      <c r="A3" s="649" t="s">
        <v>409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</row>
    <row r="4" spans="1:20" s="136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20" s="135" customFormat="1" ht="15.75" customHeight="1">
      <c r="A5" s="747" t="s">
        <v>174</v>
      </c>
      <c r="B5" s="749">
        <v>1</v>
      </c>
      <c r="C5" s="750"/>
      <c r="D5" s="749">
        <v>2</v>
      </c>
      <c r="E5" s="750"/>
      <c r="F5" s="749">
        <v>3</v>
      </c>
      <c r="G5" s="750"/>
      <c r="H5" s="740">
        <v>4</v>
      </c>
      <c r="I5" s="741"/>
      <c r="J5" s="740">
        <v>5</v>
      </c>
      <c r="K5" s="741"/>
      <c r="L5" s="740">
        <v>6</v>
      </c>
      <c r="M5" s="741"/>
      <c r="N5" s="740">
        <v>7</v>
      </c>
      <c r="O5" s="741"/>
      <c r="P5" s="326">
        <v>8</v>
      </c>
    </row>
    <row r="6" spans="1:20" s="135" customFormat="1" ht="15.75" customHeight="1">
      <c r="A6" s="748"/>
      <c r="B6" s="744" t="s">
        <v>427</v>
      </c>
      <c r="C6" s="745"/>
      <c r="D6" s="744" t="s">
        <v>195</v>
      </c>
      <c r="E6" s="745"/>
      <c r="F6" s="744" t="s">
        <v>166</v>
      </c>
      <c r="G6" s="745"/>
      <c r="H6" s="742" t="s">
        <v>406</v>
      </c>
      <c r="I6" s="743"/>
      <c r="J6" s="742" t="s">
        <v>172</v>
      </c>
      <c r="K6" s="743"/>
      <c r="L6" s="742" t="s">
        <v>167</v>
      </c>
      <c r="M6" s="743"/>
      <c r="N6" s="742" t="s">
        <v>173</v>
      </c>
      <c r="O6" s="743"/>
      <c r="P6" s="327" t="s">
        <v>200</v>
      </c>
    </row>
    <row r="7" spans="1:20" s="135" customFormat="1" ht="15.75" customHeight="1">
      <c r="B7" s="232"/>
      <c r="C7" s="233"/>
    </row>
    <row r="8" spans="1:20" s="277" customFormat="1" ht="15.75" customHeight="1">
      <c r="A8" s="684" t="s">
        <v>174</v>
      </c>
      <c r="B8" s="685"/>
      <c r="C8" s="274" t="s">
        <v>47</v>
      </c>
      <c r="D8" s="777" t="s">
        <v>12</v>
      </c>
      <c r="E8" s="778"/>
      <c r="F8" s="779"/>
      <c r="G8" s="780" t="s">
        <v>53</v>
      </c>
      <c r="H8" s="781"/>
      <c r="I8" s="782"/>
      <c r="J8" s="275" t="s">
        <v>54</v>
      </c>
      <c r="K8" s="275" t="s">
        <v>55</v>
      </c>
      <c r="L8" s="275" t="s">
        <v>56</v>
      </c>
      <c r="M8" s="276" t="s">
        <v>11</v>
      </c>
      <c r="N8" s="276" t="s">
        <v>312</v>
      </c>
      <c r="O8" s="692" t="s">
        <v>51</v>
      </c>
      <c r="P8" s="693"/>
      <c r="R8" s="338"/>
      <c r="S8" s="339"/>
    </row>
    <row r="9" spans="1:20" s="297" customFormat="1" ht="60" customHeight="1">
      <c r="A9" s="694">
        <v>4</v>
      </c>
      <c r="B9" s="728" t="s">
        <v>406</v>
      </c>
      <c r="C9" s="278">
        <v>1</v>
      </c>
      <c r="D9" s="372" t="s">
        <v>560</v>
      </c>
      <c r="E9" s="358"/>
      <c r="F9" s="358"/>
      <c r="G9" s="356" t="s">
        <v>559</v>
      </c>
      <c r="H9" s="304"/>
      <c r="I9" s="305"/>
      <c r="J9" s="311">
        <v>625.93999999999994</v>
      </c>
      <c r="K9" s="312">
        <v>1.7209144800719293E-3</v>
      </c>
      <c r="L9" s="313">
        <v>44.490000000000009</v>
      </c>
      <c r="M9" s="321">
        <f t="shared" ref="M9:M13" si="0">L9*J9</f>
        <v>27848.070600000003</v>
      </c>
      <c r="N9" s="313"/>
      <c r="O9" s="724"/>
      <c r="P9" s="725"/>
      <c r="R9" s="340"/>
      <c r="S9" s="340"/>
    </row>
    <row r="10" spans="1:20" s="297" customFormat="1" ht="60" customHeight="1">
      <c r="A10" s="695"/>
      <c r="B10" s="729"/>
      <c r="C10" s="278">
        <v>2</v>
      </c>
      <c r="D10" s="354" t="s">
        <v>319</v>
      </c>
      <c r="E10" s="238"/>
      <c r="F10" s="238"/>
      <c r="G10" s="356" t="s">
        <v>364</v>
      </c>
      <c r="H10" s="304"/>
      <c r="I10" s="305"/>
      <c r="J10" s="311">
        <v>127.84000000000002</v>
      </c>
      <c r="K10" s="312">
        <v>2.7251098129008086E-3</v>
      </c>
      <c r="L10" s="313">
        <v>186.05999999999995</v>
      </c>
      <c r="M10" s="321">
        <f t="shared" si="0"/>
        <v>23785.910399999997</v>
      </c>
      <c r="N10" s="313"/>
      <c r="O10" s="724"/>
      <c r="P10" s="725"/>
      <c r="R10" s="340"/>
      <c r="S10" s="340"/>
    </row>
    <row r="11" spans="1:20" s="297" customFormat="1" ht="60" customHeight="1">
      <c r="A11" s="695"/>
      <c r="B11" s="729"/>
      <c r="C11" s="278">
        <v>3</v>
      </c>
      <c r="D11" s="354" t="s">
        <v>336</v>
      </c>
      <c r="E11" s="238"/>
      <c r="F11" s="238"/>
      <c r="G11" s="356" t="s">
        <v>563</v>
      </c>
      <c r="H11" s="304"/>
      <c r="I11" s="305"/>
      <c r="J11" s="311">
        <v>426.69</v>
      </c>
      <c r="K11" s="312">
        <v>1.9609254409188835E-3</v>
      </c>
      <c r="L11" s="313">
        <v>41.279999999999859</v>
      </c>
      <c r="M11" s="321">
        <f t="shared" si="0"/>
        <v>17613.763199999939</v>
      </c>
      <c r="N11" s="313"/>
      <c r="O11" s="724"/>
      <c r="P11" s="725"/>
      <c r="R11" s="340"/>
      <c r="S11" s="338"/>
    </row>
    <row r="12" spans="1:20" s="297" customFormat="1" ht="60" customHeight="1">
      <c r="A12" s="695"/>
      <c r="B12" s="729"/>
      <c r="C12" s="278">
        <v>4</v>
      </c>
      <c r="D12" s="375" t="s">
        <v>319</v>
      </c>
      <c r="E12" s="238"/>
      <c r="F12" s="238"/>
      <c r="G12" s="356" t="s">
        <v>495</v>
      </c>
      <c r="H12" s="304"/>
      <c r="I12" s="305"/>
      <c r="J12" s="311">
        <v>39.389999999999993</v>
      </c>
      <c r="K12" s="312">
        <v>1.2199681695418086E-3</v>
      </c>
      <c r="L12" s="313">
        <v>434.27000000000044</v>
      </c>
      <c r="M12" s="321">
        <f t="shared" si="0"/>
        <v>17105.895300000015</v>
      </c>
      <c r="N12" s="313"/>
      <c r="O12" s="724"/>
      <c r="P12" s="725"/>
      <c r="R12" s="340"/>
      <c r="S12" s="338"/>
    </row>
    <row r="13" spans="1:20" s="297" customFormat="1" ht="60" customHeight="1" thickBot="1">
      <c r="A13" s="695"/>
      <c r="B13" s="729"/>
      <c r="C13" s="278">
        <v>5</v>
      </c>
      <c r="D13" s="375" t="s">
        <v>720</v>
      </c>
      <c r="E13" s="244"/>
      <c r="F13" s="244"/>
      <c r="G13" s="356" t="s">
        <v>723</v>
      </c>
      <c r="H13" s="304"/>
      <c r="I13" s="305"/>
      <c r="J13" s="315">
        <v>440.17999999999995</v>
      </c>
      <c r="K13" s="263">
        <v>2.2159242976075057E-3</v>
      </c>
      <c r="L13" s="316">
        <v>37.610000000000014</v>
      </c>
      <c r="M13" s="321">
        <f t="shared" si="0"/>
        <v>16555.169800000003</v>
      </c>
      <c r="N13" s="313"/>
      <c r="O13" s="724"/>
      <c r="P13" s="725"/>
      <c r="R13" s="341"/>
      <c r="S13" s="338"/>
      <c r="T13" s="288"/>
    </row>
    <row r="14" spans="1:20" ht="15.75" customHeight="1" thickTop="1" thickBot="1">
      <c r="A14" s="696"/>
      <c r="B14" s="730"/>
      <c r="C14" s="737"/>
      <c r="D14" s="738"/>
      <c r="E14" s="738"/>
      <c r="F14" s="738"/>
      <c r="G14" s="738"/>
      <c r="H14" s="738"/>
      <c r="I14" s="739"/>
      <c r="J14" s="294" t="s">
        <v>58</v>
      </c>
      <c r="K14" s="432">
        <f>M14/'生產管理報表 7-1(月)'!$B$10</f>
        <v>9.7604142957464224E-2</v>
      </c>
      <c r="L14" s="295" t="s">
        <v>59</v>
      </c>
      <c r="M14" s="333">
        <f>SUM(M9:M13)</f>
        <v>102908.80929999996</v>
      </c>
      <c r="N14" s="681"/>
      <c r="O14" s="682"/>
      <c r="P14" s="683"/>
      <c r="R14" s="338"/>
      <c r="S14" s="338"/>
    </row>
    <row r="15" spans="1:20" ht="15.75" customHeight="1" thickTop="1">
      <c r="M15" s="328"/>
      <c r="S15" s="338"/>
    </row>
    <row r="16" spans="1:20" ht="15.75" customHeight="1">
      <c r="A16" s="684" t="s">
        <v>174</v>
      </c>
      <c r="B16" s="685"/>
      <c r="C16" s="274" t="s">
        <v>47</v>
      </c>
      <c r="D16" s="714" t="s">
        <v>12</v>
      </c>
      <c r="E16" s="715"/>
      <c r="F16" s="716"/>
      <c r="G16" s="717" t="s">
        <v>53</v>
      </c>
      <c r="H16" s="718"/>
      <c r="I16" s="719"/>
      <c r="J16" s="275" t="s">
        <v>54</v>
      </c>
      <c r="K16" s="275" t="s">
        <v>55</v>
      </c>
      <c r="L16" s="275" t="s">
        <v>56</v>
      </c>
      <c r="M16" s="329" t="s">
        <v>11</v>
      </c>
      <c r="N16" s="276" t="s">
        <v>312</v>
      </c>
      <c r="O16" s="692" t="s">
        <v>51</v>
      </c>
      <c r="P16" s="693"/>
      <c r="S16" s="339"/>
      <c r="T16" s="297"/>
    </row>
    <row r="17" spans="1:20" s="297" customFormat="1" ht="50.1" customHeight="1">
      <c r="A17" s="694">
        <v>5</v>
      </c>
      <c r="B17" s="707" t="s">
        <v>198</v>
      </c>
      <c r="C17" s="278">
        <v>1</v>
      </c>
      <c r="D17" s="237" t="s">
        <v>319</v>
      </c>
      <c r="E17" s="238"/>
      <c r="F17" s="239"/>
      <c r="G17" s="305" t="s">
        <v>315</v>
      </c>
      <c r="H17" s="304"/>
      <c r="I17" s="305"/>
      <c r="J17" s="311">
        <v>147.43000000000004</v>
      </c>
      <c r="K17" s="312">
        <v>2.3914413528661441E-3</v>
      </c>
      <c r="L17" s="313">
        <v>235.88999999999942</v>
      </c>
      <c r="M17" s="321">
        <f t="shared" ref="M17:M19" si="1">L17*J17</f>
        <v>34777.262699999919</v>
      </c>
      <c r="N17" s="313"/>
      <c r="O17" s="775"/>
      <c r="P17" s="776"/>
      <c r="S17" s="338"/>
    </row>
    <row r="18" spans="1:20" s="297" customFormat="1" ht="20.100000000000001" customHeight="1">
      <c r="A18" s="695"/>
      <c r="B18" s="708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si="1"/>
        <v>0</v>
      </c>
      <c r="N18" s="313"/>
      <c r="O18" s="712"/>
      <c r="P18" s="713"/>
      <c r="S18" s="288"/>
      <c r="T18" s="288"/>
    </row>
    <row r="19" spans="1:20" ht="20.100000000000001" customHeight="1">
      <c r="A19" s="695"/>
      <c r="B19" s="708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75"/>
      <c r="P19" s="776"/>
    </row>
    <row r="20" spans="1:20" ht="20.100000000000001" customHeight="1">
      <c r="A20" s="695"/>
      <c r="B20" s="708"/>
      <c r="C20" s="278">
        <v>4</v>
      </c>
      <c r="D20" s="279"/>
      <c r="E20" s="280"/>
      <c r="F20" s="281"/>
      <c r="G20" s="282"/>
      <c r="H20" s="283"/>
      <c r="I20" s="284"/>
      <c r="J20" s="285"/>
      <c r="K20" s="286"/>
      <c r="L20" s="287"/>
      <c r="M20" s="331">
        <v>0</v>
      </c>
      <c r="N20" s="287"/>
      <c r="O20" s="298"/>
      <c r="P20" s="299"/>
    </row>
    <row r="21" spans="1:20" ht="20.100000000000001" customHeight="1" thickBot="1">
      <c r="A21" s="695"/>
      <c r="B21" s="708"/>
      <c r="C21" s="278">
        <v>5</v>
      </c>
      <c r="D21" s="289"/>
      <c r="E21" s="290"/>
      <c r="F21" s="291"/>
      <c r="G21" s="282"/>
      <c r="H21" s="283"/>
      <c r="I21" s="284"/>
      <c r="J21" s="292"/>
      <c r="K21" s="263"/>
      <c r="L21" s="293"/>
      <c r="M21" s="332">
        <v>0</v>
      </c>
      <c r="N21" s="287"/>
      <c r="O21" s="300"/>
      <c r="P21" s="301"/>
      <c r="R21" s="342"/>
    </row>
    <row r="22" spans="1:20" ht="15.75" customHeight="1" thickTop="1" thickBot="1">
      <c r="A22" s="696"/>
      <c r="B22" s="709"/>
      <c r="C22" s="704"/>
      <c r="D22" s="705"/>
      <c r="E22" s="705"/>
      <c r="F22" s="705"/>
      <c r="G22" s="705"/>
      <c r="H22" s="705"/>
      <c r="I22" s="706"/>
      <c r="J22" s="294" t="s">
        <v>58</v>
      </c>
      <c r="K22" s="432">
        <f>M22/'生產管理報表 7-1(月)'!$B$10</f>
        <v>3.2984590370147074E-2</v>
      </c>
      <c r="L22" s="295" t="s">
        <v>59</v>
      </c>
      <c r="M22" s="333">
        <f>SUM(M17:M21)</f>
        <v>34777.262699999919</v>
      </c>
      <c r="N22" s="681"/>
      <c r="O22" s="682"/>
      <c r="P22" s="683"/>
      <c r="R22" s="338"/>
    </row>
    <row r="23" spans="1:20" ht="15.75" customHeight="1" thickTop="1">
      <c r="M23" s="328"/>
      <c r="R23" s="338"/>
    </row>
    <row r="24" spans="1:20" ht="15.75" customHeight="1">
      <c r="A24" s="684" t="s">
        <v>174</v>
      </c>
      <c r="B24" s="685"/>
      <c r="C24" s="302" t="s">
        <v>47</v>
      </c>
      <c r="D24" s="686" t="s">
        <v>12</v>
      </c>
      <c r="E24" s="687"/>
      <c r="F24" s="688"/>
      <c r="G24" s="689" t="s">
        <v>53</v>
      </c>
      <c r="H24" s="690"/>
      <c r="I24" s="691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312</v>
      </c>
      <c r="O24" s="692" t="s">
        <v>51</v>
      </c>
      <c r="P24" s="693"/>
      <c r="R24" s="338"/>
    </row>
    <row r="25" spans="1:20" ht="60" customHeight="1">
      <c r="A25" s="694">
        <v>6</v>
      </c>
      <c r="B25" s="707" t="s">
        <v>199</v>
      </c>
      <c r="C25" s="278">
        <v>1</v>
      </c>
      <c r="D25" s="237" t="s">
        <v>436</v>
      </c>
      <c r="E25" s="280"/>
      <c r="F25" s="280"/>
      <c r="G25" s="356" t="s">
        <v>434</v>
      </c>
      <c r="H25" s="304"/>
      <c r="I25" s="305"/>
      <c r="J25" s="311">
        <v>407.74000000000007</v>
      </c>
      <c r="K25" s="312">
        <v>2.4648011180869512E-3</v>
      </c>
      <c r="L25" s="313">
        <v>40.430000000000064</v>
      </c>
      <c r="M25" s="321">
        <f t="shared" ref="M25:M28" si="2">L25*J25</f>
        <v>16484.928200000028</v>
      </c>
      <c r="N25" s="287"/>
      <c r="O25" s="771"/>
      <c r="P25" s="772"/>
    </row>
    <row r="26" spans="1:20" ht="20.100000000000001" customHeight="1">
      <c r="A26" s="695"/>
      <c r="B26" s="708"/>
      <c r="C26" s="278">
        <v>2</v>
      </c>
      <c r="D26" s="237"/>
      <c r="E26" s="280"/>
      <c r="F26" s="280"/>
      <c r="G26" s="512"/>
      <c r="H26" s="304"/>
      <c r="I26" s="305"/>
      <c r="J26" s="311"/>
      <c r="K26" s="312"/>
      <c r="L26" s="313"/>
      <c r="M26" s="321">
        <f t="shared" si="2"/>
        <v>0</v>
      </c>
      <c r="N26" s="287"/>
      <c r="O26" s="773"/>
      <c r="P26" s="774"/>
    </row>
    <row r="27" spans="1:20" ht="20.100000000000001" customHeight="1">
      <c r="A27" s="695"/>
      <c r="B27" s="708"/>
      <c r="C27" s="278">
        <v>3</v>
      </c>
      <c r="D27" s="237"/>
      <c r="E27" s="280"/>
      <c r="F27" s="280"/>
      <c r="G27" s="512"/>
      <c r="H27" s="304"/>
      <c r="I27" s="305"/>
      <c r="J27" s="311"/>
      <c r="K27" s="312"/>
      <c r="L27" s="313"/>
      <c r="M27" s="321">
        <f t="shared" si="2"/>
        <v>0</v>
      </c>
      <c r="N27" s="287"/>
      <c r="O27" s="771"/>
      <c r="P27" s="772"/>
    </row>
    <row r="28" spans="1:20" ht="20.100000000000001" customHeight="1">
      <c r="A28" s="695"/>
      <c r="B28" s="708"/>
      <c r="C28" s="278">
        <v>4</v>
      </c>
      <c r="D28" s="237"/>
      <c r="E28" s="280"/>
      <c r="F28" s="280"/>
      <c r="G28" s="512"/>
      <c r="H28" s="304"/>
      <c r="I28" s="305"/>
      <c r="J28" s="311"/>
      <c r="K28" s="312"/>
      <c r="L28" s="313"/>
      <c r="M28" s="321">
        <f t="shared" si="2"/>
        <v>0</v>
      </c>
      <c r="N28" s="287"/>
      <c r="O28" s="771"/>
      <c r="P28" s="772"/>
    </row>
    <row r="29" spans="1:20" ht="20.100000000000001" customHeight="1" thickBot="1">
      <c r="A29" s="695"/>
      <c r="B29" s="708"/>
      <c r="C29" s="278">
        <v>5</v>
      </c>
      <c r="D29" s="243"/>
      <c r="E29" s="290"/>
      <c r="F29" s="290"/>
      <c r="G29" s="512"/>
      <c r="H29" s="304"/>
      <c r="I29" s="305"/>
      <c r="J29" s="315"/>
      <c r="K29" s="263"/>
      <c r="L29" s="316"/>
      <c r="M29" s="321">
        <f>L29*J29</f>
        <v>0</v>
      </c>
      <c r="N29" s="287"/>
      <c r="O29" s="773"/>
      <c r="P29" s="774"/>
    </row>
    <row r="30" spans="1:20" ht="15.75" customHeight="1" thickTop="1" thickBot="1">
      <c r="A30" s="696"/>
      <c r="B30" s="709"/>
      <c r="C30" s="704"/>
      <c r="D30" s="705"/>
      <c r="E30" s="705"/>
      <c r="F30" s="705"/>
      <c r="G30" s="705"/>
      <c r="H30" s="705"/>
      <c r="I30" s="706"/>
      <c r="J30" s="294" t="s">
        <v>58</v>
      </c>
      <c r="K30" s="432">
        <f>M30/'生產管理報表 7-1(月)'!$B$10</f>
        <v>1.5635175449224992E-2</v>
      </c>
      <c r="L30" s="295" t="s">
        <v>59</v>
      </c>
      <c r="M30" s="333">
        <f>SUM(M25:M29)</f>
        <v>16484.928200000028</v>
      </c>
      <c r="N30" s="681"/>
      <c r="O30" s="682"/>
      <c r="P30" s="683"/>
    </row>
    <row r="31" spans="1:20" ht="15.75" customHeight="1" thickTop="1">
      <c r="M31" s="328"/>
    </row>
    <row r="32" spans="1:20" ht="15.75" customHeight="1">
      <c r="A32" s="684" t="s">
        <v>174</v>
      </c>
      <c r="B32" s="685"/>
      <c r="C32" s="302" t="s">
        <v>47</v>
      </c>
      <c r="D32" s="686" t="s">
        <v>12</v>
      </c>
      <c r="E32" s="687"/>
      <c r="F32" s="688"/>
      <c r="G32" s="689" t="s">
        <v>53</v>
      </c>
      <c r="H32" s="690"/>
      <c r="I32" s="691"/>
      <c r="J32" s="303" t="s">
        <v>54</v>
      </c>
      <c r="K32" s="275" t="s">
        <v>55</v>
      </c>
      <c r="L32" s="275" t="s">
        <v>56</v>
      </c>
      <c r="M32" s="329" t="s">
        <v>11</v>
      </c>
      <c r="N32" s="276" t="s">
        <v>312</v>
      </c>
      <c r="O32" s="692" t="s">
        <v>51</v>
      </c>
      <c r="P32" s="693"/>
    </row>
    <row r="33" spans="1:16" ht="15.75" customHeight="1">
      <c r="A33" s="694">
        <v>7</v>
      </c>
      <c r="B33" s="697" t="s">
        <v>231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700"/>
      <c r="P33" s="701"/>
    </row>
    <row r="34" spans="1:16" ht="15.75" customHeight="1">
      <c r="A34" s="695"/>
      <c r="B34" s="698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702"/>
      <c r="P34" s="703"/>
    </row>
    <row r="35" spans="1:16" ht="15.75" customHeight="1">
      <c r="A35" s="695"/>
      <c r="B35" s="698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702"/>
      <c r="P35" s="703"/>
    </row>
    <row r="36" spans="1:16" ht="15.75" customHeight="1">
      <c r="A36" s="695"/>
      <c r="B36" s="698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</row>
    <row r="37" spans="1:16" ht="15.75" customHeight="1" thickBot="1">
      <c r="A37" s="695"/>
      <c r="B37" s="698"/>
      <c r="C37" s="278">
        <v>5</v>
      </c>
      <c r="D37" s="289"/>
      <c r="E37" s="290"/>
      <c r="F37" s="291"/>
      <c r="G37" s="282"/>
      <c r="H37" s="283"/>
      <c r="I37" s="284"/>
      <c r="J37" s="292"/>
      <c r="K37" s="263"/>
      <c r="L37" s="293"/>
      <c r="M37" s="332">
        <v>0</v>
      </c>
      <c r="N37" s="287"/>
      <c r="O37" s="300"/>
      <c r="P37" s="301"/>
    </row>
    <row r="38" spans="1:16" ht="15.75" customHeight="1" thickTop="1" thickBot="1">
      <c r="A38" s="696"/>
      <c r="B38" s="699"/>
      <c r="C38" s="704"/>
      <c r="D38" s="705"/>
      <c r="E38" s="705"/>
      <c r="F38" s="705"/>
      <c r="G38" s="705"/>
      <c r="H38" s="705"/>
      <c r="I38" s="706"/>
      <c r="J38" s="294" t="s">
        <v>58</v>
      </c>
      <c r="K38" s="432">
        <f>M38/'生產管理報表 7-1(月)'!$B$10</f>
        <v>0</v>
      </c>
      <c r="L38" s="295" t="s">
        <v>59</v>
      </c>
      <c r="M38" s="333">
        <f>SUM(M33:M37)</f>
        <v>0</v>
      </c>
      <c r="N38" s="681"/>
      <c r="O38" s="682"/>
      <c r="P38" s="683"/>
    </row>
    <row r="39" spans="1:16" ht="15.75" customHeight="1" thickTop="1"/>
    <row r="44" spans="1:16" ht="15.75" customHeight="1">
      <c r="O44" s="288" ph="1"/>
      <c r="P44" s="288" ph="1"/>
    </row>
    <row r="46" spans="1:16" ht="15.75" customHeight="1">
      <c r="O46" s="288" ph="1"/>
      <c r="P46" s="288" ph="1"/>
    </row>
    <row r="47" spans="1:16" ht="15.75" customHeight="1">
      <c r="O47" s="288" ph="1"/>
      <c r="P47" s="288" ph="1"/>
    </row>
    <row r="117" spans="15:16" ht="15.75" customHeight="1">
      <c r="O117" s="288" ph="1"/>
      <c r="P117" s="288" ph="1"/>
    </row>
    <row r="119" spans="15:16" ht="15.75" customHeight="1">
      <c r="O119" s="288" ph="1"/>
      <c r="P119" s="288" ph="1"/>
    </row>
    <row r="120" spans="15:16" ht="15.75" customHeight="1">
      <c r="O120" s="288" ph="1"/>
      <c r="P120" s="288" ph="1"/>
    </row>
    <row r="153" spans="15:16" ht="15.75" customHeight="1">
      <c r="O153" s="288" ph="1"/>
      <c r="P153" s="288" ph="1"/>
    </row>
    <row r="155" spans="15:16" ht="15.75" customHeight="1">
      <c r="O155" s="288" ph="1"/>
      <c r="P155" s="288" ph="1"/>
    </row>
    <row r="156" spans="15:16" ht="15.75" customHeight="1">
      <c r="O156" s="288" ph="1"/>
      <c r="P156" s="288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N70"/>
  <sheetViews>
    <sheetView view="pageBreakPreview" topLeftCell="A43" zoomScale="115" zoomScaleNormal="60" zoomScaleSheetLayoutView="115" workbookViewId="0">
      <selection activeCell="I59" sqref="I59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4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</row>
    <row r="3" spans="1:14" ht="15.75" customHeight="1">
      <c r="A3" s="649" t="s">
        <v>425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</row>
    <row r="4" spans="1:14" s="136" customFormat="1" ht="15.75" customHeight="1">
      <c r="A4" s="649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</row>
    <row r="5" spans="1:14" ht="15.75" customHeight="1">
      <c r="A5" s="225" t="s">
        <v>399</v>
      </c>
      <c r="B5" s="226">
        <v>42486.866159999998</v>
      </c>
      <c r="E5" s="783" t="s">
        <v>426</v>
      </c>
      <c r="F5" s="784"/>
      <c r="G5" s="784"/>
      <c r="H5" s="784"/>
      <c r="I5" s="784"/>
      <c r="J5" s="784"/>
      <c r="K5" s="784"/>
      <c r="L5" s="784"/>
      <c r="M5" s="784"/>
      <c r="N5" s="442"/>
    </row>
    <row r="6" spans="1:14" ht="15.75" customHeight="1">
      <c r="A6" s="785" t="s">
        <v>180</v>
      </c>
      <c r="B6" s="651" t="s">
        <v>10</v>
      </c>
      <c r="C6" s="651"/>
      <c r="D6" s="652"/>
      <c r="E6" s="650" t="s">
        <v>180</v>
      </c>
      <c r="F6" s="654">
        <v>1</v>
      </c>
      <c r="G6" s="654"/>
      <c r="H6" s="654">
        <v>2</v>
      </c>
      <c r="I6" s="654"/>
      <c r="J6" s="654">
        <v>3</v>
      </c>
      <c r="K6" s="654"/>
      <c r="L6" s="654">
        <v>4</v>
      </c>
      <c r="M6" s="654"/>
    </row>
    <row r="7" spans="1:14" ht="31.35" customHeight="1">
      <c r="A7" s="785"/>
      <c r="B7" s="651"/>
      <c r="C7" s="651"/>
      <c r="D7" s="653"/>
      <c r="E7" s="650"/>
      <c r="F7" s="656" t="s">
        <v>427</v>
      </c>
      <c r="G7" s="656"/>
      <c r="H7" s="656" t="s">
        <v>223</v>
      </c>
      <c r="I7" s="656"/>
      <c r="J7" s="656" t="s">
        <v>166</v>
      </c>
      <c r="K7" s="656"/>
      <c r="L7" s="656" t="s">
        <v>406</v>
      </c>
      <c r="M7" s="656"/>
    </row>
    <row r="8" spans="1:14" ht="15.75" customHeight="1">
      <c r="A8" s="785"/>
      <c r="B8" s="154" t="s">
        <v>11</v>
      </c>
      <c r="C8" s="154" t="s">
        <v>41</v>
      </c>
      <c r="D8" s="653"/>
      <c r="E8" s="650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225</v>
      </c>
      <c r="B9" s="139">
        <f>日別報廢率總表!I5</f>
        <v>85080.957900000009</v>
      </c>
      <c r="C9" s="229">
        <f>B9/($B$5*1000)</f>
        <v>2.0025237347371353E-3</v>
      </c>
      <c r="D9" s="653"/>
      <c r="E9" s="138" t="s">
        <v>225</v>
      </c>
      <c r="F9" s="141">
        <f>'報廢20大－原因別分析'!AG8</f>
        <v>7367.6618000000008</v>
      </c>
      <c r="G9" s="142">
        <f>'報廢20大－原因別分析'!AG9</f>
        <v>0.4</v>
      </c>
      <c r="H9" s="141">
        <f>'報廢20大－原因別分析'!AH8</f>
        <v>0</v>
      </c>
      <c r="I9" s="142">
        <f>'報廢20大－原因別分析'!AH9</f>
        <v>0</v>
      </c>
      <c r="J9" s="141">
        <f>'報廢20大－原因別分析'!AI8</f>
        <v>8116.3483999999989</v>
      </c>
      <c r="K9" s="142">
        <f>'報廢20大－原因別分析'!AI9</f>
        <v>0.3</v>
      </c>
      <c r="L9" s="141">
        <f>'報廢20大－原因別分析'!AJ8</f>
        <v>0</v>
      </c>
      <c r="M9" s="142">
        <f>'報廢20大－原因別分析'!AJ9</f>
        <v>0</v>
      </c>
    </row>
    <row r="10" spans="1:14" ht="19.350000000000001" customHeight="1">
      <c r="A10" s="228" t="s">
        <v>226</v>
      </c>
      <c r="B10" s="144">
        <f>日別報廢率總表!J5</f>
        <v>255308.68299999996</v>
      </c>
      <c r="C10" s="140">
        <f>B10/($B$5*1000)</f>
        <v>6.0091201369981201E-3</v>
      </c>
      <c r="D10" s="653"/>
      <c r="E10" s="143" t="s">
        <v>226</v>
      </c>
      <c r="F10" s="141">
        <f>'超用20大－原因別分析'!AG8</f>
        <v>0</v>
      </c>
      <c r="G10" s="142">
        <f>'超用20大－原因別分析'!AG9</f>
        <v>0</v>
      </c>
      <c r="H10" s="141">
        <f>'超用20大－原因別分析'!AH8</f>
        <v>0</v>
      </c>
      <c r="I10" s="142">
        <f>'超用20大－原因別分析'!AH9</f>
        <v>0</v>
      </c>
      <c r="J10" s="141">
        <f>'超用20大－原因別分析'!AI8</f>
        <v>0</v>
      </c>
      <c r="K10" s="142">
        <f>'超用20大－原因別分析'!AI9</f>
        <v>0</v>
      </c>
      <c r="L10" s="141">
        <f>'超用20大－原因別分析'!AJ8</f>
        <v>51502.644800000031</v>
      </c>
      <c r="M10" s="142">
        <f>'超用20大－原因別分析'!AJ9</f>
        <v>0.65</v>
      </c>
    </row>
    <row r="11" spans="1:14" ht="15.75" customHeight="1">
      <c r="A11" s="224" t="s">
        <v>396</v>
      </c>
      <c r="B11" s="377" t="s">
        <v>622</v>
      </c>
      <c r="C11" s="223"/>
      <c r="D11" s="653"/>
      <c r="E11" s="650" t="s">
        <v>180</v>
      </c>
      <c r="F11" s="749">
        <v>5</v>
      </c>
      <c r="G11" s="750"/>
      <c r="H11" s="749">
        <v>6</v>
      </c>
      <c r="I11" s="750"/>
      <c r="J11" s="749">
        <v>7</v>
      </c>
      <c r="K11" s="750"/>
      <c r="L11" s="786"/>
      <c r="M11" s="787"/>
    </row>
    <row r="12" spans="1:14" ht="31.35" customHeight="1">
      <c r="A12" s="135" t="s">
        <v>397</v>
      </c>
      <c r="B12" s="377" t="s">
        <v>622</v>
      </c>
      <c r="C12" s="223"/>
      <c r="D12" s="653"/>
      <c r="E12" s="650"/>
      <c r="F12" s="788" t="s">
        <v>172</v>
      </c>
      <c r="G12" s="789"/>
      <c r="H12" s="788" t="s">
        <v>167</v>
      </c>
      <c r="I12" s="789"/>
      <c r="J12" s="788" t="s">
        <v>173</v>
      </c>
      <c r="K12" s="789"/>
      <c r="L12" s="790"/>
      <c r="M12" s="791"/>
    </row>
    <row r="13" spans="1:14" ht="15.75" customHeight="1">
      <c r="D13" s="653"/>
      <c r="E13" s="650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53"/>
      <c r="E14" s="138" t="s">
        <v>225</v>
      </c>
      <c r="F14" s="141">
        <f>'報廢20大－原因別分析'!AK8</f>
        <v>1509.6832000000004</v>
      </c>
      <c r="G14" s="142">
        <f>'報廢20大－原因別分析'!AK9</f>
        <v>0.05</v>
      </c>
      <c r="H14" s="141">
        <f>'報廢20大－原因別分析'!AL8</f>
        <v>6083.7018000000007</v>
      </c>
      <c r="I14" s="142">
        <f>'報廢20大－原因別分析'!AL9</f>
        <v>0.25</v>
      </c>
      <c r="J14" s="141">
        <f>'報廢20大－原因別分析'!AM8</f>
        <v>0</v>
      </c>
      <c r="K14" s="142">
        <f>'報廢20大－原因別分析'!AM9</f>
        <v>0</v>
      </c>
      <c r="L14" s="141"/>
      <c r="M14" s="142"/>
    </row>
    <row r="15" spans="1:14" ht="19.350000000000001" customHeight="1">
      <c r="D15" s="653"/>
      <c r="E15" s="143" t="s">
        <v>226</v>
      </c>
      <c r="F15" s="141">
        <f>'超用20大－原因別分析'!AK8</f>
        <v>9664.0365000000293</v>
      </c>
      <c r="G15" s="142">
        <f>'超用20大－原因別分析'!AK9</f>
        <v>0.05</v>
      </c>
      <c r="H15" s="141">
        <f>'超用20大－原因別分析'!AL8</f>
        <v>28695.622699999996</v>
      </c>
      <c r="I15" s="142">
        <f>'超用20大－原因別分析'!AL9</f>
        <v>0.3</v>
      </c>
      <c r="J15" s="141">
        <f>'超用20大－原因別分析'!AM8</f>
        <v>0</v>
      </c>
      <c r="K15" s="142">
        <f>'超用20大－原因別分析'!AM9</f>
        <v>0</v>
      </c>
      <c r="L15" s="141"/>
      <c r="M15" s="142"/>
    </row>
    <row r="16" spans="1:14" ht="15.75" customHeight="1">
      <c r="A16" s="225" t="s">
        <v>399</v>
      </c>
      <c r="B16" s="226">
        <v>41863.93067999999</v>
      </c>
      <c r="E16" s="783" t="s">
        <v>426</v>
      </c>
      <c r="F16" s="784"/>
      <c r="G16" s="784"/>
      <c r="H16" s="784"/>
      <c r="I16" s="784"/>
      <c r="J16" s="784"/>
      <c r="K16" s="784"/>
      <c r="L16" s="784"/>
      <c r="M16" s="784"/>
      <c r="N16" s="442"/>
    </row>
    <row r="17" spans="1:14" ht="15.75" customHeight="1">
      <c r="A17" s="785" t="s">
        <v>180</v>
      </c>
      <c r="B17" s="651" t="s">
        <v>10</v>
      </c>
      <c r="C17" s="651"/>
      <c r="D17" s="652"/>
      <c r="E17" s="650" t="s">
        <v>180</v>
      </c>
      <c r="F17" s="654">
        <v>1</v>
      </c>
      <c r="G17" s="654"/>
      <c r="H17" s="654">
        <v>2</v>
      </c>
      <c r="I17" s="654"/>
      <c r="J17" s="654">
        <v>3</v>
      </c>
      <c r="K17" s="654"/>
      <c r="L17" s="654">
        <v>4</v>
      </c>
      <c r="M17" s="654"/>
    </row>
    <row r="18" spans="1:14" ht="31.35" customHeight="1">
      <c r="A18" s="785"/>
      <c r="B18" s="651"/>
      <c r="C18" s="651"/>
      <c r="D18" s="653"/>
      <c r="E18" s="650"/>
      <c r="F18" s="656" t="s">
        <v>427</v>
      </c>
      <c r="G18" s="656"/>
      <c r="H18" s="656" t="s">
        <v>223</v>
      </c>
      <c r="I18" s="656"/>
      <c r="J18" s="656" t="s">
        <v>166</v>
      </c>
      <c r="K18" s="656"/>
      <c r="L18" s="656" t="s">
        <v>406</v>
      </c>
      <c r="M18" s="656"/>
    </row>
    <row r="19" spans="1:14" ht="15.75" customHeight="1">
      <c r="A19" s="785"/>
      <c r="B19" s="154" t="s">
        <v>11</v>
      </c>
      <c r="C19" s="154" t="s">
        <v>41</v>
      </c>
      <c r="D19" s="653"/>
      <c r="E19" s="650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225</v>
      </c>
      <c r="B20" s="139">
        <f>日別報廢率總表!I12</f>
        <v>83879.815799999997</v>
      </c>
      <c r="C20" s="229">
        <f>B20/($B$16*1000)</f>
        <v>2.0036297222341955E-3</v>
      </c>
      <c r="D20" s="653"/>
      <c r="E20" s="138" t="s">
        <v>225</v>
      </c>
      <c r="F20" s="141">
        <f>'報廢20大－原因別分析'!AG30</f>
        <v>9488.8132000000005</v>
      </c>
      <c r="G20" s="142">
        <f>'報廢20大－原因別分析'!AG31</f>
        <v>0.55000000000000004</v>
      </c>
      <c r="H20" s="141">
        <f>'報廢20大－原因別分析'!AH30</f>
        <v>0</v>
      </c>
      <c r="I20" s="142">
        <f>'報廢20大－原因別分析'!AH31</f>
        <v>0</v>
      </c>
      <c r="J20" s="141">
        <f>'報廢20大－原因別分析'!AI30</f>
        <v>5761.7367999999997</v>
      </c>
      <c r="K20" s="142">
        <f>'報廢20大－原因別分析'!AI31</f>
        <v>0.2</v>
      </c>
      <c r="L20" s="141">
        <f>'報廢20大－原因別分析'!AJ30</f>
        <v>0</v>
      </c>
      <c r="M20" s="142">
        <f>'報廢20大－原因別分析'!AJ31</f>
        <v>0</v>
      </c>
    </row>
    <row r="21" spans="1:14" ht="19.350000000000001" customHeight="1">
      <c r="A21" s="228" t="s">
        <v>226</v>
      </c>
      <c r="B21" s="144">
        <f>日別報廢率總表!J12</f>
        <v>251578.55800000002</v>
      </c>
      <c r="C21" s="140">
        <f>B21/($B$16*1000)</f>
        <v>6.0094347070039642E-3</v>
      </c>
      <c r="D21" s="653"/>
      <c r="E21" s="143" t="s">
        <v>226</v>
      </c>
      <c r="F21" s="141">
        <f>'超用20大－原因別分析'!AG30</f>
        <v>0</v>
      </c>
      <c r="G21" s="142">
        <f>'超用20大－原因別分析'!AG31</f>
        <v>0</v>
      </c>
      <c r="H21" s="141">
        <f>'超用20大－原因別分析'!AH30</f>
        <v>0</v>
      </c>
      <c r="I21" s="142">
        <f>'超用20大－原因別分析'!AH31</f>
        <v>0</v>
      </c>
      <c r="J21" s="141">
        <f>'超用20大－原因別分析'!AI30</f>
        <v>0</v>
      </c>
      <c r="K21" s="142">
        <f>'超用20大－原因別分析'!AI31</f>
        <v>0</v>
      </c>
      <c r="L21" s="141">
        <f>'超用20大－原因別分析'!AJ30</f>
        <v>69862.741700000028</v>
      </c>
      <c r="M21" s="142">
        <f>'超用20大－原因別分析'!AJ31</f>
        <v>0.9</v>
      </c>
    </row>
    <row r="22" spans="1:14" ht="15.75" customHeight="1">
      <c r="A22" s="224" t="s">
        <v>396</v>
      </c>
      <c r="B22" s="377" t="s">
        <v>637</v>
      </c>
      <c r="C22" s="223"/>
      <c r="D22" s="653"/>
      <c r="E22" s="650" t="s">
        <v>180</v>
      </c>
      <c r="F22" s="749">
        <v>5</v>
      </c>
      <c r="G22" s="750"/>
      <c r="H22" s="749">
        <v>6</v>
      </c>
      <c r="I22" s="750"/>
      <c r="J22" s="749">
        <v>7</v>
      </c>
      <c r="K22" s="750"/>
      <c r="L22" s="786"/>
      <c r="M22" s="787"/>
    </row>
    <row r="23" spans="1:14" ht="31.35" customHeight="1">
      <c r="A23" s="135" t="s">
        <v>397</v>
      </c>
      <c r="B23" s="377" t="s">
        <v>637</v>
      </c>
      <c r="C23" s="223"/>
      <c r="D23" s="653"/>
      <c r="E23" s="650"/>
      <c r="F23" s="788" t="s">
        <v>172</v>
      </c>
      <c r="G23" s="789"/>
      <c r="H23" s="788" t="s">
        <v>167</v>
      </c>
      <c r="I23" s="789"/>
      <c r="J23" s="788" t="s">
        <v>173</v>
      </c>
      <c r="K23" s="789"/>
      <c r="L23" s="790"/>
      <c r="M23" s="791"/>
    </row>
    <row r="24" spans="1:14" ht="15.75" customHeight="1">
      <c r="D24" s="653"/>
      <c r="E24" s="650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53"/>
      <c r="E25" s="138" t="s">
        <v>225</v>
      </c>
      <c r="F25" s="141">
        <f>'報廢20大－原因別分析'!AK30</f>
        <v>1294.4354000000005</v>
      </c>
      <c r="G25" s="142">
        <f>'報廢20大－原因別分析'!AK31</f>
        <v>0.05</v>
      </c>
      <c r="H25" s="141">
        <f>'報廢20大－原因別分析'!AL30</f>
        <v>4992.4166000000005</v>
      </c>
      <c r="I25" s="142">
        <f>'報廢20大－原因別分析'!AL31</f>
        <v>0.2</v>
      </c>
      <c r="J25" s="141">
        <f>'報廢20大－原因別分析'!AM30</f>
        <v>0</v>
      </c>
      <c r="K25" s="142">
        <f>'報廢20大－原因別分析'!AM31</f>
        <v>0</v>
      </c>
      <c r="L25" s="141"/>
      <c r="M25" s="142"/>
    </row>
    <row r="26" spans="1:14" ht="19.350000000000001" customHeight="1">
      <c r="D26" s="653"/>
      <c r="E26" s="143" t="s">
        <v>226</v>
      </c>
      <c r="F26" s="141">
        <f>'超用20大－原因別分析'!AK30</f>
        <v>8752.9190999999864</v>
      </c>
      <c r="G26" s="142">
        <f>'超用20大－原因別分析'!AK31</f>
        <v>0.05</v>
      </c>
      <c r="H26" s="141">
        <f>'超用20大－原因別分析'!AL30</f>
        <v>4089.6321999999896</v>
      </c>
      <c r="I26" s="142">
        <f>'超用20大－原因別分析'!AL31</f>
        <v>0.05</v>
      </c>
      <c r="J26" s="141">
        <f>'超用20大－原因別分析'!AM30</f>
        <v>0</v>
      </c>
      <c r="K26" s="142">
        <f>'超用20大－原因別分析'!AM31</f>
        <v>0</v>
      </c>
      <c r="L26" s="141"/>
      <c r="M26" s="142"/>
    </row>
    <row r="27" spans="1:14" ht="15.75" customHeight="1">
      <c r="A27" s="225" t="s">
        <v>399</v>
      </c>
      <c r="B27" s="226">
        <v>38288.004869999997</v>
      </c>
      <c r="E27" s="783" t="s">
        <v>426</v>
      </c>
      <c r="F27" s="784"/>
      <c r="G27" s="784"/>
      <c r="H27" s="784"/>
      <c r="I27" s="784"/>
      <c r="J27" s="784"/>
      <c r="K27" s="784"/>
      <c r="L27" s="784"/>
      <c r="M27" s="784"/>
      <c r="N27" s="442"/>
    </row>
    <row r="28" spans="1:14" ht="15.75" customHeight="1">
      <c r="A28" s="785" t="s">
        <v>180</v>
      </c>
      <c r="B28" s="651" t="s">
        <v>10</v>
      </c>
      <c r="C28" s="651"/>
      <c r="D28" s="652"/>
      <c r="E28" s="650" t="s">
        <v>180</v>
      </c>
      <c r="F28" s="654">
        <v>1</v>
      </c>
      <c r="G28" s="654"/>
      <c r="H28" s="654">
        <v>2</v>
      </c>
      <c r="I28" s="654"/>
      <c r="J28" s="654">
        <v>3</v>
      </c>
      <c r="K28" s="654"/>
      <c r="L28" s="654">
        <v>4</v>
      </c>
      <c r="M28" s="654"/>
    </row>
    <row r="29" spans="1:14" ht="31.35" customHeight="1">
      <c r="A29" s="785"/>
      <c r="B29" s="651"/>
      <c r="C29" s="651"/>
      <c r="D29" s="653"/>
      <c r="E29" s="650"/>
      <c r="F29" s="656" t="s">
        <v>427</v>
      </c>
      <c r="G29" s="656"/>
      <c r="H29" s="656" t="s">
        <v>223</v>
      </c>
      <c r="I29" s="656"/>
      <c r="J29" s="656" t="s">
        <v>166</v>
      </c>
      <c r="K29" s="656"/>
      <c r="L29" s="656" t="s">
        <v>406</v>
      </c>
      <c r="M29" s="656"/>
    </row>
    <row r="30" spans="1:14" ht="15.75" customHeight="1">
      <c r="A30" s="785"/>
      <c r="B30" s="154" t="s">
        <v>11</v>
      </c>
      <c r="C30" s="154" t="s">
        <v>41</v>
      </c>
      <c r="D30" s="653"/>
      <c r="E30" s="650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225</v>
      </c>
      <c r="B31" s="139">
        <f>日別報廢率總表!I19</f>
        <v>76818.528200000015</v>
      </c>
      <c r="C31" s="229">
        <f>B31/($B$27*1000)</f>
        <v>2.0063340584296164E-3</v>
      </c>
      <c r="D31" s="653"/>
      <c r="E31" s="138" t="s">
        <v>225</v>
      </c>
      <c r="F31" s="141">
        <f>'報廢20大－原因別分析'!AG52</f>
        <v>6720.1255000000001</v>
      </c>
      <c r="G31" s="142">
        <f>'報廢20大－原因別分析'!AG53</f>
        <v>0.4</v>
      </c>
      <c r="H31" s="141">
        <f>'報廢20大－原因別分析'!AH52</f>
        <v>0</v>
      </c>
      <c r="I31" s="142">
        <f>'報廢20大－原因別分析'!AH53</f>
        <v>0</v>
      </c>
      <c r="J31" s="141">
        <f>'報廢20大－原因別分析'!AI52</f>
        <v>7400.501400000001</v>
      </c>
      <c r="K31" s="142">
        <f>'報廢20大－原因別分析'!AI53</f>
        <v>0.3</v>
      </c>
      <c r="L31" s="141">
        <f>'報廢20大－原因別分析'!AJ52</f>
        <v>0</v>
      </c>
      <c r="M31" s="142">
        <f>'報廢20大－原因別分析'!AJ53</f>
        <v>0</v>
      </c>
    </row>
    <row r="32" spans="1:14" ht="19.350000000000001" customHeight="1">
      <c r="A32" s="228" t="s">
        <v>226</v>
      </c>
      <c r="B32" s="144">
        <f>日別報廢率總表!J19</f>
        <v>230163.40269999992</v>
      </c>
      <c r="C32" s="140">
        <f>B32/($B$27*1000)</f>
        <v>6.0113710150601516E-3</v>
      </c>
      <c r="D32" s="653"/>
      <c r="E32" s="143" t="s">
        <v>226</v>
      </c>
      <c r="F32" s="141">
        <f>'超用20大－原因別分析'!AG52</f>
        <v>0</v>
      </c>
      <c r="G32" s="142">
        <f>'超用20大－原因別分析'!AG53</f>
        <v>0</v>
      </c>
      <c r="H32" s="141">
        <f>'超用20大－原因別分析'!AH52</f>
        <v>0</v>
      </c>
      <c r="I32" s="142">
        <f>'超用20大－原因別分析'!AH53</f>
        <v>0</v>
      </c>
      <c r="J32" s="141">
        <f>'超用20大－原因別分析'!AI52</f>
        <v>0</v>
      </c>
      <c r="K32" s="142">
        <f>'超用20大－原因別分析'!AI53</f>
        <v>0</v>
      </c>
      <c r="L32" s="141">
        <f>'超用20大－原因別分析'!AJ52</f>
        <v>68609.218599999964</v>
      </c>
      <c r="M32" s="142">
        <f>'超用20大－原因別分析'!AJ53</f>
        <v>0.9</v>
      </c>
    </row>
    <row r="33" spans="1:14" ht="15.75" customHeight="1">
      <c r="A33" s="224" t="s">
        <v>396</v>
      </c>
      <c r="B33" s="377" t="s">
        <v>654</v>
      </c>
      <c r="C33" s="223"/>
      <c r="D33" s="653"/>
      <c r="E33" s="650" t="s">
        <v>180</v>
      </c>
      <c r="F33" s="749">
        <v>5</v>
      </c>
      <c r="G33" s="750"/>
      <c r="H33" s="749">
        <v>6</v>
      </c>
      <c r="I33" s="750"/>
      <c r="J33" s="749">
        <v>7</v>
      </c>
      <c r="K33" s="750"/>
      <c r="L33" s="786"/>
      <c r="M33" s="787"/>
    </row>
    <row r="34" spans="1:14" ht="31.35" customHeight="1">
      <c r="A34" s="135" t="s">
        <v>397</v>
      </c>
      <c r="B34" s="377" t="s">
        <v>654</v>
      </c>
      <c r="C34" s="223"/>
      <c r="D34" s="653"/>
      <c r="E34" s="650"/>
      <c r="F34" s="788" t="s">
        <v>172</v>
      </c>
      <c r="G34" s="789"/>
      <c r="H34" s="788" t="s">
        <v>167</v>
      </c>
      <c r="I34" s="789"/>
      <c r="J34" s="788" t="s">
        <v>173</v>
      </c>
      <c r="K34" s="789"/>
      <c r="L34" s="790"/>
      <c r="M34" s="791"/>
    </row>
    <row r="35" spans="1:14" ht="15.75" customHeight="1">
      <c r="D35" s="653"/>
      <c r="E35" s="650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653"/>
      <c r="E36" s="138" t="s">
        <v>225</v>
      </c>
      <c r="F36" s="141">
        <f>'報廢20大－原因別分析'!AK52</f>
        <v>1203.0288000000003</v>
      </c>
      <c r="G36" s="142">
        <f>'報廢20大－原因別分析'!AK53</f>
        <v>0.05</v>
      </c>
      <c r="H36" s="141">
        <f>'報廢20大－原因別分析'!AL52</f>
        <v>5438.7682000000013</v>
      </c>
      <c r="I36" s="142">
        <f>'報廢20大－原因別分析'!AL53</f>
        <v>0.25</v>
      </c>
      <c r="J36" s="141">
        <f>'報廢20大－原因別分析'!AM52</f>
        <v>0</v>
      </c>
      <c r="K36" s="142">
        <f>'報廢20大－原因別分析'!AM53</f>
        <v>0</v>
      </c>
      <c r="L36" s="141"/>
      <c r="M36" s="142"/>
    </row>
    <row r="37" spans="1:14" ht="19.350000000000001" customHeight="1">
      <c r="D37" s="653"/>
      <c r="E37" s="143" t="s">
        <v>226</v>
      </c>
      <c r="F37" s="141">
        <f>'超用20大－原因別分析'!AK52</f>
        <v>7589.6964000000044</v>
      </c>
      <c r="G37" s="142">
        <f>'超用20大－原因別分析'!AK53</f>
        <v>0.05</v>
      </c>
      <c r="H37" s="141">
        <f>'超用20大－原因別分析'!AL52</f>
        <v>4040.703400000034</v>
      </c>
      <c r="I37" s="142">
        <f>'超用20大－原因別分析'!AL53</f>
        <v>0.05</v>
      </c>
      <c r="J37" s="141">
        <f>'超用20大－原因別分析'!AM52</f>
        <v>0</v>
      </c>
      <c r="K37" s="142">
        <f>'超用20大－原因別分析'!AM53</f>
        <v>0</v>
      </c>
      <c r="L37" s="141"/>
      <c r="M37" s="142"/>
    </row>
    <row r="38" spans="1:14" ht="15.75" customHeight="1">
      <c r="A38" s="225" t="s">
        <v>399</v>
      </c>
      <c r="B38" s="226">
        <v>39537.269799999995</v>
      </c>
      <c r="E38" s="783" t="s">
        <v>426</v>
      </c>
      <c r="F38" s="784"/>
      <c r="G38" s="784"/>
      <c r="H38" s="784"/>
      <c r="I38" s="784"/>
      <c r="J38" s="784"/>
      <c r="K38" s="784"/>
      <c r="L38" s="784"/>
      <c r="M38" s="784"/>
      <c r="N38" s="442"/>
    </row>
    <row r="39" spans="1:14" ht="15.75" customHeight="1">
      <c r="A39" s="785" t="s">
        <v>180</v>
      </c>
      <c r="B39" s="651" t="s">
        <v>10</v>
      </c>
      <c r="C39" s="651"/>
      <c r="D39" s="652"/>
      <c r="E39" s="650" t="s">
        <v>180</v>
      </c>
      <c r="F39" s="654">
        <v>1</v>
      </c>
      <c r="G39" s="654"/>
      <c r="H39" s="654">
        <v>2</v>
      </c>
      <c r="I39" s="654"/>
      <c r="J39" s="654">
        <v>3</v>
      </c>
      <c r="K39" s="654"/>
      <c r="L39" s="654">
        <v>4</v>
      </c>
      <c r="M39" s="654"/>
    </row>
    <row r="40" spans="1:14" ht="31.35" customHeight="1">
      <c r="A40" s="785"/>
      <c r="B40" s="651"/>
      <c r="C40" s="651"/>
      <c r="D40" s="653"/>
      <c r="E40" s="650"/>
      <c r="F40" s="656" t="s">
        <v>427</v>
      </c>
      <c r="G40" s="656"/>
      <c r="H40" s="656" t="s">
        <v>223</v>
      </c>
      <c r="I40" s="656"/>
      <c r="J40" s="656" t="s">
        <v>166</v>
      </c>
      <c r="K40" s="656"/>
      <c r="L40" s="656" t="s">
        <v>406</v>
      </c>
      <c r="M40" s="656"/>
    </row>
    <row r="41" spans="1:14" ht="15.75" customHeight="1">
      <c r="A41" s="785"/>
      <c r="B41" s="154" t="s">
        <v>11</v>
      </c>
      <c r="C41" s="154" t="s">
        <v>41</v>
      </c>
      <c r="D41" s="653"/>
      <c r="E41" s="650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225</v>
      </c>
      <c r="B42" s="139">
        <f>日別報廢率總表!I26</f>
        <v>79453.050500000012</v>
      </c>
      <c r="C42" s="229">
        <f>B42/($B$38*1000)</f>
        <v>2.0095735214372343E-3</v>
      </c>
      <c r="D42" s="653"/>
      <c r="E42" s="138" t="s">
        <v>225</v>
      </c>
      <c r="F42" s="141">
        <f>'報廢20大－原因別分析'!AG74</f>
        <v>10506.902399999999</v>
      </c>
      <c r="G42" s="142">
        <f>'報廢20大－原因別分析'!AG75</f>
        <v>0.55000000000000004</v>
      </c>
      <c r="H42" s="141">
        <f>'報廢20大－原因別分析'!AH74</f>
        <v>0</v>
      </c>
      <c r="I42" s="142">
        <f>'報廢20大－原因別分析'!AH75</f>
        <v>0</v>
      </c>
      <c r="J42" s="141">
        <f>'報廢20大－原因別分析'!AI74</f>
        <v>6250.9738000000007</v>
      </c>
      <c r="K42" s="142">
        <f>'報廢20大－原因別分析'!AI75</f>
        <v>0.25</v>
      </c>
      <c r="L42" s="141">
        <f>'報廢20大－原因別分析'!AJ74</f>
        <v>0</v>
      </c>
      <c r="M42" s="142">
        <f>'報廢20大－原因別分析'!AJ75</f>
        <v>0</v>
      </c>
    </row>
    <row r="43" spans="1:14" ht="19.350000000000001" customHeight="1">
      <c r="A43" s="228" t="s">
        <v>226</v>
      </c>
      <c r="B43" s="144">
        <f>日別報廢率總表!J26</f>
        <v>237927.01724999998</v>
      </c>
      <c r="C43" s="140">
        <f>B43/($B$38*1000)</f>
        <v>6.0177907694071477E-3</v>
      </c>
      <c r="D43" s="653"/>
      <c r="E43" s="143" t="s">
        <v>226</v>
      </c>
      <c r="F43" s="141">
        <f>'超用20大－原因別分析'!AG74</f>
        <v>0</v>
      </c>
      <c r="G43" s="142">
        <f>'超用20大－原因別分析'!AG75</f>
        <v>0</v>
      </c>
      <c r="H43" s="141">
        <f>'超用20大－原因別分析'!AH74</f>
        <v>0</v>
      </c>
      <c r="I43" s="142">
        <f>'超用20大－原因別分析'!AH75</f>
        <v>0</v>
      </c>
      <c r="J43" s="141">
        <f>'超用20大－原因別分析'!AI74</f>
        <v>0</v>
      </c>
      <c r="K43" s="142">
        <f>'超用20大－原因別分析'!AI75</f>
        <v>0</v>
      </c>
      <c r="L43" s="141">
        <f>'超用20大－原因別分析'!AJ74</f>
        <v>76942.087200000024</v>
      </c>
      <c r="M43" s="142">
        <f>'超用20大－原因別分析'!AJ75</f>
        <v>0.9</v>
      </c>
    </row>
    <row r="44" spans="1:14" ht="15.75" customHeight="1">
      <c r="A44" s="224" t="s">
        <v>396</v>
      </c>
      <c r="B44" s="377" t="s">
        <v>655</v>
      </c>
      <c r="C44" s="223"/>
      <c r="D44" s="653"/>
      <c r="E44" s="650" t="s">
        <v>180</v>
      </c>
      <c r="F44" s="749">
        <v>5</v>
      </c>
      <c r="G44" s="750"/>
      <c r="H44" s="749">
        <v>6</v>
      </c>
      <c r="I44" s="750"/>
      <c r="J44" s="749">
        <v>7</v>
      </c>
      <c r="K44" s="750"/>
      <c r="L44" s="786"/>
      <c r="M44" s="787"/>
    </row>
    <row r="45" spans="1:14" ht="31.35" customHeight="1">
      <c r="A45" s="135" t="s">
        <v>397</v>
      </c>
      <c r="B45" s="377" t="s">
        <v>655</v>
      </c>
      <c r="C45" s="223"/>
      <c r="D45" s="653"/>
      <c r="E45" s="650"/>
      <c r="F45" s="788" t="s">
        <v>172</v>
      </c>
      <c r="G45" s="789"/>
      <c r="H45" s="788" t="s">
        <v>167</v>
      </c>
      <c r="I45" s="789"/>
      <c r="J45" s="788" t="s">
        <v>173</v>
      </c>
      <c r="K45" s="789"/>
      <c r="L45" s="790"/>
      <c r="M45" s="791"/>
    </row>
    <row r="46" spans="1:14" ht="15.75" customHeight="1">
      <c r="D46" s="653"/>
      <c r="E46" s="650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653"/>
      <c r="E47" s="138" t="s">
        <v>225</v>
      </c>
      <c r="F47" s="141">
        <f>'報廢20大－原因別分析'!AK74</f>
        <v>2236.4571000000005</v>
      </c>
      <c r="G47" s="142">
        <f>'報廢20大－原因別分析'!AK75</f>
        <v>0.1</v>
      </c>
      <c r="H47" s="141">
        <f>'報廢20大－原因別分析'!AL74</f>
        <v>2887.7237999999998</v>
      </c>
      <c r="I47" s="142">
        <f>'報廢20大－原因別分析'!AL75</f>
        <v>0.1</v>
      </c>
      <c r="J47" s="141">
        <f>'報廢20大－原因別分析'!AM74</f>
        <v>0</v>
      </c>
      <c r="K47" s="142">
        <f>'報廢20大－原因別分析'!AM75</f>
        <v>0</v>
      </c>
      <c r="L47" s="141"/>
      <c r="M47" s="142"/>
    </row>
    <row r="48" spans="1:14" ht="19.350000000000001" customHeight="1">
      <c r="D48" s="653"/>
      <c r="E48" s="143" t="s">
        <v>226</v>
      </c>
      <c r="F48" s="141">
        <f>'超用20大－原因別分析'!AK74</f>
        <v>9783.454799999954</v>
      </c>
      <c r="G48" s="142">
        <f>'超用20大－原因別分析'!AK75</f>
        <v>0.05</v>
      </c>
      <c r="H48" s="141">
        <f>'超用20大－原因別分析'!AL74</f>
        <v>4171.180200000008</v>
      </c>
      <c r="I48" s="142">
        <f>'超用20大－原因別分析'!AL75</f>
        <v>0.05</v>
      </c>
      <c r="J48" s="141">
        <f>'超用20大－原因別分析'!AM74</f>
        <v>0</v>
      </c>
      <c r="K48" s="142">
        <f>'超用20大－原因別分析'!AM75</f>
        <v>0</v>
      </c>
      <c r="L48" s="141"/>
      <c r="M48" s="142"/>
    </row>
    <row r="49" spans="1:14" ht="15.75" customHeight="1">
      <c r="A49" s="225" t="s">
        <v>399</v>
      </c>
      <c r="B49" s="226">
        <f>'生產管理報表(週) '!B6</f>
        <v>36749.311969999995</v>
      </c>
      <c r="E49" s="783" t="s">
        <v>426</v>
      </c>
      <c r="F49" s="784"/>
      <c r="G49" s="784"/>
      <c r="H49" s="784"/>
      <c r="I49" s="784"/>
      <c r="J49" s="784"/>
      <c r="K49" s="784"/>
      <c r="L49" s="784"/>
      <c r="M49" s="784"/>
      <c r="N49" s="442"/>
    </row>
    <row r="50" spans="1:14" ht="15.75" customHeight="1">
      <c r="A50" s="785" t="s">
        <v>180</v>
      </c>
      <c r="B50" s="651" t="s">
        <v>10</v>
      </c>
      <c r="C50" s="651"/>
      <c r="D50" s="652"/>
      <c r="E50" s="650" t="s">
        <v>180</v>
      </c>
      <c r="F50" s="654">
        <v>1</v>
      </c>
      <c r="G50" s="654"/>
      <c r="H50" s="654">
        <v>2</v>
      </c>
      <c r="I50" s="654"/>
      <c r="J50" s="654">
        <v>3</v>
      </c>
      <c r="K50" s="654"/>
      <c r="L50" s="654">
        <v>4</v>
      </c>
      <c r="M50" s="654"/>
    </row>
    <row r="51" spans="1:14" ht="31.35" customHeight="1">
      <c r="A51" s="785"/>
      <c r="B51" s="651"/>
      <c r="C51" s="651"/>
      <c r="D51" s="653"/>
      <c r="E51" s="650"/>
      <c r="F51" s="656" t="s">
        <v>427</v>
      </c>
      <c r="G51" s="656"/>
      <c r="H51" s="656" t="s">
        <v>223</v>
      </c>
      <c r="I51" s="656"/>
      <c r="J51" s="656" t="s">
        <v>166</v>
      </c>
      <c r="K51" s="656"/>
      <c r="L51" s="656" t="s">
        <v>406</v>
      </c>
      <c r="M51" s="656"/>
    </row>
    <row r="52" spans="1:14" ht="15.75" customHeight="1">
      <c r="A52" s="785"/>
      <c r="B52" s="154" t="s">
        <v>11</v>
      </c>
      <c r="C52" s="154" t="s">
        <v>41</v>
      </c>
      <c r="D52" s="653"/>
      <c r="E52" s="650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50000000000001" customHeight="1">
      <c r="A53" s="227" t="s">
        <v>225</v>
      </c>
      <c r="B53" s="139">
        <f>日別報廢率總表!I33</f>
        <v>73849.330800000011</v>
      </c>
      <c r="C53" s="229">
        <f>B53/($B$49*1000)</f>
        <v>2.0095432224768264E-3</v>
      </c>
      <c r="D53" s="653"/>
      <c r="E53" s="138" t="s">
        <v>225</v>
      </c>
      <c r="F53" s="141">
        <f>'報廢20大－原因別分析'!AG96</f>
        <v>10395.9064</v>
      </c>
      <c r="G53" s="142">
        <f>'報廢20大－原因別分析'!AG97</f>
        <v>0.6</v>
      </c>
      <c r="H53" s="141">
        <f>'報廢20大－原因別分析'!AH96</f>
        <v>0</v>
      </c>
      <c r="I53" s="142">
        <f>'報廢20大－原因別分析'!AH97</f>
        <v>0</v>
      </c>
      <c r="J53" s="141">
        <f>'報廢20大－原因別分析'!AI96</f>
        <v>5154.4912000000004</v>
      </c>
      <c r="K53" s="142">
        <f>'報廢20大－原因別分析'!AI97</f>
        <v>0.2</v>
      </c>
      <c r="L53" s="141">
        <f>'報廢20大－原因別分析'!AJ96</f>
        <v>0</v>
      </c>
      <c r="M53" s="142">
        <f>'報廢20大－原因別分析'!AJ97</f>
        <v>0</v>
      </c>
    </row>
    <row r="54" spans="1:14" ht="19.350000000000001" customHeight="1">
      <c r="A54" s="228" t="s">
        <v>226</v>
      </c>
      <c r="B54" s="144">
        <f>日別報廢率總表!J33</f>
        <v>221003.26370985003</v>
      </c>
      <c r="C54" s="140">
        <f>B54/($B$49*1000)</f>
        <v>6.0138068405270889E-3</v>
      </c>
      <c r="D54" s="653"/>
      <c r="E54" s="143" t="s">
        <v>226</v>
      </c>
      <c r="F54" s="141">
        <f>'超用20大－原因別分析'!AG96</f>
        <v>0</v>
      </c>
      <c r="G54" s="142">
        <f>'超用20大－原因別分析'!AG97</f>
        <v>0</v>
      </c>
      <c r="H54" s="141">
        <f>'超用20大－原因別分析'!AH96</f>
        <v>0</v>
      </c>
      <c r="I54" s="142">
        <f>'超用20大－原因別分析'!AH97</f>
        <v>0</v>
      </c>
      <c r="J54" s="141">
        <f>'超用20大－原因別分析'!AI96</f>
        <v>0</v>
      </c>
      <c r="K54" s="142">
        <f>'超用20大－原因別分析'!AI86</f>
        <v>0</v>
      </c>
      <c r="L54" s="141">
        <f>'超用20大－原因別分析'!AJ96</f>
        <v>70125.51270000005</v>
      </c>
      <c r="M54" s="142">
        <f>'超用20大－原因別分析'!AJ97</f>
        <v>0.9</v>
      </c>
    </row>
    <row r="55" spans="1:14" ht="15.75" customHeight="1">
      <c r="A55" s="224" t="s">
        <v>396</v>
      </c>
      <c r="B55" s="377" t="s">
        <v>656</v>
      </c>
      <c r="C55" s="223"/>
      <c r="D55" s="653"/>
      <c r="E55" s="650" t="s">
        <v>180</v>
      </c>
      <c r="F55" s="749">
        <v>5</v>
      </c>
      <c r="G55" s="750"/>
      <c r="H55" s="749">
        <v>6</v>
      </c>
      <c r="I55" s="750"/>
      <c r="J55" s="749">
        <v>7</v>
      </c>
      <c r="K55" s="750"/>
      <c r="L55" s="786"/>
      <c r="M55" s="787"/>
    </row>
    <row r="56" spans="1:14" ht="31.35" customHeight="1">
      <c r="A56" s="135" t="s">
        <v>397</v>
      </c>
      <c r="B56" s="377" t="s">
        <v>656</v>
      </c>
      <c r="C56" s="223"/>
      <c r="D56" s="653"/>
      <c r="E56" s="650"/>
      <c r="F56" s="788" t="s">
        <v>172</v>
      </c>
      <c r="G56" s="789"/>
      <c r="H56" s="788" t="s">
        <v>167</v>
      </c>
      <c r="I56" s="789"/>
      <c r="J56" s="788" t="s">
        <v>173</v>
      </c>
      <c r="K56" s="789"/>
      <c r="L56" s="790"/>
      <c r="M56" s="791"/>
    </row>
    <row r="57" spans="1:14" ht="15.75" customHeight="1">
      <c r="D57" s="653"/>
      <c r="E57" s="650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50000000000001" customHeight="1">
      <c r="D58" s="653"/>
      <c r="E58" s="138" t="s">
        <v>225</v>
      </c>
      <c r="F58" s="141">
        <f>'報廢20大－原因別分析'!AK96</f>
        <v>2084.1171000000004</v>
      </c>
      <c r="G58" s="142">
        <f>'報廢20大－原因別分析'!AK97</f>
        <v>0.1</v>
      </c>
      <c r="H58" s="141">
        <f>'報廢20大－原因別分析'!AL96</f>
        <v>2281.5441000000001</v>
      </c>
      <c r="I58" s="142">
        <f>'報廢20大－原因別分析'!AL97</f>
        <v>0.1</v>
      </c>
      <c r="J58" s="141">
        <f>'報廢20大－原因別分析'!AM96</f>
        <v>0</v>
      </c>
      <c r="K58" s="142">
        <f>'報廢20大－原因別分析'!AM97</f>
        <v>0</v>
      </c>
      <c r="L58" s="141"/>
      <c r="M58" s="142"/>
    </row>
    <row r="59" spans="1:14" ht="19.350000000000001" customHeight="1">
      <c r="D59" s="653"/>
      <c r="E59" s="143" t="s">
        <v>226</v>
      </c>
      <c r="F59" s="141">
        <f>'超用20大－原因別分析'!AK96</f>
        <v>8651.1923999999781</v>
      </c>
      <c r="G59" s="142">
        <f>'超用20大－原因別分析'!AK97</f>
        <v>0.05</v>
      </c>
      <c r="H59" s="141">
        <f>'超用20大－原因別分析'!AL96</f>
        <v>4183.4123999999965</v>
      </c>
      <c r="I59" s="142">
        <f>'超用20大－原因別分析'!AL97</f>
        <v>0.05</v>
      </c>
      <c r="J59" s="141">
        <f>'超用20大－原因別分析'!AM96</f>
        <v>0</v>
      </c>
      <c r="K59" s="142">
        <f>'超用20大－原因別分析'!AM97</f>
        <v>0</v>
      </c>
      <c r="L59" s="141"/>
      <c r="M59" s="142"/>
    </row>
    <row r="60" spans="1:14" ht="15.75" customHeight="1">
      <c r="A60" s="225" t="s">
        <v>399</v>
      </c>
      <c r="B60" s="226"/>
      <c r="E60" s="783" t="s">
        <v>426</v>
      </c>
      <c r="F60" s="784"/>
      <c r="G60" s="784"/>
      <c r="H60" s="784"/>
      <c r="I60" s="784"/>
      <c r="J60" s="784"/>
      <c r="K60" s="784"/>
      <c r="L60" s="784"/>
      <c r="M60" s="784"/>
      <c r="N60" s="442"/>
    </row>
    <row r="61" spans="1:14" ht="15.75" customHeight="1">
      <c r="A61" s="785" t="s">
        <v>180</v>
      </c>
      <c r="B61" s="651" t="s">
        <v>10</v>
      </c>
      <c r="C61" s="651"/>
      <c r="D61" s="652"/>
      <c r="E61" s="650" t="s">
        <v>180</v>
      </c>
      <c r="F61" s="654">
        <v>1</v>
      </c>
      <c r="G61" s="654"/>
      <c r="H61" s="654">
        <v>2</v>
      </c>
      <c r="I61" s="654"/>
      <c r="J61" s="654">
        <v>3</v>
      </c>
      <c r="K61" s="654"/>
      <c r="L61" s="654">
        <v>4</v>
      </c>
      <c r="M61" s="654"/>
    </row>
    <row r="62" spans="1:14" ht="31.35" customHeight="1">
      <c r="A62" s="785"/>
      <c r="B62" s="651"/>
      <c r="C62" s="651"/>
      <c r="D62" s="653"/>
      <c r="E62" s="650"/>
      <c r="F62" s="656" t="s">
        <v>427</v>
      </c>
      <c r="G62" s="656"/>
      <c r="H62" s="656" t="s">
        <v>223</v>
      </c>
      <c r="I62" s="656"/>
      <c r="J62" s="656" t="s">
        <v>166</v>
      </c>
      <c r="K62" s="656"/>
      <c r="L62" s="656" t="s">
        <v>406</v>
      </c>
      <c r="M62" s="656"/>
    </row>
    <row r="63" spans="1:14" ht="15.75" customHeight="1">
      <c r="A63" s="785"/>
      <c r="B63" s="154" t="s">
        <v>11</v>
      </c>
      <c r="C63" s="154" t="s">
        <v>41</v>
      </c>
      <c r="D63" s="653"/>
      <c r="E63" s="650"/>
      <c r="F63" s="154" t="s">
        <v>11</v>
      </c>
      <c r="G63" s="154" t="s">
        <v>41</v>
      </c>
      <c r="H63" s="154" t="s">
        <v>11</v>
      </c>
      <c r="I63" s="154" t="s">
        <v>41</v>
      </c>
      <c r="J63" s="154" t="s">
        <v>11</v>
      </c>
      <c r="K63" s="154" t="s">
        <v>41</v>
      </c>
      <c r="L63" s="154" t="s">
        <v>11</v>
      </c>
      <c r="M63" s="154" t="s">
        <v>41</v>
      </c>
    </row>
    <row r="64" spans="1:14" ht="19.350000000000001" customHeight="1">
      <c r="A64" s="227" t="s">
        <v>225</v>
      </c>
      <c r="B64" s="139">
        <f>日別報廢率總表!I40</f>
        <v>0</v>
      </c>
      <c r="C64" s="229" t="e">
        <f>B64/($B$60*1000)</f>
        <v>#DIV/0!</v>
      </c>
      <c r="D64" s="653"/>
      <c r="E64" s="138" t="s">
        <v>225</v>
      </c>
      <c r="F64" s="141">
        <f>'報廢20大－原因別分析'!AG107</f>
        <v>0</v>
      </c>
      <c r="G64" s="142">
        <f>'報廢20大－原因別分析'!AG108</f>
        <v>0</v>
      </c>
      <c r="H64" s="141">
        <f>'報廢20大－原因別分析'!AH107</f>
        <v>0</v>
      </c>
      <c r="I64" s="142">
        <f>'報廢20大－原因別分析'!AH108</f>
        <v>0</v>
      </c>
      <c r="J64" s="141">
        <f>'報廢20大－原因別分析'!AI107</f>
        <v>0</v>
      </c>
      <c r="K64" s="142">
        <f>'報廢20大－原因別分析'!AI108</f>
        <v>0</v>
      </c>
      <c r="L64" s="141">
        <f>'報廢20大－原因別分析'!AJ107</f>
        <v>0</v>
      </c>
      <c r="M64" s="142">
        <f>'報廢20大－原因別分析'!AJ108</f>
        <v>0</v>
      </c>
    </row>
    <row r="65" spans="1:13" ht="19.350000000000001" customHeight="1">
      <c r="A65" s="228" t="s">
        <v>226</v>
      </c>
      <c r="B65" s="144">
        <f>日別報廢率總表!J40</f>
        <v>0</v>
      </c>
      <c r="C65" s="140" t="e">
        <f>B65/($B$60*1000)</f>
        <v>#DIV/0!</v>
      </c>
      <c r="D65" s="653"/>
      <c r="E65" s="143" t="s">
        <v>226</v>
      </c>
      <c r="F65" s="141">
        <f>'超用20大－原因別分析'!AG107</f>
        <v>0</v>
      </c>
      <c r="G65" s="142">
        <f>'超用20大－原因別分析'!AG108</f>
        <v>0</v>
      </c>
      <c r="H65" s="141">
        <f>'超用20大－原因別分析'!AH107</f>
        <v>0</v>
      </c>
      <c r="I65" s="142">
        <f>'超用20大－原因別分析'!AH108</f>
        <v>0</v>
      </c>
      <c r="J65" s="141">
        <f>'超用20大－原因別分析'!AI107</f>
        <v>0</v>
      </c>
      <c r="K65" s="142">
        <f>'超用20大－原因別分析'!AI97</f>
        <v>0</v>
      </c>
      <c r="L65" s="141">
        <f>'超用20大－原因別分析'!AJ107</f>
        <v>0</v>
      </c>
      <c r="M65" s="142">
        <f>'超用20大－原因別分析'!AJ108</f>
        <v>0</v>
      </c>
    </row>
    <row r="66" spans="1:13" ht="15.75" customHeight="1">
      <c r="A66" s="224" t="s">
        <v>396</v>
      </c>
      <c r="B66" s="377" t="s">
        <v>637</v>
      </c>
      <c r="C66" s="223"/>
      <c r="D66" s="653"/>
      <c r="E66" s="650" t="s">
        <v>180</v>
      </c>
      <c r="F66" s="749">
        <v>5</v>
      </c>
      <c r="G66" s="750"/>
      <c r="H66" s="749">
        <v>6</v>
      </c>
      <c r="I66" s="750"/>
      <c r="J66" s="749">
        <v>7</v>
      </c>
      <c r="K66" s="750"/>
      <c r="L66" s="786"/>
      <c r="M66" s="787"/>
    </row>
    <row r="67" spans="1:13" ht="31.35" customHeight="1">
      <c r="A67" s="135" t="s">
        <v>397</v>
      </c>
      <c r="B67" s="377" t="s">
        <v>637</v>
      </c>
      <c r="C67" s="223"/>
      <c r="D67" s="653"/>
      <c r="E67" s="650"/>
      <c r="F67" s="788" t="s">
        <v>172</v>
      </c>
      <c r="G67" s="789"/>
      <c r="H67" s="788" t="s">
        <v>167</v>
      </c>
      <c r="I67" s="789"/>
      <c r="J67" s="788" t="s">
        <v>173</v>
      </c>
      <c r="K67" s="789"/>
      <c r="L67" s="790"/>
      <c r="M67" s="791"/>
    </row>
    <row r="68" spans="1:13" ht="15.75" customHeight="1">
      <c r="D68" s="653"/>
      <c r="E68" s="650"/>
      <c r="F68" s="154" t="s">
        <v>11</v>
      </c>
      <c r="G68" s="154" t="s">
        <v>41</v>
      </c>
      <c r="H68" s="154" t="s">
        <v>11</v>
      </c>
      <c r="I68" s="154" t="s">
        <v>41</v>
      </c>
      <c r="J68" s="154" t="s">
        <v>11</v>
      </c>
      <c r="K68" s="154" t="s">
        <v>41</v>
      </c>
      <c r="L68" s="154"/>
      <c r="M68" s="154"/>
    </row>
    <row r="69" spans="1:13" ht="19.350000000000001" customHeight="1">
      <c r="D69" s="653"/>
      <c r="E69" s="138" t="s">
        <v>225</v>
      </c>
      <c r="F69" s="141">
        <f>'報廢20大－原因別分析'!AK107</f>
        <v>0</v>
      </c>
      <c r="G69" s="142">
        <f>'報廢20大－原因別分析'!AK108</f>
        <v>0</v>
      </c>
      <c r="H69" s="141">
        <f>'報廢20大－原因別分析'!AL107</f>
        <v>0</v>
      </c>
      <c r="I69" s="142" t="e">
        <f>'報廢20大－原因別分析'!#REF!</f>
        <v>#REF!</v>
      </c>
      <c r="J69" s="141">
        <f>'報廢20大－原因別分析'!AM107</f>
        <v>0</v>
      </c>
      <c r="K69" s="142">
        <f>'報廢20大－原因別分析'!AM108</f>
        <v>0</v>
      </c>
      <c r="L69" s="141"/>
      <c r="M69" s="142"/>
    </row>
    <row r="70" spans="1:13" ht="19.350000000000001" customHeight="1">
      <c r="D70" s="653"/>
      <c r="E70" s="143" t="s">
        <v>226</v>
      </c>
      <c r="F70" s="141">
        <f>'超用20大－原因別分析'!AK107</f>
        <v>0</v>
      </c>
      <c r="G70" s="142">
        <f>'超用20大－原因別分析'!AK108</f>
        <v>0</v>
      </c>
      <c r="H70" s="141">
        <f>'超用20大－原因別分析'!AL107</f>
        <v>0</v>
      </c>
      <c r="I70" s="142">
        <f>'超用20大－原因別分析'!AL108</f>
        <v>0</v>
      </c>
      <c r="J70" s="141">
        <f>'超用20大－原因別分析'!AM107</f>
        <v>0</v>
      </c>
      <c r="K70" s="142">
        <f>'超用20大－原因別分析'!AM108</f>
        <v>0</v>
      </c>
      <c r="L70" s="141"/>
      <c r="M70" s="142"/>
    </row>
  </sheetData>
  <mergeCells count="134"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V170"/>
  <sheetViews>
    <sheetView view="pageBreakPreview" topLeftCell="A125" zoomScaleNormal="60" zoomScaleSheetLayoutView="100" workbookViewId="0">
      <selection activeCell="K142" sqref="K142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19" t="s">
        <v>339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</row>
    <row r="2" spans="1:74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</row>
    <row r="3" spans="1:74" s="135" customFormat="1" ht="15.75" customHeight="1">
      <c r="A3" s="810" t="s">
        <v>619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Q3" s="231"/>
      <c r="R3" s="231"/>
      <c r="S3" s="231"/>
      <c r="T3" s="231"/>
    </row>
    <row r="4" spans="1:74" s="136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74" s="135" customFormat="1" ht="15.75" customHeight="1">
      <c r="A5" s="747" t="s">
        <v>174</v>
      </c>
      <c r="B5" s="740">
        <v>1</v>
      </c>
      <c r="C5" s="741"/>
      <c r="D5" s="740">
        <v>2</v>
      </c>
      <c r="E5" s="741"/>
      <c r="F5" s="740">
        <v>3</v>
      </c>
      <c r="G5" s="741"/>
      <c r="H5" s="749">
        <v>4</v>
      </c>
      <c r="I5" s="750"/>
      <c r="J5" s="749">
        <v>5</v>
      </c>
      <c r="K5" s="750"/>
      <c r="L5" s="749">
        <v>6</v>
      </c>
      <c r="M5" s="750"/>
      <c r="N5" s="749">
        <v>7</v>
      </c>
      <c r="O5" s="750"/>
      <c r="P5" s="351">
        <v>8</v>
      </c>
      <c r="Q5" s="231"/>
      <c r="R5" s="231"/>
      <c r="S5" s="231"/>
      <c r="T5" s="231"/>
    </row>
    <row r="6" spans="1:74" s="135" customFormat="1" ht="15.75" customHeight="1">
      <c r="A6" s="748"/>
      <c r="B6" s="742" t="s">
        <v>427</v>
      </c>
      <c r="C6" s="743"/>
      <c r="D6" s="742" t="s">
        <v>195</v>
      </c>
      <c r="E6" s="743"/>
      <c r="F6" s="742" t="s">
        <v>166</v>
      </c>
      <c r="G6" s="743"/>
      <c r="H6" s="744" t="s">
        <v>406</v>
      </c>
      <c r="I6" s="745"/>
      <c r="J6" s="744" t="s">
        <v>172</v>
      </c>
      <c r="K6" s="745"/>
      <c r="L6" s="744" t="s">
        <v>167</v>
      </c>
      <c r="M6" s="745"/>
      <c r="N6" s="744" t="s">
        <v>173</v>
      </c>
      <c r="O6" s="745"/>
      <c r="P6" s="352" t="s">
        <v>200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749" t="s">
        <v>174</v>
      </c>
      <c r="B8" s="750"/>
      <c r="C8" s="234" t="s">
        <v>47</v>
      </c>
      <c r="D8" s="802" t="s">
        <v>12</v>
      </c>
      <c r="E8" s="664"/>
      <c r="F8" s="792"/>
      <c r="G8" s="803" t="s">
        <v>53</v>
      </c>
      <c r="H8" s="804"/>
      <c r="I8" s="805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06" t="s">
        <v>51</v>
      </c>
      <c r="P8" s="807"/>
    </row>
    <row r="9" spans="1:74" s="135" customFormat="1" ht="66" customHeight="1">
      <c r="A9" s="793">
        <v>1</v>
      </c>
      <c r="B9" s="796" t="s">
        <v>428</v>
      </c>
      <c r="C9" s="236">
        <v>1</v>
      </c>
      <c r="D9" s="237" t="s">
        <v>319</v>
      </c>
      <c r="E9" s="238"/>
      <c r="F9" s="238"/>
      <c r="G9" s="356" t="s">
        <v>364</v>
      </c>
      <c r="H9" s="304"/>
      <c r="I9" s="305"/>
      <c r="J9" s="236">
        <v>127.84000000000002</v>
      </c>
      <c r="K9" s="241">
        <v>2.5210495398472685E-3</v>
      </c>
      <c r="L9" s="236">
        <v>9.27</v>
      </c>
      <c r="M9" s="321">
        <f>L9*J9</f>
        <v>1185.0768</v>
      </c>
      <c r="N9" s="242"/>
      <c r="O9" s="731" t="s">
        <v>604</v>
      </c>
      <c r="P9" s="732"/>
      <c r="Q9" s="231"/>
      <c r="R9" s="384"/>
      <c r="S9" s="260"/>
      <c r="T9" s="231"/>
    </row>
    <row r="10" spans="1:74" s="135" customFormat="1" ht="50.1" customHeight="1">
      <c r="A10" s="794"/>
      <c r="B10" s="797"/>
      <c r="C10" s="236">
        <v>2</v>
      </c>
      <c r="D10" s="237" t="s">
        <v>336</v>
      </c>
      <c r="E10" s="238"/>
      <c r="F10" s="238"/>
      <c r="G10" s="356" t="s">
        <v>563</v>
      </c>
      <c r="H10" s="304"/>
      <c r="I10" s="305"/>
      <c r="J10" s="236">
        <v>426.69</v>
      </c>
      <c r="K10" s="241">
        <v>2.6496792784040098E-3</v>
      </c>
      <c r="L10" s="236">
        <v>2.4</v>
      </c>
      <c r="M10" s="321">
        <f t="shared" ref="M10:M13" si="0">L10*J10</f>
        <v>1024.056</v>
      </c>
      <c r="N10" s="242"/>
      <c r="O10" s="808" t="s">
        <v>556</v>
      </c>
      <c r="P10" s="800"/>
      <c r="Q10" s="231"/>
      <c r="R10" s="385"/>
      <c r="S10" s="385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794"/>
      <c r="B11" s="797"/>
      <c r="C11" s="236">
        <v>3</v>
      </c>
      <c r="D11" s="237" t="s">
        <v>542</v>
      </c>
      <c r="E11" s="238"/>
      <c r="F11" s="238"/>
      <c r="G11" s="356" t="s">
        <v>546</v>
      </c>
      <c r="H11" s="304"/>
      <c r="I11" s="305"/>
      <c r="J11" s="236">
        <v>212.78</v>
      </c>
      <c r="K11" s="241">
        <v>1.1704358669160572E-2</v>
      </c>
      <c r="L11" s="236">
        <v>4.13</v>
      </c>
      <c r="M11" s="321">
        <f t="shared" si="0"/>
        <v>878.78139999999996</v>
      </c>
      <c r="N11" s="242"/>
      <c r="O11" s="809" t="s">
        <v>520</v>
      </c>
      <c r="P11" s="752"/>
      <c r="Q11" s="231"/>
      <c r="R11" s="384"/>
      <c r="S11" s="384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794"/>
      <c r="B12" s="797"/>
      <c r="C12" s="236">
        <v>4</v>
      </c>
      <c r="D12" s="237" t="s">
        <v>562</v>
      </c>
      <c r="E12" s="238"/>
      <c r="F12" s="238"/>
      <c r="G12" s="356" t="s">
        <v>564</v>
      </c>
      <c r="H12" s="304"/>
      <c r="I12" s="305"/>
      <c r="J12" s="236">
        <v>91.13</v>
      </c>
      <c r="K12" s="241">
        <v>1.0720010686615017E-2</v>
      </c>
      <c r="L12" s="236">
        <v>9.6300000000000008</v>
      </c>
      <c r="M12" s="321">
        <f t="shared" si="0"/>
        <v>877.58190000000002</v>
      </c>
      <c r="N12" s="242"/>
      <c r="O12" s="809" t="s">
        <v>520</v>
      </c>
      <c r="P12" s="752"/>
      <c r="Q12" s="231"/>
      <c r="R12" s="385"/>
      <c r="S12" s="385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794"/>
      <c r="B13" s="797"/>
      <c r="C13" s="236">
        <v>5</v>
      </c>
      <c r="D13" s="243" t="s">
        <v>328</v>
      </c>
      <c r="E13" s="244"/>
      <c r="F13" s="244"/>
      <c r="G13" s="512" t="s">
        <v>555</v>
      </c>
      <c r="H13" s="304"/>
      <c r="I13" s="305"/>
      <c r="J13" s="246">
        <v>99.51</v>
      </c>
      <c r="K13" s="247">
        <v>7.0432977461447211E-3</v>
      </c>
      <c r="L13" s="246">
        <v>8.5500000000000007</v>
      </c>
      <c r="M13" s="322">
        <f t="shared" si="0"/>
        <v>850.81050000000016</v>
      </c>
      <c r="N13" s="242"/>
      <c r="O13" s="809" t="s">
        <v>540</v>
      </c>
      <c r="P13" s="752"/>
      <c r="Q13" s="231"/>
      <c r="R13" s="384"/>
      <c r="S13" s="384"/>
      <c r="T13" s="231"/>
      <c r="U13" s="386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795"/>
      <c r="B14" s="798"/>
      <c r="C14" s="666"/>
      <c r="D14" s="667"/>
      <c r="E14" s="667"/>
      <c r="F14" s="667"/>
      <c r="G14" s="667"/>
      <c r="H14" s="667"/>
      <c r="I14" s="801"/>
      <c r="J14" s="248" t="s">
        <v>58</v>
      </c>
      <c r="K14" s="212">
        <f>M14/'生產管理報表 7-1 (週)'!$B$9</f>
        <v>5.660851404212975E-2</v>
      </c>
      <c r="L14" s="248" t="s">
        <v>59</v>
      </c>
      <c r="M14" s="323">
        <f>SUM(M9:M13)</f>
        <v>4816.3066000000008</v>
      </c>
      <c r="N14" s="767"/>
      <c r="O14" s="768"/>
      <c r="P14" s="769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Q15" s="231"/>
      <c r="R15" s="260"/>
      <c r="S15" s="260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49" t="s">
        <v>174</v>
      </c>
      <c r="B16" s="750"/>
      <c r="C16" s="251" t="s">
        <v>47</v>
      </c>
      <c r="D16" s="663" t="s">
        <v>12</v>
      </c>
      <c r="E16" s="664"/>
      <c r="F16" s="665"/>
      <c r="G16" s="663" t="s">
        <v>53</v>
      </c>
      <c r="H16" s="664"/>
      <c r="I16" s="665"/>
      <c r="J16" s="253" t="s">
        <v>54</v>
      </c>
      <c r="K16" s="253" t="s">
        <v>55</v>
      </c>
      <c r="L16" s="253" t="s">
        <v>56</v>
      </c>
      <c r="M16" s="253" t="s">
        <v>11</v>
      </c>
      <c r="N16" s="254" t="s">
        <v>312</v>
      </c>
      <c r="O16" s="758" t="s">
        <v>51</v>
      </c>
      <c r="P16" s="759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793">
        <v>2</v>
      </c>
      <c r="B17" s="796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760"/>
      <c r="P17" s="761"/>
      <c r="Q17" s="231"/>
      <c r="R17" s="260"/>
      <c r="S17" s="260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794"/>
      <c r="B18" s="797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760"/>
      <c r="P18" s="761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794"/>
      <c r="B19" s="797"/>
      <c r="C19" s="255">
        <v>3</v>
      </c>
      <c r="D19" s="237"/>
      <c r="E19" s="238"/>
      <c r="F19" s="239"/>
      <c r="G19" s="237"/>
      <c r="H19" s="238"/>
      <c r="I19" s="267"/>
      <c r="J19" s="256"/>
      <c r="K19" s="257"/>
      <c r="L19" s="256"/>
      <c r="M19" s="258">
        <f t="shared" si="1"/>
        <v>0</v>
      </c>
      <c r="N19" s="259"/>
      <c r="O19" s="760"/>
      <c r="P19" s="761"/>
      <c r="Q19" s="231"/>
      <c r="R19" s="260"/>
      <c r="S19" s="260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794"/>
      <c r="B20" s="797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760"/>
      <c r="P20" s="761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794"/>
      <c r="B21" s="797"/>
      <c r="C21" s="261">
        <v>5</v>
      </c>
      <c r="D21" s="243"/>
      <c r="E21" s="244"/>
      <c r="F21" s="245"/>
      <c r="G21" s="237"/>
      <c r="H21" s="238"/>
      <c r="I21" s="239"/>
      <c r="J21" s="262"/>
      <c r="K21" s="263"/>
      <c r="L21" s="262"/>
      <c r="M21" s="264">
        <f t="shared" si="1"/>
        <v>0</v>
      </c>
      <c r="N21" s="265"/>
      <c r="O21" s="760"/>
      <c r="P21" s="76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795"/>
      <c r="B22" s="798"/>
      <c r="C22" s="666"/>
      <c r="D22" s="667"/>
      <c r="E22" s="667"/>
      <c r="F22" s="667"/>
      <c r="G22" s="667"/>
      <c r="H22" s="667"/>
      <c r="I22" s="801"/>
      <c r="J22" s="248" t="s">
        <v>58</v>
      </c>
      <c r="K22" s="212">
        <f>M22/'生產管理報表 7-1 (週)'!$B$9</f>
        <v>0</v>
      </c>
      <c r="L22" s="248" t="s">
        <v>59</v>
      </c>
      <c r="M22" s="249">
        <f>SUM(M17:M21)</f>
        <v>0</v>
      </c>
      <c r="N22" s="762"/>
      <c r="O22" s="763"/>
      <c r="P22" s="764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49" t="s">
        <v>174</v>
      </c>
      <c r="B24" s="750"/>
      <c r="C24" s="251" t="s">
        <v>47</v>
      </c>
      <c r="D24" s="663" t="s">
        <v>12</v>
      </c>
      <c r="E24" s="664"/>
      <c r="F24" s="665"/>
      <c r="G24" s="663" t="s">
        <v>53</v>
      </c>
      <c r="H24" s="664"/>
      <c r="I24" s="792"/>
      <c r="J24" s="252" t="s">
        <v>54</v>
      </c>
      <c r="K24" s="253" t="s">
        <v>55</v>
      </c>
      <c r="L24" s="253" t="s">
        <v>56</v>
      </c>
      <c r="M24" s="253" t="s">
        <v>11</v>
      </c>
      <c r="N24" s="254" t="s">
        <v>312</v>
      </c>
      <c r="O24" s="756" t="s">
        <v>51</v>
      </c>
      <c r="P24" s="757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793">
        <v>3</v>
      </c>
      <c r="B25" s="796" t="s">
        <v>400</v>
      </c>
      <c r="C25" s="255">
        <v>1</v>
      </c>
      <c r="D25" s="237" t="s">
        <v>319</v>
      </c>
      <c r="E25" s="238"/>
      <c r="F25" s="239"/>
      <c r="G25" s="245" t="s">
        <v>423</v>
      </c>
      <c r="H25" s="244"/>
      <c r="I25" s="245"/>
      <c r="J25" s="256">
        <v>2.4499999999999997</v>
      </c>
      <c r="K25" s="257">
        <v>5.7056489703381829E-3</v>
      </c>
      <c r="L25" s="256">
        <v>755</v>
      </c>
      <c r="M25" s="324">
        <f t="shared" ref="M25:M29" si="2">L25*J25</f>
        <v>1849.7499999999998</v>
      </c>
      <c r="N25" s="269"/>
      <c r="O25" s="799" t="s">
        <v>433</v>
      </c>
      <c r="P25" s="800"/>
      <c r="Q25" s="231"/>
      <c r="R25" s="386"/>
      <c r="S25" s="386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794"/>
      <c r="B26" s="797"/>
      <c r="C26" s="255">
        <v>2</v>
      </c>
      <c r="D26" s="237" t="s">
        <v>319</v>
      </c>
      <c r="E26" s="238"/>
      <c r="F26" s="239"/>
      <c r="G26" s="245" t="s">
        <v>422</v>
      </c>
      <c r="H26" s="244"/>
      <c r="I26" s="245"/>
      <c r="J26" s="256">
        <v>1.17</v>
      </c>
      <c r="K26" s="257">
        <v>7.0824681103530112E-3</v>
      </c>
      <c r="L26" s="256">
        <v>1528</v>
      </c>
      <c r="M26" s="324">
        <f t="shared" si="2"/>
        <v>1787.76</v>
      </c>
      <c r="N26" s="269"/>
      <c r="O26" s="751" t="s">
        <v>489</v>
      </c>
      <c r="P26" s="752"/>
      <c r="Q26" s="231"/>
      <c r="R26" s="386"/>
      <c r="S26" s="392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794"/>
      <c r="B27" s="797"/>
      <c r="C27" s="255">
        <v>3</v>
      </c>
      <c r="D27" s="237" t="s">
        <v>560</v>
      </c>
      <c r="E27" s="238"/>
      <c r="F27" s="239"/>
      <c r="G27" s="245" t="s">
        <v>559</v>
      </c>
      <c r="H27" s="244"/>
      <c r="I27" s="245"/>
      <c r="J27" s="256">
        <v>625.93999999999994</v>
      </c>
      <c r="K27" s="257">
        <v>1.841341708382489E-3</v>
      </c>
      <c r="L27" s="256">
        <v>2.31</v>
      </c>
      <c r="M27" s="324">
        <f t="shared" si="2"/>
        <v>1445.9213999999999</v>
      </c>
      <c r="N27" s="269"/>
      <c r="O27" s="751" t="s">
        <v>527</v>
      </c>
      <c r="P27" s="752"/>
      <c r="Q27" s="386"/>
      <c r="R27" s="386"/>
      <c r="S27" s="392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794"/>
      <c r="B28" s="797"/>
      <c r="C28" s="255">
        <v>4</v>
      </c>
      <c r="D28" s="237" t="s">
        <v>436</v>
      </c>
      <c r="E28" s="238"/>
      <c r="F28" s="239"/>
      <c r="G28" s="374" t="s">
        <v>434</v>
      </c>
      <c r="H28" s="358"/>
      <c r="I28" s="374"/>
      <c r="J28" s="268">
        <v>407.74000000000007</v>
      </c>
      <c r="K28" s="257">
        <v>2.8234402387607182E-3</v>
      </c>
      <c r="L28" s="256">
        <v>2.98</v>
      </c>
      <c r="M28" s="324">
        <f t="shared" si="2"/>
        <v>1215.0652000000002</v>
      </c>
      <c r="N28" s="269"/>
      <c r="O28" s="751" t="s">
        <v>602</v>
      </c>
      <c r="P28" s="752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794"/>
      <c r="B29" s="797"/>
      <c r="C29" s="261">
        <v>5</v>
      </c>
      <c r="D29" s="243" t="s">
        <v>524</v>
      </c>
      <c r="E29" s="244"/>
      <c r="F29" s="245"/>
      <c r="G29" s="270" t="s">
        <v>525</v>
      </c>
      <c r="H29" s="244"/>
      <c r="I29" s="270"/>
      <c r="J29" s="271">
        <v>24.240000000000002</v>
      </c>
      <c r="K29" s="263">
        <v>1.918819188191882E-3</v>
      </c>
      <c r="L29" s="272">
        <v>39</v>
      </c>
      <c r="M29" s="324">
        <f t="shared" si="2"/>
        <v>945.36000000000013</v>
      </c>
      <c r="N29" s="269"/>
      <c r="O29" s="751" t="s">
        <v>638</v>
      </c>
      <c r="P29" s="752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795"/>
      <c r="B30" s="798"/>
      <c r="C30" s="666"/>
      <c r="D30" s="667"/>
      <c r="E30" s="667"/>
      <c r="F30" s="667"/>
      <c r="G30" s="667"/>
      <c r="H30" s="667"/>
      <c r="I30" s="801"/>
      <c r="J30" s="273" t="s">
        <v>58</v>
      </c>
      <c r="K30" s="212">
        <f>M30/'生產管理報表 7-1 (週)'!$B$9</f>
        <v>8.5140750395806236E-2</v>
      </c>
      <c r="L30" s="273" t="s">
        <v>59</v>
      </c>
      <c r="M30" s="325">
        <f>SUM(M25:M29)</f>
        <v>7243.8565999999992</v>
      </c>
      <c r="N30" s="753"/>
      <c r="O30" s="754"/>
      <c r="P30" s="755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10" t="s">
        <v>636</v>
      </c>
      <c r="B31" s="810"/>
      <c r="C31" s="810"/>
      <c r="D31" s="810"/>
      <c r="E31" s="810"/>
      <c r="F31" s="810"/>
      <c r="G31" s="810"/>
      <c r="H31" s="810"/>
      <c r="I31" s="810"/>
      <c r="J31" s="810"/>
      <c r="K31" s="810"/>
      <c r="L31" s="810"/>
      <c r="M31" s="810"/>
      <c r="Q31" s="231"/>
      <c r="R31" s="231"/>
      <c r="S31" s="231"/>
      <c r="T31" s="231"/>
    </row>
    <row r="32" spans="1:35" s="136" customFormat="1" ht="15.75" customHeight="1">
      <c r="A32" s="746"/>
      <c r="B32" s="746"/>
      <c r="C32" s="746"/>
      <c r="D32" s="746"/>
      <c r="E32" s="746"/>
      <c r="F32" s="746"/>
      <c r="G32" s="746"/>
      <c r="H32" s="746"/>
      <c r="I32" s="746"/>
      <c r="J32" s="746"/>
      <c r="K32" s="746"/>
      <c r="L32" s="746"/>
      <c r="M32" s="746"/>
    </row>
    <row r="33" spans="1:74" s="135" customFormat="1" ht="15.75" customHeight="1">
      <c r="A33" s="747" t="s">
        <v>174</v>
      </c>
      <c r="B33" s="740">
        <v>1</v>
      </c>
      <c r="C33" s="741"/>
      <c r="D33" s="740">
        <v>2</v>
      </c>
      <c r="E33" s="741"/>
      <c r="F33" s="740">
        <v>3</v>
      </c>
      <c r="G33" s="741"/>
      <c r="H33" s="749">
        <v>4</v>
      </c>
      <c r="I33" s="750"/>
      <c r="J33" s="749">
        <v>5</v>
      </c>
      <c r="K33" s="750"/>
      <c r="L33" s="749">
        <v>6</v>
      </c>
      <c r="M33" s="750"/>
      <c r="N33" s="749">
        <v>7</v>
      </c>
      <c r="O33" s="750"/>
      <c r="P33" s="351">
        <v>8</v>
      </c>
      <c r="Q33" s="231"/>
      <c r="R33" s="231"/>
      <c r="S33" s="231"/>
      <c r="T33" s="231"/>
    </row>
    <row r="34" spans="1:74" s="135" customFormat="1" ht="15.75" customHeight="1">
      <c r="A34" s="748"/>
      <c r="B34" s="742" t="s">
        <v>427</v>
      </c>
      <c r="C34" s="743"/>
      <c r="D34" s="742" t="s">
        <v>195</v>
      </c>
      <c r="E34" s="743"/>
      <c r="F34" s="742" t="s">
        <v>166</v>
      </c>
      <c r="G34" s="743"/>
      <c r="H34" s="744" t="s">
        <v>406</v>
      </c>
      <c r="I34" s="745"/>
      <c r="J34" s="744" t="s">
        <v>172</v>
      </c>
      <c r="K34" s="745"/>
      <c r="L34" s="744" t="s">
        <v>167</v>
      </c>
      <c r="M34" s="745"/>
      <c r="N34" s="744" t="s">
        <v>173</v>
      </c>
      <c r="O34" s="745"/>
      <c r="P34" s="352" t="s">
        <v>200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49" t="s">
        <v>174</v>
      </c>
      <c r="B36" s="750"/>
      <c r="C36" s="234" t="s">
        <v>47</v>
      </c>
      <c r="D36" s="802" t="s">
        <v>12</v>
      </c>
      <c r="E36" s="664"/>
      <c r="F36" s="792"/>
      <c r="G36" s="803" t="s">
        <v>53</v>
      </c>
      <c r="H36" s="804"/>
      <c r="I36" s="805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312</v>
      </c>
      <c r="O36" s="806" t="s">
        <v>51</v>
      </c>
      <c r="P36" s="807"/>
    </row>
    <row r="37" spans="1:74" s="135" customFormat="1" ht="71.25" customHeight="1">
      <c r="A37" s="793">
        <v>1</v>
      </c>
      <c r="B37" s="796" t="s">
        <v>428</v>
      </c>
      <c r="C37" s="236">
        <v>1</v>
      </c>
      <c r="D37" s="237" t="s">
        <v>319</v>
      </c>
      <c r="E37" s="238"/>
      <c r="F37" s="238"/>
      <c r="G37" s="356" t="s">
        <v>364</v>
      </c>
      <c r="H37" s="304"/>
      <c r="I37" s="305"/>
      <c r="J37" s="236">
        <v>127.84000000000002</v>
      </c>
      <c r="K37" s="241">
        <v>2.4967808799974873E-3</v>
      </c>
      <c r="L37" s="236">
        <v>7.9499999999999993</v>
      </c>
      <c r="M37" s="321">
        <f>L37*J37</f>
        <v>1016.3280000000001</v>
      </c>
      <c r="N37" s="242"/>
      <c r="O37" s="731" t="s">
        <v>604</v>
      </c>
      <c r="P37" s="732"/>
      <c r="Q37" s="231"/>
      <c r="R37" s="384"/>
      <c r="S37" s="260"/>
      <c r="T37" s="231"/>
    </row>
    <row r="38" spans="1:74" s="135" customFormat="1" ht="50.1" customHeight="1">
      <c r="A38" s="794"/>
      <c r="B38" s="797"/>
      <c r="C38" s="236">
        <v>2</v>
      </c>
      <c r="D38" s="237" t="s">
        <v>319</v>
      </c>
      <c r="E38" s="238"/>
      <c r="F38" s="238"/>
      <c r="G38" s="356" t="s">
        <v>545</v>
      </c>
      <c r="H38" s="304"/>
      <c r="I38" s="305"/>
      <c r="J38" s="236">
        <v>144.79999999999998</v>
      </c>
      <c r="K38" s="241">
        <v>3.3888274768588307E-3</v>
      </c>
      <c r="L38" s="236">
        <v>6.07</v>
      </c>
      <c r="M38" s="321">
        <f t="shared" ref="M38:M41" si="3">L38*J38</f>
        <v>878.93599999999992</v>
      </c>
      <c r="N38" s="242"/>
      <c r="O38" s="808" t="s">
        <v>676</v>
      </c>
      <c r="P38" s="800"/>
      <c r="Q38" s="231"/>
      <c r="R38" s="385"/>
      <c r="S38" s="385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794"/>
      <c r="B39" s="797"/>
      <c r="C39" s="236">
        <v>3</v>
      </c>
      <c r="D39" s="237" t="s">
        <v>552</v>
      </c>
      <c r="E39" s="238"/>
      <c r="F39" s="238"/>
      <c r="G39" s="356" t="s">
        <v>661</v>
      </c>
      <c r="H39" s="304"/>
      <c r="I39" s="305"/>
      <c r="J39" s="236">
        <v>351.42</v>
      </c>
      <c r="K39" s="241">
        <v>9.2659127869596462E-3</v>
      </c>
      <c r="L39" s="236">
        <v>2.4500000000000002</v>
      </c>
      <c r="M39" s="321">
        <f t="shared" si="3"/>
        <v>860.97900000000016</v>
      </c>
      <c r="N39" s="242"/>
      <c r="O39" s="809" t="s">
        <v>677</v>
      </c>
      <c r="P39" s="752"/>
      <c r="Q39" s="231"/>
      <c r="R39" s="384"/>
      <c r="S39" s="384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794"/>
      <c r="B40" s="797"/>
      <c r="C40" s="236">
        <v>4</v>
      </c>
      <c r="D40" s="237" t="s">
        <v>562</v>
      </c>
      <c r="E40" s="238"/>
      <c r="F40" s="238"/>
      <c r="G40" s="356" t="s">
        <v>564</v>
      </c>
      <c r="H40" s="304"/>
      <c r="I40" s="305"/>
      <c r="J40" s="236">
        <v>91.13</v>
      </c>
      <c r="K40" s="241">
        <v>8.5980305049607568E-3</v>
      </c>
      <c r="L40" s="236">
        <v>9.2899999999999991</v>
      </c>
      <c r="M40" s="321">
        <f t="shared" si="3"/>
        <v>846.59769999999992</v>
      </c>
      <c r="N40" s="242"/>
      <c r="O40" s="809" t="s">
        <v>520</v>
      </c>
      <c r="P40" s="752"/>
      <c r="Q40" s="231"/>
      <c r="R40" s="385"/>
      <c r="S40" s="385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794"/>
      <c r="B41" s="797"/>
      <c r="C41" s="236">
        <v>5</v>
      </c>
      <c r="D41" s="243" t="s">
        <v>537</v>
      </c>
      <c r="E41" s="244"/>
      <c r="F41" s="244"/>
      <c r="G41" s="356" t="s">
        <v>547</v>
      </c>
      <c r="H41" s="304"/>
      <c r="I41" s="305"/>
      <c r="J41" s="246">
        <v>49.82</v>
      </c>
      <c r="K41" s="247">
        <v>6.6732477788746291E-3</v>
      </c>
      <c r="L41" s="246">
        <v>16.899999999999999</v>
      </c>
      <c r="M41" s="322">
        <f t="shared" si="3"/>
        <v>841.95799999999997</v>
      </c>
      <c r="N41" s="242"/>
      <c r="O41" s="809" t="s">
        <v>520</v>
      </c>
      <c r="P41" s="752"/>
      <c r="Q41" s="231"/>
      <c r="R41" s="384"/>
      <c r="S41" s="384"/>
      <c r="T41" s="231"/>
      <c r="U41" s="386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795"/>
      <c r="B42" s="798"/>
      <c r="C42" s="666"/>
      <c r="D42" s="667"/>
      <c r="E42" s="667"/>
      <c r="F42" s="667"/>
      <c r="G42" s="667"/>
      <c r="H42" s="667"/>
      <c r="I42" s="801"/>
      <c r="J42" s="248" t="s">
        <v>58</v>
      </c>
      <c r="K42" s="212">
        <f>M42/'生產管理報表 7-1 (週)'!$B$20</f>
        <v>5.2990086561444265E-2</v>
      </c>
      <c r="L42" s="248" t="s">
        <v>59</v>
      </c>
      <c r="M42" s="323">
        <f>SUM(M37:M41)</f>
        <v>4444.7987000000003</v>
      </c>
      <c r="N42" s="767"/>
      <c r="O42" s="768"/>
      <c r="P42" s="769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0"/>
      <c r="O43" s="250"/>
      <c r="P43" s="250"/>
      <c r="Q43" s="231"/>
      <c r="R43" s="260"/>
      <c r="S43" s="260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49" t="s">
        <v>174</v>
      </c>
      <c r="B44" s="750"/>
      <c r="C44" s="251" t="s">
        <v>47</v>
      </c>
      <c r="D44" s="663" t="s">
        <v>12</v>
      </c>
      <c r="E44" s="664"/>
      <c r="F44" s="665"/>
      <c r="G44" s="663" t="s">
        <v>53</v>
      </c>
      <c r="H44" s="664"/>
      <c r="I44" s="665"/>
      <c r="J44" s="253" t="s">
        <v>54</v>
      </c>
      <c r="K44" s="253" t="s">
        <v>55</v>
      </c>
      <c r="L44" s="253" t="s">
        <v>56</v>
      </c>
      <c r="M44" s="253" t="s">
        <v>11</v>
      </c>
      <c r="N44" s="254" t="s">
        <v>312</v>
      </c>
      <c r="O44" s="758" t="s">
        <v>51</v>
      </c>
      <c r="P44" s="759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793">
        <v>2</v>
      </c>
      <c r="B45" s="796" t="s">
        <v>196</v>
      </c>
      <c r="C45" s="255">
        <v>1</v>
      </c>
      <c r="D45" s="237"/>
      <c r="E45" s="238"/>
      <c r="F45" s="239"/>
      <c r="G45" s="237"/>
      <c r="H45" s="238"/>
      <c r="I45" s="239"/>
      <c r="J45" s="256"/>
      <c r="K45" s="257"/>
      <c r="L45" s="256"/>
      <c r="M45" s="258">
        <f t="shared" ref="M45:M49" si="4">L45*J45</f>
        <v>0</v>
      </c>
      <c r="N45" s="259"/>
      <c r="O45" s="760"/>
      <c r="P45" s="761"/>
      <c r="Q45" s="231"/>
      <c r="R45" s="260"/>
      <c r="S45" s="260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794"/>
      <c r="B46" s="797"/>
      <c r="C46" s="255">
        <v>2</v>
      </c>
      <c r="D46" s="237"/>
      <c r="E46" s="238"/>
      <c r="F46" s="239"/>
      <c r="G46" s="237"/>
      <c r="H46" s="238"/>
      <c r="I46" s="239"/>
      <c r="J46" s="256"/>
      <c r="K46" s="257"/>
      <c r="L46" s="256"/>
      <c r="M46" s="258">
        <f t="shared" si="4"/>
        <v>0</v>
      </c>
      <c r="N46" s="259"/>
      <c r="O46" s="760"/>
      <c r="P46" s="761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794"/>
      <c r="B47" s="797"/>
      <c r="C47" s="255">
        <v>3</v>
      </c>
      <c r="D47" s="237"/>
      <c r="E47" s="238"/>
      <c r="F47" s="239"/>
      <c r="G47" s="237"/>
      <c r="H47" s="238"/>
      <c r="I47" s="267"/>
      <c r="J47" s="256"/>
      <c r="K47" s="257"/>
      <c r="L47" s="256"/>
      <c r="M47" s="258">
        <f t="shared" si="4"/>
        <v>0</v>
      </c>
      <c r="N47" s="259"/>
      <c r="O47" s="760"/>
      <c r="P47" s="761"/>
      <c r="Q47" s="231"/>
      <c r="R47" s="260"/>
      <c r="S47" s="260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794"/>
      <c r="B48" s="797"/>
      <c r="C48" s="255">
        <v>4</v>
      </c>
      <c r="D48" s="237"/>
      <c r="E48" s="238"/>
      <c r="F48" s="239"/>
      <c r="G48" s="237"/>
      <c r="H48" s="238"/>
      <c r="I48" s="239"/>
      <c r="J48" s="256"/>
      <c r="K48" s="257"/>
      <c r="L48" s="256"/>
      <c r="M48" s="258">
        <f t="shared" si="4"/>
        <v>0</v>
      </c>
      <c r="N48" s="259"/>
      <c r="O48" s="760"/>
      <c r="P48" s="761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794"/>
      <c r="B49" s="797"/>
      <c r="C49" s="261">
        <v>5</v>
      </c>
      <c r="D49" s="243"/>
      <c r="E49" s="244"/>
      <c r="F49" s="245"/>
      <c r="G49" s="237"/>
      <c r="H49" s="238"/>
      <c r="I49" s="239"/>
      <c r="J49" s="262"/>
      <c r="K49" s="263"/>
      <c r="L49" s="262"/>
      <c r="M49" s="264">
        <f t="shared" si="4"/>
        <v>0</v>
      </c>
      <c r="N49" s="265"/>
      <c r="O49" s="760"/>
      <c r="P49" s="76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795"/>
      <c r="B50" s="798"/>
      <c r="C50" s="666"/>
      <c r="D50" s="667"/>
      <c r="E50" s="667"/>
      <c r="F50" s="667"/>
      <c r="G50" s="667"/>
      <c r="H50" s="667"/>
      <c r="I50" s="801"/>
      <c r="J50" s="248" t="s">
        <v>58</v>
      </c>
      <c r="K50" s="212">
        <f>M50/'生產管理報表 7-1 (週)'!$B$20</f>
        <v>0</v>
      </c>
      <c r="L50" s="248" t="s">
        <v>59</v>
      </c>
      <c r="M50" s="249">
        <f>SUM(M45:M49)</f>
        <v>0</v>
      </c>
      <c r="N50" s="762"/>
      <c r="O50" s="763"/>
      <c r="P50" s="764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6"/>
      <c r="O51" s="266"/>
      <c r="P51" s="266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49" t="s">
        <v>174</v>
      </c>
      <c r="B52" s="750"/>
      <c r="C52" s="251" t="s">
        <v>47</v>
      </c>
      <c r="D52" s="663" t="s">
        <v>12</v>
      </c>
      <c r="E52" s="664"/>
      <c r="F52" s="665"/>
      <c r="G52" s="663" t="s">
        <v>53</v>
      </c>
      <c r="H52" s="664"/>
      <c r="I52" s="792"/>
      <c r="J52" s="252" t="s">
        <v>54</v>
      </c>
      <c r="K52" s="253" t="s">
        <v>55</v>
      </c>
      <c r="L52" s="253" t="s">
        <v>56</v>
      </c>
      <c r="M52" s="253" t="s">
        <v>11</v>
      </c>
      <c r="N52" s="254" t="s">
        <v>312</v>
      </c>
      <c r="O52" s="756" t="s">
        <v>51</v>
      </c>
      <c r="P52" s="757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793">
        <v>3</v>
      </c>
      <c r="B53" s="796" t="s">
        <v>400</v>
      </c>
      <c r="C53" s="255">
        <v>1</v>
      </c>
      <c r="D53" s="237" t="s">
        <v>485</v>
      </c>
      <c r="E53" s="238"/>
      <c r="F53" s="239"/>
      <c r="G53" s="245" t="s">
        <v>314</v>
      </c>
      <c r="H53" s="244"/>
      <c r="I53" s="245"/>
      <c r="J53" s="256">
        <v>15.450000000000001</v>
      </c>
      <c r="K53" s="257">
        <v>2.1700940374082879E-3</v>
      </c>
      <c r="L53" s="256">
        <v>126</v>
      </c>
      <c r="M53" s="324">
        <f t="shared" ref="M53:M57" si="5">L53*J53</f>
        <v>1946.7</v>
      </c>
      <c r="N53" s="269"/>
      <c r="O53" s="799" t="s">
        <v>675</v>
      </c>
      <c r="P53" s="800"/>
      <c r="Q53" s="231"/>
      <c r="R53" s="386"/>
      <c r="S53" s="386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794"/>
      <c r="B54" s="797"/>
      <c r="C54" s="255">
        <v>2</v>
      </c>
      <c r="D54" s="237" t="s">
        <v>319</v>
      </c>
      <c r="E54" s="238"/>
      <c r="F54" s="239"/>
      <c r="G54" s="245" t="s">
        <v>423</v>
      </c>
      <c r="H54" s="244"/>
      <c r="I54" s="245"/>
      <c r="J54" s="256">
        <v>2.4499999999999997</v>
      </c>
      <c r="K54" s="257">
        <v>7.367690171269866E-3</v>
      </c>
      <c r="L54" s="256">
        <v>764</v>
      </c>
      <c r="M54" s="324">
        <f t="shared" si="5"/>
        <v>1871.7999999999997</v>
      </c>
      <c r="N54" s="269"/>
      <c r="O54" s="751" t="s">
        <v>433</v>
      </c>
      <c r="P54" s="752"/>
      <c r="Q54" s="231"/>
      <c r="R54" s="386"/>
      <c r="S54" s="392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794"/>
      <c r="B55" s="797"/>
      <c r="C55" s="255">
        <v>3</v>
      </c>
      <c r="D55" s="237" t="s">
        <v>319</v>
      </c>
      <c r="E55" s="238"/>
      <c r="F55" s="239"/>
      <c r="G55" s="245" t="s">
        <v>422</v>
      </c>
      <c r="H55" s="244"/>
      <c r="I55" s="245"/>
      <c r="J55" s="256">
        <v>1.17</v>
      </c>
      <c r="K55" s="257">
        <v>6.2465867187817348E-3</v>
      </c>
      <c r="L55" s="256">
        <v>1384</v>
      </c>
      <c r="M55" s="324">
        <f t="shared" si="5"/>
        <v>1619.28</v>
      </c>
      <c r="N55" s="269"/>
      <c r="O55" s="751" t="s">
        <v>489</v>
      </c>
      <c r="P55" s="752"/>
      <c r="Q55" s="386"/>
      <c r="R55" s="386"/>
      <c r="S55" s="392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794"/>
      <c r="B56" s="797"/>
      <c r="C56" s="255">
        <v>4</v>
      </c>
      <c r="D56" s="237" t="s">
        <v>560</v>
      </c>
      <c r="E56" s="238"/>
      <c r="F56" s="239"/>
      <c r="G56" s="374" t="s">
        <v>559</v>
      </c>
      <c r="H56" s="358"/>
      <c r="I56" s="374"/>
      <c r="J56" s="268">
        <v>625.93999999999994</v>
      </c>
      <c r="K56" s="257">
        <v>1.6049918522097297E-3</v>
      </c>
      <c r="L56" s="256">
        <v>1.96</v>
      </c>
      <c r="M56" s="324">
        <f t="shared" si="5"/>
        <v>1226.8423999999998</v>
      </c>
      <c r="N56" s="269"/>
      <c r="O56" s="751" t="s">
        <v>527</v>
      </c>
      <c r="P56" s="752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794"/>
      <c r="B57" s="797"/>
      <c r="C57" s="261">
        <v>5</v>
      </c>
      <c r="D57" s="243" t="s">
        <v>436</v>
      </c>
      <c r="E57" s="244"/>
      <c r="F57" s="245"/>
      <c r="G57" s="270" t="s">
        <v>434</v>
      </c>
      <c r="H57" s="244"/>
      <c r="I57" s="270"/>
      <c r="J57" s="271">
        <v>407.74000000000007</v>
      </c>
      <c r="K57" s="263">
        <v>2.3447517860413986E-3</v>
      </c>
      <c r="L57" s="272">
        <v>2.5599999999999996</v>
      </c>
      <c r="M57" s="324">
        <f t="shared" si="5"/>
        <v>1043.8144</v>
      </c>
      <c r="N57" s="269"/>
      <c r="O57" s="751" t="s">
        <v>602</v>
      </c>
      <c r="P57" s="752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795"/>
      <c r="B58" s="798"/>
      <c r="C58" s="666"/>
      <c r="D58" s="667"/>
      <c r="E58" s="667"/>
      <c r="F58" s="667"/>
      <c r="G58" s="667"/>
      <c r="H58" s="667"/>
      <c r="I58" s="801"/>
      <c r="J58" s="273" t="s">
        <v>58</v>
      </c>
      <c r="K58" s="212">
        <f>M58/'生產管理報表 7-1 (週)'!$B$20</f>
        <v>9.1898589982359016E-2</v>
      </c>
      <c r="L58" s="273" t="s">
        <v>59</v>
      </c>
      <c r="M58" s="325">
        <f>SUM(M53:M57)</f>
        <v>7708.4367999999995</v>
      </c>
      <c r="N58" s="753"/>
      <c r="O58" s="754"/>
      <c r="P58" s="755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10" t="s">
        <v>674</v>
      </c>
      <c r="B59" s="810"/>
      <c r="C59" s="810"/>
      <c r="D59" s="810"/>
      <c r="E59" s="810"/>
      <c r="F59" s="810"/>
      <c r="G59" s="810"/>
      <c r="H59" s="810"/>
      <c r="I59" s="810"/>
      <c r="J59" s="810"/>
      <c r="K59" s="810"/>
      <c r="L59" s="810"/>
      <c r="M59" s="810"/>
      <c r="Q59" s="231"/>
      <c r="R59" s="231"/>
      <c r="S59" s="231"/>
      <c r="T59" s="231"/>
    </row>
    <row r="60" spans="1:35" s="136" customFormat="1" ht="15.75" customHeight="1">
      <c r="A60" s="746"/>
      <c r="B60" s="746"/>
      <c r="C60" s="746"/>
      <c r="D60" s="746"/>
      <c r="E60" s="746"/>
      <c r="F60" s="746"/>
      <c r="G60" s="746"/>
      <c r="H60" s="746"/>
      <c r="I60" s="746"/>
      <c r="J60" s="746"/>
      <c r="K60" s="746"/>
      <c r="L60" s="746"/>
      <c r="M60" s="746"/>
    </row>
    <row r="61" spans="1:35" s="135" customFormat="1" ht="15.75" customHeight="1">
      <c r="A61" s="747" t="s">
        <v>174</v>
      </c>
      <c r="B61" s="740">
        <v>1</v>
      </c>
      <c r="C61" s="741"/>
      <c r="D61" s="740">
        <v>2</v>
      </c>
      <c r="E61" s="741"/>
      <c r="F61" s="740">
        <v>3</v>
      </c>
      <c r="G61" s="741"/>
      <c r="H61" s="749">
        <v>4</v>
      </c>
      <c r="I61" s="750"/>
      <c r="J61" s="749">
        <v>5</v>
      </c>
      <c r="K61" s="750"/>
      <c r="L61" s="749">
        <v>6</v>
      </c>
      <c r="M61" s="750"/>
      <c r="N61" s="749">
        <v>7</v>
      </c>
      <c r="O61" s="750"/>
      <c r="P61" s="351">
        <v>8</v>
      </c>
      <c r="Q61" s="231"/>
      <c r="R61" s="231"/>
      <c r="S61" s="231"/>
      <c r="T61" s="231"/>
    </row>
    <row r="62" spans="1:35" s="135" customFormat="1" ht="15.75" customHeight="1">
      <c r="A62" s="748"/>
      <c r="B62" s="742" t="s">
        <v>427</v>
      </c>
      <c r="C62" s="743"/>
      <c r="D62" s="742" t="s">
        <v>195</v>
      </c>
      <c r="E62" s="743"/>
      <c r="F62" s="742" t="s">
        <v>166</v>
      </c>
      <c r="G62" s="743"/>
      <c r="H62" s="744" t="s">
        <v>406</v>
      </c>
      <c r="I62" s="745"/>
      <c r="J62" s="744" t="s">
        <v>172</v>
      </c>
      <c r="K62" s="745"/>
      <c r="L62" s="744" t="s">
        <v>167</v>
      </c>
      <c r="M62" s="745"/>
      <c r="N62" s="744" t="s">
        <v>173</v>
      </c>
      <c r="O62" s="745"/>
      <c r="P62" s="352" t="s">
        <v>200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49" t="s">
        <v>174</v>
      </c>
      <c r="B64" s="750"/>
      <c r="C64" s="234" t="s">
        <v>47</v>
      </c>
      <c r="D64" s="802" t="s">
        <v>12</v>
      </c>
      <c r="E64" s="664"/>
      <c r="F64" s="792"/>
      <c r="G64" s="803" t="s">
        <v>53</v>
      </c>
      <c r="H64" s="804"/>
      <c r="I64" s="805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312</v>
      </c>
      <c r="O64" s="806" t="s">
        <v>51</v>
      </c>
      <c r="P64" s="807"/>
    </row>
    <row r="65" spans="1:74" s="135" customFormat="1" ht="65.099999999999994" customHeight="1">
      <c r="A65" s="793">
        <v>1</v>
      </c>
      <c r="B65" s="796" t="s">
        <v>428</v>
      </c>
      <c r="C65" s="236">
        <v>1</v>
      </c>
      <c r="D65" s="237" t="s">
        <v>319</v>
      </c>
      <c r="E65" s="238"/>
      <c r="F65" s="238"/>
      <c r="G65" s="356" t="s">
        <v>364</v>
      </c>
      <c r="H65" s="304"/>
      <c r="I65" s="305"/>
      <c r="J65" s="236">
        <v>127.84000000000002</v>
      </c>
      <c r="K65" s="241">
        <v>2.7568862520318833E-3</v>
      </c>
      <c r="L65" s="236">
        <v>8.09</v>
      </c>
      <c r="M65" s="321">
        <f>L65*J65</f>
        <v>1034.2256000000002</v>
      </c>
      <c r="N65" s="242"/>
      <c r="O65" s="731" t="s">
        <v>705</v>
      </c>
      <c r="P65" s="732"/>
      <c r="Q65" s="231"/>
      <c r="R65" s="384"/>
      <c r="S65" s="260"/>
      <c r="T65" s="231"/>
    </row>
    <row r="66" spans="1:74" s="135" customFormat="1" ht="65.099999999999994" customHeight="1">
      <c r="A66" s="794"/>
      <c r="B66" s="797"/>
      <c r="C66" s="236">
        <v>2</v>
      </c>
      <c r="D66" s="237" t="s">
        <v>336</v>
      </c>
      <c r="E66" s="238"/>
      <c r="F66" s="238"/>
      <c r="G66" s="356" t="s">
        <v>563</v>
      </c>
      <c r="H66" s="304"/>
      <c r="I66" s="305"/>
      <c r="J66" s="236">
        <v>426.69</v>
      </c>
      <c r="K66" s="241">
        <v>1.8775465686083565E-3</v>
      </c>
      <c r="L66" s="236">
        <v>2.41</v>
      </c>
      <c r="M66" s="321">
        <f t="shared" ref="M66:M69" si="6">L66*J66</f>
        <v>1028.3229000000001</v>
      </c>
      <c r="N66" s="242"/>
      <c r="O66" s="808" t="s">
        <v>706</v>
      </c>
      <c r="P66" s="800"/>
      <c r="Q66" s="231"/>
      <c r="R66" s="385"/>
      <c r="S66" s="385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65.099999999999994" customHeight="1">
      <c r="A67" s="794"/>
      <c r="B67" s="797"/>
      <c r="C67" s="236">
        <v>3</v>
      </c>
      <c r="D67" s="237" t="s">
        <v>319</v>
      </c>
      <c r="E67" s="238"/>
      <c r="F67" s="238"/>
      <c r="G67" s="356" t="s">
        <v>545</v>
      </c>
      <c r="H67" s="304"/>
      <c r="I67" s="305"/>
      <c r="J67" s="236">
        <v>144.79999999999998</v>
      </c>
      <c r="K67" s="241">
        <v>3.7245339661304082E-3</v>
      </c>
      <c r="L67" s="236">
        <v>5.98</v>
      </c>
      <c r="M67" s="321">
        <f t="shared" si="6"/>
        <v>865.904</v>
      </c>
      <c r="N67" s="242"/>
      <c r="O67" s="809" t="s">
        <v>707</v>
      </c>
      <c r="P67" s="752"/>
      <c r="Q67" s="231"/>
      <c r="R67" s="384"/>
      <c r="S67" s="384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65.099999999999994" customHeight="1">
      <c r="A68" s="794"/>
      <c r="B68" s="797"/>
      <c r="C68" s="236">
        <v>4</v>
      </c>
      <c r="D68" s="237" t="s">
        <v>411</v>
      </c>
      <c r="E68" s="238"/>
      <c r="F68" s="238"/>
      <c r="G68" s="356" t="s">
        <v>435</v>
      </c>
      <c r="H68" s="304"/>
      <c r="I68" s="305"/>
      <c r="J68" s="236">
        <v>160.49</v>
      </c>
      <c r="K68" s="241">
        <v>7.7447964648751626E-3</v>
      </c>
      <c r="L68" s="236">
        <v>4.96</v>
      </c>
      <c r="M68" s="321">
        <f t="shared" si="6"/>
        <v>796.03039999999999</v>
      </c>
      <c r="N68" s="242"/>
      <c r="O68" s="809" t="s">
        <v>708</v>
      </c>
      <c r="P68" s="752"/>
      <c r="Q68" s="231"/>
      <c r="R68" s="385"/>
      <c r="S68" s="385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65.099999999999994" customHeight="1" thickBot="1">
      <c r="A69" s="794"/>
      <c r="B69" s="797"/>
      <c r="C69" s="236">
        <v>5</v>
      </c>
      <c r="D69" s="243" t="s">
        <v>684</v>
      </c>
      <c r="E69" s="244"/>
      <c r="F69" s="244"/>
      <c r="G69" s="356" t="s">
        <v>682</v>
      </c>
      <c r="H69" s="304"/>
      <c r="I69" s="305"/>
      <c r="J69" s="246">
        <v>294.63999999999993</v>
      </c>
      <c r="K69" s="247">
        <v>1.2801847482303329E-2</v>
      </c>
      <c r="L69" s="246">
        <v>2.5500000000000003</v>
      </c>
      <c r="M69" s="322">
        <f t="shared" si="6"/>
        <v>751.33199999999988</v>
      </c>
      <c r="N69" s="242"/>
      <c r="O69" s="809" t="s">
        <v>706</v>
      </c>
      <c r="P69" s="752"/>
      <c r="Q69" s="231"/>
      <c r="R69" s="384"/>
      <c r="S69" s="384"/>
      <c r="T69" s="231"/>
      <c r="U69" s="386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795"/>
      <c r="B70" s="798"/>
      <c r="C70" s="666"/>
      <c r="D70" s="667"/>
      <c r="E70" s="667"/>
      <c r="F70" s="667"/>
      <c r="G70" s="667"/>
      <c r="H70" s="667"/>
      <c r="I70" s="801"/>
      <c r="J70" s="248" t="s">
        <v>58</v>
      </c>
      <c r="K70" s="212">
        <f>M70/'生產管理報表 7-1 (週)'!$B$31</f>
        <v>5.8264783313044514E-2</v>
      </c>
      <c r="L70" s="248" t="s">
        <v>59</v>
      </c>
      <c r="M70" s="323">
        <f>SUM(M65:M69)</f>
        <v>4475.8149000000003</v>
      </c>
      <c r="N70" s="767"/>
      <c r="O70" s="768"/>
      <c r="P70" s="769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0"/>
      <c r="O71" s="250"/>
      <c r="P71" s="250"/>
      <c r="Q71" s="231"/>
      <c r="R71" s="260"/>
      <c r="S71" s="260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49" t="s">
        <v>174</v>
      </c>
      <c r="B72" s="750"/>
      <c r="C72" s="251" t="s">
        <v>47</v>
      </c>
      <c r="D72" s="663" t="s">
        <v>12</v>
      </c>
      <c r="E72" s="664"/>
      <c r="F72" s="665"/>
      <c r="G72" s="663" t="s">
        <v>53</v>
      </c>
      <c r="H72" s="664"/>
      <c r="I72" s="665"/>
      <c r="J72" s="253" t="s">
        <v>54</v>
      </c>
      <c r="K72" s="253" t="s">
        <v>55</v>
      </c>
      <c r="L72" s="253" t="s">
        <v>56</v>
      </c>
      <c r="M72" s="253" t="s">
        <v>11</v>
      </c>
      <c r="N72" s="254" t="s">
        <v>312</v>
      </c>
      <c r="O72" s="758" t="s">
        <v>51</v>
      </c>
      <c r="P72" s="759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793">
        <v>2</v>
      </c>
      <c r="B73" s="796" t="s">
        <v>196</v>
      </c>
      <c r="C73" s="255">
        <v>1</v>
      </c>
      <c r="D73" s="237"/>
      <c r="E73" s="238"/>
      <c r="F73" s="239"/>
      <c r="G73" s="237"/>
      <c r="H73" s="238"/>
      <c r="I73" s="239"/>
      <c r="J73" s="256"/>
      <c r="K73" s="257"/>
      <c r="L73" s="256"/>
      <c r="M73" s="258">
        <f t="shared" ref="M73:M77" si="7">L73*J73</f>
        <v>0</v>
      </c>
      <c r="N73" s="259"/>
      <c r="O73" s="760"/>
      <c r="P73" s="761"/>
      <c r="Q73" s="231"/>
      <c r="R73" s="260"/>
      <c r="S73" s="260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794"/>
      <c r="B74" s="797"/>
      <c r="C74" s="255">
        <v>2</v>
      </c>
      <c r="D74" s="237"/>
      <c r="E74" s="238"/>
      <c r="F74" s="239"/>
      <c r="G74" s="237"/>
      <c r="H74" s="238"/>
      <c r="I74" s="239"/>
      <c r="J74" s="256"/>
      <c r="K74" s="257"/>
      <c r="L74" s="256"/>
      <c r="M74" s="258">
        <f t="shared" si="7"/>
        <v>0</v>
      </c>
      <c r="N74" s="259"/>
      <c r="O74" s="760"/>
      <c r="P74" s="761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794"/>
      <c r="B75" s="797"/>
      <c r="C75" s="255">
        <v>3</v>
      </c>
      <c r="D75" s="237"/>
      <c r="E75" s="238"/>
      <c r="F75" s="239"/>
      <c r="G75" s="237"/>
      <c r="H75" s="238"/>
      <c r="I75" s="267"/>
      <c r="J75" s="256"/>
      <c r="K75" s="257"/>
      <c r="L75" s="256"/>
      <c r="M75" s="258">
        <f t="shared" si="7"/>
        <v>0</v>
      </c>
      <c r="N75" s="259"/>
      <c r="O75" s="760"/>
      <c r="P75" s="761"/>
      <c r="Q75" s="231"/>
      <c r="R75" s="260"/>
      <c r="S75" s="260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794"/>
      <c r="B76" s="797"/>
      <c r="C76" s="255">
        <v>4</v>
      </c>
      <c r="D76" s="237"/>
      <c r="E76" s="238"/>
      <c r="F76" s="239"/>
      <c r="G76" s="237"/>
      <c r="H76" s="238"/>
      <c r="I76" s="239"/>
      <c r="J76" s="256"/>
      <c r="K76" s="257"/>
      <c r="L76" s="256"/>
      <c r="M76" s="258">
        <f t="shared" si="7"/>
        <v>0</v>
      </c>
      <c r="N76" s="259"/>
      <c r="O76" s="760"/>
      <c r="P76" s="761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794"/>
      <c r="B77" s="797"/>
      <c r="C77" s="261">
        <v>5</v>
      </c>
      <c r="D77" s="243"/>
      <c r="E77" s="244"/>
      <c r="F77" s="245"/>
      <c r="G77" s="237"/>
      <c r="H77" s="238"/>
      <c r="I77" s="239"/>
      <c r="J77" s="262"/>
      <c r="K77" s="263"/>
      <c r="L77" s="262"/>
      <c r="M77" s="264">
        <f t="shared" si="7"/>
        <v>0</v>
      </c>
      <c r="N77" s="265"/>
      <c r="O77" s="760"/>
      <c r="P77" s="76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795"/>
      <c r="B78" s="798"/>
      <c r="C78" s="666"/>
      <c r="D78" s="667"/>
      <c r="E78" s="667"/>
      <c r="F78" s="667"/>
      <c r="G78" s="667"/>
      <c r="H78" s="667"/>
      <c r="I78" s="801"/>
      <c r="J78" s="248" t="s">
        <v>58</v>
      </c>
      <c r="K78" s="212">
        <f>M78/'生產管理報表 7-1 (週)'!$B$31</f>
        <v>0</v>
      </c>
      <c r="L78" s="248" t="s">
        <v>59</v>
      </c>
      <c r="M78" s="249">
        <f>SUM(M73:M77)</f>
        <v>0</v>
      </c>
      <c r="N78" s="762"/>
      <c r="O78" s="763"/>
      <c r="P78" s="764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6"/>
      <c r="O79" s="266"/>
      <c r="P79" s="266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49" t="s">
        <v>174</v>
      </c>
      <c r="B80" s="750"/>
      <c r="C80" s="251" t="s">
        <v>47</v>
      </c>
      <c r="D80" s="663" t="s">
        <v>12</v>
      </c>
      <c r="E80" s="664"/>
      <c r="F80" s="665"/>
      <c r="G80" s="663" t="s">
        <v>53</v>
      </c>
      <c r="H80" s="664"/>
      <c r="I80" s="792"/>
      <c r="J80" s="252" t="s">
        <v>54</v>
      </c>
      <c r="K80" s="253" t="s">
        <v>55</v>
      </c>
      <c r="L80" s="253" t="s">
        <v>56</v>
      </c>
      <c r="M80" s="253" t="s">
        <v>11</v>
      </c>
      <c r="N80" s="254" t="s">
        <v>312</v>
      </c>
      <c r="O80" s="756" t="s">
        <v>51</v>
      </c>
      <c r="P80" s="757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793">
        <v>3</v>
      </c>
      <c r="B81" s="796" t="s">
        <v>400</v>
      </c>
      <c r="C81" s="255">
        <v>1</v>
      </c>
      <c r="D81" s="237" t="s">
        <v>319</v>
      </c>
      <c r="E81" s="238"/>
      <c r="F81" s="239"/>
      <c r="G81" s="245" t="s">
        <v>422</v>
      </c>
      <c r="H81" s="244"/>
      <c r="I81" s="245"/>
      <c r="J81" s="256">
        <v>1.17</v>
      </c>
      <c r="K81" s="257">
        <v>6.8101039151314538E-3</v>
      </c>
      <c r="L81" s="256">
        <v>1506</v>
      </c>
      <c r="M81" s="324">
        <f t="shared" ref="M81:M85" si="8">L81*J81</f>
        <v>1762.02</v>
      </c>
      <c r="N81" s="269"/>
      <c r="O81" s="799" t="s">
        <v>699</v>
      </c>
      <c r="P81" s="800"/>
      <c r="Q81" s="231"/>
      <c r="R81" s="386"/>
      <c r="S81" s="386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794"/>
      <c r="B82" s="797"/>
      <c r="C82" s="255">
        <v>2</v>
      </c>
      <c r="D82" s="237" t="s">
        <v>331</v>
      </c>
      <c r="E82" s="238"/>
      <c r="F82" s="239"/>
      <c r="G82" s="245" t="s">
        <v>423</v>
      </c>
      <c r="H82" s="244"/>
      <c r="I82" s="245"/>
      <c r="J82" s="256">
        <v>2.4499999999999997</v>
      </c>
      <c r="K82" s="257">
        <v>6.512983117662182E-3</v>
      </c>
      <c r="L82" s="256">
        <v>608</v>
      </c>
      <c r="M82" s="324">
        <f t="shared" si="8"/>
        <v>1489.6</v>
      </c>
      <c r="N82" s="269"/>
      <c r="O82" s="751" t="s">
        <v>700</v>
      </c>
      <c r="P82" s="752"/>
      <c r="Q82" s="231"/>
      <c r="R82" s="386"/>
      <c r="S82" s="392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794"/>
      <c r="B83" s="797"/>
      <c r="C83" s="255">
        <v>3</v>
      </c>
      <c r="D83" s="237" t="s">
        <v>560</v>
      </c>
      <c r="E83" s="238"/>
      <c r="F83" s="239"/>
      <c r="G83" s="245" t="s">
        <v>559</v>
      </c>
      <c r="H83" s="244"/>
      <c r="I83" s="245"/>
      <c r="J83" s="256">
        <v>625.93999999999994</v>
      </c>
      <c r="K83" s="257">
        <v>1.7721560147625473E-3</v>
      </c>
      <c r="L83" s="256">
        <v>2.1800000000000002</v>
      </c>
      <c r="M83" s="324">
        <f t="shared" si="8"/>
        <v>1364.5491999999999</v>
      </c>
      <c r="N83" s="269"/>
      <c r="O83" s="751" t="s">
        <v>701</v>
      </c>
      <c r="P83" s="752"/>
      <c r="Q83" s="386"/>
      <c r="R83" s="386"/>
      <c r="S83" s="392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794"/>
      <c r="B84" s="797"/>
      <c r="C84" s="255">
        <v>4</v>
      </c>
      <c r="D84" s="237" t="s">
        <v>436</v>
      </c>
      <c r="E84" s="238"/>
      <c r="F84" s="239"/>
      <c r="G84" s="374" t="s">
        <v>434</v>
      </c>
      <c r="H84" s="358"/>
      <c r="I84" s="374"/>
      <c r="J84" s="268">
        <v>407.74000000000007</v>
      </c>
      <c r="K84" s="257">
        <v>2.7883350051073463E-3</v>
      </c>
      <c r="L84" s="256">
        <v>3.0300000000000002</v>
      </c>
      <c r="M84" s="324">
        <f t="shared" si="8"/>
        <v>1235.4522000000004</v>
      </c>
      <c r="N84" s="269"/>
      <c r="O84" s="751" t="s">
        <v>701</v>
      </c>
      <c r="P84" s="752"/>
      <c r="Q84" s="231"/>
      <c r="R84" s="386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794"/>
      <c r="B85" s="797"/>
      <c r="C85" s="261">
        <v>5</v>
      </c>
      <c r="D85" s="243" t="s">
        <v>524</v>
      </c>
      <c r="E85" s="244"/>
      <c r="F85" s="245"/>
      <c r="G85" s="270" t="s">
        <v>525</v>
      </c>
      <c r="H85" s="244"/>
      <c r="I85" s="270"/>
      <c r="J85" s="271">
        <v>24.240000000000002</v>
      </c>
      <c r="K85" s="263">
        <v>1.5900549291702805E-3</v>
      </c>
      <c r="L85" s="272">
        <v>33</v>
      </c>
      <c r="M85" s="324">
        <f t="shared" si="8"/>
        <v>799.92000000000007</v>
      </c>
      <c r="N85" s="269"/>
      <c r="O85" s="751" t="s">
        <v>702</v>
      </c>
      <c r="P85" s="752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795"/>
      <c r="B86" s="798"/>
      <c r="C86" s="666"/>
      <c r="D86" s="667"/>
      <c r="E86" s="667"/>
      <c r="F86" s="667"/>
      <c r="G86" s="667"/>
      <c r="H86" s="667"/>
      <c r="I86" s="801"/>
      <c r="J86" s="273" t="s">
        <v>58</v>
      </c>
      <c r="K86" s="212">
        <f>M86/'生產管理報表 7-1 (週)'!$B$31</f>
        <v>8.6587722465632969E-2</v>
      </c>
      <c r="L86" s="273" t="s">
        <v>59</v>
      </c>
      <c r="M86" s="325">
        <f>SUM(M81:M85)</f>
        <v>6651.541400000001</v>
      </c>
      <c r="N86" s="753"/>
      <c r="O86" s="754"/>
      <c r="P86" s="755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10" t="s">
        <v>697</v>
      </c>
      <c r="B87" s="810"/>
      <c r="C87" s="810"/>
      <c r="D87" s="810"/>
      <c r="E87" s="810"/>
      <c r="F87" s="810"/>
      <c r="G87" s="810"/>
      <c r="H87" s="810"/>
      <c r="I87" s="810"/>
      <c r="J87" s="810"/>
      <c r="K87" s="810"/>
      <c r="L87" s="810"/>
      <c r="M87" s="810"/>
      <c r="Q87" s="231"/>
      <c r="R87" s="231"/>
      <c r="S87" s="231"/>
      <c r="T87" s="231"/>
    </row>
    <row r="88" spans="1:74" s="136" customFormat="1" ht="15.75" customHeight="1">
      <c r="A88" s="746"/>
      <c r="B88" s="746"/>
      <c r="C88" s="746"/>
      <c r="D88" s="746"/>
      <c r="E88" s="746"/>
      <c r="F88" s="746"/>
      <c r="G88" s="746"/>
      <c r="H88" s="746"/>
      <c r="I88" s="746"/>
      <c r="J88" s="746"/>
      <c r="K88" s="746"/>
      <c r="L88" s="746"/>
      <c r="M88" s="746"/>
    </row>
    <row r="89" spans="1:74" s="135" customFormat="1" ht="15.75" customHeight="1">
      <c r="A89" s="747" t="s">
        <v>174</v>
      </c>
      <c r="B89" s="740">
        <v>1</v>
      </c>
      <c r="C89" s="741"/>
      <c r="D89" s="740">
        <v>2</v>
      </c>
      <c r="E89" s="741"/>
      <c r="F89" s="740">
        <v>3</v>
      </c>
      <c r="G89" s="741"/>
      <c r="H89" s="749">
        <v>4</v>
      </c>
      <c r="I89" s="750"/>
      <c r="J89" s="749">
        <v>5</v>
      </c>
      <c r="K89" s="750"/>
      <c r="L89" s="749">
        <v>6</v>
      </c>
      <c r="M89" s="750"/>
      <c r="N89" s="749">
        <v>7</v>
      </c>
      <c r="O89" s="750"/>
      <c r="P89" s="351">
        <v>8</v>
      </c>
      <c r="Q89" s="231"/>
      <c r="R89" s="231"/>
      <c r="S89" s="231"/>
      <c r="T89" s="231"/>
    </row>
    <row r="90" spans="1:74" s="135" customFormat="1" ht="15.75" customHeight="1">
      <c r="A90" s="748"/>
      <c r="B90" s="742" t="s">
        <v>427</v>
      </c>
      <c r="C90" s="743"/>
      <c r="D90" s="742" t="s">
        <v>195</v>
      </c>
      <c r="E90" s="743"/>
      <c r="F90" s="742" t="s">
        <v>166</v>
      </c>
      <c r="G90" s="743"/>
      <c r="H90" s="744" t="s">
        <v>406</v>
      </c>
      <c r="I90" s="745"/>
      <c r="J90" s="744" t="s">
        <v>172</v>
      </c>
      <c r="K90" s="745"/>
      <c r="L90" s="744" t="s">
        <v>167</v>
      </c>
      <c r="M90" s="745"/>
      <c r="N90" s="744" t="s">
        <v>173</v>
      </c>
      <c r="O90" s="745"/>
      <c r="P90" s="352" t="s">
        <v>200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749" t="s">
        <v>174</v>
      </c>
      <c r="B92" s="750"/>
      <c r="C92" s="234" t="s">
        <v>47</v>
      </c>
      <c r="D92" s="802" t="s">
        <v>12</v>
      </c>
      <c r="E92" s="664"/>
      <c r="F92" s="792"/>
      <c r="G92" s="803" t="s">
        <v>53</v>
      </c>
      <c r="H92" s="804"/>
      <c r="I92" s="805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312</v>
      </c>
      <c r="O92" s="806" t="s">
        <v>51</v>
      </c>
      <c r="P92" s="807"/>
    </row>
    <row r="93" spans="1:74" s="135" customFormat="1" ht="69.95" customHeight="1">
      <c r="A93" s="793">
        <v>1</v>
      </c>
      <c r="B93" s="796" t="s">
        <v>428</v>
      </c>
      <c r="C93" s="236">
        <v>1</v>
      </c>
      <c r="D93" s="237" t="s">
        <v>319</v>
      </c>
      <c r="E93" s="238"/>
      <c r="F93" s="238"/>
      <c r="G93" s="356" t="s">
        <v>364</v>
      </c>
      <c r="H93" s="304"/>
      <c r="I93" s="305"/>
      <c r="J93" s="236">
        <v>127.84000000000002</v>
      </c>
      <c r="K93" s="241">
        <v>2.8403215354281851E-3</v>
      </c>
      <c r="L93" s="236">
        <v>14.42</v>
      </c>
      <c r="M93" s="321">
        <f>L93*J93</f>
        <v>1843.4528000000003</v>
      </c>
      <c r="N93" s="242"/>
      <c r="O93" s="731" t="s">
        <v>750</v>
      </c>
      <c r="P93" s="732"/>
      <c r="Q93" s="231"/>
      <c r="R93" s="384"/>
      <c r="S93" s="260"/>
      <c r="T93" s="231"/>
    </row>
    <row r="94" spans="1:74" s="135" customFormat="1" ht="69.95" customHeight="1">
      <c r="A94" s="794"/>
      <c r="B94" s="797"/>
      <c r="C94" s="236">
        <v>2</v>
      </c>
      <c r="D94" s="237" t="s">
        <v>720</v>
      </c>
      <c r="E94" s="238"/>
      <c r="F94" s="238"/>
      <c r="G94" s="356" t="s">
        <v>723</v>
      </c>
      <c r="H94" s="304"/>
      <c r="I94" s="305"/>
      <c r="J94" s="236">
        <v>440.17999999999995</v>
      </c>
      <c r="K94" s="241">
        <v>2.1140207310420076E-3</v>
      </c>
      <c r="L94" s="236">
        <v>2.79</v>
      </c>
      <c r="M94" s="321">
        <f t="shared" ref="M94:M97" si="9">L94*J94</f>
        <v>1228.1021999999998</v>
      </c>
      <c r="N94" s="242"/>
      <c r="O94" s="808" t="s">
        <v>751</v>
      </c>
      <c r="P94" s="800"/>
      <c r="Q94" s="231"/>
      <c r="R94" s="385"/>
      <c r="S94" s="385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69.95" customHeight="1">
      <c r="A95" s="794"/>
      <c r="B95" s="797"/>
      <c r="C95" s="236">
        <v>3</v>
      </c>
      <c r="D95" s="237" t="s">
        <v>411</v>
      </c>
      <c r="E95" s="238"/>
      <c r="F95" s="238"/>
      <c r="G95" s="356" t="s">
        <v>435</v>
      </c>
      <c r="H95" s="304"/>
      <c r="I95" s="305"/>
      <c r="J95" s="236">
        <v>160.49</v>
      </c>
      <c r="K95" s="241">
        <v>9.0029674585477872E-3</v>
      </c>
      <c r="L95" s="236">
        <v>5.3699999999999992</v>
      </c>
      <c r="M95" s="321">
        <f t="shared" si="9"/>
        <v>861.83129999999994</v>
      </c>
      <c r="N95" s="242"/>
      <c r="O95" s="809" t="s">
        <v>752</v>
      </c>
      <c r="P95" s="752"/>
      <c r="Q95" s="231"/>
      <c r="R95" s="384"/>
      <c r="S95" s="384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69.95" customHeight="1">
      <c r="A96" s="794"/>
      <c r="B96" s="797"/>
      <c r="C96" s="236">
        <v>4</v>
      </c>
      <c r="D96" s="237" t="s">
        <v>549</v>
      </c>
      <c r="E96" s="238"/>
      <c r="F96" s="238"/>
      <c r="G96" s="356" t="s">
        <v>554</v>
      </c>
      <c r="H96" s="304"/>
      <c r="I96" s="305"/>
      <c r="J96" s="236">
        <v>108.96000000000001</v>
      </c>
      <c r="K96" s="241">
        <v>3.5070605722779639E-2</v>
      </c>
      <c r="L96" s="236">
        <v>7.5500000000000007</v>
      </c>
      <c r="M96" s="321">
        <f t="shared" si="9"/>
        <v>822.64800000000014</v>
      </c>
      <c r="N96" s="242"/>
      <c r="O96" s="809" t="s">
        <v>753</v>
      </c>
      <c r="P96" s="752"/>
      <c r="Q96" s="231"/>
      <c r="R96" s="385"/>
      <c r="S96" s="385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69.95" customHeight="1" thickBot="1">
      <c r="A97" s="794"/>
      <c r="B97" s="797"/>
      <c r="C97" s="236">
        <v>5</v>
      </c>
      <c r="D97" s="243" t="s">
        <v>552</v>
      </c>
      <c r="E97" s="244"/>
      <c r="F97" s="244"/>
      <c r="G97" s="356" t="s">
        <v>661</v>
      </c>
      <c r="H97" s="304"/>
      <c r="I97" s="305"/>
      <c r="J97" s="246">
        <v>351.42</v>
      </c>
      <c r="K97" s="247">
        <v>9.1047040971168457E-3</v>
      </c>
      <c r="L97" s="246">
        <v>2.3400000000000003</v>
      </c>
      <c r="M97" s="322">
        <f t="shared" si="9"/>
        <v>822.32280000000014</v>
      </c>
      <c r="N97" s="242"/>
      <c r="O97" s="809" t="s">
        <v>754</v>
      </c>
      <c r="P97" s="752"/>
      <c r="Q97" s="231"/>
      <c r="R97" s="384"/>
      <c r="S97" s="384"/>
      <c r="T97" s="231"/>
      <c r="U97" s="386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795"/>
      <c r="B98" s="798"/>
      <c r="C98" s="666"/>
      <c r="D98" s="667"/>
      <c r="E98" s="667"/>
      <c r="F98" s="667"/>
      <c r="G98" s="667"/>
      <c r="H98" s="667"/>
      <c r="I98" s="801"/>
      <c r="J98" s="248" t="s">
        <v>58</v>
      </c>
      <c r="K98" s="212">
        <f>M98/'生產管理報表 7-1 (週)'!$B$42</f>
        <v>7.0209476727391348E-2</v>
      </c>
      <c r="L98" s="248" t="s">
        <v>59</v>
      </c>
      <c r="M98" s="323">
        <f>SUM(M93:M97)</f>
        <v>5578.3571000000002</v>
      </c>
      <c r="N98" s="767"/>
      <c r="O98" s="768"/>
      <c r="P98" s="769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0"/>
      <c r="O99" s="250"/>
      <c r="P99" s="250"/>
      <c r="Q99" s="231"/>
      <c r="R99" s="260"/>
      <c r="S99" s="260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749" t="s">
        <v>174</v>
      </c>
      <c r="B100" s="750"/>
      <c r="C100" s="251" t="s">
        <v>47</v>
      </c>
      <c r="D100" s="663" t="s">
        <v>12</v>
      </c>
      <c r="E100" s="664"/>
      <c r="F100" s="665"/>
      <c r="G100" s="663" t="s">
        <v>53</v>
      </c>
      <c r="H100" s="664"/>
      <c r="I100" s="665"/>
      <c r="J100" s="253" t="s">
        <v>54</v>
      </c>
      <c r="K100" s="253" t="s">
        <v>55</v>
      </c>
      <c r="L100" s="253" t="s">
        <v>56</v>
      </c>
      <c r="M100" s="253" t="s">
        <v>11</v>
      </c>
      <c r="N100" s="254" t="s">
        <v>312</v>
      </c>
      <c r="O100" s="758" t="s">
        <v>51</v>
      </c>
      <c r="P100" s="759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793">
        <v>2</v>
      </c>
      <c r="B101" s="796" t="s">
        <v>196</v>
      </c>
      <c r="C101" s="255">
        <v>1</v>
      </c>
      <c r="D101" s="237"/>
      <c r="E101" s="238"/>
      <c r="F101" s="239"/>
      <c r="G101" s="237"/>
      <c r="H101" s="238"/>
      <c r="I101" s="239"/>
      <c r="J101" s="256"/>
      <c r="K101" s="257"/>
      <c r="L101" s="256"/>
      <c r="M101" s="258">
        <f t="shared" ref="M101:M105" si="10">L101*J101</f>
        <v>0</v>
      </c>
      <c r="N101" s="259"/>
      <c r="O101" s="760"/>
      <c r="P101" s="761"/>
      <c r="Q101" s="231"/>
      <c r="R101" s="260"/>
      <c r="S101" s="260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794"/>
      <c r="B102" s="797"/>
      <c r="C102" s="255">
        <v>2</v>
      </c>
      <c r="D102" s="237"/>
      <c r="E102" s="238"/>
      <c r="F102" s="239"/>
      <c r="G102" s="237"/>
      <c r="H102" s="238"/>
      <c r="I102" s="239"/>
      <c r="J102" s="256"/>
      <c r="K102" s="257"/>
      <c r="L102" s="256"/>
      <c r="M102" s="258">
        <f t="shared" si="10"/>
        <v>0</v>
      </c>
      <c r="N102" s="259"/>
      <c r="O102" s="760"/>
      <c r="P102" s="761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794"/>
      <c r="B103" s="797"/>
      <c r="C103" s="255">
        <v>3</v>
      </c>
      <c r="D103" s="237"/>
      <c r="E103" s="238"/>
      <c r="F103" s="239"/>
      <c r="G103" s="237"/>
      <c r="H103" s="238"/>
      <c r="I103" s="267"/>
      <c r="J103" s="256"/>
      <c r="K103" s="257"/>
      <c r="L103" s="256"/>
      <c r="M103" s="258">
        <f t="shared" si="10"/>
        <v>0</v>
      </c>
      <c r="N103" s="259"/>
      <c r="O103" s="760"/>
      <c r="P103" s="761"/>
      <c r="Q103" s="231"/>
      <c r="R103" s="260"/>
      <c r="S103" s="260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794"/>
      <c r="B104" s="797"/>
      <c r="C104" s="255">
        <v>4</v>
      </c>
      <c r="D104" s="237"/>
      <c r="E104" s="238"/>
      <c r="F104" s="239"/>
      <c r="G104" s="237"/>
      <c r="H104" s="238"/>
      <c r="I104" s="239"/>
      <c r="J104" s="256"/>
      <c r="K104" s="257"/>
      <c r="L104" s="256"/>
      <c r="M104" s="258">
        <f t="shared" si="10"/>
        <v>0</v>
      </c>
      <c r="N104" s="259"/>
      <c r="O104" s="760"/>
      <c r="P104" s="761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794"/>
      <c r="B105" s="797"/>
      <c r="C105" s="261">
        <v>5</v>
      </c>
      <c r="D105" s="243"/>
      <c r="E105" s="244"/>
      <c r="F105" s="245"/>
      <c r="G105" s="237"/>
      <c r="H105" s="238"/>
      <c r="I105" s="239"/>
      <c r="J105" s="262"/>
      <c r="K105" s="263"/>
      <c r="L105" s="262"/>
      <c r="M105" s="264">
        <f t="shared" si="10"/>
        <v>0</v>
      </c>
      <c r="N105" s="265"/>
      <c r="O105" s="760"/>
      <c r="P105" s="76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795"/>
      <c r="B106" s="798"/>
      <c r="C106" s="666"/>
      <c r="D106" s="667"/>
      <c r="E106" s="667"/>
      <c r="F106" s="667"/>
      <c r="G106" s="667"/>
      <c r="H106" s="667"/>
      <c r="I106" s="801"/>
      <c r="J106" s="248" t="s">
        <v>58</v>
      </c>
      <c r="K106" s="212">
        <f>M106/'生產管理報表 7-1 (週)'!$B$42</f>
        <v>0</v>
      </c>
      <c r="L106" s="248" t="s">
        <v>59</v>
      </c>
      <c r="M106" s="249">
        <f>SUM(M101:M105)</f>
        <v>0</v>
      </c>
      <c r="N106" s="762"/>
      <c r="O106" s="763"/>
      <c r="P106" s="764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6"/>
      <c r="O107" s="266"/>
      <c r="P107" s="266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749" t="s">
        <v>174</v>
      </c>
      <c r="B108" s="750"/>
      <c r="C108" s="251" t="s">
        <v>47</v>
      </c>
      <c r="D108" s="663" t="s">
        <v>12</v>
      </c>
      <c r="E108" s="664"/>
      <c r="F108" s="665"/>
      <c r="G108" s="663" t="s">
        <v>53</v>
      </c>
      <c r="H108" s="664"/>
      <c r="I108" s="792"/>
      <c r="J108" s="252" t="s">
        <v>54</v>
      </c>
      <c r="K108" s="253" t="s">
        <v>55</v>
      </c>
      <c r="L108" s="253" t="s">
        <v>56</v>
      </c>
      <c r="M108" s="253" t="s">
        <v>11</v>
      </c>
      <c r="N108" s="254" t="s">
        <v>312</v>
      </c>
      <c r="O108" s="756" t="s">
        <v>51</v>
      </c>
      <c r="P108" s="757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793">
        <v>3</v>
      </c>
      <c r="B109" s="796" t="s">
        <v>400</v>
      </c>
      <c r="C109" s="255">
        <v>1</v>
      </c>
      <c r="D109" s="237" t="s">
        <v>331</v>
      </c>
      <c r="E109" s="238"/>
      <c r="F109" s="239"/>
      <c r="G109" s="245" t="s">
        <v>423</v>
      </c>
      <c r="H109" s="244"/>
      <c r="I109" s="245"/>
      <c r="J109" s="256">
        <v>2.4499999999999997</v>
      </c>
      <c r="K109" s="257">
        <v>6.5370795272522621E-3</v>
      </c>
      <c r="L109" s="256">
        <v>604</v>
      </c>
      <c r="M109" s="324">
        <f t="shared" ref="M109:M113" si="11">L109*J109</f>
        <v>1479.7999999999997</v>
      </c>
      <c r="N109" s="269"/>
      <c r="O109" s="799" t="s">
        <v>743</v>
      </c>
      <c r="P109" s="800"/>
      <c r="Q109" s="231"/>
      <c r="R109" s="386"/>
      <c r="S109" s="386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794"/>
      <c r="B110" s="797"/>
      <c r="C110" s="255">
        <v>2</v>
      </c>
      <c r="D110" s="237" t="s">
        <v>319</v>
      </c>
      <c r="E110" s="238"/>
      <c r="F110" s="239"/>
      <c r="G110" s="245" t="s">
        <v>422</v>
      </c>
      <c r="H110" s="244"/>
      <c r="I110" s="245"/>
      <c r="J110" s="256">
        <v>1.17</v>
      </c>
      <c r="K110" s="257">
        <v>6.4030150906502813E-3</v>
      </c>
      <c r="L110" s="256">
        <v>1264</v>
      </c>
      <c r="M110" s="324">
        <f t="shared" si="11"/>
        <v>1478.8799999999999</v>
      </c>
      <c r="N110" s="269"/>
      <c r="O110" s="751" t="s">
        <v>744</v>
      </c>
      <c r="P110" s="752"/>
      <c r="Q110" s="231"/>
      <c r="R110" s="386"/>
      <c r="S110" s="392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794"/>
      <c r="B111" s="797"/>
      <c r="C111" s="255">
        <v>3</v>
      </c>
      <c r="D111" s="237" t="s">
        <v>560</v>
      </c>
      <c r="E111" s="238"/>
      <c r="F111" s="239"/>
      <c r="G111" s="245" t="s">
        <v>559</v>
      </c>
      <c r="H111" s="244"/>
      <c r="I111" s="245"/>
      <c r="J111" s="256">
        <v>625.93999999999994</v>
      </c>
      <c r="K111" s="257">
        <v>1.8688889455218869E-3</v>
      </c>
      <c r="L111" s="256">
        <v>2.1999999999999997</v>
      </c>
      <c r="M111" s="324">
        <f t="shared" si="11"/>
        <v>1377.0679999999998</v>
      </c>
      <c r="N111" s="269"/>
      <c r="O111" s="751" t="s">
        <v>745</v>
      </c>
      <c r="P111" s="752"/>
      <c r="Q111" s="386"/>
      <c r="R111" s="386"/>
      <c r="S111" s="392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794"/>
      <c r="B112" s="797"/>
      <c r="C112" s="255">
        <v>4</v>
      </c>
      <c r="D112" s="237" t="s">
        <v>436</v>
      </c>
      <c r="E112" s="238"/>
      <c r="F112" s="239"/>
      <c r="G112" s="374" t="s">
        <v>434</v>
      </c>
      <c r="H112" s="358"/>
      <c r="I112" s="374"/>
      <c r="J112" s="268">
        <v>407.74000000000007</v>
      </c>
      <c r="K112" s="257">
        <v>2.5194859116387039E-3</v>
      </c>
      <c r="L112" s="256">
        <v>2.67</v>
      </c>
      <c r="M112" s="324">
        <f t="shared" si="11"/>
        <v>1088.6658000000002</v>
      </c>
      <c r="N112" s="269"/>
      <c r="O112" s="751" t="s">
        <v>746</v>
      </c>
      <c r="P112" s="752"/>
      <c r="Q112" s="231"/>
      <c r="R112" s="231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74" s="135" customFormat="1" ht="50.1" customHeight="1" thickBot="1">
      <c r="A113" s="794"/>
      <c r="B113" s="797"/>
      <c r="C113" s="261">
        <v>5</v>
      </c>
      <c r="D113" s="243" t="s">
        <v>720</v>
      </c>
      <c r="E113" s="244"/>
      <c r="F113" s="245"/>
      <c r="G113" s="270" t="s">
        <v>724</v>
      </c>
      <c r="H113" s="244"/>
      <c r="I113" s="270"/>
      <c r="J113" s="271">
        <v>1.2300000000000002</v>
      </c>
      <c r="K113" s="263">
        <v>1.0183669758137844E-2</v>
      </c>
      <c r="L113" s="272">
        <v>672</v>
      </c>
      <c r="M113" s="324">
        <f t="shared" si="11"/>
        <v>826.56000000000017</v>
      </c>
      <c r="N113" s="269"/>
      <c r="O113" s="751" t="s">
        <v>747</v>
      </c>
      <c r="P113" s="752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74" s="135" customFormat="1" ht="15.75" customHeight="1" thickTop="1">
      <c r="A114" s="795"/>
      <c r="B114" s="798"/>
      <c r="C114" s="666"/>
      <c r="D114" s="667"/>
      <c r="E114" s="667"/>
      <c r="F114" s="667"/>
      <c r="G114" s="667"/>
      <c r="H114" s="667"/>
      <c r="I114" s="801"/>
      <c r="J114" s="273" t="s">
        <v>58</v>
      </c>
      <c r="K114" s="212">
        <f>M114/'生產管理報表 7-1 (週)'!$B$42</f>
        <v>7.8675063583619101E-2</v>
      </c>
      <c r="L114" s="273" t="s">
        <v>59</v>
      </c>
      <c r="M114" s="325">
        <f>SUM(M109:M113)</f>
        <v>6250.9738000000007</v>
      </c>
      <c r="N114" s="753"/>
      <c r="O114" s="754"/>
      <c r="P114" s="755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  <row r="115" spans="1:74" s="135" customFormat="1" ht="15.75" customHeight="1">
      <c r="A115" s="810" t="s">
        <v>737</v>
      </c>
      <c r="B115" s="810"/>
      <c r="C115" s="810"/>
      <c r="D115" s="810"/>
      <c r="E115" s="810"/>
      <c r="F115" s="810"/>
      <c r="G115" s="810"/>
      <c r="H115" s="810"/>
      <c r="I115" s="810"/>
      <c r="J115" s="810"/>
      <c r="K115" s="810"/>
      <c r="L115" s="810"/>
      <c r="M115" s="810"/>
      <c r="Q115" s="231"/>
      <c r="R115" s="231"/>
      <c r="S115" s="231"/>
      <c r="T115" s="231"/>
    </row>
    <row r="116" spans="1:74" s="136" customFormat="1" ht="15.75" customHeight="1">
      <c r="A116" s="746"/>
      <c r="B116" s="746"/>
      <c r="C116" s="746"/>
      <c r="D116" s="746"/>
      <c r="E116" s="746"/>
      <c r="F116" s="746"/>
      <c r="G116" s="746"/>
      <c r="H116" s="746"/>
      <c r="I116" s="746"/>
      <c r="J116" s="746"/>
      <c r="K116" s="746"/>
      <c r="L116" s="746"/>
      <c r="M116" s="746"/>
    </row>
    <row r="117" spans="1:74" s="135" customFormat="1" ht="15.75" customHeight="1">
      <c r="A117" s="747" t="s">
        <v>174</v>
      </c>
      <c r="B117" s="740">
        <v>1</v>
      </c>
      <c r="C117" s="741"/>
      <c r="D117" s="740">
        <v>2</v>
      </c>
      <c r="E117" s="741"/>
      <c r="F117" s="740">
        <v>3</v>
      </c>
      <c r="G117" s="741"/>
      <c r="H117" s="749">
        <v>4</v>
      </c>
      <c r="I117" s="750"/>
      <c r="J117" s="749">
        <v>5</v>
      </c>
      <c r="K117" s="750"/>
      <c r="L117" s="749">
        <v>6</v>
      </c>
      <c r="M117" s="750"/>
      <c r="N117" s="749">
        <v>7</v>
      </c>
      <c r="O117" s="750"/>
      <c r="P117" s="351">
        <v>8</v>
      </c>
      <c r="Q117" s="231"/>
      <c r="R117" s="231"/>
      <c r="S117" s="231"/>
      <c r="T117" s="231"/>
    </row>
    <row r="118" spans="1:74" s="135" customFormat="1" ht="15.75" customHeight="1">
      <c r="A118" s="748"/>
      <c r="B118" s="742" t="s">
        <v>427</v>
      </c>
      <c r="C118" s="743"/>
      <c r="D118" s="742" t="s">
        <v>195</v>
      </c>
      <c r="E118" s="743"/>
      <c r="F118" s="742" t="s">
        <v>166</v>
      </c>
      <c r="G118" s="743"/>
      <c r="H118" s="744" t="s">
        <v>406</v>
      </c>
      <c r="I118" s="745"/>
      <c r="J118" s="744" t="s">
        <v>172</v>
      </c>
      <c r="K118" s="745"/>
      <c r="L118" s="744" t="s">
        <v>167</v>
      </c>
      <c r="M118" s="745"/>
      <c r="N118" s="744" t="s">
        <v>173</v>
      </c>
      <c r="O118" s="745"/>
      <c r="P118" s="352" t="s">
        <v>200</v>
      </c>
      <c r="Q118" s="231"/>
      <c r="R118" s="231"/>
      <c r="S118" s="231"/>
      <c r="T118" s="231"/>
    </row>
    <row r="119" spans="1:74" s="135" customFormat="1" ht="15.75" customHeight="1">
      <c r="B119" s="232"/>
      <c r="C119" s="233"/>
      <c r="Q119" s="231"/>
      <c r="R119" s="231"/>
      <c r="S119" s="231"/>
      <c r="T119" s="231"/>
    </row>
    <row r="120" spans="1:74" s="235" customFormat="1" ht="15.75" customHeight="1">
      <c r="A120" s="749" t="s">
        <v>174</v>
      </c>
      <c r="B120" s="750"/>
      <c r="C120" s="234" t="s">
        <v>47</v>
      </c>
      <c r="D120" s="802" t="s">
        <v>12</v>
      </c>
      <c r="E120" s="664"/>
      <c r="F120" s="792"/>
      <c r="G120" s="803" t="s">
        <v>53</v>
      </c>
      <c r="H120" s="804"/>
      <c r="I120" s="805"/>
      <c r="J120" s="234" t="s">
        <v>54</v>
      </c>
      <c r="K120" s="234" t="s">
        <v>55</v>
      </c>
      <c r="L120" s="234" t="s">
        <v>56</v>
      </c>
      <c r="M120" s="234" t="s">
        <v>11</v>
      </c>
      <c r="N120" s="234" t="s">
        <v>312</v>
      </c>
      <c r="O120" s="806" t="s">
        <v>51</v>
      </c>
      <c r="P120" s="807"/>
    </row>
    <row r="121" spans="1:74" s="135" customFormat="1" ht="50.1" customHeight="1">
      <c r="A121" s="793">
        <v>1</v>
      </c>
      <c r="B121" s="796" t="s">
        <v>428</v>
      </c>
      <c r="C121" s="236">
        <v>1</v>
      </c>
      <c r="D121" s="237"/>
      <c r="E121" s="238"/>
      <c r="F121" s="238"/>
      <c r="G121" s="356"/>
      <c r="H121" s="304"/>
      <c r="I121" s="305"/>
      <c r="J121" s="236"/>
      <c r="K121" s="241"/>
      <c r="L121" s="236"/>
      <c r="M121" s="321">
        <f>L121*J121</f>
        <v>0</v>
      </c>
      <c r="N121" s="242"/>
      <c r="O121" s="731"/>
      <c r="P121" s="732"/>
      <c r="Q121" s="231"/>
      <c r="R121" s="384"/>
      <c r="S121" s="260"/>
      <c r="T121" s="231"/>
    </row>
    <row r="122" spans="1:74" s="135" customFormat="1" ht="50.1" customHeight="1">
      <c r="A122" s="794"/>
      <c r="B122" s="797"/>
      <c r="C122" s="236">
        <v>2</v>
      </c>
      <c r="D122" s="237"/>
      <c r="E122" s="238"/>
      <c r="F122" s="238"/>
      <c r="G122" s="356"/>
      <c r="H122" s="304"/>
      <c r="I122" s="305"/>
      <c r="J122" s="236"/>
      <c r="K122" s="241"/>
      <c r="L122" s="236"/>
      <c r="M122" s="321">
        <f t="shared" ref="M122:M125" si="12">L122*J122</f>
        <v>0</v>
      </c>
      <c r="N122" s="242"/>
      <c r="O122" s="808"/>
      <c r="P122" s="800"/>
      <c r="Q122" s="231"/>
      <c r="R122" s="385"/>
      <c r="S122" s="385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</row>
    <row r="123" spans="1:74" s="135" customFormat="1" ht="50.1" customHeight="1">
      <c r="A123" s="794"/>
      <c r="B123" s="797"/>
      <c r="C123" s="236">
        <v>3</v>
      </c>
      <c r="D123" s="237"/>
      <c r="E123" s="238"/>
      <c r="F123" s="238"/>
      <c r="G123" s="356"/>
      <c r="H123" s="304"/>
      <c r="I123" s="305"/>
      <c r="J123" s="236"/>
      <c r="K123" s="241"/>
      <c r="L123" s="236"/>
      <c r="M123" s="321">
        <f t="shared" si="12"/>
        <v>0</v>
      </c>
      <c r="N123" s="242"/>
      <c r="O123" s="809"/>
      <c r="P123" s="752"/>
      <c r="Q123" s="231"/>
      <c r="R123" s="384"/>
      <c r="S123" s="384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</row>
    <row r="124" spans="1:74" s="135" customFormat="1" ht="50.1" customHeight="1">
      <c r="A124" s="794"/>
      <c r="B124" s="797"/>
      <c r="C124" s="236">
        <v>4</v>
      </c>
      <c r="D124" s="237"/>
      <c r="E124" s="238"/>
      <c r="F124" s="238"/>
      <c r="G124" s="356"/>
      <c r="H124" s="304"/>
      <c r="I124" s="305"/>
      <c r="J124" s="236"/>
      <c r="K124" s="241"/>
      <c r="L124" s="236"/>
      <c r="M124" s="321">
        <f t="shared" si="12"/>
        <v>0</v>
      </c>
      <c r="N124" s="242"/>
      <c r="O124" s="809"/>
      <c r="P124" s="752"/>
      <c r="Q124" s="231"/>
      <c r="R124" s="385"/>
      <c r="S124" s="385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</row>
    <row r="125" spans="1:74" s="135" customFormat="1" ht="50.1" customHeight="1" thickBot="1">
      <c r="A125" s="794"/>
      <c r="B125" s="797"/>
      <c r="C125" s="236">
        <v>5</v>
      </c>
      <c r="D125" s="243"/>
      <c r="E125" s="244"/>
      <c r="F125" s="244"/>
      <c r="G125" s="356"/>
      <c r="H125" s="304"/>
      <c r="I125" s="305"/>
      <c r="J125" s="246"/>
      <c r="K125" s="247"/>
      <c r="L125" s="246"/>
      <c r="M125" s="322">
        <f t="shared" si="12"/>
        <v>0</v>
      </c>
      <c r="N125" s="242"/>
      <c r="O125" s="809"/>
      <c r="P125" s="752"/>
      <c r="Q125" s="231"/>
      <c r="R125" s="384"/>
      <c r="S125" s="384"/>
      <c r="T125" s="231"/>
      <c r="U125" s="386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</row>
    <row r="126" spans="1:74" s="135" customFormat="1" ht="15.75" customHeight="1" thickTop="1">
      <c r="A126" s="795"/>
      <c r="B126" s="798"/>
      <c r="C126" s="666"/>
      <c r="D126" s="667"/>
      <c r="E126" s="667"/>
      <c r="F126" s="667"/>
      <c r="G126" s="667"/>
      <c r="H126" s="667"/>
      <c r="I126" s="801"/>
      <c r="J126" s="248" t="s">
        <v>58</v>
      </c>
      <c r="K126" s="212">
        <f>M126/'生產管理報表 7-1 (週)'!$B$53</f>
        <v>0</v>
      </c>
      <c r="L126" s="248" t="s">
        <v>59</v>
      </c>
      <c r="M126" s="323">
        <f>SUM(M121:M125)</f>
        <v>0</v>
      </c>
      <c r="N126" s="767"/>
      <c r="O126" s="768"/>
      <c r="P126" s="769"/>
      <c r="Q126" s="231"/>
      <c r="R126" s="210"/>
      <c r="S126" s="210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</row>
    <row r="127" spans="1:74" s="135" customFormat="1" ht="15.75" customHeight="1">
      <c r="B127" s="232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50"/>
      <c r="O127" s="250"/>
      <c r="P127" s="250"/>
      <c r="Q127" s="231"/>
      <c r="R127" s="260"/>
      <c r="S127" s="260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</row>
    <row r="128" spans="1:74" s="135" customFormat="1" ht="15.75" customHeight="1">
      <c r="A128" s="749" t="s">
        <v>174</v>
      </c>
      <c r="B128" s="750"/>
      <c r="C128" s="251" t="s">
        <v>47</v>
      </c>
      <c r="D128" s="663" t="s">
        <v>12</v>
      </c>
      <c r="E128" s="664"/>
      <c r="F128" s="665"/>
      <c r="G128" s="663" t="s">
        <v>53</v>
      </c>
      <c r="H128" s="664"/>
      <c r="I128" s="665"/>
      <c r="J128" s="253" t="s">
        <v>54</v>
      </c>
      <c r="K128" s="253" t="s">
        <v>55</v>
      </c>
      <c r="L128" s="253" t="s">
        <v>56</v>
      </c>
      <c r="M128" s="253" t="s">
        <v>11</v>
      </c>
      <c r="N128" s="254" t="s">
        <v>312</v>
      </c>
      <c r="O128" s="758" t="s">
        <v>51</v>
      </c>
      <c r="P128" s="759"/>
      <c r="Q128" s="231"/>
      <c r="R128" s="210"/>
      <c r="S128" s="210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</row>
    <row r="129" spans="1:35" s="135" customFormat="1" ht="20.100000000000001" customHeight="1">
      <c r="A129" s="793">
        <v>2</v>
      </c>
      <c r="B129" s="796" t="s">
        <v>196</v>
      </c>
      <c r="C129" s="255">
        <v>1</v>
      </c>
      <c r="D129" s="237"/>
      <c r="E129" s="238"/>
      <c r="F129" s="239"/>
      <c r="G129" s="237"/>
      <c r="H129" s="238"/>
      <c r="I129" s="239"/>
      <c r="J129" s="256"/>
      <c r="K129" s="257"/>
      <c r="L129" s="256"/>
      <c r="M129" s="258">
        <f t="shared" ref="M129:M133" si="13">L129*J129</f>
        <v>0</v>
      </c>
      <c r="N129" s="259"/>
      <c r="O129" s="760"/>
      <c r="P129" s="761"/>
      <c r="Q129" s="231"/>
      <c r="R129" s="260"/>
      <c r="S129" s="260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</row>
    <row r="130" spans="1:35" s="135" customFormat="1" ht="20.100000000000001" customHeight="1">
      <c r="A130" s="794"/>
      <c r="B130" s="797"/>
      <c r="C130" s="255">
        <v>2</v>
      </c>
      <c r="D130" s="237"/>
      <c r="E130" s="238"/>
      <c r="F130" s="239"/>
      <c r="G130" s="237"/>
      <c r="H130" s="238"/>
      <c r="I130" s="239"/>
      <c r="J130" s="256"/>
      <c r="K130" s="257"/>
      <c r="L130" s="256"/>
      <c r="M130" s="258">
        <f t="shared" si="13"/>
        <v>0</v>
      </c>
      <c r="N130" s="259"/>
      <c r="O130" s="760"/>
      <c r="P130" s="761"/>
      <c r="Q130" s="231"/>
      <c r="R130" s="210"/>
      <c r="S130" s="210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</row>
    <row r="131" spans="1:35" s="135" customFormat="1" ht="20.100000000000001" customHeight="1">
      <c r="A131" s="794"/>
      <c r="B131" s="797"/>
      <c r="C131" s="255">
        <v>3</v>
      </c>
      <c r="D131" s="237"/>
      <c r="E131" s="238"/>
      <c r="F131" s="239"/>
      <c r="G131" s="237"/>
      <c r="H131" s="238"/>
      <c r="I131" s="267"/>
      <c r="J131" s="256"/>
      <c r="K131" s="257"/>
      <c r="L131" s="256"/>
      <c r="M131" s="258">
        <f t="shared" si="13"/>
        <v>0</v>
      </c>
      <c r="N131" s="259"/>
      <c r="O131" s="760"/>
      <c r="P131" s="761"/>
      <c r="Q131" s="231"/>
      <c r="R131" s="260"/>
      <c r="S131" s="260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</row>
    <row r="132" spans="1:35" s="135" customFormat="1" ht="20.100000000000001" customHeight="1">
      <c r="A132" s="794"/>
      <c r="B132" s="797"/>
      <c r="C132" s="255">
        <v>4</v>
      </c>
      <c r="D132" s="237"/>
      <c r="E132" s="238"/>
      <c r="F132" s="239"/>
      <c r="G132" s="237"/>
      <c r="H132" s="238"/>
      <c r="I132" s="239"/>
      <c r="J132" s="256"/>
      <c r="K132" s="257"/>
      <c r="L132" s="256"/>
      <c r="M132" s="258">
        <f t="shared" si="13"/>
        <v>0</v>
      </c>
      <c r="N132" s="259"/>
      <c r="O132" s="760"/>
      <c r="P132" s="761"/>
      <c r="Q132" s="231"/>
      <c r="R132" s="210"/>
      <c r="S132" s="210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</row>
    <row r="133" spans="1:35" s="135" customFormat="1" ht="20.100000000000001" customHeight="1" thickBot="1">
      <c r="A133" s="794"/>
      <c r="B133" s="797"/>
      <c r="C133" s="261">
        <v>5</v>
      </c>
      <c r="D133" s="243"/>
      <c r="E133" s="244"/>
      <c r="F133" s="245"/>
      <c r="G133" s="237"/>
      <c r="H133" s="238"/>
      <c r="I133" s="239"/>
      <c r="J133" s="262"/>
      <c r="K133" s="263"/>
      <c r="L133" s="262"/>
      <c r="M133" s="264">
        <f t="shared" si="13"/>
        <v>0</v>
      </c>
      <c r="N133" s="265"/>
      <c r="O133" s="760"/>
      <c r="P133" s="76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</row>
    <row r="134" spans="1:35" s="135" customFormat="1" ht="15.75" customHeight="1" thickTop="1">
      <c r="A134" s="795"/>
      <c r="B134" s="798"/>
      <c r="C134" s="666"/>
      <c r="D134" s="667"/>
      <c r="E134" s="667"/>
      <c r="F134" s="667"/>
      <c r="G134" s="667"/>
      <c r="H134" s="667"/>
      <c r="I134" s="801"/>
      <c r="J134" s="248" t="s">
        <v>58</v>
      </c>
      <c r="K134" s="212" t="e">
        <v>#DIV/0!</v>
      </c>
      <c r="L134" s="248" t="s">
        <v>59</v>
      </c>
      <c r="M134" s="249">
        <f>SUM(M129:M133)</f>
        <v>0</v>
      </c>
      <c r="N134" s="762"/>
      <c r="O134" s="763"/>
      <c r="P134" s="764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</row>
    <row r="135" spans="1:35" s="135" customFormat="1" ht="15.75" customHeight="1">
      <c r="B135" s="232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66"/>
      <c r="O135" s="266"/>
      <c r="P135" s="266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</row>
    <row r="136" spans="1:35" s="135" customFormat="1" ht="15.75" customHeight="1">
      <c r="A136" s="749" t="s">
        <v>174</v>
      </c>
      <c r="B136" s="750"/>
      <c r="C136" s="251" t="s">
        <v>47</v>
      </c>
      <c r="D136" s="663" t="s">
        <v>12</v>
      </c>
      <c r="E136" s="664"/>
      <c r="F136" s="665"/>
      <c r="G136" s="663" t="s">
        <v>53</v>
      </c>
      <c r="H136" s="664"/>
      <c r="I136" s="792"/>
      <c r="J136" s="252" t="s">
        <v>54</v>
      </c>
      <c r="K136" s="253" t="s">
        <v>55</v>
      </c>
      <c r="L136" s="253" t="s">
        <v>56</v>
      </c>
      <c r="M136" s="253" t="s">
        <v>11</v>
      </c>
      <c r="N136" s="254" t="s">
        <v>312</v>
      </c>
      <c r="O136" s="756" t="s">
        <v>51</v>
      </c>
      <c r="P136" s="757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</row>
    <row r="137" spans="1:35" s="135" customFormat="1" ht="50.1" customHeight="1">
      <c r="A137" s="793">
        <v>3</v>
      </c>
      <c r="B137" s="796" t="s">
        <v>400</v>
      </c>
      <c r="C137" s="255">
        <v>1</v>
      </c>
      <c r="D137" s="237"/>
      <c r="E137" s="238"/>
      <c r="F137" s="239"/>
      <c r="G137" s="245"/>
      <c r="H137" s="244"/>
      <c r="I137" s="245"/>
      <c r="J137" s="256"/>
      <c r="K137" s="257"/>
      <c r="L137" s="256"/>
      <c r="M137" s="324">
        <f t="shared" ref="M137:M141" si="14">L137*J137</f>
        <v>0</v>
      </c>
      <c r="N137" s="269"/>
      <c r="O137" s="799"/>
      <c r="P137" s="800"/>
      <c r="Q137" s="231"/>
      <c r="R137" s="386"/>
      <c r="S137" s="386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</row>
    <row r="138" spans="1:35" s="135" customFormat="1" ht="50.1" customHeight="1">
      <c r="A138" s="794"/>
      <c r="B138" s="797"/>
      <c r="C138" s="255">
        <v>2</v>
      </c>
      <c r="D138" s="237"/>
      <c r="E138" s="238"/>
      <c r="F138" s="239"/>
      <c r="G138" s="245"/>
      <c r="H138" s="244"/>
      <c r="I138" s="245"/>
      <c r="J138" s="256"/>
      <c r="K138" s="257"/>
      <c r="L138" s="256"/>
      <c r="M138" s="324">
        <f t="shared" si="14"/>
        <v>0</v>
      </c>
      <c r="N138" s="269"/>
      <c r="O138" s="751"/>
      <c r="P138" s="752"/>
      <c r="Q138" s="231"/>
      <c r="R138" s="386"/>
      <c r="S138" s="392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</row>
    <row r="139" spans="1:35" s="135" customFormat="1" ht="50.1" customHeight="1">
      <c r="A139" s="794"/>
      <c r="B139" s="797"/>
      <c r="C139" s="255">
        <v>3</v>
      </c>
      <c r="D139" s="237"/>
      <c r="E139" s="238"/>
      <c r="F139" s="239"/>
      <c r="G139" s="245"/>
      <c r="H139" s="244"/>
      <c r="I139" s="245"/>
      <c r="J139" s="256"/>
      <c r="K139" s="257"/>
      <c r="L139" s="256"/>
      <c r="M139" s="324">
        <f t="shared" si="14"/>
        <v>0</v>
      </c>
      <c r="N139" s="269"/>
      <c r="O139" s="751"/>
      <c r="P139" s="752"/>
      <c r="Q139" s="386"/>
      <c r="R139" s="386"/>
      <c r="S139" s="392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</row>
    <row r="140" spans="1:35" s="135" customFormat="1" ht="50.1" customHeight="1">
      <c r="A140" s="794"/>
      <c r="B140" s="797"/>
      <c r="C140" s="255">
        <v>4</v>
      </c>
      <c r="D140" s="237"/>
      <c r="E140" s="238"/>
      <c r="F140" s="239"/>
      <c r="G140" s="357"/>
      <c r="H140" s="358"/>
      <c r="I140" s="374"/>
      <c r="J140" s="268"/>
      <c r="K140" s="257"/>
      <c r="L140" s="256"/>
      <c r="M140" s="324">
        <f t="shared" si="14"/>
        <v>0</v>
      </c>
      <c r="N140" s="269"/>
      <c r="O140" s="751"/>
      <c r="P140" s="752"/>
      <c r="Q140" s="231"/>
      <c r="R140" s="231"/>
      <c r="S140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</row>
    <row r="141" spans="1:35" s="135" customFormat="1" ht="50.1" customHeight="1" thickBot="1">
      <c r="A141" s="794"/>
      <c r="B141" s="797"/>
      <c r="C141" s="261">
        <v>5</v>
      </c>
      <c r="D141" s="243"/>
      <c r="E141" s="244"/>
      <c r="F141" s="245"/>
      <c r="G141" s="243"/>
      <c r="H141" s="244"/>
      <c r="I141" s="270"/>
      <c r="J141" s="271"/>
      <c r="K141" s="263"/>
      <c r="L141" s="272"/>
      <c r="M141" s="324">
        <f t="shared" si="14"/>
        <v>0</v>
      </c>
      <c r="N141" s="269"/>
      <c r="O141" s="751"/>
      <c r="P141" s="752"/>
      <c r="Q141" s="231"/>
      <c r="R141" s="231"/>
      <c r="S14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</row>
    <row r="142" spans="1:35" s="135" customFormat="1" ht="15.75" customHeight="1" thickTop="1">
      <c r="A142" s="795"/>
      <c r="B142" s="798"/>
      <c r="C142" s="666"/>
      <c r="D142" s="667"/>
      <c r="E142" s="667"/>
      <c r="F142" s="667"/>
      <c r="G142" s="667"/>
      <c r="H142" s="667"/>
      <c r="I142" s="801"/>
      <c r="J142" s="273" t="s">
        <v>58</v>
      </c>
      <c r="K142" s="212" t="e">
        <v>#DIV/0!</v>
      </c>
      <c r="L142" s="273" t="s">
        <v>59</v>
      </c>
      <c r="M142" s="325">
        <f>SUM(M137:M141)</f>
        <v>0</v>
      </c>
      <c r="N142" s="753"/>
      <c r="O142" s="754"/>
      <c r="P142" s="755"/>
      <c r="Q142" s="231"/>
      <c r="R142" s="231"/>
      <c r="S142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</row>
    <row r="143" spans="1:35" s="135" customFormat="1" ht="15.75" customHeight="1">
      <c r="A143" s="810" t="s">
        <v>762</v>
      </c>
      <c r="B143" s="810"/>
      <c r="C143" s="810"/>
      <c r="D143" s="810"/>
      <c r="E143" s="810"/>
      <c r="F143" s="810"/>
      <c r="G143" s="810"/>
      <c r="H143" s="810"/>
      <c r="I143" s="810"/>
      <c r="J143" s="810"/>
      <c r="K143" s="810"/>
      <c r="L143" s="810"/>
      <c r="M143" s="810"/>
      <c r="Q143" s="231"/>
      <c r="R143" s="231"/>
      <c r="S143" s="231"/>
      <c r="T143" s="231"/>
    </row>
    <row r="144" spans="1:35" s="136" customFormat="1" ht="15.75" customHeight="1">
      <c r="A144" s="746"/>
      <c r="B144" s="746"/>
      <c r="C144" s="746"/>
      <c r="D144" s="746"/>
      <c r="E144" s="746"/>
      <c r="F144" s="746"/>
      <c r="G144" s="746"/>
      <c r="H144" s="746"/>
      <c r="I144" s="746"/>
      <c r="J144" s="746"/>
      <c r="K144" s="746"/>
      <c r="L144" s="746"/>
      <c r="M144" s="746"/>
    </row>
    <row r="145" spans="1:74" s="135" customFormat="1" ht="15.75" customHeight="1">
      <c r="A145" s="747" t="s">
        <v>174</v>
      </c>
      <c r="B145" s="740">
        <v>1</v>
      </c>
      <c r="C145" s="741"/>
      <c r="D145" s="740">
        <v>2</v>
      </c>
      <c r="E145" s="741"/>
      <c r="F145" s="740">
        <v>3</v>
      </c>
      <c r="G145" s="741"/>
      <c r="H145" s="749">
        <v>4</v>
      </c>
      <c r="I145" s="750"/>
      <c r="J145" s="749">
        <v>5</v>
      </c>
      <c r="K145" s="750"/>
      <c r="L145" s="749">
        <v>6</v>
      </c>
      <c r="M145" s="750"/>
      <c r="N145" s="749">
        <v>7</v>
      </c>
      <c r="O145" s="750"/>
      <c r="P145" s="351">
        <v>8</v>
      </c>
      <c r="Q145" s="231"/>
      <c r="R145" s="231"/>
      <c r="S145" s="231"/>
      <c r="T145" s="231"/>
    </row>
    <row r="146" spans="1:74" s="135" customFormat="1" ht="15.75" customHeight="1">
      <c r="A146" s="748"/>
      <c r="B146" s="742" t="s">
        <v>427</v>
      </c>
      <c r="C146" s="743"/>
      <c r="D146" s="742" t="s">
        <v>195</v>
      </c>
      <c r="E146" s="743"/>
      <c r="F146" s="742" t="s">
        <v>166</v>
      </c>
      <c r="G146" s="743"/>
      <c r="H146" s="744" t="s">
        <v>406</v>
      </c>
      <c r="I146" s="745"/>
      <c r="J146" s="744" t="s">
        <v>172</v>
      </c>
      <c r="K146" s="745"/>
      <c r="L146" s="744" t="s">
        <v>167</v>
      </c>
      <c r="M146" s="745"/>
      <c r="N146" s="744" t="s">
        <v>173</v>
      </c>
      <c r="O146" s="745"/>
      <c r="P146" s="352" t="s">
        <v>200</v>
      </c>
      <c r="Q146" s="231"/>
      <c r="R146" s="231"/>
      <c r="S146" s="231"/>
      <c r="T146" s="231"/>
    </row>
    <row r="147" spans="1:74" s="135" customFormat="1" ht="15.75" customHeight="1">
      <c r="B147" s="232"/>
      <c r="C147" s="233"/>
      <c r="Q147" s="231"/>
      <c r="R147" s="231"/>
      <c r="S147" s="231"/>
      <c r="T147" s="231"/>
    </row>
    <row r="148" spans="1:74" s="235" customFormat="1" ht="15.75" customHeight="1">
      <c r="A148" s="749" t="s">
        <v>174</v>
      </c>
      <c r="B148" s="750"/>
      <c r="C148" s="234" t="s">
        <v>47</v>
      </c>
      <c r="D148" s="802" t="s">
        <v>12</v>
      </c>
      <c r="E148" s="664"/>
      <c r="F148" s="792"/>
      <c r="G148" s="803" t="s">
        <v>53</v>
      </c>
      <c r="H148" s="804"/>
      <c r="I148" s="805"/>
      <c r="J148" s="234" t="s">
        <v>54</v>
      </c>
      <c r="K148" s="234" t="s">
        <v>55</v>
      </c>
      <c r="L148" s="234" t="s">
        <v>56</v>
      </c>
      <c r="M148" s="234" t="s">
        <v>11</v>
      </c>
      <c r="N148" s="234" t="s">
        <v>312</v>
      </c>
      <c r="O148" s="806" t="s">
        <v>51</v>
      </c>
      <c r="P148" s="807"/>
    </row>
    <row r="149" spans="1:74" s="135" customFormat="1" ht="50.1" customHeight="1">
      <c r="A149" s="793">
        <v>1</v>
      </c>
      <c r="B149" s="796" t="s">
        <v>428</v>
      </c>
      <c r="C149" s="236">
        <v>1</v>
      </c>
      <c r="D149" s="237"/>
      <c r="E149" s="238"/>
      <c r="F149" s="238"/>
      <c r="G149" s="356"/>
      <c r="H149" s="304"/>
      <c r="I149" s="305"/>
      <c r="J149" s="236"/>
      <c r="K149" s="241"/>
      <c r="L149" s="236"/>
      <c r="M149" s="321">
        <f>L149*J149</f>
        <v>0</v>
      </c>
      <c r="N149" s="242"/>
      <c r="O149" s="731"/>
      <c r="P149" s="732"/>
      <c r="Q149" s="231"/>
      <c r="R149" s="384"/>
      <c r="S149" s="260"/>
      <c r="T149" s="231"/>
    </row>
    <row r="150" spans="1:74" s="135" customFormat="1" ht="50.1" customHeight="1">
      <c r="A150" s="794"/>
      <c r="B150" s="797"/>
      <c r="C150" s="236">
        <v>2</v>
      </c>
      <c r="D150" s="237"/>
      <c r="E150" s="238"/>
      <c r="F150" s="238"/>
      <c r="G150" s="356"/>
      <c r="H150" s="304"/>
      <c r="I150" s="305"/>
      <c r="J150" s="236"/>
      <c r="K150" s="241"/>
      <c r="L150" s="236"/>
      <c r="M150" s="321">
        <f t="shared" ref="M150:M153" si="15">L150*J150</f>
        <v>0</v>
      </c>
      <c r="N150" s="242"/>
      <c r="O150" s="808"/>
      <c r="P150" s="800"/>
      <c r="Q150" s="231"/>
      <c r="R150" s="385"/>
      <c r="S150" s="385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1"/>
      <c r="BK150" s="231"/>
      <c r="BL150" s="231"/>
      <c r="BM150" s="231"/>
      <c r="BN150" s="231"/>
      <c r="BO150" s="231"/>
      <c r="BP150" s="231"/>
      <c r="BQ150" s="231"/>
      <c r="BR150" s="231"/>
      <c r="BS150" s="231"/>
      <c r="BT150" s="231"/>
      <c r="BU150" s="231"/>
      <c r="BV150" s="231"/>
    </row>
    <row r="151" spans="1:74" s="135" customFormat="1" ht="50.1" customHeight="1">
      <c r="A151" s="794"/>
      <c r="B151" s="797"/>
      <c r="C151" s="236">
        <v>3</v>
      </c>
      <c r="D151" s="237"/>
      <c r="E151" s="238"/>
      <c r="F151" s="238"/>
      <c r="G151" s="356"/>
      <c r="H151" s="304"/>
      <c r="I151" s="305"/>
      <c r="J151" s="236"/>
      <c r="K151" s="241"/>
      <c r="L151" s="236"/>
      <c r="M151" s="321">
        <f t="shared" si="15"/>
        <v>0</v>
      </c>
      <c r="N151" s="242"/>
      <c r="O151" s="809"/>
      <c r="P151" s="752"/>
      <c r="Q151" s="231"/>
      <c r="R151" s="384"/>
      <c r="S151" s="384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1"/>
      <c r="BS151" s="231"/>
      <c r="BT151" s="231"/>
      <c r="BU151" s="231"/>
      <c r="BV151" s="231"/>
    </row>
    <row r="152" spans="1:74" s="135" customFormat="1" ht="50.1" customHeight="1">
      <c r="A152" s="794"/>
      <c r="B152" s="797"/>
      <c r="C152" s="236">
        <v>4</v>
      </c>
      <c r="D152" s="237"/>
      <c r="E152" s="238"/>
      <c r="F152" s="238"/>
      <c r="G152" s="356"/>
      <c r="H152" s="304"/>
      <c r="I152" s="305"/>
      <c r="J152" s="236"/>
      <c r="K152" s="241"/>
      <c r="L152" s="236"/>
      <c r="M152" s="321">
        <f t="shared" si="15"/>
        <v>0</v>
      </c>
      <c r="N152" s="242"/>
      <c r="O152" s="809"/>
      <c r="P152" s="752"/>
      <c r="Q152" s="231"/>
      <c r="R152" s="385"/>
      <c r="S152" s="385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1"/>
      <c r="BK152" s="231"/>
      <c r="BL152" s="231"/>
      <c r="BM152" s="231"/>
      <c r="BN152" s="231"/>
      <c r="BO152" s="231"/>
      <c r="BP152" s="231"/>
      <c r="BQ152" s="231"/>
      <c r="BR152" s="231"/>
      <c r="BS152" s="231"/>
      <c r="BT152" s="231"/>
      <c r="BU152" s="231"/>
      <c r="BV152" s="231"/>
    </row>
    <row r="153" spans="1:74" s="135" customFormat="1" ht="50.1" customHeight="1" thickBot="1">
      <c r="A153" s="794"/>
      <c r="B153" s="797"/>
      <c r="C153" s="236">
        <v>5</v>
      </c>
      <c r="D153" s="243"/>
      <c r="E153" s="244"/>
      <c r="F153" s="244"/>
      <c r="G153" s="356"/>
      <c r="H153" s="304"/>
      <c r="I153" s="305"/>
      <c r="J153" s="246"/>
      <c r="K153" s="247"/>
      <c r="L153" s="246"/>
      <c r="M153" s="322">
        <f t="shared" si="15"/>
        <v>0</v>
      </c>
      <c r="N153" s="242"/>
      <c r="O153" s="809"/>
      <c r="P153" s="752"/>
      <c r="Q153" s="231"/>
      <c r="R153" s="384"/>
      <c r="S153" s="384"/>
      <c r="T153" s="231"/>
      <c r="U153" s="386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1"/>
      <c r="BS153" s="231"/>
      <c r="BT153" s="231"/>
      <c r="BU153" s="231"/>
      <c r="BV153" s="231"/>
    </row>
    <row r="154" spans="1:74" s="135" customFormat="1" ht="15.75" customHeight="1" thickTop="1">
      <c r="A154" s="795"/>
      <c r="B154" s="798"/>
      <c r="C154" s="666"/>
      <c r="D154" s="667"/>
      <c r="E154" s="667"/>
      <c r="F154" s="667"/>
      <c r="G154" s="667"/>
      <c r="H154" s="667"/>
      <c r="I154" s="801"/>
      <c r="J154" s="248" t="s">
        <v>58</v>
      </c>
      <c r="K154" s="212">
        <f>M154/'生產管理報表 7-1 (週)'!$B$42</f>
        <v>0</v>
      </c>
      <c r="L154" s="248" t="s">
        <v>59</v>
      </c>
      <c r="M154" s="323">
        <f>SUM(M149:M153)</f>
        <v>0</v>
      </c>
      <c r="N154" s="767"/>
      <c r="O154" s="768"/>
      <c r="P154" s="769"/>
      <c r="Q154" s="231"/>
      <c r="R154" s="210"/>
      <c r="S154" s="210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1"/>
      <c r="BK154" s="231"/>
      <c r="BL154" s="231"/>
      <c r="BM154" s="231"/>
      <c r="BN154" s="231"/>
      <c r="BO154" s="231"/>
      <c r="BP154" s="231"/>
      <c r="BQ154" s="231"/>
      <c r="BR154" s="231"/>
      <c r="BS154" s="231"/>
      <c r="BT154" s="231"/>
      <c r="BU154" s="231"/>
      <c r="BV154" s="231"/>
    </row>
    <row r="155" spans="1:74" s="135" customFormat="1" ht="15.75" customHeight="1">
      <c r="B155" s="232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50"/>
      <c r="O155" s="250"/>
      <c r="P155" s="250"/>
      <c r="Q155" s="231"/>
      <c r="R155" s="260"/>
      <c r="S155" s="260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1"/>
      <c r="BS155" s="231"/>
      <c r="BT155" s="231"/>
      <c r="BU155" s="231"/>
      <c r="BV155" s="231"/>
    </row>
    <row r="156" spans="1:74" s="135" customFormat="1" ht="15.75" customHeight="1">
      <c r="A156" s="749" t="s">
        <v>174</v>
      </c>
      <c r="B156" s="750"/>
      <c r="C156" s="251" t="s">
        <v>47</v>
      </c>
      <c r="D156" s="663" t="s">
        <v>12</v>
      </c>
      <c r="E156" s="664"/>
      <c r="F156" s="665"/>
      <c r="G156" s="663" t="s">
        <v>53</v>
      </c>
      <c r="H156" s="664"/>
      <c r="I156" s="665"/>
      <c r="J156" s="253" t="s">
        <v>54</v>
      </c>
      <c r="K156" s="253" t="s">
        <v>55</v>
      </c>
      <c r="L156" s="253" t="s">
        <v>56</v>
      </c>
      <c r="M156" s="253" t="s">
        <v>11</v>
      </c>
      <c r="N156" s="254" t="s">
        <v>312</v>
      </c>
      <c r="O156" s="758" t="s">
        <v>51</v>
      </c>
      <c r="P156" s="759"/>
      <c r="Q156" s="231"/>
      <c r="R156" s="210"/>
      <c r="S156" s="210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</row>
    <row r="157" spans="1:74" s="135" customFormat="1" ht="20.100000000000001" customHeight="1">
      <c r="A157" s="793">
        <v>2</v>
      </c>
      <c r="B157" s="796" t="s">
        <v>196</v>
      </c>
      <c r="C157" s="255">
        <v>1</v>
      </c>
      <c r="D157" s="237"/>
      <c r="E157" s="238"/>
      <c r="F157" s="239"/>
      <c r="G157" s="237"/>
      <c r="H157" s="238"/>
      <c r="I157" s="239"/>
      <c r="J157" s="256"/>
      <c r="K157" s="257"/>
      <c r="L157" s="256"/>
      <c r="M157" s="258">
        <f t="shared" ref="M157:M161" si="16">L157*J157</f>
        <v>0</v>
      </c>
      <c r="N157" s="259"/>
      <c r="O157" s="760"/>
      <c r="P157" s="761"/>
      <c r="Q157" s="231"/>
      <c r="R157" s="260"/>
      <c r="S157" s="260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</row>
    <row r="158" spans="1:74" s="135" customFormat="1" ht="20.100000000000001" customHeight="1">
      <c r="A158" s="794"/>
      <c r="B158" s="797"/>
      <c r="C158" s="255">
        <v>2</v>
      </c>
      <c r="D158" s="237"/>
      <c r="E158" s="238"/>
      <c r="F158" s="239"/>
      <c r="G158" s="237"/>
      <c r="H158" s="238"/>
      <c r="I158" s="239"/>
      <c r="J158" s="256"/>
      <c r="K158" s="257"/>
      <c r="L158" s="256"/>
      <c r="M158" s="258">
        <f t="shared" si="16"/>
        <v>0</v>
      </c>
      <c r="N158" s="259"/>
      <c r="O158" s="760"/>
      <c r="P158" s="761"/>
      <c r="Q158" s="231"/>
      <c r="R158" s="210"/>
      <c r="S158" s="210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</row>
    <row r="159" spans="1:74" s="135" customFormat="1" ht="20.100000000000001" customHeight="1">
      <c r="A159" s="794"/>
      <c r="B159" s="797"/>
      <c r="C159" s="255">
        <v>3</v>
      </c>
      <c r="D159" s="237"/>
      <c r="E159" s="238"/>
      <c r="F159" s="239"/>
      <c r="G159" s="237"/>
      <c r="H159" s="238"/>
      <c r="I159" s="267"/>
      <c r="J159" s="256"/>
      <c r="K159" s="257"/>
      <c r="L159" s="256"/>
      <c r="M159" s="258">
        <f t="shared" si="16"/>
        <v>0</v>
      </c>
      <c r="N159" s="259"/>
      <c r="O159" s="760"/>
      <c r="P159" s="761"/>
      <c r="Q159" s="231"/>
      <c r="R159" s="260"/>
      <c r="S159" s="260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</row>
    <row r="160" spans="1:74" s="135" customFormat="1" ht="20.100000000000001" customHeight="1">
      <c r="A160" s="794"/>
      <c r="B160" s="797"/>
      <c r="C160" s="255">
        <v>4</v>
      </c>
      <c r="D160" s="237"/>
      <c r="E160" s="238"/>
      <c r="F160" s="239"/>
      <c r="G160" s="237"/>
      <c r="H160" s="238"/>
      <c r="I160" s="239"/>
      <c r="J160" s="256"/>
      <c r="K160" s="257"/>
      <c r="L160" s="256"/>
      <c r="M160" s="258">
        <f t="shared" si="16"/>
        <v>0</v>
      </c>
      <c r="N160" s="259"/>
      <c r="O160" s="760"/>
      <c r="P160" s="761"/>
      <c r="Q160" s="231"/>
      <c r="R160" s="210"/>
      <c r="S160" s="210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</row>
    <row r="161" spans="1:35" s="135" customFormat="1" ht="20.100000000000001" customHeight="1" thickBot="1">
      <c r="A161" s="794"/>
      <c r="B161" s="797"/>
      <c r="C161" s="261">
        <v>5</v>
      </c>
      <c r="D161" s="243"/>
      <c r="E161" s="244"/>
      <c r="F161" s="245"/>
      <c r="G161" s="237"/>
      <c r="H161" s="238"/>
      <c r="I161" s="239"/>
      <c r="J161" s="262"/>
      <c r="K161" s="263"/>
      <c r="L161" s="262"/>
      <c r="M161" s="264">
        <f t="shared" si="16"/>
        <v>0</v>
      </c>
      <c r="N161" s="265"/>
      <c r="O161" s="760"/>
      <c r="P161" s="76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</row>
    <row r="162" spans="1:35" s="135" customFormat="1" ht="15.75" customHeight="1" thickTop="1">
      <c r="A162" s="795"/>
      <c r="B162" s="798"/>
      <c r="C162" s="666"/>
      <c r="D162" s="667"/>
      <c r="E162" s="667"/>
      <c r="F162" s="667"/>
      <c r="G162" s="667"/>
      <c r="H162" s="667"/>
      <c r="I162" s="801"/>
      <c r="J162" s="248" t="s">
        <v>58</v>
      </c>
      <c r="K162" s="212">
        <f>M162/'生產管理報表 7-1 (週)'!$B$42</f>
        <v>0</v>
      </c>
      <c r="L162" s="248" t="s">
        <v>59</v>
      </c>
      <c r="M162" s="249">
        <f>SUM(M157:M161)</f>
        <v>0</v>
      </c>
      <c r="N162" s="762"/>
      <c r="O162" s="763"/>
      <c r="P162" s="764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</row>
    <row r="163" spans="1:35" s="135" customFormat="1" ht="15.75" customHeight="1">
      <c r="B163" s="232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66"/>
      <c r="O163" s="266"/>
      <c r="P163" s="266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</row>
    <row r="164" spans="1:35" s="135" customFormat="1" ht="15.75" customHeight="1">
      <c r="A164" s="749" t="s">
        <v>174</v>
      </c>
      <c r="B164" s="750"/>
      <c r="C164" s="251" t="s">
        <v>47</v>
      </c>
      <c r="D164" s="663" t="s">
        <v>12</v>
      </c>
      <c r="E164" s="664"/>
      <c r="F164" s="665"/>
      <c r="G164" s="663" t="s">
        <v>53</v>
      </c>
      <c r="H164" s="664"/>
      <c r="I164" s="792"/>
      <c r="J164" s="252" t="s">
        <v>54</v>
      </c>
      <c r="K164" s="253" t="s">
        <v>55</v>
      </c>
      <c r="L164" s="253" t="s">
        <v>56</v>
      </c>
      <c r="M164" s="253" t="s">
        <v>11</v>
      </c>
      <c r="N164" s="254" t="s">
        <v>312</v>
      </c>
      <c r="O164" s="756" t="s">
        <v>51</v>
      </c>
      <c r="P164" s="757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</row>
    <row r="165" spans="1:35" s="135" customFormat="1" ht="50.1" customHeight="1">
      <c r="A165" s="793">
        <v>3</v>
      </c>
      <c r="B165" s="796" t="s">
        <v>400</v>
      </c>
      <c r="C165" s="255">
        <v>1</v>
      </c>
      <c r="D165" s="237"/>
      <c r="E165" s="238"/>
      <c r="F165" s="239"/>
      <c r="G165" s="245"/>
      <c r="H165" s="244"/>
      <c r="I165" s="245"/>
      <c r="J165" s="256"/>
      <c r="K165" s="257"/>
      <c r="L165" s="256"/>
      <c r="M165" s="324">
        <f t="shared" ref="M165:M169" si="17">L165*J165</f>
        <v>0</v>
      </c>
      <c r="N165" s="269"/>
      <c r="O165" s="799"/>
      <c r="P165" s="800"/>
      <c r="Q165" s="231"/>
      <c r="R165" s="386"/>
      <c r="S165" s="386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</row>
    <row r="166" spans="1:35" s="135" customFormat="1" ht="50.1" customHeight="1">
      <c r="A166" s="794"/>
      <c r="B166" s="797"/>
      <c r="C166" s="255">
        <v>2</v>
      </c>
      <c r="D166" s="237"/>
      <c r="E166" s="238"/>
      <c r="F166" s="239"/>
      <c r="G166" s="245"/>
      <c r="H166" s="244"/>
      <c r="I166" s="245"/>
      <c r="J166" s="256"/>
      <c r="K166" s="257"/>
      <c r="L166" s="256"/>
      <c r="M166" s="324">
        <f t="shared" si="17"/>
        <v>0</v>
      </c>
      <c r="N166" s="269"/>
      <c r="O166" s="751"/>
      <c r="P166" s="752"/>
      <c r="Q166" s="231"/>
      <c r="R166" s="386"/>
      <c r="S166" s="392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</row>
    <row r="167" spans="1:35" s="135" customFormat="1" ht="50.1" customHeight="1">
      <c r="A167" s="794"/>
      <c r="B167" s="797"/>
      <c r="C167" s="255">
        <v>3</v>
      </c>
      <c r="D167" s="237"/>
      <c r="E167" s="238"/>
      <c r="F167" s="239"/>
      <c r="G167" s="245"/>
      <c r="H167" s="244"/>
      <c r="I167" s="245"/>
      <c r="J167" s="256"/>
      <c r="K167" s="257"/>
      <c r="L167" s="256"/>
      <c r="M167" s="324">
        <f t="shared" si="17"/>
        <v>0</v>
      </c>
      <c r="N167" s="269"/>
      <c r="O167" s="751"/>
      <c r="P167" s="752"/>
      <c r="Q167" s="386"/>
      <c r="R167" s="386"/>
      <c r="S167" s="392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</row>
    <row r="168" spans="1:35" s="135" customFormat="1" ht="50.1" customHeight="1">
      <c r="A168" s="794"/>
      <c r="B168" s="797"/>
      <c r="C168" s="255">
        <v>4</v>
      </c>
      <c r="D168" s="237"/>
      <c r="E168" s="238"/>
      <c r="F168" s="239"/>
      <c r="G168" s="357"/>
      <c r="H168" s="358"/>
      <c r="I168" s="374"/>
      <c r="J168" s="268"/>
      <c r="K168" s="257"/>
      <c r="L168" s="256"/>
      <c r="M168" s="324">
        <f t="shared" si="17"/>
        <v>0</v>
      </c>
      <c r="N168" s="269"/>
      <c r="O168" s="751"/>
      <c r="P168" s="752"/>
      <c r="Q168" s="231"/>
      <c r="R168" s="231"/>
      <c r="S168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</row>
    <row r="169" spans="1:35" s="135" customFormat="1" ht="50.1" customHeight="1" thickBot="1">
      <c r="A169" s="794"/>
      <c r="B169" s="797"/>
      <c r="C169" s="261">
        <v>5</v>
      </c>
      <c r="D169" s="243"/>
      <c r="E169" s="244"/>
      <c r="F169" s="245"/>
      <c r="G169" s="243"/>
      <c r="H169" s="244"/>
      <c r="I169" s="270"/>
      <c r="J169" s="271"/>
      <c r="K169" s="263"/>
      <c r="L169" s="272"/>
      <c r="M169" s="324">
        <f t="shared" si="17"/>
        <v>0</v>
      </c>
      <c r="N169" s="269"/>
      <c r="O169" s="751"/>
      <c r="P169" s="752"/>
      <c r="Q169" s="231"/>
      <c r="R169" s="231"/>
      <c r="S169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</row>
    <row r="170" spans="1:35" s="135" customFormat="1" ht="15.75" customHeight="1" thickTop="1">
      <c r="A170" s="795"/>
      <c r="B170" s="798"/>
      <c r="C170" s="666"/>
      <c r="D170" s="667"/>
      <c r="E170" s="667"/>
      <c r="F170" s="667"/>
      <c r="G170" s="667"/>
      <c r="H170" s="667"/>
      <c r="I170" s="801"/>
      <c r="J170" s="273" t="s">
        <v>58</v>
      </c>
      <c r="K170" s="212">
        <f>M170/'生產管理報表 7-1 (週)'!$B$42</f>
        <v>0</v>
      </c>
      <c r="L170" s="273" t="s">
        <v>59</v>
      </c>
      <c r="M170" s="325">
        <f>SUM(M165:M169)</f>
        <v>0</v>
      </c>
      <c r="N170" s="753"/>
      <c r="O170" s="754"/>
      <c r="P170" s="755"/>
      <c r="Q170" s="231"/>
      <c r="R170" s="231"/>
      <c r="S170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</row>
  </sheetData>
  <mergeCells count="331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1:P2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3:M4"/>
    <mergeCell ref="A5:A6"/>
    <mergeCell ref="B5:C5"/>
    <mergeCell ref="D5:E5"/>
    <mergeCell ref="F5:G5"/>
    <mergeCell ref="H5:I5"/>
    <mergeCell ref="J5:K5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T219"/>
  <sheetViews>
    <sheetView view="pageBreakPreview" topLeftCell="A143" zoomScale="91" zoomScaleNormal="60" zoomScaleSheetLayoutView="91" workbookViewId="0">
      <selection activeCell="A183" sqref="A183:M184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8" customFormat="1" ht="15.75" customHeight="1">
      <c r="A1" s="519" t="s">
        <v>339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</row>
    <row r="2" spans="1:20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</row>
    <row r="3" spans="1:20" s="135" customFormat="1" ht="15.75" customHeight="1">
      <c r="A3" s="810" t="s">
        <v>619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Q3" s="231"/>
      <c r="R3" s="231"/>
      <c r="S3" s="231"/>
      <c r="T3" s="231"/>
    </row>
    <row r="4" spans="1:20" s="136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20" s="135" customFormat="1" ht="14.25">
      <c r="A5" s="747" t="s">
        <v>174</v>
      </c>
      <c r="B5" s="749">
        <v>1</v>
      </c>
      <c r="C5" s="750"/>
      <c r="D5" s="749">
        <v>2</v>
      </c>
      <c r="E5" s="750"/>
      <c r="F5" s="749">
        <v>3</v>
      </c>
      <c r="G5" s="750"/>
      <c r="H5" s="740">
        <v>4</v>
      </c>
      <c r="I5" s="741"/>
      <c r="J5" s="740">
        <v>5</v>
      </c>
      <c r="K5" s="741"/>
      <c r="L5" s="740">
        <v>6</v>
      </c>
      <c r="M5" s="741"/>
      <c r="N5" s="740">
        <v>7</v>
      </c>
      <c r="O5" s="741"/>
      <c r="P5" s="351">
        <v>8</v>
      </c>
    </row>
    <row r="6" spans="1:20" s="135" customFormat="1">
      <c r="A6" s="748"/>
      <c r="B6" s="744" t="s">
        <v>427</v>
      </c>
      <c r="C6" s="745"/>
      <c r="D6" s="744" t="s">
        <v>195</v>
      </c>
      <c r="E6" s="745"/>
      <c r="F6" s="744" t="s">
        <v>166</v>
      </c>
      <c r="G6" s="745"/>
      <c r="H6" s="742" t="s">
        <v>406</v>
      </c>
      <c r="I6" s="743"/>
      <c r="J6" s="742" t="s">
        <v>172</v>
      </c>
      <c r="K6" s="743"/>
      <c r="L6" s="742" t="s">
        <v>167</v>
      </c>
      <c r="M6" s="743"/>
      <c r="N6" s="742" t="s">
        <v>173</v>
      </c>
      <c r="O6" s="743"/>
      <c r="P6" s="352" t="s">
        <v>200</v>
      </c>
    </row>
    <row r="7" spans="1:20" s="135" customFormat="1" ht="15.75" customHeight="1">
      <c r="B7" s="232"/>
      <c r="C7" s="233"/>
    </row>
    <row r="8" spans="1:20" s="277" customFormat="1">
      <c r="A8" s="684" t="s">
        <v>174</v>
      </c>
      <c r="B8" s="685"/>
      <c r="C8" s="274" t="s">
        <v>47</v>
      </c>
      <c r="D8" s="714" t="s">
        <v>12</v>
      </c>
      <c r="E8" s="715"/>
      <c r="F8" s="716"/>
      <c r="G8" s="717" t="s">
        <v>53</v>
      </c>
      <c r="H8" s="718"/>
      <c r="I8" s="719"/>
      <c r="J8" s="275" t="s">
        <v>54</v>
      </c>
      <c r="K8" s="275" t="s">
        <v>55</v>
      </c>
      <c r="L8" s="275" t="s">
        <v>56</v>
      </c>
      <c r="M8" s="276" t="s">
        <v>11</v>
      </c>
      <c r="N8" s="276" t="s">
        <v>312</v>
      </c>
      <c r="O8" s="692" t="s">
        <v>51</v>
      </c>
      <c r="P8" s="693"/>
      <c r="R8" s="210"/>
      <c r="S8" s="260"/>
    </row>
    <row r="9" spans="1:20" s="297" customFormat="1" ht="20.100000000000001" customHeight="1">
      <c r="A9" s="694">
        <v>4</v>
      </c>
      <c r="B9" s="728" t="s">
        <v>406</v>
      </c>
      <c r="C9" s="278">
        <v>1</v>
      </c>
      <c r="D9" s="237"/>
      <c r="E9" s="238"/>
      <c r="F9" s="239"/>
      <c r="G9" s="349"/>
      <c r="H9" s="304"/>
      <c r="I9" s="305"/>
      <c r="J9" s="311"/>
      <c r="K9" s="312"/>
      <c r="L9" s="313"/>
      <c r="M9" s="321">
        <f t="shared" ref="M9:M13" si="0">L9*J9</f>
        <v>0</v>
      </c>
      <c r="N9" s="313"/>
      <c r="O9" s="799"/>
      <c r="P9" s="800"/>
      <c r="R9" s="314"/>
      <c r="S9" s="260"/>
    </row>
    <row r="10" spans="1:20" s="297" customFormat="1" ht="20.100000000000001" customHeight="1">
      <c r="A10" s="695"/>
      <c r="B10" s="729"/>
      <c r="C10" s="278">
        <v>2</v>
      </c>
      <c r="D10" s="237"/>
      <c r="E10" s="238"/>
      <c r="F10" s="239"/>
      <c r="G10" s="349"/>
      <c r="H10" s="304"/>
      <c r="I10" s="305"/>
      <c r="J10" s="311"/>
      <c r="K10" s="312"/>
      <c r="L10" s="313"/>
      <c r="M10" s="321">
        <f t="shared" si="0"/>
        <v>0</v>
      </c>
      <c r="N10" s="313"/>
      <c r="O10" s="724"/>
      <c r="P10" s="725"/>
      <c r="R10" s="314"/>
      <c r="S10" s="210"/>
      <c r="T10" s="334"/>
    </row>
    <row r="11" spans="1:20" s="297" customFormat="1" ht="20.100000000000001" customHeight="1">
      <c r="A11" s="695"/>
      <c r="B11" s="729"/>
      <c r="C11" s="278">
        <v>3</v>
      </c>
      <c r="D11" s="237"/>
      <c r="E11" s="238"/>
      <c r="F11" s="239"/>
      <c r="G11" s="349"/>
      <c r="H11" s="304"/>
      <c r="I11" s="305"/>
      <c r="J11" s="311"/>
      <c r="K11" s="312"/>
      <c r="L11" s="313"/>
      <c r="M11" s="321">
        <f t="shared" si="0"/>
        <v>0</v>
      </c>
      <c r="N11" s="313"/>
      <c r="O11" s="799"/>
      <c r="P11" s="800"/>
      <c r="R11" s="314"/>
      <c r="S11" s="260"/>
    </row>
    <row r="12" spans="1:20" s="297" customFormat="1" ht="20.100000000000001" customHeight="1">
      <c r="A12" s="695"/>
      <c r="B12" s="729"/>
      <c r="C12" s="278">
        <v>4</v>
      </c>
      <c r="D12" s="237"/>
      <c r="E12" s="238"/>
      <c r="F12" s="239"/>
      <c r="G12" s="349"/>
      <c r="H12" s="304"/>
      <c r="I12" s="305"/>
      <c r="J12" s="311"/>
      <c r="K12" s="312"/>
      <c r="L12" s="313"/>
      <c r="M12" s="321">
        <f t="shared" si="0"/>
        <v>0</v>
      </c>
      <c r="N12" s="313"/>
      <c r="O12" s="799"/>
      <c r="P12" s="800"/>
      <c r="R12" s="314"/>
      <c r="S12" s="210"/>
      <c r="T12" s="334"/>
    </row>
    <row r="13" spans="1:20" s="297" customFormat="1" ht="20.100000000000001" customHeight="1" thickBot="1">
      <c r="A13" s="695"/>
      <c r="B13" s="729"/>
      <c r="C13" s="278">
        <v>5</v>
      </c>
      <c r="D13" s="237"/>
      <c r="E13" s="244"/>
      <c r="F13" s="245"/>
      <c r="G13" s="349"/>
      <c r="H13" s="304"/>
      <c r="I13" s="305"/>
      <c r="J13" s="382"/>
      <c r="K13" s="378"/>
      <c r="L13" s="316"/>
      <c r="M13" s="321">
        <f t="shared" si="0"/>
        <v>0</v>
      </c>
      <c r="N13" s="313"/>
      <c r="O13" s="799"/>
      <c r="P13" s="800"/>
      <c r="R13" s="317"/>
      <c r="S13" s="260"/>
      <c r="T13" s="288"/>
    </row>
    <row r="14" spans="1:20" s="288" customFormat="1" ht="17.25" thickTop="1" thickBot="1">
      <c r="A14" s="696"/>
      <c r="B14" s="730"/>
      <c r="C14" s="737"/>
      <c r="D14" s="738"/>
      <c r="E14" s="738"/>
      <c r="F14" s="738"/>
      <c r="G14" s="738"/>
      <c r="H14" s="738"/>
      <c r="I14" s="739"/>
      <c r="J14" s="346" t="s">
        <v>58</v>
      </c>
      <c r="K14" s="212">
        <f>M14/'生產管理報表 7-1 (週)'!$B$9</f>
        <v>0</v>
      </c>
      <c r="L14" s="347" t="s">
        <v>59</v>
      </c>
      <c r="M14" s="383">
        <f>SUM(M9:M13)</f>
        <v>0</v>
      </c>
      <c r="N14" s="681"/>
      <c r="O14" s="682"/>
      <c r="P14" s="683"/>
      <c r="R14" s="210"/>
      <c r="S14" s="210"/>
    </row>
    <row r="15" spans="1:20" s="288" customFormat="1" ht="15.75" customHeight="1" thickTop="1">
      <c r="B15" s="296"/>
      <c r="C15" s="297"/>
      <c r="M15" s="328"/>
      <c r="S15" s="260"/>
    </row>
    <row r="16" spans="1:20" s="288" customFormat="1" ht="14.25">
      <c r="A16" s="684" t="s">
        <v>174</v>
      </c>
      <c r="B16" s="685"/>
      <c r="C16" s="274" t="s">
        <v>47</v>
      </c>
      <c r="D16" s="714" t="s">
        <v>12</v>
      </c>
      <c r="E16" s="715"/>
      <c r="F16" s="716"/>
      <c r="G16" s="717" t="s">
        <v>53</v>
      </c>
      <c r="H16" s="718"/>
      <c r="I16" s="719"/>
      <c r="J16" s="275" t="s">
        <v>54</v>
      </c>
      <c r="K16" s="275" t="s">
        <v>55</v>
      </c>
      <c r="L16" s="275" t="s">
        <v>56</v>
      </c>
      <c r="M16" s="329" t="s">
        <v>11</v>
      </c>
      <c r="N16" s="276" t="s">
        <v>312</v>
      </c>
      <c r="O16" s="692" t="s">
        <v>51</v>
      </c>
      <c r="P16" s="693"/>
      <c r="S16" s="210"/>
      <c r="T16" s="334"/>
    </row>
    <row r="17" spans="1:20" s="297" customFormat="1" ht="59.25" customHeight="1">
      <c r="A17" s="694">
        <v>5</v>
      </c>
      <c r="B17" s="707" t="s">
        <v>198</v>
      </c>
      <c r="C17" s="278">
        <v>1</v>
      </c>
      <c r="D17" s="237" t="s">
        <v>319</v>
      </c>
      <c r="E17" s="238"/>
      <c r="F17" s="239"/>
      <c r="G17" s="305" t="s">
        <v>315</v>
      </c>
      <c r="H17" s="304"/>
      <c r="I17" s="305"/>
      <c r="J17" s="311">
        <v>147.43000000000004</v>
      </c>
      <c r="K17" s="312">
        <v>2.5899921086177942E-3</v>
      </c>
      <c r="L17" s="313">
        <v>10.24</v>
      </c>
      <c r="M17" s="321">
        <f>L17*J17</f>
        <v>1509.6832000000004</v>
      </c>
      <c r="N17" s="313"/>
      <c r="O17" s="724" t="s">
        <v>620</v>
      </c>
      <c r="P17" s="725"/>
      <c r="R17" s="334"/>
      <c r="S17" s="384"/>
    </row>
    <row r="18" spans="1:20" s="297" customFormat="1" ht="20.100000000000001" customHeight="1">
      <c r="A18" s="695"/>
      <c r="B18" s="708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ref="M18:M21" si="1">L18*J18</f>
        <v>0</v>
      </c>
      <c r="N18" s="313"/>
      <c r="O18" s="724"/>
      <c r="P18" s="725"/>
      <c r="S18" s="210"/>
      <c r="T18" s="335"/>
    </row>
    <row r="19" spans="1:20" s="288" customFormat="1" ht="20.100000000000001" customHeight="1">
      <c r="A19" s="695"/>
      <c r="B19" s="708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12"/>
      <c r="P19" s="713"/>
    </row>
    <row r="20" spans="1:20" s="288" customFormat="1" ht="20.100000000000001" customHeight="1">
      <c r="A20" s="695"/>
      <c r="B20" s="708"/>
      <c r="C20" s="278">
        <v>4</v>
      </c>
      <c r="D20" s="237"/>
      <c r="E20" s="280"/>
      <c r="F20" s="281"/>
      <c r="G20" s="349"/>
      <c r="H20" s="304"/>
      <c r="I20" s="305"/>
      <c r="J20" s="311"/>
      <c r="K20" s="312"/>
      <c r="L20" s="313"/>
      <c r="M20" s="321">
        <f t="shared" si="1"/>
        <v>0</v>
      </c>
      <c r="N20" s="287"/>
      <c r="O20" s="724"/>
      <c r="P20" s="725"/>
    </row>
    <row r="21" spans="1:20" s="288" customFormat="1" ht="20.100000000000001" customHeight="1" thickBot="1">
      <c r="A21" s="695"/>
      <c r="B21" s="708"/>
      <c r="C21" s="278">
        <v>5</v>
      </c>
      <c r="D21" s="243"/>
      <c r="E21" s="290"/>
      <c r="F21" s="291"/>
      <c r="G21" s="349"/>
      <c r="H21" s="304"/>
      <c r="I21" s="305"/>
      <c r="J21" s="382"/>
      <c r="K21" s="378"/>
      <c r="L21" s="316"/>
      <c r="M21" s="321">
        <f t="shared" si="1"/>
        <v>0</v>
      </c>
      <c r="N21" s="287"/>
      <c r="O21" s="813"/>
      <c r="P21" s="814"/>
      <c r="R21" s="211"/>
    </row>
    <row r="22" spans="1:20" s="288" customFormat="1" ht="17.25" thickTop="1" thickBot="1">
      <c r="A22" s="696"/>
      <c r="B22" s="709"/>
      <c r="C22" s="704"/>
      <c r="D22" s="705"/>
      <c r="E22" s="705"/>
      <c r="F22" s="705"/>
      <c r="G22" s="705"/>
      <c r="H22" s="705"/>
      <c r="I22" s="706"/>
      <c r="J22" s="346"/>
      <c r="K22" s="212">
        <f>M22/'生產管理報表 7-1 (週)'!$B$9</f>
        <v>1.7744078548979293E-2</v>
      </c>
      <c r="L22" s="347" t="s">
        <v>59</v>
      </c>
      <c r="M22" s="383">
        <f>SUM(M17:M21)</f>
        <v>1509.6832000000004</v>
      </c>
      <c r="N22" s="681"/>
      <c r="O22" s="682"/>
      <c r="P22" s="683"/>
      <c r="R22" s="210"/>
    </row>
    <row r="23" spans="1:20" s="288" customFormat="1" ht="15.75" customHeight="1" thickTop="1">
      <c r="B23" s="296"/>
      <c r="C23" s="297"/>
      <c r="M23" s="328"/>
      <c r="R23" s="210"/>
    </row>
    <row r="24" spans="1:20" s="288" customFormat="1" ht="14.25">
      <c r="A24" s="684" t="s">
        <v>174</v>
      </c>
      <c r="B24" s="685"/>
      <c r="C24" s="302" t="s">
        <v>47</v>
      </c>
      <c r="D24" s="686" t="s">
        <v>12</v>
      </c>
      <c r="E24" s="687"/>
      <c r="F24" s="688"/>
      <c r="G24" s="689" t="s">
        <v>53</v>
      </c>
      <c r="H24" s="690"/>
      <c r="I24" s="691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312</v>
      </c>
      <c r="O24" s="692" t="s">
        <v>51</v>
      </c>
      <c r="P24" s="693"/>
      <c r="R24" s="210"/>
      <c r="S24" s="2"/>
    </row>
    <row r="25" spans="1:20" s="288" customFormat="1" ht="39.950000000000003" customHeight="1">
      <c r="A25" s="694">
        <v>6</v>
      </c>
      <c r="B25" s="707" t="s">
        <v>199</v>
      </c>
      <c r="C25" s="278">
        <v>1</v>
      </c>
      <c r="D25" s="336" t="s">
        <v>485</v>
      </c>
      <c r="E25" s="280"/>
      <c r="F25" s="281"/>
      <c r="G25" s="240" t="s">
        <v>314</v>
      </c>
      <c r="H25" s="304"/>
      <c r="I25" s="240"/>
      <c r="J25" s="311">
        <v>15.450000000000001</v>
      </c>
      <c r="K25" s="312">
        <v>2.3055746730901582E-3</v>
      </c>
      <c r="L25" s="313">
        <v>134</v>
      </c>
      <c r="M25" s="321">
        <f t="shared" ref="M25:M29" si="2">L25*J25</f>
        <v>2070.3000000000002</v>
      </c>
      <c r="N25" s="287"/>
      <c r="O25" s="712" t="s">
        <v>519</v>
      </c>
      <c r="P25" s="713"/>
      <c r="R25" s="335"/>
      <c r="S25" s="391"/>
    </row>
    <row r="26" spans="1:20" s="297" customFormat="1" ht="39.950000000000003" customHeight="1">
      <c r="A26" s="695"/>
      <c r="B26" s="708"/>
      <c r="C26" s="278">
        <v>2</v>
      </c>
      <c r="D26" s="237" t="s">
        <v>319</v>
      </c>
      <c r="E26" s="238"/>
      <c r="F26" s="239"/>
      <c r="G26" s="240" t="s">
        <v>495</v>
      </c>
      <c r="H26" s="304"/>
      <c r="I26" s="240"/>
      <c r="J26" s="311">
        <v>39.389999999999993</v>
      </c>
      <c r="K26" s="312">
        <v>1.1486035649604424E-3</v>
      </c>
      <c r="L26" s="313">
        <v>28.92</v>
      </c>
      <c r="M26" s="321">
        <f t="shared" si="2"/>
        <v>1139.1587999999999</v>
      </c>
      <c r="N26" s="313"/>
      <c r="O26" s="811" t="s">
        <v>603</v>
      </c>
      <c r="P26" s="812"/>
      <c r="S26" s="96"/>
    </row>
    <row r="27" spans="1:20" s="288" customFormat="1" ht="39.950000000000003" customHeight="1">
      <c r="A27" s="695"/>
      <c r="B27" s="708"/>
      <c r="C27" s="278">
        <v>3</v>
      </c>
      <c r="D27" s="237" t="s">
        <v>610</v>
      </c>
      <c r="E27" s="280"/>
      <c r="F27" s="281"/>
      <c r="G27" s="240" t="s">
        <v>498</v>
      </c>
      <c r="H27" s="304"/>
      <c r="I27" s="284"/>
      <c r="J27" s="311">
        <v>62.43</v>
      </c>
      <c r="K27" s="312">
        <v>4.4446148411248741E-3</v>
      </c>
      <c r="L27" s="313">
        <v>16.23</v>
      </c>
      <c r="M27" s="321">
        <f t="shared" si="2"/>
        <v>1013.2389000000001</v>
      </c>
      <c r="N27" s="287"/>
      <c r="O27" s="811" t="s">
        <v>603</v>
      </c>
      <c r="P27" s="812"/>
      <c r="S27" s="2"/>
    </row>
    <row r="28" spans="1:20" s="288" customFormat="1" ht="39.950000000000003" customHeight="1">
      <c r="A28" s="695"/>
      <c r="B28" s="708"/>
      <c r="C28" s="278">
        <v>4</v>
      </c>
      <c r="D28" s="237" t="s">
        <v>542</v>
      </c>
      <c r="E28" s="280"/>
      <c r="F28" s="281"/>
      <c r="G28" s="240" t="s">
        <v>543</v>
      </c>
      <c r="H28" s="304"/>
      <c r="I28" s="284"/>
      <c r="J28" s="311">
        <v>43.889999999999993</v>
      </c>
      <c r="K28" s="312">
        <v>8.9743010518620134E-3</v>
      </c>
      <c r="L28" s="313">
        <v>21.85</v>
      </c>
      <c r="M28" s="321">
        <f t="shared" si="2"/>
        <v>958.99649999999997</v>
      </c>
      <c r="N28" s="287"/>
      <c r="O28" s="811" t="s">
        <v>603</v>
      </c>
      <c r="P28" s="812"/>
      <c r="R28" s="2"/>
      <c r="S28" s="2"/>
    </row>
    <row r="29" spans="1:20" s="288" customFormat="1" ht="39.950000000000003" customHeight="1" thickBot="1">
      <c r="A29" s="695"/>
      <c r="B29" s="708"/>
      <c r="C29" s="278">
        <v>5</v>
      </c>
      <c r="D29" s="243" t="s">
        <v>578</v>
      </c>
      <c r="E29" s="290"/>
      <c r="F29" s="291"/>
      <c r="G29" s="240" t="s">
        <v>589</v>
      </c>
      <c r="H29" s="304"/>
      <c r="I29" s="284"/>
      <c r="J29" s="382">
        <v>52.26</v>
      </c>
      <c r="K29" s="378">
        <v>3.4922658249618098E-3</v>
      </c>
      <c r="L29" s="316">
        <v>17.259999999999998</v>
      </c>
      <c r="M29" s="321">
        <f t="shared" si="2"/>
        <v>902.00759999999991</v>
      </c>
      <c r="N29" s="287"/>
      <c r="O29" s="811" t="s">
        <v>603</v>
      </c>
      <c r="P29" s="812"/>
      <c r="R29" s="2"/>
      <c r="S29" s="2"/>
    </row>
    <row r="30" spans="1:20" s="288" customFormat="1" ht="17.25" thickTop="1" thickBot="1">
      <c r="A30" s="696"/>
      <c r="B30" s="709"/>
      <c r="C30" s="704"/>
      <c r="D30" s="705"/>
      <c r="E30" s="705"/>
      <c r="F30" s="705"/>
      <c r="G30" s="705"/>
      <c r="H30" s="705"/>
      <c r="I30" s="706"/>
      <c r="J30" s="346" t="s">
        <v>58</v>
      </c>
      <c r="K30" s="212">
        <f>M30/'生產管理報表 7-1 (週)'!$B$9</f>
        <v>7.150485784551798E-2</v>
      </c>
      <c r="L30" s="347" t="s">
        <v>59</v>
      </c>
      <c r="M30" s="383">
        <f>SUM(M25:M29)</f>
        <v>6083.7018000000007</v>
      </c>
      <c r="N30" s="681"/>
      <c r="O30" s="682"/>
      <c r="P30" s="683"/>
      <c r="R30" s="2"/>
      <c r="S30" s="2"/>
    </row>
    <row r="31" spans="1:20" s="288" customFormat="1" ht="15.75" customHeight="1" thickTop="1">
      <c r="B31" s="296"/>
      <c r="C31" s="297"/>
      <c r="M31" s="328"/>
      <c r="R31" s="2"/>
      <c r="S31" s="2"/>
    </row>
    <row r="32" spans="1:20" s="288" customFormat="1" ht="14.25">
      <c r="A32" s="684" t="s">
        <v>174</v>
      </c>
      <c r="B32" s="685"/>
      <c r="C32" s="302" t="s">
        <v>47</v>
      </c>
      <c r="D32" s="686" t="s">
        <v>12</v>
      </c>
      <c r="E32" s="687"/>
      <c r="F32" s="688"/>
      <c r="G32" s="689" t="s">
        <v>53</v>
      </c>
      <c r="H32" s="690"/>
      <c r="I32" s="691"/>
      <c r="J32" s="303" t="s">
        <v>54</v>
      </c>
      <c r="K32" s="275" t="s">
        <v>55</v>
      </c>
      <c r="L32" s="275" t="s">
        <v>56</v>
      </c>
      <c r="M32" s="329" t="s">
        <v>11</v>
      </c>
      <c r="N32" s="276" t="s">
        <v>312</v>
      </c>
      <c r="O32" s="692" t="s">
        <v>51</v>
      </c>
      <c r="P32" s="693"/>
      <c r="R32" s="2"/>
      <c r="S32" s="2"/>
    </row>
    <row r="33" spans="1:20" s="288" customFormat="1" ht="20.100000000000001" customHeight="1">
      <c r="A33" s="694">
        <v>7</v>
      </c>
      <c r="B33" s="697" t="s">
        <v>231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700"/>
      <c r="P33" s="701"/>
      <c r="R33" s="2"/>
      <c r="S33" s="2"/>
    </row>
    <row r="34" spans="1:20" s="288" customFormat="1" ht="20.100000000000001" customHeight="1">
      <c r="A34" s="695"/>
      <c r="B34" s="698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702"/>
      <c r="P34" s="703"/>
      <c r="R34" s="2"/>
      <c r="S34" s="2"/>
    </row>
    <row r="35" spans="1:20" s="288" customFormat="1" ht="20.100000000000001" customHeight="1">
      <c r="A35" s="695"/>
      <c r="B35" s="698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702"/>
      <c r="P35" s="703"/>
      <c r="R35" s="2"/>
      <c r="S35" s="2"/>
    </row>
    <row r="36" spans="1:20" s="288" customFormat="1" ht="20.100000000000001" customHeight="1">
      <c r="A36" s="695"/>
      <c r="B36" s="698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  <c r="R36" s="2"/>
      <c r="S36" s="2"/>
    </row>
    <row r="37" spans="1:20" s="288" customFormat="1" ht="20.100000000000001" customHeight="1" thickBot="1">
      <c r="A37" s="695"/>
      <c r="B37" s="698"/>
      <c r="C37" s="278">
        <v>5</v>
      </c>
      <c r="D37" s="289"/>
      <c r="E37" s="290"/>
      <c r="F37" s="291"/>
      <c r="G37" s="282"/>
      <c r="H37" s="283"/>
      <c r="I37" s="284"/>
      <c r="J37" s="382"/>
      <c r="K37" s="378"/>
      <c r="L37" s="316"/>
      <c r="M37" s="332">
        <v>0</v>
      </c>
      <c r="N37" s="287"/>
      <c r="O37" s="300"/>
      <c r="P37" s="301"/>
      <c r="R37" s="2"/>
      <c r="S37" s="2"/>
    </row>
    <row r="38" spans="1:20" s="288" customFormat="1" ht="17.25" thickTop="1" thickBot="1">
      <c r="A38" s="696"/>
      <c r="B38" s="699"/>
      <c r="C38" s="704"/>
      <c r="D38" s="705"/>
      <c r="E38" s="705"/>
      <c r="F38" s="705"/>
      <c r="G38" s="705"/>
      <c r="H38" s="705"/>
      <c r="I38" s="706"/>
      <c r="J38" s="346" t="s">
        <v>58</v>
      </c>
      <c r="K38" s="212">
        <f>M38/'生產管理報表 7-1 (週)'!$B$9</f>
        <v>0</v>
      </c>
      <c r="L38" s="347" t="s">
        <v>59</v>
      </c>
      <c r="M38" s="383">
        <f>SUM(M33:M37)</f>
        <v>0</v>
      </c>
      <c r="N38" s="681"/>
      <c r="O38" s="682"/>
      <c r="P38" s="683"/>
      <c r="R38" s="2"/>
      <c r="S38" s="2"/>
      <c r="T38" s="2"/>
    </row>
    <row r="39" spans="1:20" s="135" customFormat="1" ht="15.75" customHeight="1" thickTop="1">
      <c r="A39" s="810" t="s">
        <v>636</v>
      </c>
      <c r="B39" s="810"/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Q39" s="231"/>
      <c r="R39" s="231"/>
      <c r="S39" s="231"/>
      <c r="T39" s="231"/>
    </row>
    <row r="40" spans="1:20" s="136" customFormat="1" ht="15.75" customHeight="1">
      <c r="A40" s="746"/>
      <c r="B40" s="746"/>
      <c r="C40" s="746"/>
      <c r="D40" s="746"/>
      <c r="E40" s="746"/>
      <c r="F40" s="746"/>
      <c r="G40" s="746"/>
      <c r="H40" s="746"/>
      <c r="I40" s="746"/>
      <c r="J40" s="746"/>
      <c r="K40" s="746"/>
      <c r="L40" s="746"/>
      <c r="M40" s="746"/>
    </row>
    <row r="41" spans="1:20" s="135" customFormat="1" ht="14.25">
      <c r="A41" s="747" t="s">
        <v>174</v>
      </c>
      <c r="B41" s="749">
        <v>1</v>
      </c>
      <c r="C41" s="750"/>
      <c r="D41" s="749">
        <v>2</v>
      </c>
      <c r="E41" s="750"/>
      <c r="F41" s="749">
        <v>3</v>
      </c>
      <c r="G41" s="750"/>
      <c r="H41" s="740">
        <v>4</v>
      </c>
      <c r="I41" s="741"/>
      <c r="J41" s="740">
        <v>5</v>
      </c>
      <c r="K41" s="741"/>
      <c r="L41" s="740">
        <v>6</v>
      </c>
      <c r="M41" s="741"/>
      <c r="N41" s="740">
        <v>7</v>
      </c>
      <c r="O41" s="741"/>
      <c r="P41" s="351">
        <v>8</v>
      </c>
    </row>
    <row r="42" spans="1:20" s="135" customFormat="1">
      <c r="A42" s="748"/>
      <c r="B42" s="744" t="s">
        <v>427</v>
      </c>
      <c r="C42" s="745"/>
      <c r="D42" s="744" t="s">
        <v>195</v>
      </c>
      <c r="E42" s="745"/>
      <c r="F42" s="744" t="s">
        <v>166</v>
      </c>
      <c r="G42" s="745"/>
      <c r="H42" s="742" t="s">
        <v>406</v>
      </c>
      <c r="I42" s="743"/>
      <c r="J42" s="742" t="s">
        <v>172</v>
      </c>
      <c r="K42" s="743"/>
      <c r="L42" s="742" t="s">
        <v>167</v>
      </c>
      <c r="M42" s="743"/>
      <c r="N42" s="742" t="s">
        <v>173</v>
      </c>
      <c r="O42" s="743"/>
      <c r="P42" s="352" t="s">
        <v>200</v>
      </c>
    </row>
    <row r="43" spans="1:20" s="135" customFormat="1" ht="15.75" customHeight="1">
      <c r="B43" s="232"/>
      <c r="C43" s="233"/>
    </row>
    <row r="44" spans="1:20" s="277" customFormat="1">
      <c r="A44" s="684" t="s">
        <v>174</v>
      </c>
      <c r="B44" s="685"/>
      <c r="C44" s="274" t="s">
        <v>47</v>
      </c>
      <c r="D44" s="714" t="s">
        <v>12</v>
      </c>
      <c r="E44" s="715"/>
      <c r="F44" s="716"/>
      <c r="G44" s="717" t="s">
        <v>53</v>
      </c>
      <c r="H44" s="718"/>
      <c r="I44" s="719"/>
      <c r="J44" s="275" t="s">
        <v>54</v>
      </c>
      <c r="K44" s="275" t="s">
        <v>55</v>
      </c>
      <c r="L44" s="275" t="s">
        <v>56</v>
      </c>
      <c r="M44" s="276" t="s">
        <v>11</v>
      </c>
      <c r="N44" s="276" t="s">
        <v>312</v>
      </c>
      <c r="O44" s="692" t="s">
        <v>51</v>
      </c>
      <c r="P44" s="693"/>
      <c r="R44" s="210"/>
      <c r="S44" s="260"/>
    </row>
    <row r="45" spans="1:20" s="297" customFormat="1" ht="20.100000000000001" customHeight="1">
      <c r="A45" s="694">
        <v>4</v>
      </c>
      <c r="B45" s="728" t="s">
        <v>406</v>
      </c>
      <c r="C45" s="278">
        <v>1</v>
      </c>
      <c r="D45" s="237"/>
      <c r="E45" s="238"/>
      <c r="F45" s="239"/>
      <c r="G45" s="349"/>
      <c r="H45" s="304"/>
      <c r="I45" s="305"/>
      <c r="J45" s="311"/>
      <c r="K45" s="312"/>
      <c r="L45" s="313"/>
      <c r="M45" s="321">
        <f t="shared" ref="M45:M49" si="4">L45*J45</f>
        <v>0</v>
      </c>
      <c r="N45" s="313"/>
      <c r="O45" s="799"/>
      <c r="P45" s="800"/>
      <c r="R45" s="314"/>
      <c r="S45" s="260"/>
    </row>
    <row r="46" spans="1:20" s="297" customFormat="1" ht="20.100000000000001" customHeight="1">
      <c r="A46" s="695"/>
      <c r="B46" s="729"/>
      <c r="C46" s="278">
        <v>2</v>
      </c>
      <c r="D46" s="237"/>
      <c r="E46" s="238"/>
      <c r="F46" s="239"/>
      <c r="G46" s="349"/>
      <c r="H46" s="304"/>
      <c r="I46" s="305"/>
      <c r="J46" s="311"/>
      <c r="K46" s="312"/>
      <c r="L46" s="313"/>
      <c r="M46" s="321">
        <f t="shared" si="4"/>
        <v>0</v>
      </c>
      <c r="N46" s="313"/>
      <c r="O46" s="724"/>
      <c r="P46" s="725"/>
      <c r="R46" s="314"/>
      <c r="S46" s="210"/>
      <c r="T46" s="334"/>
    </row>
    <row r="47" spans="1:20" s="297" customFormat="1" ht="20.100000000000001" customHeight="1">
      <c r="A47" s="695"/>
      <c r="B47" s="729"/>
      <c r="C47" s="278">
        <v>3</v>
      </c>
      <c r="D47" s="237"/>
      <c r="E47" s="238"/>
      <c r="F47" s="239"/>
      <c r="G47" s="349"/>
      <c r="H47" s="304"/>
      <c r="I47" s="305"/>
      <c r="J47" s="311"/>
      <c r="K47" s="312"/>
      <c r="L47" s="313"/>
      <c r="M47" s="321">
        <f t="shared" si="4"/>
        <v>0</v>
      </c>
      <c r="N47" s="313"/>
      <c r="O47" s="799"/>
      <c r="P47" s="800"/>
      <c r="R47" s="314"/>
      <c r="S47" s="260"/>
    </row>
    <row r="48" spans="1:20" s="297" customFormat="1" ht="20.100000000000001" customHeight="1">
      <c r="A48" s="695"/>
      <c r="B48" s="729"/>
      <c r="C48" s="278">
        <v>4</v>
      </c>
      <c r="D48" s="237"/>
      <c r="E48" s="238"/>
      <c r="F48" s="239"/>
      <c r="G48" s="349"/>
      <c r="H48" s="304"/>
      <c r="I48" s="305"/>
      <c r="J48" s="311"/>
      <c r="K48" s="312"/>
      <c r="L48" s="313"/>
      <c r="M48" s="321">
        <f t="shared" si="4"/>
        <v>0</v>
      </c>
      <c r="N48" s="313"/>
      <c r="O48" s="799"/>
      <c r="P48" s="800"/>
      <c r="R48" s="314"/>
      <c r="S48" s="210"/>
      <c r="T48" s="334"/>
    </row>
    <row r="49" spans="1:20" s="297" customFormat="1" ht="20.100000000000001" customHeight="1" thickBot="1">
      <c r="A49" s="695"/>
      <c r="B49" s="729"/>
      <c r="C49" s="278">
        <v>5</v>
      </c>
      <c r="D49" s="237"/>
      <c r="E49" s="244"/>
      <c r="F49" s="245"/>
      <c r="G49" s="349"/>
      <c r="H49" s="304"/>
      <c r="I49" s="305"/>
      <c r="J49" s="382"/>
      <c r="K49" s="378"/>
      <c r="L49" s="316"/>
      <c r="M49" s="321">
        <f t="shared" si="4"/>
        <v>0</v>
      </c>
      <c r="N49" s="313"/>
      <c r="O49" s="799"/>
      <c r="P49" s="800"/>
      <c r="R49" s="317"/>
      <c r="S49" s="260"/>
      <c r="T49" s="288"/>
    </row>
    <row r="50" spans="1:20" s="288" customFormat="1" ht="17.25" thickTop="1" thickBot="1">
      <c r="A50" s="696"/>
      <c r="B50" s="730"/>
      <c r="C50" s="737"/>
      <c r="D50" s="738"/>
      <c r="E50" s="738"/>
      <c r="F50" s="738"/>
      <c r="G50" s="738"/>
      <c r="H50" s="738"/>
      <c r="I50" s="739"/>
      <c r="J50" s="346" t="s">
        <v>58</v>
      </c>
      <c r="K50" s="212">
        <f>M50/'生產管理報表 7-1 (週)'!$B$20</f>
        <v>0</v>
      </c>
      <c r="L50" s="347" t="s">
        <v>59</v>
      </c>
      <c r="M50" s="383">
        <f>SUM(M45:M49)</f>
        <v>0</v>
      </c>
      <c r="N50" s="681"/>
      <c r="O50" s="682"/>
      <c r="P50" s="683"/>
      <c r="R50" s="210"/>
      <c r="S50" s="210"/>
    </row>
    <row r="51" spans="1:20" s="288" customFormat="1" ht="15.75" customHeight="1" thickTop="1">
      <c r="B51" s="296"/>
      <c r="C51" s="297"/>
      <c r="M51" s="328"/>
      <c r="S51" s="260"/>
    </row>
    <row r="52" spans="1:20" s="288" customFormat="1" ht="14.25">
      <c r="A52" s="684" t="s">
        <v>174</v>
      </c>
      <c r="B52" s="685"/>
      <c r="C52" s="274" t="s">
        <v>47</v>
      </c>
      <c r="D52" s="714" t="s">
        <v>12</v>
      </c>
      <c r="E52" s="715"/>
      <c r="F52" s="716"/>
      <c r="G52" s="717" t="s">
        <v>53</v>
      </c>
      <c r="H52" s="718"/>
      <c r="I52" s="719"/>
      <c r="J52" s="275" t="s">
        <v>54</v>
      </c>
      <c r="K52" s="275" t="s">
        <v>55</v>
      </c>
      <c r="L52" s="275" t="s">
        <v>56</v>
      </c>
      <c r="M52" s="329" t="s">
        <v>11</v>
      </c>
      <c r="N52" s="276" t="s">
        <v>312</v>
      </c>
      <c r="O52" s="692" t="s">
        <v>51</v>
      </c>
      <c r="P52" s="693"/>
      <c r="S52" s="210"/>
      <c r="T52" s="334"/>
    </row>
    <row r="53" spans="1:20" s="297" customFormat="1" ht="50.1" customHeight="1">
      <c r="A53" s="694">
        <v>5</v>
      </c>
      <c r="B53" s="707" t="s">
        <v>198</v>
      </c>
      <c r="C53" s="278">
        <v>1</v>
      </c>
      <c r="D53" s="237" t="s">
        <v>319</v>
      </c>
      <c r="E53" s="238"/>
      <c r="F53" s="239"/>
      <c r="G53" s="305" t="s">
        <v>315</v>
      </c>
      <c r="H53" s="304"/>
      <c r="I53" s="305"/>
      <c r="J53" s="311">
        <v>147.43000000000004</v>
      </c>
      <c r="K53" s="312">
        <v>2.4776643357432714E-3</v>
      </c>
      <c r="L53" s="313">
        <v>8.7800000000000011</v>
      </c>
      <c r="M53" s="321">
        <f>L53*J53</f>
        <v>1294.4354000000005</v>
      </c>
      <c r="N53" s="313"/>
      <c r="O53" s="724" t="s">
        <v>620</v>
      </c>
      <c r="P53" s="725"/>
      <c r="R53" s="334"/>
      <c r="S53" s="384"/>
    </row>
    <row r="54" spans="1:20" s="297" customFormat="1" ht="20.100000000000001" customHeight="1">
      <c r="A54" s="695"/>
      <c r="B54" s="708"/>
      <c r="C54" s="278">
        <v>2</v>
      </c>
      <c r="D54" s="237"/>
      <c r="E54" s="238"/>
      <c r="F54" s="239"/>
      <c r="G54" s="349"/>
      <c r="H54" s="304"/>
      <c r="I54" s="305"/>
      <c r="J54" s="311"/>
      <c r="K54" s="312"/>
      <c r="L54" s="313"/>
      <c r="M54" s="321">
        <f t="shared" ref="M54:M57" si="5">L54*J54</f>
        <v>0</v>
      </c>
      <c r="N54" s="313"/>
      <c r="O54" s="724"/>
      <c r="P54" s="725"/>
      <c r="S54" s="210"/>
      <c r="T54" s="335"/>
    </row>
    <row r="55" spans="1:20" s="288" customFormat="1" ht="20.100000000000001" customHeight="1">
      <c r="A55" s="695"/>
      <c r="B55" s="708"/>
      <c r="C55" s="278">
        <v>3</v>
      </c>
      <c r="D55" s="237"/>
      <c r="E55" s="280"/>
      <c r="F55" s="281"/>
      <c r="G55" s="349"/>
      <c r="H55" s="304"/>
      <c r="I55" s="305"/>
      <c r="J55" s="311"/>
      <c r="K55" s="312"/>
      <c r="L55" s="313"/>
      <c r="M55" s="321">
        <f t="shared" si="5"/>
        <v>0</v>
      </c>
      <c r="N55" s="287"/>
      <c r="O55" s="712"/>
      <c r="P55" s="713"/>
    </row>
    <row r="56" spans="1:20" s="288" customFormat="1" ht="20.100000000000001" customHeight="1">
      <c r="A56" s="695"/>
      <c r="B56" s="708"/>
      <c r="C56" s="278">
        <v>4</v>
      </c>
      <c r="D56" s="237"/>
      <c r="E56" s="280"/>
      <c r="F56" s="281"/>
      <c r="G56" s="349"/>
      <c r="H56" s="304"/>
      <c r="I56" s="305"/>
      <c r="J56" s="311"/>
      <c r="K56" s="312"/>
      <c r="L56" s="313"/>
      <c r="M56" s="321">
        <f t="shared" si="5"/>
        <v>0</v>
      </c>
      <c r="N56" s="287"/>
      <c r="O56" s="724"/>
      <c r="P56" s="725"/>
    </row>
    <row r="57" spans="1:20" s="288" customFormat="1" ht="20.100000000000001" customHeight="1" thickBot="1">
      <c r="A57" s="695"/>
      <c r="B57" s="708"/>
      <c r="C57" s="278">
        <v>5</v>
      </c>
      <c r="D57" s="243"/>
      <c r="E57" s="290"/>
      <c r="F57" s="291"/>
      <c r="G57" s="349"/>
      <c r="H57" s="304"/>
      <c r="I57" s="305"/>
      <c r="J57" s="382"/>
      <c r="K57" s="378"/>
      <c r="L57" s="316"/>
      <c r="M57" s="321">
        <f t="shared" si="5"/>
        <v>0</v>
      </c>
      <c r="N57" s="287"/>
      <c r="O57" s="813"/>
      <c r="P57" s="814"/>
      <c r="R57" s="211"/>
    </row>
    <row r="58" spans="1:20" s="288" customFormat="1" ht="17.25" thickTop="1" thickBot="1">
      <c r="A58" s="696"/>
      <c r="B58" s="709"/>
      <c r="C58" s="704"/>
      <c r="D58" s="705"/>
      <c r="E58" s="705"/>
      <c r="F58" s="705"/>
      <c r="G58" s="705"/>
      <c r="H58" s="705"/>
      <c r="I58" s="706"/>
      <c r="J58" s="346" t="s">
        <v>58</v>
      </c>
      <c r="K58" s="212">
        <f>M58/'生產管理報表 7-1 (週)'!$B$20</f>
        <v>1.5432024828075512E-2</v>
      </c>
      <c r="L58" s="347" t="s">
        <v>59</v>
      </c>
      <c r="M58" s="383">
        <f>SUM(M53:M57)</f>
        <v>1294.4354000000005</v>
      </c>
      <c r="N58" s="681"/>
      <c r="O58" s="682"/>
      <c r="P58" s="683"/>
      <c r="R58" s="210"/>
    </row>
    <row r="59" spans="1:20" s="288" customFormat="1" ht="15.75" customHeight="1" thickTop="1">
      <c r="B59" s="296"/>
      <c r="C59" s="297"/>
      <c r="M59" s="328"/>
      <c r="R59" s="210"/>
    </row>
    <row r="60" spans="1:20" s="288" customFormat="1" ht="14.25">
      <c r="A60" s="684" t="s">
        <v>174</v>
      </c>
      <c r="B60" s="685"/>
      <c r="C60" s="302" t="s">
        <v>47</v>
      </c>
      <c r="D60" s="686" t="s">
        <v>12</v>
      </c>
      <c r="E60" s="687"/>
      <c r="F60" s="688"/>
      <c r="G60" s="689" t="s">
        <v>53</v>
      </c>
      <c r="H60" s="690"/>
      <c r="I60" s="691"/>
      <c r="J60" s="303" t="s">
        <v>54</v>
      </c>
      <c r="K60" s="275" t="s">
        <v>55</v>
      </c>
      <c r="L60" s="275" t="s">
        <v>56</v>
      </c>
      <c r="M60" s="329" t="s">
        <v>11</v>
      </c>
      <c r="N60" s="276" t="s">
        <v>312</v>
      </c>
      <c r="O60" s="692" t="s">
        <v>51</v>
      </c>
      <c r="P60" s="693"/>
      <c r="R60" s="210"/>
      <c r="S60" s="2"/>
    </row>
    <row r="61" spans="1:20" s="288" customFormat="1" ht="39.950000000000003" customHeight="1">
      <c r="A61" s="694">
        <v>6</v>
      </c>
      <c r="B61" s="707" t="s">
        <v>199</v>
      </c>
      <c r="C61" s="278">
        <v>1</v>
      </c>
      <c r="D61" s="336" t="s">
        <v>319</v>
      </c>
      <c r="E61" s="280"/>
      <c r="F61" s="281"/>
      <c r="G61" s="240" t="s">
        <v>495</v>
      </c>
      <c r="H61" s="304"/>
      <c r="I61" s="240"/>
      <c r="J61" s="311">
        <v>39.389999999999993</v>
      </c>
      <c r="K61" s="312">
        <v>1.0358547516692582E-3</v>
      </c>
      <c r="L61" s="313">
        <v>27.18</v>
      </c>
      <c r="M61" s="321">
        <f t="shared" ref="M61:M65" si="6">L61*J61</f>
        <v>1070.6201999999998</v>
      </c>
      <c r="N61" s="287"/>
      <c r="O61" s="712" t="s">
        <v>603</v>
      </c>
      <c r="P61" s="713"/>
      <c r="R61" s="335"/>
      <c r="S61" s="391"/>
    </row>
    <row r="62" spans="1:20" s="297" customFormat="1" ht="39.950000000000003" customHeight="1">
      <c r="A62" s="695"/>
      <c r="B62" s="708"/>
      <c r="C62" s="278">
        <v>2</v>
      </c>
      <c r="D62" s="237" t="s">
        <v>659</v>
      </c>
      <c r="E62" s="238"/>
      <c r="F62" s="239"/>
      <c r="G62" s="240" t="s">
        <v>660</v>
      </c>
      <c r="H62" s="304"/>
      <c r="I62" s="240"/>
      <c r="J62" s="311">
        <v>48.920000000000009</v>
      </c>
      <c r="K62" s="312">
        <v>4.1059099793298356E-3</v>
      </c>
      <c r="L62" s="313">
        <v>20.439999999999998</v>
      </c>
      <c r="M62" s="321">
        <f t="shared" si="6"/>
        <v>999.92480000000012</v>
      </c>
      <c r="N62" s="313"/>
      <c r="O62" s="811" t="s">
        <v>603</v>
      </c>
      <c r="P62" s="812"/>
      <c r="S62" s="96"/>
    </row>
    <row r="63" spans="1:20" s="288" customFormat="1" ht="39.950000000000003" customHeight="1">
      <c r="A63" s="695"/>
      <c r="B63" s="708"/>
      <c r="C63" s="278">
        <v>3</v>
      </c>
      <c r="D63" s="237" t="s">
        <v>578</v>
      </c>
      <c r="E63" s="280"/>
      <c r="F63" s="281"/>
      <c r="G63" s="240" t="s">
        <v>589</v>
      </c>
      <c r="H63" s="304"/>
      <c r="I63" s="284"/>
      <c r="J63" s="311">
        <v>52.26</v>
      </c>
      <c r="K63" s="312">
        <v>3.5377291419016149E-3</v>
      </c>
      <c r="L63" s="313">
        <v>18.66</v>
      </c>
      <c r="M63" s="321">
        <f t="shared" si="6"/>
        <v>975.17160000000001</v>
      </c>
      <c r="N63" s="287"/>
      <c r="O63" s="811" t="s">
        <v>603</v>
      </c>
      <c r="P63" s="812"/>
      <c r="S63" s="2"/>
    </row>
    <row r="64" spans="1:20" s="288" customFormat="1" ht="39.950000000000003" customHeight="1">
      <c r="A64" s="695"/>
      <c r="B64" s="708"/>
      <c r="C64" s="278">
        <v>4</v>
      </c>
      <c r="D64" s="237"/>
      <c r="E64" s="280"/>
      <c r="F64" s="281"/>
      <c r="G64" s="349"/>
      <c r="H64" s="304"/>
      <c r="I64" s="305"/>
      <c r="J64" s="311"/>
      <c r="K64" s="312"/>
      <c r="L64" s="313"/>
      <c r="M64" s="321">
        <f t="shared" si="6"/>
        <v>0</v>
      </c>
      <c r="N64" s="287"/>
      <c r="O64" s="811"/>
      <c r="P64" s="812"/>
      <c r="R64" s="2"/>
      <c r="S64" s="2"/>
    </row>
    <row r="65" spans="1:20" s="288" customFormat="1" ht="39.950000000000003" customHeight="1" thickBot="1">
      <c r="A65" s="695"/>
      <c r="B65" s="708"/>
      <c r="C65" s="278">
        <v>5</v>
      </c>
      <c r="D65" s="243"/>
      <c r="E65" s="290"/>
      <c r="F65" s="291"/>
      <c r="G65" s="349"/>
      <c r="H65" s="304"/>
      <c r="I65" s="305"/>
      <c r="J65" s="382"/>
      <c r="K65" s="378"/>
      <c r="L65" s="316"/>
      <c r="M65" s="321">
        <f t="shared" si="6"/>
        <v>0</v>
      </c>
      <c r="N65" s="287"/>
      <c r="O65" s="811"/>
      <c r="P65" s="812"/>
      <c r="R65" s="2"/>
      <c r="S65" s="2"/>
    </row>
    <row r="66" spans="1:20" s="288" customFormat="1" ht="17.25" thickTop="1" thickBot="1">
      <c r="A66" s="696"/>
      <c r="B66" s="709"/>
      <c r="C66" s="704"/>
      <c r="D66" s="705"/>
      <c r="E66" s="705"/>
      <c r="F66" s="705"/>
      <c r="G66" s="705"/>
      <c r="H66" s="705"/>
      <c r="I66" s="706"/>
      <c r="J66" s="346" t="s">
        <v>58</v>
      </c>
      <c r="K66" s="212">
        <f>M66/'生產管理報表 7-1 (週)'!$B$20</f>
        <v>3.631048269421689E-2</v>
      </c>
      <c r="L66" s="347" t="s">
        <v>59</v>
      </c>
      <c r="M66" s="383">
        <f>SUM(M61:M65)</f>
        <v>3045.7166000000002</v>
      </c>
      <c r="N66" s="681"/>
      <c r="O66" s="682"/>
      <c r="P66" s="683"/>
      <c r="R66" s="2"/>
      <c r="S66" s="2"/>
    </row>
    <row r="67" spans="1:20" s="288" customFormat="1" ht="15.75" customHeight="1" thickTop="1">
      <c r="B67" s="296"/>
      <c r="C67" s="297"/>
      <c r="M67" s="328"/>
      <c r="R67" s="2"/>
      <c r="S67" s="2"/>
    </row>
    <row r="68" spans="1:20" s="288" customFormat="1" ht="14.25">
      <c r="A68" s="684" t="s">
        <v>174</v>
      </c>
      <c r="B68" s="685"/>
      <c r="C68" s="302" t="s">
        <v>47</v>
      </c>
      <c r="D68" s="686" t="s">
        <v>12</v>
      </c>
      <c r="E68" s="687"/>
      <c r="F68" s="688"/>
      <c r="G68" s="689" t="s">
        <v>53</v>
      </c>
      <c r="H68" s="690"/>
      <c r="I68" s="691"/>
      <c r="J68" s="303" t="s">
        <v>54</v>
      </c>
      <c r="K68" s="275" t="s">
        <v>55</v>
      </c>
      <c r="L68" s="275" t="s">
        <v>56</v>
      </c>
      <c r="M68" s="329" t="s">
        <v>11</v>
      </c>
      <c r="N68" s="276" t="s">
        <v>312</v>
      </c>
      <c r="O68" s="692" t="s">
        <v>51</v>
      </c>
      <c r="P68" s="693"/>
      <c r="R68" s="2"/>
      <c r="S68" s="2"/>
    </row>
    <row r="69" spans="1:20" s="288" customFormat="1" ht="20.100000000000001" customHeight="1">
      <c r="A69" s="694">
        <v>7</v>
      </c>
      <c r="B69" s="697" t="s">
        <v>231</v>
      </c>
      <c r="C69" s="278">
        <v>1</v>
      </c>
      <c r="D69" s="279"/>
      <c r="E69" s="280"/>
      <c r="F69" s="281"/>
      <c r="G69" s="282"/>
      <c r="H69" s="283"/>
      <c r="I69" s="284"/>
      <c r="J69" s="285"/>
      <c r="K69" s="286"/>
      <c r="L69" s="287"/>
      <c r="M69" s="330">
        <f t="shared" ref="M69:M71" si="7">L69*J69</f>
        <v>0</v>
      </c>
      <c r="N69" s="287"/>
      <c r="O69" s="700"/>
      <c r="P69" s="701"/>
      <c r="R69" s="2"/>
      <c r="S69" s="2"/>
    </row>
    <row r="70" spans="1:20" s="288" customFormat="1" ht="20.100000000000001" customHeight="1">
      <c r="A70" s="695"/>
      <c r="B70" s="698"/>
      <c r="C70" s="278">
        <v>2</v>
      </c>
      <c r="D70" s="279"/>
      <c r="E70" s="280"/>
      <c r="F70" s="281"/>
      <c r="G70" s="282"/>
      <c r="H70" s="283"/>
      <c r="I70" s="284"/>
      <c r="J70" s="285"/>
      <c r="K70" s="286"/>
      <c r="L70" s="287"/>
      <c r="M70" s="330">
        <f t="shared" si="7"/>
        <v>0</v>
      </c>
      <c r="N70" s="287"/>
      <c r="O70" s="702"/>
      <c r="P70" s="703"/>
      <c r="R70" s="2"/>
      <c r="S70" s="2"/>
    </row>
    <row r="71" spans="1:20" s="288" customFormat="1" ht="20.100000000000001" customHeight="1">
      <c r="A71" s="695"/>
      <c r="B71" s="698"/>
      <c r="C71" s="278">
        <v>3</v>
      </c>
      <c r="D71" s="279"/>
      <c r="E71" s="280"/>
      <c r="F71" s="281"/>
      <c r="G71" s="282"/>
      <c r="H71" s="283"/>
      <c r="I71" s="284"/>
      <c r="J71" s="285"/>
      <c r="K71" s="286"/>
      <c r="L71" s="287"/>
      <c r="M71" s="330">
        <f t="shared" si="7"/>
        <v>0</v>
      </c>
      <c r="N71" s="287"/>
      <c r="O71" s="702"/>
      <c r="P71" s="703"/>
      <c r="R71" s="2"/>
      <c r="S71" s="2"/>
    </row>
    <row r="72" spans="1:20" s="288" customFormat="1" ht="20.100000000000001" customHeight="1">
      <c r="A72" s="695"/>
      <c r="B72" s="698"/>
      <c r="C72" s="278">
        <v>4</v>
      </c>
      <c r="D72" s="279"/>
      <c r="E72" s="280"/>
      <c r="F72" s="281"/>
      <c r="G72" s="282"/>
      <c r="H72" s="283"/>
      <c r="I72" s="284"/>
      <c r="J72" s="285"/>
      <c r="K72" s="286"/>
      <c r="L72" s="287"/>
      <c r="M72" s="331">
        <v>0</v>
      </c>
      <c r="N72" s="287"/>
      <c r="O72" s="298"/>
      <c r="P72" s="299"/>
      <c r="R72" s="2"/>
      <c r="S72" s="2"/>
    </row>
    <row r="73" spans="1:20" s="288" customFormat="1" ht="20.100000000000001" customHeight="1" thickBot="1">
      <c r="A73" s="695"/>
      <c r="B73" s="698"/>
      <c r="C73" s="278">
        <v>5</v>
      </c>
      <c r="D73" s="289"/>
      <c r="E73" s="290"/>
      <c r="F73" s="291"/>
      <c r="G73" s="282"/>
      <c r="H73" s="283"/>
      <c r="I73" s="284"/>
      <c r="J73" s="382"/>
      <c r="K73" s="378"/>
      <c r="L73" s="316"/>
      <c r="M73" s="332">
        <v>0</v>
      </c>
      <c r="N73" s="287"/>
      <c r="O73" s="300"/>
      <c r="P73" s="301"/>
      <c r="R73" s="2"/>
      <c r="S73" s="2"/>
    </row>
    <row r="74" spans="1:20" s="288" customFormat="1" ht="17.25" thickTop="1" thickBot="1">
      <c r="A74" s="696"/>
      <c r="B74" s="699"/>
      <c r="C74" s="704"/>
      <c r="D74" s="705"/>
      <c r="E74" s="705"/>
      <c r="F74" s="705"/>
      <c r="G74" s="705"/>
      <c r="H74" s="705"/>
      <c r="I74" s="706"/>
      <c r="J74" s="346" t="s">
        <v>58</v>
      </c>
      <c r="K74" s="212">
        <f>M74/'生產管理報表 7-1 (週)'!$B$20</f>
        <v>0</v>
      </c>
      <c r="L74" s="347" t="s">
        <v>59</v>
      </c>
      <c r="M74" s="383">
        <f>SUM(M69:M73)</f>
        <v>0</v>
      </c>
      <c r="N74" s="681"/>
      <c r="O74" s="682"/>
      <c r="P74" s="683"/>
      <c r="R74" s="2"/>
      <c r="S74" s="2"/>
      <c r="T74" s="2"/>
    </row>
    <row r="75" spans="1:20" s="135" customFormat="1" ht="15.75" customHeight="1" thickTop="1">
      <c r="A75" s="810" t="s">
        <v>674</v>
      </c>
      <c r="B75" s="810"/>
      <c r="C75" s="810"/>
      <c r="D75" s="810"/>
      <c r="E75" s="810"/>
      <c r="F75" s="810"/>
      <c r="G75" s="810"/>
      <c r="H75" s="810"/>
      <c r="I75" s="810"/>
      <c r="J75" s="810"/>
      <c r="K75" s="810"/>
      <c r="L75" s="810"/>
      <c r="M75" s="810"/>
      <c r="Q75" s="231"/>
      <c r="R75" s="231"/>
      <c r="S75" s="231"/>
      <c r="T75" s="231"/>
    </row>
    <row r="76" spans="1:20" s="136" customFormat="1" ht="15.75" customHeight="1">
      <c r="A76" s="746"/>
      <c r="B76" s="746"/>
      <c r="C76" s="746"/>
      <c r="D76" s="746"/>
      <c r="E76" s="746"/>
      <c r="F76" s="746"/>
      <c r="G76" s="746"/>
      <c r="H76" s="746"/>
      <c r="I76" s="746"/>
      <c r="J76" s="746"/>
      <c r="K76" s="746"/>
      <c r="L76" s="746"/>
      <c r="M76" s="746"/>
    </row>
    <row r="77" spans="1:20" s="135" customFormat="1" ht="14.25">
      <c r="A77" s="747" t="s">
        <v>174</v>
      </c>
      <c r="B77" s="749">
        <v>1</v>
      </c>
      <c r="C77" s="750"/>
      <c r="D77" s="749">
        <v>2</v>
      </c>
      <c r="E77" s="750"/>
      <c r="F77" s="749">
        <v>3</v>
      </c>
      <c r="G77" s="750"/>
      <c r="H77" s="740">
        <v>4</v>
      </c>
      <c r="I77" s="741"/>
      <c r="J77" s="740">
        <v>5</v>
      </c>
      <c r="K77" s="741"/>
      <c r="L77" s="740">
        <v>6</v>
      </c>
      <c r="M77" s="741"/>
      <c r="N77" s="740">
        <v>7</v>
      </c>
      <c r="O77" s="741"/>
      <c r="P77" s="351">
        <v>8</v>
      </c>
    </row>
    <row r="78" spans="1:20" s="135" customFormat="1">
      <c r="A78" s="748"/>
      <c r="B78" s="744" t="s">
        <v>427</v>
      </c>
      <c r="C78" s="745"/>
      <c r="D78" s="744" t="s">
        <v>195</v>
      </c>
      <c r="E78" s="745"/>
      <c r="F78" s="744" t="s">
        <v>166</v>
      </c>
      <c r="G78" s="745"/>
      <c r="H78" s="742" t="s">
        <v>406</v>
      </c>
      <c r="I78" s="743"/>
      <c r="J78" s="742" t="s">
        <v>172</v>
      </c>
      <c r="K78" s="743"/>
      <c r="L78" s="742" t="s">
        <v>167</v>
      </c>
      <c r="M78" s="743"/>
      <c r="N78" s="742" t="s">
        <v>173</v>
      </c>
      <c r="O78" s="743"/>
      <c r="P78" s="352" t="s">
        <v>200</v>
      </c>
    </row>
    <row r="79" spans="1:20" s="135" customFormat="1" ht="15.75" customHeight="1">
      <c r="B79" s="232"/>
      <c r="C79" s="233"/>
    </row>
    <row r="80" spans="1:20" s="277" customFormat="1">
      <c r="A80" s="684" t="s">
        <v>174</v>
      </c>
      <c r="B80" s="685"/>
      <c r="C80" s="274" t="s">
        <v>47</v>
      </c>
      <c r="D80" s="714" t="s">
        <v>12</v>
      </c>
      <c r="E80" s="715"/>
      <c r="F80" s="716"/>
      <c r="G80" s="717" t="s">
        <v>53</v>
      </c>
      <c r="H80" s="718"/>
      <c r="I80" s="719"/>
      <c r="J80" s="275" t="s">
        <v>54</v>
      </c>
      <c r="K80" s="275" t="s">
        <v>55</v>
      </c>
      <c r="L80" s="275" t="s">
        <v>56</v>
      </c>
      <c r="M80" s="276" t="s">
        <v>11</v>
      </c>
      <c r="N80" s="276" t="s">
        <v>312</v>
      </c>
      <c r="O80" s="692" t="s">
        <v>51</v>
      </c>
      <c r="P80" s="693"/>
      <c r="R80" s="210"/>
      <c r="S80" s="260"/>
    </row>
    <row r="81" spans="1:20" s="297" customFormat="1" ht="20.100000000000001" customHeight="1">
      <c r="A81" s="694">
        <v>4</v>
      </c>
      <c r="B81" s="728" t="s">
        <v>406</v>
      </c>
      <c r="C81" s="278">
        <v>1</v>
      </c>
      <c r="D81" s="237"/>
      <c r="E81" s="238"/>
      <c r="F81" s="239"/>
      <c r="G81" s="349"/>
      <c r="H81" s="304"/>
      <c r="I81" s="305"/>
      <c r="J81" s="311"/>
      <c r="K81" s="312"/>
      <c r="L81" s="313"/>
      <c r="M81" s="321">
        <f t="shared" ref="M81:M85" si="8">L81*J81</f>
        <v>0</v>
      </c>
      <c r="N81" s="313"/>
      <c r="O81" s="799"/>
      <c r="P81" s="800"/>
      <c r="R81" s="314"/>
      <c r="S81" s="260"/>
    </row>
    <row r="82" spans="1:20" s="297" customFormat="1" ht="20.100000000000001" customHeight="1">
      <c r="A82" s="695"/>
      <c r="B82" s="729"/>
      <c r="C82" s="278">
        <v>2</v>
      </c>
      <c r="D82" s="237"/>
      <c r="E82" s="238"/>
      <c r="F82" s="239"/>
      <c r="G82" s="349"/>
      <c r="H82" s="304"/>
      <c r="I82" s="305"/>
      <c r="J82" s="311"/>
      <c r="K82" s="312"/>
      <c r="L82" s="313"/>
      <c r="M82" s="321">
        <f t="shared" si="8"/>
        <v>0</v>
      </c>
      <c r="N82" s="313"/>
      <c r="O82" s="724"/>
      <c r="P82" s="725"/>
      <c r="R82" s="314"/>
      <c r="S82" s="210"/>
      <c r="T82" s="334"/>
    </row>
    <row r="83" spans="1:20" s="297" customFormat="1" ht="20.100000000000001" customHeight="1">
      <c r="A83" s="695"/>
      <c r="B83" s="729"/>
      <c r="C83" s="278">
        <v>3</v>
      </c>
      <c r="D83" s="237"/>
      <c r="E83" s="238"/>
      <c r="F83" s="239"/>
      <c r="G83" s="349"/>
      <c r="H83" s="304"/>
      <c r="I83" s="305"/>
      <c r="J83" s="311"/>
      <c r="K83" s="312"/>
      <c r="L83" s="313"/>
      <c r="M83" s="321">
        <f t="shared" si="8"/>
        <v>0</v>
      </c>
      <c r="N83" s="313"/>
      <c r="O83" s="799"/>
      <c r="P83" s="800"/>
      <c r="R83" s="314"/>
      <c r="S83" s="260"/>
    </row>
    <row r="84" spans="1:20" s="297" customFormat="1" ht="20.100000000000001" customHeight="1">
      <c r="A84" s="695"/>
      <c r="B84" s="729"/>
      <c r="C84" s="278">
        <v>4</v>
      </c>
      <c r="D84" s="237"/>
      <c r="E84" s="238"/>
      <c r="F84" s="239"/>
      <c r="G84" s="349"/>
      <c r="H84" s="304"/>
      <c r="I84" s="305"/>
      <c r="J84" s="311"/>
      <c r="K84" s="312"/>
      <c r="L84" s="313"/>
      <c r="M84" s="321">
        <f t="shared" si="8"/>
        <v>0</v>
      </c>
      <c r="N84" s="313"/>
      <c r="O84" s="799"/>
      <c r="P84" s="800"/>
      <c r="R84" s="314"/>
      <c r="S84" s="210"/>
      <c r="T84" s="334"/>
    </row>
    <row r="85" spans="1:20" s="297" customFormat="1" ht="20.100000000000001" customHeight="1" thickBot="1">
      <c r="A85" s="695"/>
      <c r="B85" s="729"/>
      <c r="C85" s="278">
        <v>5</v>
      </c>
      <c r="D85" s="237"/>
      <c r="E85" s="244"/>
      <c r="F85" s="245"/>
      <c r="G85" s="349"/>
      <c r="H85" s="304"/>
      <c r="I85" s="305"/>
      <c r="J85" s="382"/>
      <c r="K85" s="378"/>
      <c r="L85" s="316"/>
      <c r="M85" s="321">
        <f t="shared" si="8"/>
        <v>0</v>
      </c>
      <c r="N85" s="313"/>
      <c r="O85" s="799"/>
      <c r="P85" s="800"/>
      <c r="R85" s="317"/>
      <c r="S85" s="260"/>
      <c r="T85" s="288"/>
    </row>
    <row r="86" spans="1:20" s="288" customFormat="1" ht="17.25" thickTop="1" thickBot="1">
      <c r="A86" s="696"/>
      <c r="B86" s="730"/>
      <c r="C86" s="737"/>
      <c r="D86" s="738"/>
      <c r="E86" s="738"/>
      <c r="F86" s="738"/>
      <c r="G86" s="738"/>
      <c r="H86" s="738"/>
      <c r="I86" s="739"/>
      <c r="J86" s="346" t="s">
        <v>58</v>
      </c>
      <c r="K86" s="212">
        <f>M86/'生產管理報表 7-1 (週)'!$B$31</f>
        <v>0</v>
      </c>
      <c r="L86" s="347" t="s">
        <v>59</v>
      </c>
      <c r="M86" s="383">
        <f>SUM(M81:M85)</f>
        <v>0</v>
      </c>
      <c r="N86" s="681"/>
      <c r="O86" s="682"/>
      <c r="P86" s="683"/>
      <c r="R86" s="210"/>
      <c r="S86" s="210"/>
    </row>
    <row r="87" spans="1:20" s="288" customFormat="1" ht="15.75" customHeight="1" thickTop="1">
      <c r="B87" s="296"/>
      <c r="C87" s="297"/>
      <c r="M87" s="328"/>
      <c r="S87" s="260"/>
    </row>
    <row r="88" spans="1:20" s="288" customFormat="1" ht="14.25">
      <c r="A88" s="684" t="s">
        <v>174</v>
      </c>
      <c r="B88" s="685"/>
      <c r="C88" s="274" t="s">
        <v>47</v>
      </c>
      <c r="D88" s="714" t="s">
        <v>12</v>
      </c>
      <c r="E88" s="715"/>
      <c r="F88" s="716"/>
      <c r="G88" s="717" t="s">
        <v>53</v>
      </c>
      <c r="H88" s="718"/>
      <c r="I88" s="719"/>
      <c r="J88" s="275" t="s">
        <v>54</v>
      </c>
      <c r="K88" s="275" t="s">
        <v>55</v>
      </c>
      <c r="L88" s="275" t="s">
        <v>56</v>
      </c>
      <c r="M88" s="329" t="s">
        <v>11</v>
      </c>
      <c r="N88" s="276" t="s">
        <v>312</v>
      </c>
      <c r="O88" s="692" t="s">
        <v>51</v>
      </c>
      <c r="P88" s="693"/>
      <c r="S88" s="210"/>
      <c r="T88" s="334"/>
    </row>
    <row r="89" spans="1:20" s="297" customFormat="1" ht="50.1" customHeight="1">
      <c r="A89" s="694">
        <v>5</v>
      </c>
      <c r="B89" s="707" t="s">
        <v>198</v>
      </c>
      <c r="C89" s="278">
        <v>1</v>
      </c>
      <c r="D89" s="237" t="s">
        <v>319</v>
      </c>
      <c r="E89" s="238"/>
      <c r="F89" s="239"/>
      <c r="G89" s="305" t="s">
        <v>315</v>
      </c>
      <c r="H89" s="304"/>
      <c r="I89" s="305"/>
      <c r="J89" s="311">
        <v>147.43000000000004</v>
      </c>
      <c r="K89" s="312">
        <v>2.4531098277712471E-3</v>
      </c>
      <c r="L89" s="313">
        <v>8.16</v>
      </c>
      <c r="M89" s="321">
        <f>L89*J89</f>
        <v>1203.0288000000003</v>
      </c>
      <c r="N89" s="313"/>
      <c r="O89" s="724" t="s">
        <v>698</v>
      </c>
      <c r="P89" s="725"/>
      <c r="R89" s="334"/>
      <c r="S89" s="384"/>
    </row>
    <row r="90" spans="1:20" s="297" customFormat="1" ht="20.100000000000001" customHeight="1">
      <c r="A90" s="695"/>
      <c r="B90" s="708"/>
      <c r="C90" s="278">
        <v>2</v>
      </c>
      <c r="D90" s="237"/>
      <c r="E90" s="238"/>
      <c r="F90" s="239"/>
      <c r="G90" s="349"/>
      <c r="H90" s="304"/>
      <c r="I90" s="305"/>
      <c r="J90" s="311"/>
      <c r="K90" s="312"/>
      <c r="L90" s="313"/>
      <c r="M90" s="321">
        <f t="shared" ref="M90:M93" si="9">L90*J90</f>
        <v>0</v>
      </c>
      <c r="N90" s="313"/>
      <c r="O90" s="724"/>
      <c r="P90" s="725"/>
      <c r="S90" s="210"/>
      <c r="T90" s="335"/>
    </row>
    <row r="91" spans="1:20" s="288" customFormat="1" ht="20.100000000000001" customHeight="1">
      <c r="A91" s="695"/>
      <c r="B91" s="708"/>
      <c r="C91" s="278">
        <v>3</v>
      </c>
      <c r="D91" s="237"/>
      <c r="E91" s="280"/>
      <c r="F91" s="281"/>
      <c r="G91" s="349"/>
      <c r="H91" s="304"/>
      <c r="I91" s="305"/>
      <c r="J91" s="311"/>
      <c r="K91" s="312"/>
      <c r="L91" s="313"/>
      <c r="M91" s="321">
        <f t="shared" si="9"/>
        <v>0</v>
      </c>
      <c r="N91" s="287"/>
      <c r="O91" s="712"/>
      <c r="P91" s="713"/>
    </row>
    <row r="92" spans="1:20" s="288" customFormat="1" ht="20.100000000000001" customHeight="1">
      <c r="A92" s="695"/>
      <c r="B92" s="708"/>
      <c r="C92" s="278">
        <v>4</v>
      </c>
      <c r="D92" s="237"/>
      <c r="E92" s="280"/>
      <c r="F92" s="281"/>
      <c r="G92" s="349"/>
      <c r="H92" s="304"/>
      <c r="I92" s="305"/>
      <c r="J92" s="311"/>
      <c r="K92" s="312"/>
      <c r="L92" s="313"/>
      <c r="M92" s="321">
        <f t="shared" si="9"/>
        <v>0</v>
      </c>
      <c r="N92" s="287"/>
      <c r="O92" s="724"/>
      <c r="P92" s="725"/>
    </row>
    <row r="93" spans="1:20" s="288" customFormat="1" ht="20.100000000000001" customHeight="1" thickBot="1">
      <c r="A93" s="695"/>
      <c r="B93" s="708"/>
      <c r="C93" s="278">
        <v>5</v>
      </c>
      <c r="D93" s="243"/>
      <c r="E93" s="290"/>
      <c r="F93" s="291"/>
      <c r="G93" s="349"/>
      <c r="H93" s="304"/>
      <c r="I93" s="305"/>
      <c r="J93" s="382"/>
      <c r="K93" s="378"/>
      <c r="L93" s="316"/>
      <c r="M93" s="321">
        <f t="shared" si="9"/>
        <v>0</v>
      </c>
      <c r="N93" s="287"/>
      <c r="O93" s="813"/>
      <c r="P93" s="814"/>
      <c r="R93" s="211"/>
    </row>
    <row r="94" spans="1:20" s="288" customFormat="1" ht="17.25" thickTop="1" thickBot="1">
      <c r="A94" s="696"/>
      <c r="B94" s="709"/>
      <c r="C94" s="704"/>
      <c r="D94" s="705"/>
      <c r="E94" s="705"/>
      <c r="F94" s="705"/>
      <c r="G94" s="705"/>
      <c r="H94" s="705"/>
      <c r="I94" s="706"/>
      <c r="J94" s="346" t="s">
        <v>58</v>
      </c>
      <c r="K94" s="212">
        <f>M94/'生產管理報表 7-1 (週)'!$B$31</f>
        <v>1.5660659325154841E-2</v>
      </c>
      <c r="L94" s="347" t="s">
        <v>59</v>
      </c>
      <c r="M94" s="383">
        <f>SUM(M89:M93)</f>
        <v>1203.0288000000003</v>
      </c>
      <c r="N94" s="681"/>
      <c r="O94" s="682"/>
      <c r="P94" s="683"/>
      <c r="R94" s="210"/>
    </row>
    <row r="95" spans="1:20" s="288" customFormat="1" ht="15.75" customHeight="1" thickTop="1">
      <c r="B95" s="296"/>
      <c r="C95" s="297"/>
      <c r="M95" s="328"/>
      <c r="R95" s="210"/>
    </row>
    <row r="96" spans="1:20" s="288" customFormat="1" ht="14.25">
      <c r="A96" s="684" t="s">
        <v>174</v>
      </c>
      <c r="B96" s="685"/>
      <c r="C96" s="302" t="s">
        <v>47</v>
      </c>
      <c r="D96" s="686" t="s">
        <v>12</v>
      </c>
      <c r="E96" s="687"/>
      <c r="F96" s="688"/>
      <c r="G96" s="689" t="s">
        <v>53</v>
      </c>
      <c r="H96" s="690"/>
      <c r="I96" s="691"/>
      <c r="J96" s="303" t="s">
        <v>54</v>
      </c>
      <c r="K96" s="275" t="s">
        <v>55</v>
      </c>
      <c r="L96" s="275" t="s">
        <v>56</v>
      </c>
      <c r="M96" s="329" t="s">
        <v>11</v>
      </c>
      <c r="N96" s="276" t="s">
        <v>312</v>
      </c>
      <c r="O96" s="692" t="s">
        <v>51</v>
      </c>
      <c r="P96" s="693"/>
      <c r="R96" s="210"/>
      <c r="S96" s="2"/>
    </row>
    <row r="97" spans="1:20" s="288" customFormat="1" ht="39.950000000000003" customHeight="1">
      <c r="A97" s="694">
        <v>6</v>
      </c>
      <c r="B97" s="707" t="s">
        <v>199</v>
      </c>
      <c r="C97" s="278">
        <v>1</v>
      </c>
      <c r="D97" s="336" t="s">
        <v>485</v>
      </c>
      <c r="E97" s="280"/>
      <c r="F97" s="281"/>
      <c r="G97" s="240" t="s">
        <v>314</v>
      </c>
      <c r="H97" s="304"/>
      <c r="I97" s="240"/>
      <c r="J97" s="311">
        <v>15.450000000000001</v>
      </c>
      <c r="K97" s="312">
        <v>2.0827708566359395E-3</v>
      </c>
      <c r="L97" s="313">
        <v>108</v>
      </c>
      <c r="M97" s="321">
        <f t="shared" ref="M97:M101" si="10">L97*J97</f>
        <v>1668.6000000000001</v>
      </c>
      <c r="N97" s="287"/>
      <c r="O97" s="712" t="s">
        <v>703</v>
      </c>
      <c r="P97" s="713"/>
      <c r="R97" s="335"/>
      <c r="S97" s="391"/>
    </row>
    <row r="98" spans="1:20" s="297" customFormat="1" ht="39.950000000000003" customHeight="1">
      <c r="A98" s="695"/>
      <c r="B98" s="708"/>
      <c r="C98" s="278">
        <v>2</v>
      </c>
      <c r="D98" s="237" t="s">
        <v>319</v>
      </c>
      <c r="E98" s="238"/>
      <c r="F98" s="239"/>
      <c r="G98" s="240" t="s">
        <v>495</v>
      </c>
      <c r="H98" s="304"/>
      <c r="I98" s="240"/>
      <c r="J98" s="311">
        <v>39.389999999999993</v>
      </c>
      <c r="K98" s="312">
        <v>1.4393688201936729E-3</v>
      </c>
      <c r="L98" s="313">
        <v>33.86</v>
      </c>
      <c r="M98" s="321">
        <f t="shared" si="10"/>
        <v>1333.7453999999998</v>
      </c>
      <c r="N98" s="313"/>
      <c r="O98" s="811" t="s">
        <v>704</v>
      </c>
      <c r="P98" s="812"/>
      <c r="S98" s="96"/>
    </row>
    <row r="99" spans="1:20" s="288" customFormat="1" ht="39.950000000000003" customHeight="1">
      <c r="A99" s="695"/>
      <c r="B99" s="708"/>
      <c r="C99" s="278">
        <v>3</v>
      </c>
      <c r="D99" s="237" t="s">
        <v>659</v>
      </c>
      <c r="E99" s="280"/>
      <c r="F99" s="281"/>
      <c r="G99" s="240" t="s">
        <v>660</v>
      </c>
      <c r="H99" s="304"/>
      <c r="I99" s="284"/>
      <c r="J99" s="311">
        <v>48.920000000000009</v>
      </c>
      <c r="K99" s="312">
        <v>6.070486913167205E-3</v>
      </c>
      <c r="L99" s="313">
        <v>18.579999999999998</v>
      </c>
      <c r="M99" s="321">
        <f t="shared" si="10"/>
        <v>908.93360000000007</v>
      </c>
      <c r="N99" s="287"/>
      <c r="O99" s="811" t="s">
        <v>704</v>
      </c>
      <c r="P99" s="812"/>
      <c r="S99" s="2"/>
    </row>
    <row r="100" spans="1:20" s="288" customFormat="1" ht="39.950000000000003" customHeight="1">
      <c r="A100" s="695"/>
      <c r="B100" s="708"/>
      <c r="C100" s="278">
        <v>4</v>
      </c>
      <c r="D100" s="237" t="s">
        <v>578</v>
      </c>
      <c r="E100" s="280"/>
      <c r="F100" s="281"/>
      <c r="G100" s="240" t="s">
        <v>589</v>
      </c>
      <c r="H100" s="304"/>
      <c r="I100" s="284"/>
      <c r="J100" s="311">
        <v>52.26</v>
      </c>
      <c r="K100" s="312">
        <v>3.1082167752042632E-3</v>
      </c>
      <c r="L100" s="313">
        <v>14.920000000000002</v>
      </c>
      <c r="M100" s="321">
        <f t="shared" si="10"/>
        <v>779.71920000000011</v>
      </c>
      <c r="N100" s="287"/>
      <c r="O100" s="811" t="s">
        <v>704</v>
      </c>
      <c r="P100" s="812"/>
      <c r="R100" s="2"/>
      <c r="S100" s="2"/>
    </row>
    <row r="101" spans="1:20" s="288" customFormat="1" ht="39.950000000000003" customHeight="1" thickBot="1">
      <c r="A101" s="695"/>
      <c r="B101" s="708"/>
      <c r="C101" s="278">
        <v>5</v>
      </c>
      <c r="D101" s="243" t="s">
        <v>549</v>
      </c>
      <c r="E101" s="290"/>
      <c r="F101" s="291"/>
      <c r="G101" s="240" t="s">
        <v>683</v>
      </c>
      <c r="H101" s="304"/>
      <c r="I101" s="284"/>
      <c r="J101" s="382">
        <v>40.420000000000009</v>
      </c>
      <c r="K101" s="378">
        <v>1.4756321288984605E-2</v>
      </c>
      <c r="L101" s="316">
        <v>18.5</v>
      </c>
      <c r="M101" s="321">
        <f t="shared" si="10"/>
        <v>747.77000000000021</v>
      </c>
      <c r="N101" s="287"/>
      <c r="O101" s="811" t="s">
        <v>704</v>
      </c>
      <c r="P101" s="812"/>
      <c r="R101" s="2"/>
      <c r="S101" s="2"/>
    </row>
    <row r="102" spans="1:20" s="288" customFormat="1" ht="17.25" thickTop="1" thickBot="1">
      <c r="A102" s="696"/>
      <c r="B102" s="709"/>
      <c r="C102" s="704"/>
      <c r="D102" s="705"/>
      <c r="E102" s="705"/>
      <c r="F102" s="705"/>
      <c r="G102" s="705"/>
      <c r="H102" s="705"/>
      <c r="I102" s="706"/>
      <c r="J102" s="346" t="s">
        <v>58</v>
      </c>
      <c r="K102" s="212">
        <f>M102/'生產管理報表 7-1 (週)'!$B$31</f>
        <v>7.080021353494248E-2</v>
      </c>
      <c r="L102" s="347" t="s">
        <v>59</v>
      </c>
      <c r="M102" s="383">
        <f>SUM(M97:M101)</f>
        <v>5438.7682000000013</v>
      </c>
      <c r="N102" s="681"/>
      <c r="O102" s="682"/>
      <c r="P102" s="683"/>
      <c r="R102" s="2"/>
      <c r="S102" s="2"/>
    </row>
    <row r="103" spans="1:20" s="288" customFormat="1" ht="15.75" customHeight="1" thickTop="1">
      <c r="B103" s="296"/>
      <c r="C103" s="297"/>
      <c r="M103" s="328"/>
      <c r="R103" s="2"/>
      <c r="S103" s="2"/>
    </row>
    <row r="104" spans="1:20" s="288" customFormat="1" ht="14.25">
      <c r="A104" s="684" t="s">
        <v>174</v>
      </c>
      <c r="B104" s="685"/>
      <c r="C104" s="302" t="s">
        <v>47</v>
      </c>
      <c r="D104" s="686" t="s">
        <v>12</v>
      </c>
      <c r="E104" s="687"/>
      <c r="F104" s="688"/>
      <c r="G104" s="689" t="s">
        <v>53</v>
      </c>
      <c r="H104" s="690"/>
      <c r="I104" s="691"/>
      <c r="J104" s="303" t="s">
        <v>54</v>
      </c>
      <c r="K104" s="275" t="s">
        <v>55</v>
      </c>
      <c r="L104" s="275" t="s">
        <v>56</v>
      </c>
      <c r="M104" s="329" t="s">
        <v>11</v>
      </c>
      <c r="N104" s="276" t="s">
        <v>312</v>
      </c>
      <c r="O104" s="692" t="s">
        <v>51</v>
      </c>
      <c r="P104" s="693"/>
      <c r="R104" s="2"/>
      <c r="S104" s="2"/>
    </row>
    <row r="105" spans="1:20" s="288" customFormat="1" ht="20.100000000000001" customHeight="1">
      <c r="A105" s="694">
        <v>7</v>
      </c>
      <c r="B105" s="697" t="s">
        <v>231</v>
      </c>
      <c r="C105" s="278">
        <v>1</v>
      </c>
      <c r="D105" s="279"/>
      <c r="E105" s="280"/>
      <c r="F105" s="281"/>
      <c r="G105" s="282"/>
      <c r="H105" s="283"/>
      <c r="I105" s="284"/>
      <c r="J105" s="285"/>
      <c r="K105" s="286"/>
      <c r="L105" s="287"/>
      <c r="M105" s="330">
        <f t="shared" ref="M105:M107" si="11">L105*J105</f>
        <v>0</v>
      </c>
      <c r="N105" s="287"/>
      <c r="O105" s="700"/>
      <c r="P105" s="701"/>
      <c r="R105" s="2"/>
      <c r="S105" s="2"/>
    </row>
    <row r="106" spans="1:20" s="288" customFormat="1" ht="20.100000000000001" customHeight="1">
      <c r="A106" s="695"/>
      <c r="B106" s="698"/>
      <c r="C106" s="278">
        <v>2</v>
      </c>
      <c r="D106" s="279"/>
      <c r="E106" s="280"/>
      <c r="F106" s="281"/>
      <c r="G106" s="282"/>
      <c r="H106" s="283"/>
      <c r="I106" s="284"/>
      <c r="J106" s="285"/>
      <c r="K106" s="286"/>
      <c r="L106" s="287"/>
      <c r="M106" s="330">
        <f t="shared" si="11"/>
        <v>0</v>
      </c>
      <c r="N106" s="287"/>
      <c r="O106" s="702"/>
      <c r="P106" s="703"/>
      <c r="R106" s="2"/>
      <c r="S106" s="2"/>
    </row>
    <row r="107" spans="1:20" s="288" customFormat="1" ht="20.100000000000001" customHeight="1">
      <c r="A107" s="695"/>
      <c r="B107" s="698"/>
      <c r="C107" s="278">
        <v>3</v>
      </c>
      <c r="D107" s="279"/>
      <c r="E107" s="280"/>
      <c r="F107" s="281"/>
      <c r="G107" s="282"/>
      <c r="H107" s="283"/>
      <c r="I107" s="284"/>
      <c r="J107" s="285"/>
      <c r="K107" s="286"/>
      <c r="L107" s="287"/>
      <c r="M107" s="330">
        <f t="shared" si="11"/>
        <v>0</v>
      </c>
      <c r="N107" s="287"/>
      <c r="O107" s="702"/>
      <c r="P107" s="703"/>
      <c r="R107" s="2"/>
      <c r="S107" s="2"/>
    </row>
    <row r="108" spans="1:20" s="288" customFormat="1" ht="20.100000000000001" customHeight="1">
      <c r="A108" s="695"/>
      <c r="B108" s="698"/>
      <c r="C108" s="278">
        <v>4</v>
      </c>
      <c r="D108" s="279"/>
      <c r="E108" s="280"/>
      <c r="F108" s="281"/>
      <c r="G108" s="282"/>
      <c r="H108" s="283"/>
      <c r="I108" s="284"/>
      <c r="J108" s="285"/>
      <c r="K108" s="286"/>
      <c r="L108" s="287"/>
      <c r="M108" s="331">
        <v>0</v>
      </c>
      <c r="N108" s="287"/>
      <c r="O108" s="298"/>
      <c r="P108" s="299"/>
      <c r="R108" s="2"/>
      <c r="S108" s="2"/>
    </row>
    <row r="109" spans="1:20" s="288" customFormat="1" ht="20.100000000000001" customHeight="1" thickBot="1">
      <c r="A109" s="695"/>
      <c r="B109" s="698"/>
      <c r="C109" s="278">
        <v>5</v>
      </c>
      <c r="D109" s="289"/>
      <c r="E109" s="290"/>
      <c r="F109" s="291"/>
      <c r="G109" s="282"/>
      <c r="H109" s="283"/>
      <c r="I109" s="284"/>
      <c r="J109" s="382"/>
      <c r="K109" s="378"/>
      <c r="L109" s="316"/>
      <c r="M109" s="332">
        <v>0</v>
      </c>
      <c r="N109" s="287"/>
      <c r="O109" s="300"/>
      <c r="P109" s="301"/>
      <c r="R109" s="2"/>
      <c r="S109" s="2"/>
    </row>
    <row r="110" spans="1:20" s="288" customFormat="1" ht="17.25" thickTop="1" thickBot="1">
      <c r="A110" s="696"/>
      <c r="B110" s="699"/>
      <c r="C110" s="704"/>
      <c r="D110" s="705"/>
      <c r="E110" s="705"/>
      <c r="F110" s="705"/>
      <c r="G110" s="705"/>
      <c r="H110" s="705"/>
      <c r="I110" s="706"/>
      <c r="J110" s="346" t="s">
        <v>58</v>
      </c>
      <c r="K110" s="212">
        <f>M110/'生產管理報表 7-1 (週)'!$B$31</f>
        <v>0</v>
      </c>
      <c r="L110" s="347" t="s">
        <v>59</v>
      </c>
      <c r="M110" s="383">
        <f>SUM(M105:M109)</f>
        <v>0</v>
      </c>
      <c r="N110" s="681"/>
      <c r="O110" s="682"/>
      <c r="P110" s="683"/>
      <c r="R110" s="2"/>
      <c r="S110" s="2"/>
      <c r="T110" s="2"/>
    </row>
    <row r="111" spans="1:20" s="135" customFormat="1" ht="15.75" customHeight="1" thickTop="1">
      <c r="A111" s="810" t="s">
        <v>697</v>
      </c>
      <c r="B111" s="810"/>
      <c r="C111" s="810"/>
      <c r="D111" s="810"/>
      <c r="E111" s="810"/>
      <c r="F111" s="810"/>
      <c r="G111" s="810"/>
      <c r="H111" s="810"/>
      <c r="I111" s="810"/>
      <c r="J111" s="810"/>
      <c r="K111" s="810"/>
      <c r="L111" s="810"/>
      <c r="M111" s="810"/>
      <c r="Q111" s="231"/>
      <c r="R111" s="231"/>
      <c r="S111" s="231"/>
      <c r="T111" s="231"/>
    </row>
    <row r="112" spans="1:20" s="136" customFormat="1" ht="15.75" customHeight="1">
      <c r="A112" s="746"/>
      <c r="B112" s="746"/>
      <c r="C112" s="746"/>
      <c r="D112" s="746"/>
      <c r="E112" s="746"/>
      <c r="F112" s="746"/>
      <c r="G112" s="746"/>
      <c r="H112" s="746"/>
      <c r="I112" s="746"/>
      <c r="J112" s="746"/>
      <c r="K112" s="746"/>
      <c r="L112" s="746"/>
      <c r="M112" s="746"/>
    </row>
    <row r="113" spans="1:20" s="135" customFormat="1" ht="14.25">
      <c r="A113" s="747" t="s">
        <v>174</v>
      </c>
      <c r="B113" s="749">
        <v>1</v>
      </c>
      <c r="C113" s="750"/>
      <c r="D113" s="749">
        <v>2</v>
      </c>
      <c r="E113" s="750"/>
      <c r="F113" s="749">
        <v>3</v>
      </c>
      <c r="G113" s="750"/>
      <c r="H113" s="740">
        <v>4</v>
      </c>
      <c r="I113" s="741"/>
      <c r="J113" s="740">
        <v>5</v>
      </c>
      <c r="K113" s="741"/>
      <c r="L113" s="740">
        <v>6</v>
      </c>
      <c r="M113" s="741"/>
      <c r="N113" s="740">
        <v>7</v>
      </c>
      <c r="O113" s="741"/>
      <c r="P113" s="351">
        <v>8</v>
      </c>
    </row>
    <row r="114" spans="1:20" s="135" customFormat="1">
      <c r="A114" s="748"/>
      <c r="B114" s="744" t="s">
        <v>427</v>
      </c>
      <c r="C114" s="745"/>
      <c r="D114" s="744" t="s">
        <v>195</v>
      </c>
      <c r="E114" s="745"/>
      <c r="F114" s="744" t="s">
        <v>166</v>
      </c>
      <c r="G114" s="745"/>
      <c r="H114" s="742" t="s">
        <v>406</v>
      </c>
      <c r="I114" s="743"/>
      <c r="J114" s="742" t="s">
        <v>172</v>
      </c>
      <c r="K114" s="743"/>
      <c r="L114" s="742" t="s">
        <v>167</v>
      </c>
      <c r="M114" s="743"/>
      <c r="N114" s="742" t="s">
        <v>173</v>
      </c>
      <c r="O114" s="743"/>
      <c r="P114" s="352" t="s">
        <v>200</v>
      </c>
    </row>
    <row r="115" spans="1:20" s="135" customFormat="1" ht="15.75" customHeight="1">
      <c r="B115" s="232"/>
      <c r="C115" s="233"/>
    </row>
    <row r="116" spans="1:20" s="277" customFormat="1">
      <c r="A116" s="684" t="s">
        <v>174</v>
      </c>
      <c r="B116" s="685"/>
      <c r="C116" s="274" t="s">
        <v>47</v>
      </c>
      <c r="D116" s="714" t="s">
        <v>12</v>
      </c>
      <c r="E116" s="715"/>
      <c r="F116" s="716"/>
      <c r="G116" s="717" t="s">
        <v>53</v>
      </c>
      <c r="H116" s="718"/>
      <c r="I116" s="719"/>
      <c r="J116" s="275" t="s">
        <v>54</v>
      </c>
      <c r="K116" s="275" t="s">
        <v>55</v>
      </c>
      <c r="L116" s="275" t="s">
        <v>56</v>
      </c>
      <c r="M116" s="276" t="s">
        <v>11</v>
      </c>
      <c r="N116" s="276" t="s">
        <v>312</v>
      </c>
      <c r="O116" s="692" t="s">
        <v>51</v>
      </c>
      <c r="P116" s="693"/>
      <c r="R116" s="210"/>
      <c r="S116" s="260"/>
    </row>
    <row r="117" spans="1:20" s="297" customFormat="1" ht="20.100000000000001" customHeight="1">
      <c r="A117" s="694">
        <v>4</v>
      </c>
      <c r="B117" s="728" t="s">
        <v>406</v>
      </c>
      <c r="C117" s="278">
        <v>1</v>
      </c>
      <c r="D117" s="237"/>
      <c r="E117" s="238"/>
      <c r="F117" s="239"/>
      <c r="G117" s="349"/>
      <c r="H117" s="304"/>
      <c r="I117" s="305"/>
      <c r="J117" s="311"/>
      <c r="K117" s="312"/>
      <c r="L117" s="313"/>
      <c r="M117" s="321">
        <f t="shared" ref="M117:M121" si="12">L117*J117</f>
        <v>0</v>
      </c>
      <c r="N117" s="313"/>
      <c r="O117" s="799"/>
      <c r="P117" s="800"/>
      <c r="R117" s="314"/>
      <c r="S117" s="260"/>
    </row>
    <row r="118" spans="1:20" s="297" customFormat="1" ht="20.100000000000001" customHeight="1">
      <c r="A118" s="695"/>
      <c r="B118" s="729"/>
      <c r="C118" s="278">
        <v>2</v>
      </c>
      <c r="D118" s="237"/>
      <c r="E118" s="238"/>
      <c r="F118" s="239"/>
      <c r="G118" s="349"/>
      <c r="H118" s="304"/>
      <c r="I118" s="305"/>
      <c r="J118" s="311"/>
      <c r="K118" s="312"/>
      <c r="L118" s="313"/>
      <c r="M118" s="321">
        <f t="shared" si="12"/>
        <v>0</v>
      </c>
      <c r="N118" s="313"/>
      <c r="O118" s="724"/>
      <c r="P118" s="725"/>
      <c r="R118" s="314"/>
      <c r="S118" s="210"/>
      <c r="T118" s="334"/>
    </row>
    <row r="119" spans="1:20" s="297" customFormat="1" ht="20.100000000000001" customHeight="1">
      <c r="A119" s="695"/>
      <c r="B119" s="729"/>
      <c r="C119" s="278">
        <v>3</v>
      </c>
      <c r="D119" s="237"/>
      <c r="E119" s="238"/>
      <c r="F119" s="239"/>
      <c r="G119" s="349"/>
      <c r="H119" s="304"/>
      <c r="I119" s="305"/>
      <c r="J119" s="311"/>
      <c r="K119" s="312"/>
      <c r="L119" s="313"/>
      <c r="M119" s="321">
        <f t="shared" si="12"/>
        <v>0</v>
      </c>
      <c r="N119" s="313"/>
      <c r="O119" s="799"/>
      <c r="P119" s="800"/>
      <c r="R119" s="314"/>
      <c r="S119" s="260"/>
    </row>
    <row r="120" spans="1:20" s="297" customFormat="1" ht="20.100000000000001" customHeight="1">
      <c r="A120" s="695"/>
      <c r="B120" s="729"/>
      <c r="C120" s="278">
        <v>4</v>
      </c>
      <c r="D120" s="237"/>
      <c r="E120" s="238"/>
      <c r="F120" s="239"/>
      <c r="G120" s="349"/>
      <c r="H120" s="304"/>
      <c r="I120" s="305"/>
      <c r="J120" s="311"/>
      <c r="K120" s="312"/>
      <c r="L120" s="313"/>
      <c r="M120" s="321">
        <f t="shared" si="12"/>
        <v>0</v>
      </c>
      <c r="N120" s="313"/>
      <c r="O120" s="799"/>
      <c r="P120" s="800"/>
      <c r="R120" s="314"/>
      <c r="S120" s="210"/>
      <c r="T120" s="334"/>
    </row>
    <row r="121" spans="1:20" s="297" customFormat="1" ht="20.100000000000001" customHeight="1" thickBot="1">
      <c r="A121" s="695"/>
      <c r="B121" s="729"/>
      <c r="C121" s="278">
        <v>5</v>
      </c>
      <c r="D121" s="237"/>
      <c r="E121" s="244"/>
      <c r="F121" s="245"/>
      <c r="G121" s="349"/>
      <c r="H121" s="304"/>
      <c r="I121" s="305"/>
      <c r="J121" s="382"/>
      <c r="K121" s="378"/>
      <c r="L121" s="316"/>
      <c r="M121" s="321">
        <f t="shared" si="12"/>
        <v>0</v>
      </c>
      <c r="N121" s="313"/>
      <c r="O121" s="799"/>
      <c r="P121" s="800"/>
      <c r="R121" s="317"/>
      <c r="S121" s="260"/>
      <c r="T121" s="288"/>
    </row>
    <row r="122" spans="1:20" s="288" customFormat="1" ht="17.25" thickTop="1" thickBot="1">
      <c r="A122" s="696"/>
      <c r="B122" s="730"/>
      <c r="C122" s="737"/>
      <c r="D122" s="738"/>
      <c r="E122" s="738"/>
      <c r="F122" s="738"/>
      <c r="G122" s="738"/>
      <c r="H122" s="738"/>
      <c r="I122" s="739"/>
      <c r="J122" s="346" t="s">
        <v>58</v>
      </c>
      <c r="K122" s="212">
        <f>M122/'生產管理報表 7-1 (週)'!$B$42</f>
        <v>0</v>
      </c>
      <c r="L122" s="347" t="s">
        <v>59</v>
      </c>
      <c r="M122" s="383">
        <f>SUM(M117:M121)</f>
        <v>0</v>
      </c>
      <c r="N122" s="681"/>
      <c r="O122" s="682"/>
      <c r="P122" s="683"/>
      <c r="R122" s="210"/>
      <c r="S122" s="210"/>
    </row>
    <row r="123" spans="1:20" s="288" customFormat="1" ht="15.75" customHeight="1" thickTop="1">
      <c r="B123" s="296"/>
      <c r="C123" s="297"/>
      <c r="M123" s="328"/>
      <c r="S123" s="260"/>
    </row>
    <row r="124" spans="1:20" s="288" customFormat="1" ht="14.25">
      <c r="A124" s="684" t="s">
        <v>174</v>
      </c>
      <c r="B124" s="685"/>
      <c r="C124" s="274" t="s">
        <v>47</v>
      </c>
      <c r="D124" s="714" t="s">
        <v>12</v>
      </c>
      <c r="E124" s="715"/>
      <c r="F124" s="716"/>
      <c r="G124" s="717" t="s">
        <v>53</v>
      </c>
      <c r="H124" s="718"/>
      <c r="I124" s="719"/>
      <c r="J124" s="275" t="s">
        <v>54</v>
      </c>
      <c r="K124" s="275" t="s">
        <v>55</v>
      </c>
      <c r="L124" s="275" t="s">
        <v>56</v>
      </c>
      <c r="M124" s="329" t="s">
        <v>11</v>
      </c>
      <c r="N124" s="276" t="s">
        <v>312</v>
      </c>
      <c r="O124" s="692" t="s">
        <v>51</v>
      </c>
      <c r="P124" s="693"/>
      <c r="S124" s="210"/>
      <c r="T124" s="334"/>
    </row>
    <row r="125" spans="1:20" s="297" customFormat="1" ht="50.1" customHeight="1">
      <c r="A125" s="694">
        <v>5</v>
      </c>
      <c r="B125" s="707" t="s">
        <v>198</v>
      </c>
      <c r="C125" s="278">
        <v>1</v>
      </c>
      <c r="D125" s="237" t="s">
        <v>319</v>
      </c>
      <c r="E125" s="238"/>
      <c r="F125" s="239"/>
      <c r="G125" s="305" t="s">
        <v>315</v>
      </c>
      <c r="H125" s="304"/>
      <c r="I125" s="305"/>
      <c r="J125" s="311">
        <v>147.43000000000004</v>
      </c>
      <c r="K125" s="312">
        <v>2.1875885779074128E-3</v>
      </c>
      <c r="L125" s="313">
        <v>9.57</v>
      </c>
      <c r="M125" s="321">
        <f>L125*J125</f>
        <v>1410.9051000000004</v>
      </c>
      <c r="N125" s="313"/>
      <c r="O125" s="724" t="s">
        <v>742</v>
      </c>
      <c r="P125" s="725"/>
      <c r="R125" s="334"/>
      <c r="S125" s="384"/>
    </row>
    <row r="126" spans="1:20" s="297" customFormat="1" ht="50.1" customHeight="1">
      <c r="A126" s="695"/>
      <c r="B126" s="708"/>
      <c r="C126" s="278">
        <v>2</v>
      </c>
      <c r="D126" s="237" t="s">
        <v>562</v>
      </c>
      <c r="E126" s="238"/>
      <c r="F126" s="239"/>
      <c r="G126" s="305" t="s">
        <v>591</v>
      </c>
      <c r="H126" s="304"/>
      <c r="I126" s="305"/>
      <c r="J126" s="311">
        <v>122.85000000000001</v>
      </c>
      <c r="K126" s="312">
        <v>9.0462408292387424E-3</v>
      </c>
      <c r="L126" s="313">
        <v>6.72</v>
      </c>
      <c r="M126" s="321">
        <f t="shared" ref="M126:M129" si="13">L126*J126</f>
        <v>825.55200000000002</v>
      </c>
      <c r="N126" s="313"/>
      <c r="O126" s="724" t="s">
        <v>742</v>
      </c>
      <c r="P126" s="725"/>
      <c r="S126" s="210"/>
      <c r="T126" s="335"/>
    </row>
    <row r="127" spans="1:20" s="288" customFormat="1" ht="20.100000000000001" customHeight="1">
      <c r="A127" s="695"/>
      <c r="B127" s="708"/>
      <c r="C127" s="278">
        <v>3</v>
      </c>
      <c r="D127" s="237"/>
      <c r="E127" s="280"/>
      <c r="F127" s="281"/>
      <c r="G127" s="349"/>
      <c r="H127" s="304"/>
      <c r="I127" s="305"/>
      <c r="J127" s="311"/>
      <c r="K127" s="312"/>
      <c r="L127" s="313"/>
      <c r="M127" s="321">
        <f t="shared" si="13"/>
        <v>0</v>
      </c>
      <c r="N127" s="287"/>
      <c r="O127" s="712"/>
      <c r="P127" s="713"/>
    </row>
    <row r="128" spans="1:20" s="288" customFormat="1" ht="20.100000000000001" customHeight="1">
      <c r="A128" s="695"/>
      <c r="B128" s="708"/>
      <c r="C128" s="278">
        <v>4</v>
      </c>
      <c r="D128" s="237"/>
      <c r="E128" s="280"/>
      <c r="F128" s="281"/>
      <c r="G128" s="349"/>
      <c r="H128" s="304"/>
      <c r="I128" s="305"/>
      <c r="J128" s="311"/>
      <c r="K128" s="312"/>
      <c r="L128" s="313"/>
      <c r="M128" s="321">
        <f t="shared" si="13"/>
        <v>0</v>
      </c>
      <c r="N128" s="287"/>
      <c r="O128" s="724"/>
      <c r="P128" s="725"/>
    </row>
    <row r="129" spans="1:19" s="288" customFormat="1" ht="20.100000000000001" customHeight="1" thickBot="1">
      <c r="A129" s="695"/>
      <c r="B129" s="708"/>
      <c r="C129" s="278">
        <v>5</v>
      </c>
      <c r="D129" s="243"/>
      <c r="E129" s="290"/>
      <c r="F129" s="291"/>
      <c r="G129" s="349"/>
      <c r="H129" s="304"/>
      <c r="I129" s="305"/>
      <c r="J129" s="382"/>
      <c r="K129" s="378"/>
      <c r="L129" s="316"/>
      <c r="M129" s="321">
        <f t="shared" si="13"/>
        <v>0</v>
      </c>
      <c r="N129" s="287"/>
      <c r="O129" s="813"/>
      <c r="P129" s="814"/>
      <c r="R129" s="211"/>
    </row>
    <row r="130" spans="1:19" s="288" customFormat="1" ht="17.25" thickTop="1" thickBot="1">
      <c r="A130" s="696"/>
      <c r="B130" s="709"/>
      <c r="C130" s="704"/>
      <c r="D130" s="705"/>
      <c r="E130" s="705"/>
      <c r="F130" s="705"/>
      <c r="G130" s="705"/>
      <c r="H130" s="705"/>
      <c r="I130" s="706"/>
      <c r="J130" s="346" t="s">
        <v>58</v>
      </c>
      <c r="K130" s="212">
        <f>M130/'生產管理報表 7-1 (週)'!$B$42</f>
        <v>2.8148159018765429E-2</v>
      </c>
      <c r="L130" s="347" t="s">
        <v>59</v>
      </c>
      <c r="M130" s="383">
        <f>SUM(M125:M129)</f>
        <v>2236.4571000000005</v>
      </c>
      <c r="N130" s="681"/>
      <c r="O130" s="682"/>
      <c r="P130" s="683"/>
      <c r="R130" s="210"/>
    </row>
    <row r="131" spans="1:19" s="288" customFormat="1" ht="15.75" customHeight="1" thickTop="1">
      <c r="B131" s="296"/>
      <c r="C131" s="297"/>
      <c r="M131" s="328"/>
      <c r="R131" s="210"/>
    </row>
    <row r="132" spans="1:19" s="288" customFormat="1" ht="14.25">
      <c r="A132" s="684" t="s">
        <v>174</v>
      </c>
      <c r="B132" s="685"/>
      <c r="C132" s="302" t="s">
        <v>47</v>
      </c>
      <c r="D132" s="686" t="s">
        <v>12</v>
      </c>
      <c r="E132" s="687"/>
      <c r="F132" s="688"/>
      <c r="G132" s="689" t="s">
        <v>53</v>
      </c>
      <c r="H132" s="690"/>
      <c r="I132" s="691"/>
      <c r="J132" s="303" t="s">
        <v>54</v>
      </c>
      <c r="K132" s="275" t="s">
        <v>55</v>
      </c>
      <c r="L132" s="275" t="s">
        <v>56</v>
      </c>
      <c r="M132" s="329" t="s">
        <v>11</v>
      </c>
      <c r="N132" s="276" t="s">
        <v>312</v>
      </c>
      <c r="O132" s="692" t="s">
        <v>51</v>
      </c>
      <c r="P132" s="693"/>
      <c r="R132" s="210"/>
      <c r="S132" s="2"/>
    </row>
    <row r="133" spans="1:19" s="288" customFormat="1" ht="39.950000000000003" customHeight="1">
      <c r="A133" s="694">
        <v>6</v>
      </c>
      <c r="B133" s="707" t="s">
        <v>199</v>
      </c>
      <c r="C133" s="278">
        <v>1</v>
      </c>
      <c r="D133" s="336" t="s">
        <v>485</v>
      </c>
      <c r="E133" s="280"/>
      <c r="F133" s="281"/>
      <c r="G133" s="240" t="s">
        <v>314</v>
      </c>
      <c r="H133" s="304"/>
      <c r="I133" s="240"/>
      <c r="J133" s="311">
        <v>15.450000000000001</v>
      </c>
      <c r="K133" s="312">
        <v>2.0316027088036117E-3</v>
      </c>
      <c r="L133" s="313">
        <v>117</v>
      </c>
      <c r="M133" s="321">
        <f t="shared" ref="M133:M137" si="14">L133*J133</f>
        <v>1807.65</v>
      </c>
      <c r="N133" s="287"/>
      <c r="O133" s="712" t="s">
        <v>748</v>
      </c>
      <c r="P133" s="713"/>
      <c r="R133" s="335"/>
      <c r="S133" s="391"/>
    </row>
    <row r="134" spans="1:19" s="297" customFormat="1" ht="39.950000000000003" customHeight="1">
      <c r="A134" s="695"/>
      <c r="B134" s="708"/>
      <c r="C134" s="278">
        <v>2</v>
      </c>
      <c r="D134" s="237" t="s">
        <v>319</v>
      </c>
      <c r="E134" s="238"/>
      <c r="F134" s="239"/>
      <c r="G134" s="240" t="s">
        <v>495</v>
      </c>
      <c r="H134" s="304"/>
      <c r="I134" s="240"/>
      <c r="J134" s="311">
        <v>39.389999999999993</v>
      </c>
      <c r="K134" s="312">
        <v>1.1536471152511136E-3</v>
      </c>
      <c r="L134" s="313">
        <v>27.419999999999998</v>
      </c>
      <c r="M134" s="321">
        <f t="shared" si="14"/>
        <v>1080.0737999999997</v>
      </c>
      <c r="N134" s="313"/>
      <c r="O134" s="811" t="s">
        <v>749</v>
      </c>
      <c r="P134" s="812"/>
      <c r="S134" s="96"/>
    </row>
    <row r="135" spans="1:19" s="288" customFormat="1" ht="39.950000000000003" customHeight="1">
      <c r="A135" s="695"/>
      <c r="B135" s="708"/>
      <c r="C135" s="278">
        <v>3</v>
      </c>
      <c r="D135" s="237"/>
      <c r="E135" s="280"/>
      <c r="F135" s="281"/>
      <c r="G135" s="349"/>
      <c r="H135" s="304"/>
      <c r="I135" s="305"/>
      <c r="J135" s="311"/>
      <c r="K135" s="312"/>
      <c r="L135" s="313"/>
      <c r="M135" s="321">
        <f t="shared" si="14"/>
        <v>0</v>
      </c>
      <c r="N135" s="287"/>
      <c r="O135" s="811"/>
      <c r="P135" s="812"/>
      <c r="S135" s="2"/>
    </row>
    <row r="136" spans="1:19" s="288" customFormat="1" ht="39.950000000000003" customHeight="1">
      <c r="A136" s="695"/>
      <c r="B136" s="708"/>
      <c r="C136" s="278">
        <v>4</v>
      </c>
      <c r="D136" s="237"/>
      <c r="E136" s="280"/>
      <c r="F136" s="281"/>
      <c r="G136" s="349"/>
      <c r="H136" s="304"/>
      <c r="I136" s="305"/>
      <c r="J136" s="311"/>
      <c r="K136" s="312"/>
      <c r="L136" s="313"/>
      <c r="M136" s="321">
        <f t="shared" si="14"/>
        <v>0</v>
      </c>
      <c r="N136" s="287"/>
      <c r="O136" s="811"/>
      <c r="P136" s="812"/>
      <c r="R136" s="2"/>
      <c r="S136" s="2"/>
    </row>
    <row r="137" spans="1:19" s="288" customFormat="1" ht="39.950000000000003" customHeight="1" thickBot="1">
      <c r="A137" s="695"/>
      <c r="B137" s="708"/>
      <c r="C137" s="278">
        <v>5</v>
      </c>
      <c r="D137" s="243"/>
      <c r="E137" s="290"/>
      <c r="F137" s="291"/>
      <c r="G137" s="349"/>
      <c r="H137" s="304"/>
      <c r="I137" s="305"/>
      <c r="J137" s="382"/>
      <c r="K137" s="378"/>
      <c r="L137" s="316"/>
      <c r="M137" s="321">
        <f t="shared" si="14"/>
        <v>0</v>
      </c>
      <c r="N137" s="287"/>
      <c r="O137" s="811"/>
      <c r="P137" s="812"/>
      <c r="R137" s="2"/>
      <c r="S137" s="2"/>
    </row>
    <row r="138" spans="1:19" s="288" customFormat="1" ht="17.25" thickTop="1" thickBot="1">
      <c r="A138" s="696"/>
      <c r="B138" s="709"/>
      <c r="C138" s="704"/>
      <c r="D138" s="705"/>
      <c r="E138" s="705"/>
      <c r="F138" s="705"/>
      <c r="G138" s="705"/>
      <c r="H138" s="705"/>
      <c r="I138" s="706"/>
      <c r="J138" s="346" t="s">
        <v>58</v>
      </c>
      <c r="K138" s="212">
        <f>M138/'生產管理報表 7-1 (週)'!$B$42</f>
        <v>3.634503372529415E-2</v>
      </c>
      <c r="L138" s="347" t="s">
        <v>59</v>
      </c>
      <c r="M138" s="383">
        <f>SUM(M133:M137)</f>
        <v>2887.7237999999998</v>
      </c>
      <c r="N138" s="681"/>
      <c r="O138" s="682"/>
      <c r="P138" s="683"/>
      <c r="R138" s="2"/>
      <c r="S138" s="2"/>
    </row>
    <row r="139" spans="1:19" s="288" customFormat="1" ht="15.75" customHeight="1" thickTop="1">
      <c r="B139" s="296"/>
      <c r="C139" s="297"/>
      <c r="M139" s="328"/>
      <c r="R139" s="2"/>
      <c r="S139" s="2"/>
    </row>
    <row r="140" spans="1:19" s="288" customFormat="1" ht="14.25">
      <c r="A140" s="684" t="s">
        <v>174</v>
      </c>
      <c r="B140" s="685"/>
      <c r="C140" s="302" t="s">
        <v>47</v>
      </c>
      <c r="D140" s="686" t="s">
        <v>12</v>
      </c>
      <c r="E140" s="687"/>
      <c r="F140" s="688"/>
      <c r="G140" s="689" t="s">
        <v>53</v>
      </c>
      <c r="H140" s="690"/>
      <c r="I140" s="691"/>
      <c r="J140" s="303" t="s">
        <v>54</v>
      </c>
      <c r="K140" s="275" t="s">
        <v>55</v>
      </c>
      <c r="L140" s="275" t="s">
        <v>56</v>
      </c>
      <c r="M140" s="329" t="s">
        <v>11</v>
      </c>
      <c r="N140" s="276" t="s">
        <v>312</v>
      </c>
      <c r="O140" s="692" t="s">
        <v>51</v>
      </c>
      <c r="P140" s="693"/>
      <c r="R140" s="2"/>
      <c r="S140" s="2"/>
    </row>
    <row r="141" spans="1:19" s="288" customFormat="1" ht="20.100000000000001" customHeight="1">
      <c r="A141" s="694">
        <v>7</v>
      </c>
      <c r="B141" s="697" t="s">
        <v>231</v>
      </c>
      <c r="C141" s="278">
        <v>1</v>
      </c>
      <c r="D141" s="279"/>
      <c r="E141" s="280"/>
      <c r="F141" s="281"/>
      <c r="G141" s="282"/>
      <c r="H141" s="283"/>
      <c r="I141" s="284"/>
      <c r="J141" s="285"/>
      <c r="K141" s="286"/>
      <c r="L141" s="287"/>
      <c r="M141" s="330">
        <f t="shared" ref="M141:M143" si="15">L141*J141</f>
        <v>0</v>
      </c>
      <c r="N141" s="287"/>
      <c r="O141" s="700"/>
      <c r="P141" s="701"/>
      <c r="R141" s="2"/>
      <c r="S141" s="2"/>
    </row>
    <row r="142" spans="1:19" s="288" customFormat="1" ht="20.100000000000001" customHeight="1">
      <c r="A142" s="695"/>
      <c r="B142" s="698"/>
      <c r="C142" s="278">
        <v>2</v>
      </c>
      <c r="D142" s="279"/>
      <c r="E142" s="280"/>
      <c r="F142" s="281"/>
      <c r="G142" s="282"/>
      <c r="H142" s="283"/>
      <c r="I142" s="284"/>
      <c r="J142" s="285"/>
      <c r="K142" s="286"/>
      <c r="L142" s="287"/>
      <c r="M142" s="330">
        <f t="shared" si="15"/>
        <v>0</v>
      </c>
      <c r="N142" s="287"/>
      <c r="O142" s="702"/>
      <c r="P142" s="703"/>
      <c r="R142" s="2"/>
      <c r="S142" s="2"/>
    </row>
    <row r="143" spans="1:19" s="288" customFormat="1" ht="20.100000000000001" customHeight="1">
      <c r="A143" s="695"/>
      <c r="B143" s="698"/>
      <c r="C143" s="278">
        <v>3</v>
      </c>
      <c r="D143" s="279"/>
      <c r="E143" s="280"/>
      <c r="F143" s="281"/>
      <c r="G143" s="282"/>
      <c r="H143" s="283"/>
      <c r="I143" s="284"/>
      <c r="J143" s="285"/>
      <c r="K143" s="286"/>
      <c r="L143" s="287"/>
      <c r="M143" s="330">
        <f t="shared" si="15"/>
        <v>0</v>
      </c>
      <c r="N143" s="287"/>
      <c r="O143" s="702"/>
      <c r="P143" s="703"/>
      <c r="R143" s="2"/>
      <c r="S143" s="2"/>
    </row>
    <row r="144" spans="1:19" s="288" customFormat="1" ht="20.100000000000001" customHeight="1">
      <c r="A144" s="695"/>
      <c r="B144" s="698"/>
      <c r="C144" s="278">
        <v>4</v>
      </c>
      <c r="D144" s="279"/>
      <c r="E144" s="280"/>
      <c r="F144" s="281"/>
      <c r="G144" s="282"/>
      <c r="H144" s="283"/>
      <c r="I144" s="284"/>
      <c r="J144" s="285"/>
      <c r="K144" s="286"/>
      <c r="L144" s="287"/>
      <c r="M144" s="331">
        <v>0</v>
      </c>
      <c r="N144" s="287"/>
      <c r="O144" s="298"/>
      <c r="P144" s="299"/>
      <c r="R144" s="2"/>
      <c r="S144" s="2"/>
    </row>
    <row r="145" spans="1:20" s="288" customFormat="1" ht="20.100000000000001" customHeight="1" thickBot="1">
      <c r="A145" s="695"/>
      <c r="B145" s="698"/>
      <c r="C145" s="278">
        <v>5</v>
      </c>
      <c r="D145" s="289"/>
      <c r="E145" s="290"/>
      <c r="F145" s="291"/>
      <c r="G145" s="282"/>
      <c r="H145" s="283"/>
      <c r="I145" s="284"/>
      <c r="J145" s="382"/>
      <c r="K145" s="378"/>
      <c r="L145" s="316"/>
      <c r="M145" s="332">
        <v>0</v>
      </c>
      <c r="N145" s="287"/>
      <c r="O145" s="300"/>
      <c r="P145" s="301"/>
      <c r="R145" s="2"/>
      <c r="S145" s="2"/>
    </row>
    <row r="146" spans="1:20" s="288" customFormat="1" ht="17.25" thickTop="1" thickBot="1">
      <c r="A146" s="696"/>
      <c r="B146" s="699"/>
      <c r="C146" s="704"/>
      <c r="D146" s="705"/>
      <c r="E146" s="705"/>
      <c r="F146" s="705"/>
      <c r="G146" s="705"/>
      <c r="H146" s="705"/>
      <c r="I146" s="706"/>
      <c r="J146" s="346" t="s">
        <v>58</v>
      </c>
      <c r="K146" s="212">
        <f>M146/'生產管理報表 7-1 (週)'!$B$42</f>
        <v>0</v>
      </c>
      <c r="L146" s="347" t="s">
        <v>59</v>
      </c>
      <c r="M146" s="383">
        <f>SUM(M141:M145)</f>
        <v>0</v>
      </c>
      <c r="N146" s="681"/>
      <c r="O146" s="682"/>
      <c r="P146" s="683"/>
      <c r="R146" s="2"/>
      <c r="S146" s="2"/>
      <c r="T146" s="2"/>
    </row>
    <row r="147" spans="1:20" s="135" customFormat="1" ht="15.75" customHeight="1" thickTop="1">
      <c r="A147" s="810" t="s">
        <v>737</v>
      </c>
      <c r="B147" s="810"/>
      <c r="C147" s="810"/>
      <c r="D147" s="810"/>
      <c r="E147" s="810"/>
      <c r="F147" s="810"/>
      <c r="G147" s="810"/>
      <c r="H147" s="810"/>
      <c r="I147" s="810"/>
      <c r="J147" s="810"/>
      <c r="K147" s="810"/>
      <c r="L147" s="810"/>
      <c r="M147" s="810"/>
      <c r="Q147" s="231"/>
      <c r="R147" s="231"/>
      <c r="S147" s="231"/>
      <c r="T147" s="231"/>
    </row>
    <row r="148" spans="1:20" s="136" customFormat="1" ht="15.75" customHeight="1">
      <c r="A148" s="746"/>
      <c r="B148" s="746"/>
      <c r="C148" s="746"/>
      <c r="D148" s="746"/>
      <c r="E148" s="746"/>
      <c r="F148" s="746"/>
      <c r="G148" s="746"/>
      <c r="H148" s="746"/>
      <c r="I148" s="746"/>
      <c r="J148" s="746"/>
      <c r="K148" s="746"/>
      <c r="L148" s="746"/>
      <c r="M148" s="746"/>
    </row>
    <row r="149" spans="1:20" s="135" customFormat="1" ht="14.25">
      <c r="A149" s="747" t="s">
        <v>174</v>
      </c>
      <c r="B149" s="749">
        <v>1</v>
      </c>
      <c r="C149" s="750"/>
      <c r="D149" s="749">
        <v>2</v>
      </c>
      <c r="E149" s="750"/>
      <c r="F149" s="749">
        <v>3</v>
      </c>
      <c r="G149" s="750"/>
      <c r="H149" s="740">
        <v>4</v>
      </c>
      <c r="I149" s="741"/>
      <c r="J149" s="740">
        <v>5</v>
      </c>
      <c r="K149" s="741"/>
      <c r="L149" s="740">
        <v>6</v>
      </c>
      <c r="M149" s="741"/>
      <c r="N149" s="740">
        <v>7</v>
      </c>
      <c r="O149" s="741"/>
      <c r="P149" s="351">
        <v>8</v>
      </c>
    </row>
    <row r="150" spans="1:20" s="135" customFormat="1">
      <c r="A150" s="748"/>
      <c r="B150" s="744" t="s">
        <v>427</v>
      </c>
      <c r="C150" s="745"/>
      <c r="D150" s="744" t="s">
        <v>195</v>
      </c>
      <c r="E150" s="745"/>
      <c r="F150" s="744" t="s">
        <v>166</v>
      </c>
      <c r="G150" s="745"/>
      <c r="H150" s="742" t="s">
        <v>406</v>
      </c>
      <c r="I150" s="743"/>
      <c r="J150" s="742" t="s">
        <v>172</v>
      </c>
      <c r="K150" s="743"/>
      <c r="L150" s="742" t="s">
        <v>167</v>
      </c>
      <c r="M150" s="743"/>
      <c r="N150" s="742" t="s">
        <v>173</v>
      </c>
      <c r="O150" s="743"/>
      <c r="P150" s="352" t="s">
        <v>200</v>
      </c>
    </row>
    <row r="151" spans="1:20" s="135" customFormat="1" ht="15.75" customHeight="1">
      <c r="B151" s="232"/>
      <c r="C151" s="233"/>
    </row>
    <row r="152" spans="1:20" s="277" customFormat="1">
      <c r="A152" s="684" t="s">
        <v>174</v>
      </c>
      <c r="B152" s="685"/>
      <c r="C152" s="274" t="s">
        <v>47</v>
      </c>
      <c r="D152" s="714" t="s">
        <v>12</v>
      </c>
      <c r="E152" s="715"/>
      <c r="F152" s="716"/>
      <c r="G152" s="717" t="s">
        <v>53</v>
      </c>
      <c r="H152" s="718"/>
      <c r="I152" s="719"/>
      <c r="J152" s="275" t="s">
        <v>54</v>
      </c>
      <c r="K152" s="275" t="s">
        <v>55</v>
      </c>
      <c r="L152" s="275" t="s">
        <v>56</v>
      </c>
      <c r="M152" s="276" t="s">
        <v>11</v>
      </c>
      <c r="N152" s="276" t="s">
        <v>312</v>
      </c>
      <c r="O152" s="692" t="s">
        <v>51</v>
      </c>
      <c r="P152" s="693"/>
      <c r="R152" s="210"/>
      <c r="S152" s="260"/>
    </row>
    <row r="153" spans="1:20" s="297" customFormat="1" ht="20.100000000000001" customHeight="1">
      <c r="A153" s="694">
        <v>4</v>
      </c>
      <c r="B153" s="728" t="s">
        <v>406</v>
      </c>
      <c r="C153" s="278">
        <v>1</v>
      </c>
      <c r="D153" s="237"/>
      <c r="E153" s="238"/>
      <c r="F153" s="239"/>
      <c r="G153" s="349"/>
      <c r="H153" s="304"/>
      <c r="I153" s="305"/>
      <c r="J153" s="311"/>
      <c r="K153" s="312"/>
      <c r="L153" s="313"/>
      <c r="M153" s="321">
        <f t="shared" ref="M153:M157" si="16">L153*J153</f>
        <v>0</v>
      </c>
      <c r="N153" s="313"/>
      <c r="O153" s="799"/>
      <c r="P153" s="800"/>
      <c r="R153" s="314"/>
      <c r="S153" s="260"/>
    </row>
    <row r="154" spans="1:20" s="297" customFormat="1" ht="20.100000000000001" customHeight="1">
      <c r="A154" s="695"/>
      <c r="B154" s="729"/>
      <c r="C154" s="278">
        <v>2</v>
      </c>
      <c r="D154" s="237"/>
      <c r="E154" s="238"/>
      <c r="F154" s="239"/>
      <c r="G154" s="349"/>
      <c r="H154" s="304"/>
      <c r="I154" s="305"/>
      <c r="J154" s="311"/>
      <c r="K154" s="312"/>
      <c r="L154" s="313"/>
      <c r="M154" s="321">
        <f t="shared" si="16"/>
        <v>0</v>
      </c>
      <c r="N154" s="313"/>
      <c r="O154" s="724"/>
      <c r="P154" s="725"/>
      <c r="R154" s="314"/>
      <c r="S154" s="210"/>
      <c r="T154" s="334"/>
    </row>
    <row r="155" spans="1:20" s="297" customFormat="1" ht="20.100000000000001" customHeight="1">
      <c r="A155" s="695"/>
      <c r="B155" s="729"/>
      <c r="C155" s="278">
        <v>3</v>
      </c>
      <c r="D155" s="237"/>
      <c r="E155" s="238"/>
      <c r="F155" s="239"/>
      <c r="G155" s="349"/>
      <c r="H155" s="304"/>
      <c r="I155" s="305"/>
      <c r="J155" s="311"/>
      <c r="K155" s="312"/>
      <c r="L155" s="313"/>
      <c r="M155" s="321">
        <f t="shared" si="16"/>
        <v>0</v>
      </c>
      <c r="N155" s="313"/>
      <c r="O155" s="799"/>
      <c r="P155" s="800"/>
      <c r="R155" s="314"/>
      <c r="S155" s="260"/>
    </row>
    <row r="156" spans="1:20" s="297" customFormat="1" ht="20.100000000000001" customHeight="1">
      <c r="A156" s="695"/>
      <c r="B156" s="729"/>
      <c r="C156" s="278">
        <v>4</v>
      </c>
      <c r="D156" s="237"/>
      <c r="E156" s="238"/>
      <c r="F156" s="239"/>
      <c r="G156" s="349"/>
      <c r="H156" s="304"/>
      <c r="I156" s="305"/>
      <c r="J156" s="311"/>
      <c r="K156" s="312"/>
      <c r="L156" s="313"/>
      <c r="M156" s="321">
        <f t="shared" si="16"/>
        <v>0</v>
      </c>
      <c r="N156" s="313"/>
      <c r="O156" s="799"/>
      <c r="P156" s="800"/>
      <c r="R156" s="314"/>
      <c r="S156" s="210"/>
      <c r="T156" s="334"/>
    </row>
    <row r="157" spans="1:20" s="297" customFormat="1" ht="20.100000000000001" customHeight="1" thickBot="1">
      <c r="A157" s="695"/>
      <c r="B157" s="729"/>
      <c r="C157" s="278">
        <v>5</v>
      </c>
      <c r="D157" s="237"/>
      <c r="E157" s="244"/>
      <c r="F157" s="245"/>
      <c r="G157" s="349"/>
      <c r="H157" s="304"/>
      <c r="I157" s="305"/>
      <c r="J157" s="382"/>
      <c r="K157" s="378"/>
      <c r="L157" s="316"/>
      <c r="M157" s="321">
        <f t="shared" si="16"/>
        <v>0</v>
      </c>
      <c r="N157" s="313"/>
      <c r="O157" s="799"/>
      <c r="P157" s="800"/>
      <c r="R157" s="317"/>
      <c r="S157" s="260"/>
      <c r="T157" s="288"/>
    </row>
    <row r="158" spans="1:20" s="288" customFormat="1" ht="17.25" thickTop="1" thickBot="1">
      <c r="A158" s="696"/>
      <c r="B158" s="730"/>
      <c r="C158" s="737"/>
      <c r="D158" s="738"/>
      <c r="E158" s="738"/>
      <c r="F158" s="738"/>
      <c r="G158" s="738"/>
      <c r="H158" s="738"/>
      <c r="I158" s="739"/>
      <c r="J158" s="346" t="s">
        <v>58</v>
      </c>
      <c r="K158" s="212">
        <f>M158/'生產管理報表 7-1 (週)'!$B$53</f>
        <v>0</v>
      </c>
      <c r="L158" s="347" t="s">
        <v>59</v>
      </c>
      <c r="M158" s="383">
        <f>SUM(M153:M157)</f>
        <v>0</v>
      </c>
      <c r="N158" s="681"/>
      <c r="O158" s="682"/>
      <c r="P158" s="683"/>
      <c r="R158" s="210"/>
      <c r="S158" s="210"/>
    </row>
    <row r="159" spans="1:20" s="288" customFormat="1" ht="15.75" customHeight="1" thickTop="1">
      <c r="B159" s="296"/>
      <c r="C159" s="297"/>
      <c r="M159" s="328"/>
      <c r="S159" s="260"/>
    </row>
    <row r="160" spans="1:20" s="288" customFormat="1" ht="14.25">
      <c r="A160" s="684" t="s">
        <v>174</v>
      </c>
      <c r="B160" s="685"/>
      <c r="C160" s="274" t="s">
        <v>47</v>
      </c>
      <c r="D160" s="714" t="s">
        <v>12</v>
      </c>
      <c r="E160" s="715"/>
      <c r="F160" s="716"/>
      <c r="G160" s="717" t="s">
        <v>53</v>
      </c>
      <c r="H160" s="718"/>
      <c r="I160" s="719"/>
      <c r="J160" s="275" t="s">
        <v>54</v>
      </c>
      <c r="K160" s="275" t="s">
        <v>55</v>
      </c>
      <c r="L160" s="275" t="s">
        <v>56</v>
      </c>
      <c r="M160" s="329" t="s">
        <v>11</v>
      </c>
      <c r="N160" s="276" t="s">
        <v>312</v>
      </c>
      <c r="O160" s="692" t="s">
        <v>51</v>
      </c>
      <c r="P160" s="693"/>
      <c r="S160" s="210"/>
      <c r="T160" s="334"/>
    </row>
    <row r="161" spans="1:20" s="297" customFormat="1" ht="20.100000000000001" customHeight="1">
      <c r="A161" s="694">
        <v>5</v>
      </c>
      <c r="B161" s="707" t="s">
        <v>198</v>
      </c>
      <c r="C161" s="278">
        <v>1</v>
      </c>
      <c r="D161" s="237"/>
      <c r="E161" s="238"/>
      <c r="F161" s="239"/>
      <c r="G161" s="349"/>
      <c r="H161" s="304"/>
      <c r="I161" s="305"/>
      <c r="J161" s="311"/>
      <c r="K161" s="312"/>
      <c r="L161" s="313"/>
      <c r="M161" s="321">
        <f>L161*J161</f>
        <v>0</v>
      </c>
      <c r="N161" s="313"/>
      <c r="O161" s="724"/>
      <c r="P161" s="725"/>
      <c r="R161" s="334"/>
      <c r="S161" s="384"/>
    </row>
    <row r="162" spans="1:20" s="297" customFormat="1" ht="20.100000000000001" customHeight="1">
      <c r="A162" s="695"/>
      <c r="B162" s="708"/>
      <c r="C162" s="278">
        <v>2</v>
      </c>
      <c r="D162" s="237"/>
      <c r="E162" s="238"/>
      <c r="F162" s="239"/>
      <c r="G162" s="349"/>
      <c r="H162" s="304"/>
      <c r="I162" s="305"/>
      <c r="J162" s="311"/>
      <c r="K162" s="312"/>
      <c r="L162" s="313"/>
      <c r="M162" s="321">
        <f t="shared" ref="M162:M165" si="17">L162*J162</f>
        <v>0</v>
      </c>
      <c r="N162" s="313"/>
      <c r="O162" s="724"/>
      <c r="P162" s="725"/>
      <c r="S162" s="210"/>
      <c r="T162" s="335"/>
    </row>
    <row r="163" spans="1:20" s="288" customFormat="1" ht="20.100000000000001" customHeight="1">
      <c r="A163" s="695"/>
      <c r="B163" s="708"/>
      <c r="C163" s="278">
        <v>3</v>
      </c>
      <c r="D163" s="237"/>
      <c r="E163" s="280"/>
      <c r="F163" s="281"/>
      <c r="G163" s="349"/>
      <c r="H163" s="304"/>
      <c r="I163" s="305"/>
      <c r="J163" s="311"/>
      <c r="K163" s="312"/>
      <c r="L163" s="313"/>
      <c r="M163" s="321">
        <f t="shared" si="17"/>
        <v>0</v>
      </c>
      <c r="N163" s="287"/>
      <c r="O163" s="712"/>
      <c r="P163" s="713"/>
    </row>
    <row r="164" spans="1:20" s="288" customFormat="1" ht="20.100000000000001" customHeight="1">
      <c r="A164" s="695"/>
      <c r="B164" s="708"/>
      <c r="C164" s="278">
        <v>4</v>
      </c>
      <c r="D164" s="237"/>
      <c r="E164" s="280"/>
      <c r="F164" s="281"/>
      <c r="G164" s="349"/>
      <c r="H164" s="304"/>
      <c r="I164" s="305"/>
      <c r="J164" s="311"/>
      <c r="K164" s="312"/>
      <c r="L164" s="313"/>
      <c r="M164" s="321">
        <f t="shared" si="17"/>
        <v>0</v>
      </c>
      <c r="N164" s="287"/>
      <c r="O164" s="724"/>
      <c r="P164" s="725"/>
    </row>
    <row r="165" spans="1:20" s="288" customFormat="1" ht="20.100000000000001" customHeight="1" thickBot="1">
      <c r="A165" s="695"/>
      <c r="B165" s="708"/>
      <c r="C165" s="278">
        <v>5</v>
      </c>
      <c r="D165" s="243"/>
      <c r="E165" s="290"/>
      <c r="F165" s="291"/>
      <c r="G165" s="349"/>
      <c r="H165" s="304"/>
      <c r="I165" s="305"/>
      <c r="J165" s="382"/>
      <c r="K165" s="378"/>
      <c r="L165" s="316"/>
      <c r="M165" s="321">
        <f t="shared" si="17"/>
        <v>0</v>
      </c>
      <c r="N165" s="287"/>
      <c r="O165" s="813"/>
      <c r="P165" s="814"/>
      <c r="R165" s="211"/>
    </row>
    <row r="166" spans="1:20" s="288" customFormat="1" ht="17.25" thickTop="1" thickBot="1">
      <c r="A166" s="696"/>
      <c r="B166" s="709"/>
      <c r="C166" s="704"/>
      <c r="D166" s="705"/>
      <c r="E166" s="705"/>
      <c r="F166" s="705"/>
      <c r="G166" s="705"/>
      <c r="H166" s="705"/>
      <c r="I166" s="706"/>
      <c r="J166" s="346" t="s">
        <v>58</v>
      </c>
      <c r="K166" s="212">
        <f>M166/'生產管理報表 7-1 (週)'!$B$53</f>
        <v>0</v>
      </c>
      <c r="L166" s="347" t="s">
        <v>59</v>
      </c>
      <c r="M166" s="383">
        <f>SUM(M161:M165)</f>
        <v>0</v>
      </c>
      <c r="N166" s="681"/>
      <c r="O166" s="682"/>
      <c r="P166" s="683"/>
      <c r="R166" s="210"/>
    </row>
    <row r="167" spans="1:20" s="288" customFormat="1" ht="15.75" customHeight="1" thickTop="1">
      <c r="B167" s="296"/>
      <c r="C167" s="297"/>
      <c r="M167" s="328"/>
      <c r="R167" s="210"/>
    </row>
    <row r="168" spans="1:20" s="288" customFormat="1" ht="14.25">
      <c r="A168" s="684" t="s">
        <v>174</v>
      </c>
      <c r="B168" s="685"/>
      <c r="C168" s="302" t="s">
        <v>47</v>
      </c>
      <c r="D168" s="686" t="s">
        <v>12</v>
      </c>
      <c r="E168" s="687"/>
      <c r="F168" s="688"/>
      <c r="G168" s="689" t="s">
        <v>53</v>
      </c>
      <c r="H168" s="690"/>
      <c r="I168" s="691"/>
      <c r="J168" s="303" t="s">
        <v>54</v>
      </c>
      <c r="K168" s="275" t="s">
        <v>55</v>
      </c>
      <c r="L168" s="275" t="s">
        <v>56</v>
      </c>
      <c r="M168" s="329" t="s">
        <v>11</v>
      </c>
      <c r="N168" s="276" t="s">
        <v>312</v>
      </c>
      <c r="O168" s="692" t="s">
        <v>51</v>
      </c>
      <c r="P168" s="693"/>
      <c r="R168" s="210"/>
      <c r="S168" s="2"/>
    </row>
    <row r="169" spans="1:20" s="288" customFormat="1" ht="39.950000000000003" customHeight="1">
      <c r="A169" s="694">
        <v>6</v>
      </c>
      <c r="B169" s="707" t="s">
        <v>199</v>
      </c>
      <c r="C169" s="278">
        <v>1</v>
      </c>
      <c r="D169" s="336"/>
      <c r="E169" s="280"/>
      <c r="F169" s="281"/>
      <c r="G169" s="305"/>
      <c r="H169" s="304"/>
      <c r="I169" s="240"/>
      <c r="J169" s="311"/>
      <c r="K169" s="312"/>
      <c r="L169" s="313"/>
      <c r="M169" s="321">
        <f t="shared" ref="M169:M173" si="18">L169*J169</f>
        <v>0</v>
      </c>
      <c r="N169" s="287"/>
      <c r="O169" s="712"/>
      <c r="P169" s="713"/>
      <c r="R169" s="335"/>
      <c r="S169" s="391"/>
    </row>
    <row r="170" spans="1:20" s="297" customFormat="1" ht="39.950000000000003" customHeight="1">
      <c r="A170" s="695"/>
      <c r="B170" s="708"/>
      <c r="C170" s="278">
        <v>2</v>
      </c>
      <c r="D170" s="237"/>
      <c r="E170" s="238"/>
      <c r="F170" s="239"/>
      <c r="G170" s="305"/>
      <c r="H170" s="304"/>
      <c r="I170" s="240"/>
      <c r="J170" s="311"/>
      <c r="K170" s="312"/>
      <c r="L170" s="313"/>
      <c r="M170" s="321">
        <f t="shared" si="18"/>
        <v>0</v>
      </c>
      <c r="N170" s="313"/>
      <c r="O170" s="811"/>
      <c r="P170" s="812"/>
      <c r="S170" s="96"/>
    </row>
    <row r="171" spans="1:20" s="288" customFormat="1" ht="39.950000000000003" customHeight="1">
      <c r="A171" s="695"/>
      <c r="B171" s="708"/>
      <c r="C171" s="278">
        <v>3</v>
      </c>
      <c r="D171" s="237"/>
      <c r="E171" s="280"/>
      <c r="F171" s="281"/>
      <c r="G171" s="305"/>
      <c r="H171" s="304"/>
      <c r="I171" s="284"/>
      <c r="J171" s="311"/>
      <c r="K171" s="312"/>
      <c r="L171" s="313"/>
      <c r="M171" s="321">
        <f t="shared" si="18"/>
        <v>0</v>
      </c>
      <c r="N171" s="287"/>
      <c r="O171" s="811"/>
      <c r="P171" s="812"/>
      <c r="S171" s="2"/>
    </row>
    <row r="172" spans="1:20" s="288" customFormat="1" ht="39.950000000000003" customHeight="1">
      <c r="A172" s="695"/>
      <c r="B172" s="708"/>
      <c r="C172" s="278">
        <v>4</v>
      </c>
      <c r="D172" s="237"/>
      <c r="E172" s="280"/>
      <c r="F172" s="281"/>
      <c r="G172" s="305"/>
      <c r="H172" s="304"/>
      <c r="I172" s="284"/>
      <c r="J172" s="311"/>
      <c r="K172" s="312"/>
      <c r="L172" s="313"/>
      <c r="M172" s="321">
        <f t="shared" si="18"/>
        <v>0</v>
      </c>
      <c r="N172" s="287"/>
      <c r="O172" s="811"/>
      <c r="P172" s="812"/>
      <c r="R172" s="2"/>
      <c r="S172" s="2"/>
    </row>
    <row r="173" spans="1:20" s="288" customFormat="1" ht="39.950000000000003" customHeight="1" thickBot="1">
      <c r="A173" s="695"/>
      <c r="B173" s="708"/>
      <c r="C173" s="278">
        <v>5</v>
      </c>
      <c r="D173" s="243"/>
      <c r="E173" s="290"/>
      <c r="F173" s="291"/>
      <c r="G173" s="305"/>
      <c r="H173" s="304"/>
      <c r="I173" s="284"/>
      <c r="J173" s="382"/>
      <c r="K173" s="378"/>
      <c r="L173" s="316"/>
      <c r="M173" s="321">
        <f t="shared" si="18"/>
        <v>0</v>
      </c>
      <c r="N173" s="287"/>
      <c r="O173" s="811"/>
      <c r="P173" s="812"/>
      <c r="R173" s="2"/>
      <c r="S173" s="2"/>
    </row>
    <row r="174" spans="1:20" s="288" customFormat="1" ht="17.25" thickTop="1" thickBot="1">
      <c r="A174" s="696"/>
      <c r="B174" s="709"/>
      <c r="C174" s="704"/>
      <c r="D174" s="705"/>
      <c r="E174" s="705"/>
      <c r="F174" s="705"/>
      <c r="G174" s="705"/>
      <c r="H174" s="705"/>
      <c r="I174" s="706"/>
      <c r="J174" s="346" t="s">
        <v>58</v>
      </c>
      <c r="K174" s="212">
        <f>M174/'生產管理報表 7-1 (週)'!$B$53</f>
        <v>0</v>
      </c>
      <c r="L174" s="347" t="s">
        <v>59</v>
      </c>
      <c r="M174" s="383">
        <f>SUM(M169:M173)</f>
        <v>0</v>
      </c>
      <c r="N174" s="681"/>
      <c r="O174" s="682"/>
      <c r="P174" s="683"/>
      <c r="R174" s="2"/>
      <c r="S174" s="2"/>
    </row>
    <row r="175" spans="1:20" s="288" customFormat="1" ht="15.75" customHeight="1" thickTop="1">
      <c r="B175" s="296"/>
      <c r="C175" s="297"/>
      <c r="M175" s="328"/>
      <c r="R175" s="2"/>
      <c r="S175" s="2"/>
    </row>
    <row r="176" spans="1:20" s="288" customFormat="1" ht="14.25">
      <c r="A176" s="684" t="s">
        <v>174</v>
      </c>
      <c r="B176" s="685"/>
      <c r="C176" s="302" t="s">
        <v>47</v>
      </c>
      <c r="D176" s="686" t="s">
        <v>12</v>
      </c>
      <c r="E176" s="687"/>
      <c r="F176" s="688"/>
      <c r="G176" s="689" t="s">
        <v>53</v>
      </c>
      <c r="H176" s="690"/>
      <c r="I176" s="691"/>
      <c r="J176" s="303" t="s">
        <v>54</v>
      </c>
      <c r="K176" s="275" t="s">
        <v>55</v>
      </c>
      <c r="L176" s="275" t="s">
        <v>56</v>
      </c>
      <c r="M176" s="329" t="s">
        <v>11</v>
      </c>
      <c r="N176" s="276" t="s">
        <v>312</v>
      </c>
      <c r="O176" s="692" t="s">
        <v>51</v>
      </c>
      <c r="P176" s="693"/>
      <c r="R176" s="2"/>
      <c r="S176" s="2"/>
    </row>
    <row r="177" spans="1:20" s="288" customFormat="1" ht="20.100000000000001" customHeight="1">
      <c r="A177" s="694">
        <v>7</v>
      </c>
      <c r="B177" s="697" t="s">
        <v>231</v>
      </c>
      <c r="C177" s="278">
        <v>1</v>
      </c>
      <c r="D177" s="279"/>
      <c r="E177" s="280"/>
      <c r="F177" s="281"/>
      <c r="G177" s="282"/>
      <c r="H177" s="283"/>
      <c r="I177" s="284"/>
      <c r="J177" s="285"/>
      <c r="K177" s="286"/>
      <c r="L177" s="287"/>
      <c r="M177" s="330">
        <f t="shared" ref="M177:M179" si="19">L177*J177</f>
        <v>0</v>
      </c>
      <c r="N177" s="287"/>
      <c r="O177" s="700"/>
      <c r="P177" s="701"/>
      <c r="R177" s="2"/>
      <c r="S177" s="2"/>
    </row>
    <row r="178" spans="1:20" s="288" customFormat="1" ht="20.100000000000001" customHeight="1">
      <c r="A178" s="695"/>
      <c r="B178" s="698"/>
      <c r="C178" s="278">
        <v>2</v>
      </c>
      <c r="D178" s="279"/>
      <c r="E178" s="280"/>
      <c r="F178" s="281"/>
      <c r="G178" s="282"/>
      <c r="H178" s="283"/>
      <c r="I178" s="284"/>
      <c r="J178" s="285"/>
      <c r="K178" s="286"/>
      <c r="L178" s="287"/>
      <c r="M178" s="330">
        <f t="shared" si="19"/>
        <v>0</v>
      </c>
      <c r="N178" s="287"/>
      <c r="O178" s="702"/>
      <c r="P178" s="703"/>
      <c r="R178" s="2"/>
      <c r="S178" s="2"/>
    </row>
    <row r="179" spans="1:20" s="288" customFormat="1" ht="20.100000000000001" customHeight="1">
      <c r="A179" s="695"/>
      <c r="B179" s="698"/>
      <c r="C179" s="278">
        <v>3</v>
      </c>
      <c r="D179" s="279"/>
      <c r="E179" s="280"/>
      <c r="F179" s="281"/>
      <c r="G179" s="282"/>
      <c r="H179" s="283"/>
      <c r="I179" s="284"/>
      <c r="J179" s="285"/>
      <c r="K179" s="286"/>
      <c r="L179" s="287"/>
      <c r="M179" s="330">
        <f t="shared" si="19"/>
        <v>0</v>
      </c>
      <c r="N179" s="287"/>
      <c r="O179" s="702"/>
      <c r="P179" s="703"/>
      <c r="R179" s="2"/>
      <c r="S179" s="2"/>
    </row>
    <row r="180" spans="1:20" s="288" customFormat="1" ht="20.100000000000001" customHeight="1">
      <c r="A180" s="695"/>
      <c r="B180" s="698"/>
      <c r="C180" s="278">
        <v>4</v>
      </c>
      <c r="D180" s="279"/>
      <c r="E180" s="280"/>
      <c r="F180" s="281"/>
      <c r="G180" s="282"/>
      <c r="H180" s="283"/>
      <c r="I180" s="284"/>
      <c r="J180" s="285"/>
      <c r="K180" s="286"/>
      <c r="L180" s="287"/>
      <c r="M180" s="331">
        <v>0</v>
      </c>
      <c r="N180" s="287"/>
      <c r="O180" s="298"/>
      <c r="P180" s="299"/>
      <c r="R180" s="2"/>
      <c r="S180" s="2"/>
    </row>
    <row r="181" spans="1:20" s="288" customFormat="1" ht="20.100000000000001" customHeight="1" thickBot="1">
      <c r="A181" s="695"/>
      <c r="B181" s="698"/>
      <c r="C181" s="278">
        <v>5</v>
      </c>
      <c r="D181" s="289"/>
      <c r="E181" s="290"/>
      <c r="F181" s="291"/>
      <c r="G181" s="282"/>
      <c r="H181" s="283"/>
      <c r="I181" s="284"/>
      <c r="J181" s="382"/>
      <c r="K181" s="378"/>
      <c r="L181" s="316"/>
      <c r="M181" s="332">
        <v>0</v>
      </c>
      <c r="N181" s="287"/>
      <c r="O181" s="300"/>
      <c r="P181" s="301"/>
      <c r="R181" s="2"/>
      <c r="S181" s="2"/>
    </row>
    <row r="182" spans="1:20" s="288" customFormat="1" ht="17.25" thickTop="1" thickBot="1">
      <c r="A182" s="696"/>
      <c r="B182" s="699"/>
      <c r="C182" s="704"/>
      <c r="D182" s="705"/>
      <c r="E182" s="705"/>
      <c r="F182" s="705"/>
      <c r="G182" s="705"/>
      <c r="H182" s="705"/>
      <c r="I182" s="706"/>
      <c r="J182" s="346" t="s">
        <v>58</v>
      </c>
      <c r="K182" s="212">
        <f>M182/'生產管理報表 7-1 (週)'!$B$53</f>
        <v>0</v>
      </c>
      <c r="L182" s="347" t="s">
        <v>59</v>
      </c>
      <c r="M182" s="383">
        <f>SUM(M177:M181)</f>
        <v>0</v>
      </c>
      <c r="N182" s="681"/>
      <c r="O182" s="682"/>
      <c r="P182" s="683"/>
      <c r="R182" s="2"/>
      <c r="S182" s="2"/>
      <c r="T182" s="2"/>
    </row>
    <row r="183" spans="1:20" s="135" customFormat="1" ht="15.75" customHeight="1" thickTop="1">
      <c r="A183" s="810" t="s">
        <v>762</v>
      </c>
      <c r="B183" s="810"/>
      <c r="C183" s="810"/>
      <c r="D183" s="810"/>
      <c r="E183" s="810"/>
      <c r="F183" s="810"/>
      <c r="G183" s="810"/>
      <c r="H183" s="810"/>
      <c r="I183" s="810"/>
      <c r="J183" s="810"/>
      <c r="K183" s="810"/>
      <c r="L183" s="810"/>
      <c r="M183" s="810"/>
      <c r="Q183" s="231"/>
      <c r="R183" s="231"/>
      <c r="S183" s="231"/>
      <c r="T183" s="231"/>
    </row>
    <row r="184" spans="1:20" s="136" customFormat="1" ht="15.75" customHeight="1">
      <c r="A184" s="746"/>
      <c r="B184" s="746"/>
      <c r="C184" s="746"/>
      <c r="D184" s="746"/>
      <c r="E184" s="746"/>
      <c r="F184" s="746"/>
      <c r="G184" s="746"/>
      <c r="H184" s="746"/>
      <c r="I184" s="746"/>
      <c r="J184" s="746"/>
      <c r="K184" s="746"/>
      <c r="L184" s="746"/>
      <c r="M184" s="746"/>
    </row>
    <row r="185" spans="1:20" s="135" customFormat="1" ht="14.25">
      <c r="A185" s="747" t="s">
        <v>174</v>
      </c>
      <c r="B185" s="749">
        <v>1</v>
      </c>
      <c r="C185" s="750"/>
      <c r="D185" s="749">
        <v>2</v>
      </c>
      <c r="E185" s="750"/>
      <c r="F185" s="749">
        <v>3</v>
      </c>
      <c r="G185" s="750"/>
      <c r="H185" s="740">
        <v>4</v>
      </c>
      <c r="I185" s="741"/>
      <c r="J185" s="740">
        <v>5</v>
      </c>
      <c r="K185" s="741"/>
      <c r="L185" s="740">
        <v>6</v>
      </c>
      <c r="M185" s="741"/>
      <c r="N185" s="740">
        <v>7</v>
      </c>
      <c r="O185" s="741"/>
      <c r="P185" s="351">
        <v>8</v>
      </c>
    </row>
    <row r="186" spans="1:20" s="135" customFormat="1">
      <c r="A186" s="748"/>
      <c r="B186" s="744" t="s">
        <v>427</v>
      </c>
      <c r="C186" s="745"/>
      <c r="D186" s="744" t="s">
        <v>195</v>
      </c>
      <c r="E186" s="745"/>
      <c r="F186" s="744" t="s">
        <v>166</v>
      </c>
      <c r="G186" s="745"/>
      <c r="H186" s="742" t="s">
        <v>406</v>
      </c>
      <c r="I186" s="743"/>
      <c r="J186" s="742" t="s">
        <v>172</v>
      </c>
      <c r="K186" s="743"/>
      <c r="L186" s="742" t="s">
        <v>167</v>
      </c>
      <c r="M186" s="743"/>
      <c r="N186" s="742" t="s">
        <v>173</v>
      </c>
      <c r="O186" s="743"/>
      <c r="P186" s="352" t="s">
        <v>200</v>
      </c>
    </row>
    <row r="187" spans="1:20" s="135" customFormat="1" ht="15.75" customHeight="1">
      <c r="B187" s="232"/>
      <c r="C187" s="233"/>
    </row>
    <row r="188" spans="1:20" s="277" customFormat="1">
      <c r="A188" s="684" t="s">
        <v>174</v>
      </c>
      <c r="B188" s="685"/>
      <c r="C188" s="274" t="s">
        <v>47</v>
      </c>
      <c r="D188" s="714" t="s">
        <v>12</v>
      </c>
      <c r="E188" s="715"/>
      <c r="F188" s="716"/>
      <c r="G188" s="717" t="s">
        <v>53</v>
      </c>
      <c r="H188" s="718"/>
      <c r="I188" s="719"/>
      <c r="J188" s="275" t="s">
        <v>54</v>
      </c>
      <c r="K188" s="275" t="s">
        <v>55</v>
      </c>
      <c r="L188" s="275" t="s">
        <v>56</v>
      </c>
      <c r="M188" s="276" t="s">
        <v>11</v>
      </c>
      <c r="N188" s="276" t="s">
        <v>312</v>
      </c>
      <c r="O188" s="692" t="s">
        <v>51</v>
      </c>
      <c r="P188" s="693"/>
      <c r="R188" s="210"/>
      <c r="S188" s="260"/>
    </row>
    <row r="189" spans="1:20" s="297" customFormat="1" ht="20.100000000000001" customHeight="1">
      <c r="A189" s="694">
        <v>4</v>
      </c>
      <c r="B189" s="728" t="s">
        <v>406</v>
      </c>
      <c r="C189" s="278">
        <v>1</v>
      </c>
      <c r="D189" s="237"/>
      <c r="E189" s="238"/>
      <c r="F189" s="239"/>
      <c r="G189" s="349"/>
      <c r="H189" s="304"/>
      <c r="I189" s="305"/>
      <c r="J189" s="311"/>
      <c r="K189" s="312"/>
      <c r="L189" s="313"/>
      <c r="M189" s="321">
        <f t="shared" ref="M189:M193" si="20">L189*J189</f>
        <v>0</v>
      </c>
      <c r="N189" s="313"/>
      <c r="O189" s="799"/>
      <c r="P189" s="800"/>
      <c r="R189" s="314"/>
      <c r="S189" s="260"/>
    </row>
    <row r="190" spans="1:20" s="297" customFormat="1" ht="20.100000000000001" customHeight="1">
      <c r="A190" s="695"/>
      <c r="B190" s="729"/>
      <c r="C190" s="278">
        <v>2</v>
      </c>
      <c r="D190" s="237"/>
      <c r="E190" s="238"/>
      <c r="F190" s="239"/>
      <c r="G190" s="349"/>
      <c r="H190" s="304"/>
      <c r="I190" s="305"/>
      <c r="J190" s="311"/>
      <c r="K190" s="312"/>
      <c r="L190" s="313"/>
      <c r="M190" s="321">
        <f t="shared" si="20"/>
        <v>0</v>
      </c>
      <c r="N190" s="313"/>
      <c r="O190" s="724"/>
      <c r="P190" s="725"/>
      <c r="R190" s="314"/>
      <c r="S190" s="210"/>
      <c r="T190" s="334"/>
    </row>
    <row r="191" spans="1:20" s="297" customFormat="1" ht="20.100000000000001" customHeight="1">
      <c r="A191" s="695"/>
      <c r="B191" s="729"/>
      <c r="C191" s="278">
        <v>3</v>
      </c>
      <c r="D191" s="237"/>
      <c r="E191" s="238"/>
      <c r="F191" s="239"/>
      <c r="G191" s="349"/>
      <c r="H191" s="304"/>
      <c r="I191" s="305"/>
      <c r="J191" s="311"/>
      <c r="K191" s="312"/>
      <c r="L191" s="313"/>
      <c r="M191" s="321">
        <f t="shared" si="20"/>
        <v>0</v>
      </c>
      <c r="N191" s="313"/>
      <c r="O191" s="799"/>
      <c r="P191" s="800"/>
      <c r="R191" s="314"/>
      <c r="S191" s="260"/>
    </row>
    <row r="192" spans="1:20" s="297" customFormat="1" ht="20.100000000000001" customHeight="1">
      <c r="A192" s="695"/>
      <c r="B192" s="729"/>
      <c r="C192" s="278">
        <v>4</v>
      </c>
      <c r="D192" s="237"/>
      <c r="E192" s="238"/>
      <c r="F192" s="239"/>
      <c r="G192" s="349"/>
      <c r="H192" s="304"/>
      <c r="I192" s="305"/>
      <c r="J192" s="311"/>
      <c r="K192" s="312"/>
      <c r="L192" s="313"/>
      <c r="M192" s="321">
        <f t="shared" si="20"/>
        <v>0</v>
      </c>
      <c r="N192" s="313"/>
      <c r="O192" s="799"/>
      <c r="P192" s="800"/>
      <c r="R192" s="314"/>
      <c r="S192" s="210"/>
      <c r="T192" s="334"/>
    </row>
    <row r="193" spans="1:20" s="297" customFormat="1" ht="20.100000000000001" customHeight="1" thickBot="1">
      <c r="A193" s="695"/>
      <c r="B193" s="729"/>
      <c r="C193" s="278">
        <v>5</v>
      </c>
      <c r="D193" s="237"/>
      <c r="E193" s="244"/>
      <c r="F193" s="245"/>
      <c r="G193" s="349"/>
      <c r="H193" s="304"/>
      <c r="I193" s="305"/>
      <c r="J193" s="382"/>
      <c r="K193" s="378"/>
      <c r="L193" s="316"/>
      <c r="M193" s="321">
        <f t="shared" si="20"/>
        <v>0</v>
      </c>
      <c r="N193" s="313"/>
      <c r="O193" s="799"/>
      <c r="P193" s="800"/>
      <c r="R193" s="317"/>
      <c r="S193" s="260"/>
      <c r="T193" s="288"/>
    </row>
    <row r="194" spans="1:20" s="288" customFormat="1" ht="17.25" thickTop="1" thickBot="1">
      <c r="A194" s="696"/>
      <c r="B194" s="730"/>
      <c r="C194" s="737"/>
      <c r="D194" s="738"/>
      <c r="E194" s="738"/>
      <c r="F194" s="738"/>
      <c r="G194" s="738"/>
      <c r="H194" s="738"/>
      <c r="I194" s="739"/>
      <c r="J194" s="346" t="s">
        <v>58</v>
      </c>
      <c r="K194" s="212">
        <f>M194/'生產管理報表 7-1 (週)'!$B$42</f>
        <v>0</v>
      </c>
      <c r="L194" s="347" t="s">
        <v>59</v>
      </c>
      <c r="M194" s="383">
        <f>SUM(M189:M193)</f>
        <v>0</v>
      </c>
      <c r="N194" s="681"/>
      <c r="O194" s="682"/>
      <c r="P194" s="683"/>
      <c r="R194" s="210"/>
      <c r="S194" s="210"/>
    </row>
    <row r="195" spans="1:20" s="288" customFormat="1" ht="15.75" customHeight="1" thickTop="1">
      <c r="B195" s="296"/>
      <c r="C195" s="297"/>
      <c r="M195" s="328"/>
      <c r="S195" s="260"/>
    </row>
    <row r="196" spans="1:20" s="288" customFormat="1" ht="14.25">
      <c r="A196" s="684" t="s">
        <v>174</v>
      </c>
      <c r="B196" s="685"/>
      <c r="C196" s="274" t="s">
        <v>47</v>
      </c>
      <c r="D196" s="714" t="s">
        <v>12</v>
      </c>
      <c r="E196" s="715"/>
      <c r="F196" s="716"/>
      <c r="G196" s="717" t="s">
        <v>53</v>
      </c>
      <c r="H196" s="718"/>
      <c r="I196" s="719"/>
      <c r="J196" s="275" t="s">
        <v>54</v>
      </c>
      <c r="K196" s="275" t="s">
        <v>55</v>
      </c>
      <c r="L196" s="275" t="s">
        <v>56</v>
      </c>
      <c r="M196" s="329" t="s">
        <v>11</v>
      </c>
      <c r="N196" s="276" t="s">
        <v>312</v>
      </c>
      <c r="O196" s="692" t="s">
        <v>51</v>
      </c>
      <c r="P196" s="693"/>
      <c r="S196" s="210"/>
      <c r="T196" s="334"/>
    </row>
    <row r="197" spans="1:20" s="297" customFormat="1" ht="20.100000000000001" customHeight="1">
      <c r="A197" s="694">
        <v>5</v>
      </c>
      <c r="B197" s="707" t="s">
        <v>198</v>
      </c>
      <c r="C197" s="278">
        <v>1</v>
      </c>
      <c r="D197" s="237"/>
      <c r="E197" s="238"/>
      <c r="F197" s="239"/>
      <c r="G197" s="349"/>
      <c r="H197" s="304"/>
      <c r="I197" s="305"/>
      <c r="J197" s="311"/>
      <c r="K197" s="312"/>
      <c r="L197" s="313"/>
      <c r="M197" s="321">
        <f>L197*J197</f>
        <v>0</v>
      </c>
      <c r="N197" s="313"/>
      <c r="O197" s="724"/>
      <c r="P197" s="725"/>
      <c r="R197" s="334"/>
      <c r="S197" s="384"/>
    </row>
    <row r="198" spans="1:20" s="297" customFormat="1" ht="20.100000000000001" customHeight="1">
      <c r="A198" s="695"/>
      <c r="B198" s="708"/>
      <c r="C198" s="278">
        <v>2</v>
      </c>
      <c r="D198" s="237"/>
      <c r="E198" s="238"/>
      <c r="F198" s="239"/>
      <c r="G198" s="349"/>
      <c r="H198" s="304"/>
      <c r="I198" s="305"/>
      <c r="J198" s="311"/>
      <c r="K198" s="312"/>
      <c r="L198" s="313"/>
      <c r="M198" s="321">
        <f t="shared" ref="M198:M201" si="21">L198*J198</f>
        <v>0</v>
      </c>
      <c r="N198" s="313"/>
      <c r="O198" s="724"/>
      <c r="P198" s="725"/>
      <c r="S198" s="210"/>
      <c r="T198" s="335"/>
    </row>
    <row r="199" spans="1:20" s="288" customFormat="1" ht="20.100000000000001" customHeight="1">
      <c r="A199" s="695"/>
      <c r="B199" s="708"/>
      <c r="C199" s="278">
        <v>3</v>
      </c>
      <c r="D199" s="237"/>
      <c r="E199" s="280"/>
      <c r="F199" s="281"/>
      <c r="G199" s="349"/>
      <c r="H199" s="304"/>
      <c r="I199" s="305"/>
      <c r="J199" s="311"/>
      <c r="K199" s="312"/>
      <c r="L199" s="313"/>
      <c r="M199" s="321">
        <f t="shared" si="21"/>
        <v>0</v>
      </c>
      <c r="N199" s="287"/>
      <c r="O199" s="712"/>
      <c r="P199" s="713"/>
    </row>
    <row r="200" spans="1:20" s="288" customFormat="1" ht="20.100000000000001" customHeight="1">
      <c r="A200" s="695"/>
      <c r="B200" s="708"/>
      <c r="C200" s="278">
        <v>4</v>
      </c>
      <c r="D200" s="237"/>
      <c r="E200" s="280"/>
      <c r="F200" s="281"/>
      <c r="G200" s="349"/>
      <c r="H200" s="304"/>
      <c r="I200" s="305"/>
      <c r="J200" s="311"/>
      <c r="K200" s="312"/>
      <c r="L200" s="313"/>
      <c r="M200" s="321">
        <f t="shared" si="21"/>
        <v>0</v>
      </c>
      <c r="N200" s="287"/>
      <c r="O200" s="724"/>
      <c r="P200" s="725"/>
    </row>
    <row r="201" spans="1:20" s="288" customFormat="1" ht="20.100000000000001" customHeight="1" thickBot="1">
      <c r="A201" s="695"/>
      <c r="B201" s="708"/>
      <c r="C201" s="278">
        <v>5</v>
      </c>
      <c r="D201" s="243"/>
      <c r="E201" s="290"/>
      <c r="F201" s="291"/>
      <c r="G201" s="349"/>
      <c r="H201" s="304"/>
      <c r="I201" s="305"/>
      <c r="J201" s="382"/>
      <c r="K201" s="378"/>
      <c r="L201" s="316"/>
      <c r="M201" s="321">
        <f t="shared" si="21"/>
        <v>0</v>
      </c>
      <c r="N201" s="287"/>
      <c r="O201" s="813"/>
      <c r="P201" s="814"/>
      <c r="R201" s="211"/>
    </row>
    <row r="202" spans="1:20" s="288" customFormat="1" ht="17.25" thickTop="1" thickBot="1">
      <c r="A202" s="696"/>
      <c r="B202" s="709"/>
      <c r="C202" s="704"/>
      <c r="D202" s="705"/>
      <c r="E202" s="705"/>
      <c r="F202" s="705"/>
      <c r="G202" s="705"/>
      <c r="H202" s="705"/>
      <c r="I202" s="706"/>
      <c r="J202" s="346" t="s">
        <v>58</v>
      </c>
      <c r="K202" s="212">
        <f>M202/'生產管理報表 7-1 (週)'!$B$42</f>
        <v>0</v>
      </c>
      <c r="L202" s="347" t="s">
        <v>59</v>
      </c>
      <c r="M202" s="383">
        <f>SUM(M197:M201)</f>
        <v>0</v>
      </c>
      <c r="N202" s="681"/>
      <c r="O202" s="682"/>
      <c r="P202" s="683"/>
      <c r="R202" s="210"/>
    </row>
    <row r="203" spans="1:20" s="288" customFormat="1" ht="15.75" customHeight="1" thickTop="1">
      <c r="B203" s="296"/>
      <c r="C203" s="297"/>
      <c r="M203" s="328"/>
      <c r="R203" s="210"/>
    </row>
    <row r="204" spans="1:20" s="288" customFormat="1" ht="14.25">
      <c r="A204" s="684" t="s">
        <v>174</v>
      </c>
      <c r="B204" s="685"/>
      <c r="C204" s="302" t="s">
        <v>47</v>
      </c>
      <c r="D204" s="686" t="s">
        <v>12</v>
      </c>
      <c r="E204" s="687"/>
      <c r="F204" s="688"/>
      <c r="G204" s="689" t="s">
        <v>53</v>
      </c>
      <c r="H204" s="690"/>
      <c r="I204" s="691"/>
      <c r="J204" s="303" t="s">
        <v>54</v>
      </c>
      <c r="K204" s="275" t="s">
        <v>55</v>
      </c>
      <c r="L204" s="275" t="s">
        <v>56</v>
      </c>
      <c r="M204" s="329" t="s">
        <v>11</v>
      </c>
      <c r="N204" s="276" t="s">
        <v>312</v>
      </c>
      <c r="O204" s="692" t="s">
        <v>51</v>
      </c>
      <c r="P204" s="693"/>
      <c r="R204" s="210"/>
      <c r="S204" s="2"/>
    </row>
    <row r="205" spans="1:20" s="288" customFormat="1" ht="39.950000000000003" customHeight="1">
      <c r="A205" s="694">
        <v>6</v>
      </c>
      <c r="B205" s="707" t="s">
        <v>199</v>
      </c>
      <c r="C205" s="278">
        <v>1</v>
      </c>
      <c r="D205" s="336"/>
      <c r="E205" s="280"/>
      <c r="F205" s="281"/>
      <c r="G205" s="305"/>
      <c r="H205" s="304"/>
      <c r="I205" s="240"/>
      <c r="J205" s="311"/>
      <c r="K205" s="312"/>
      <c r="L205" s="313"/>
      <c r="M205" s="321">
        <f t="shared" ref="M205:M209" si="22">L205*J205</f>
        <v>0</v>
      </c>
      <c r="N205" s="287"/>
      <c r="O205" s="712"/>
      <c r="P205" s="713"/>
      <c r="R205" s="335"/>
      <c r="S205" s="391"/>
    </row>
    <row r="206" spans="1:20" s="297" customFormat="1" ht="39.950000000000003" customHeight="1">
      <c r="A206" s="695"/>
      <c r="B206" s="708"/>
      <c r="C206" s="278">
        <v>2</v>
      </c>
      <c r="D206" s="237"/>
      <c r="E206" s="238"/>
      <c r="F206" s="239"/>
      <c r="G206" s="305"/>
      <c r="H206" s="304"/>
      <c r="I206" s="240"/>
      <c r="J206" s="311"/>
      <c r="K206" s="312"/>
      <c r="L206" s="313"/>
      <c r="M206" s="321">
        <f t="shared" si="22"/>
        <v>0</v>
      </c>
      <c r="N206" s="313"/>
      <c r="O206" s="811"/>
      <c r="P206" s="812"/>
      <c r="S206" s="96"/>
    </row>
    <row r="207" spans="1:20" s="288" customFormat="1" ht="39.950000000000003" customHeight="1">
      <c r="A207" s="695"/>
      <c r="B207" s="708"/>
      <c r="C207" s="278">
        <v>3</v>
      </c>
      <c r="D207" s="237"/>
      <c r="E207" s="280"/>
      <c r="F207" s="281"/>
      <c r="G207" s="305"/>
      <c r="H207" s="304"/>
      <c r="I207" s="284"/>
      <c r="J207" s="311"/>
      <c r="K207" s="312"/>
      <c r="L207" s="313"/>
      <c r="M207" s="321">
        <f t="shared" si="22"/>
        <v>0</v>
      </c>
      <c r="N207" s="287"/>
      <c r="O207" s="811"/>
      <c r="P207" s="812"/>
      <c r="S207" s="2"/>
    </row>
    <row r="208" spans="1:20" s="288" customFormat="1" ht="39.950000000000003" customHeight="1">
      <c r="A208" s="695"/>
      <c r="B208" s="708"/>
      <c r="C208" s="278">
        <v>4</v>
      </c>
      <c r="D208" s="237"/>
      <c r="E208" s="280"/>
      <c r="F208" s="281"/>
      <c r="G208" s="305"/>
      <c r="H208" s="304"/>
      <c r="I208" s="284"/>
      <c r="J208" s="311"/>
      <c r="K208" s="312"/>
      <c r="L208" s="313"/>
      <c r="M208" s="321">
        <f t="shared" si="22"/>
        <v>0</v>
      </c>
      <c r="N208" s="287"/>
      <c r="O208" s="811"/>
      <c r="P208" s="812"/>
      <c r="R208" s="2"/>
      <c r="S208" s="2"/>
    </row>
    <row r="209" spans="1:20" s="288" customFormat="1" ht="39.950000000000003" customHeight="1" thickBot="1">
      <c r="A209" s="695"/>
      <c r="B209" s="708"/>
      <c r="C209" s="278">
        <v>5</v>
      </c>
      <c r="D209" s="243"/>
      <c r="E209" s="290"/>
      <c r="F209" s="291"/>
      <c r="G209" s="305"/>
      <c r="H209" s="304"/>
      <c r="I209" s="284"/>
      <c r="J209" s="382"/>
      <c r="K209" s="378"/>
      <c r="L209" s="316"/>
      <c r="M209" s="321">
        <f t="shared" si="22"/>
        <v>0</v>
      </c>
      <c r="N209" s="287"/>
      <c r="O209" s="811"/>
      <c r="P209" s="812"/>
      <c r="R209" s="2"/>
      <c r="S209" s="2"/>
    </row>
    <row r="210" spans="1:20" s="288" customFormat="1" ht="17.25" thickTop="1" thickBot="1">
      <c r="A210" s="696"/>
      <c r="B210" s="709"/>
      <c r="C210" s="704"/>
      <c r="D210" s="705"/>
      <c r="E210" s="705"/>
      <c r="F210" s="705"/>
      <c r="G210" s="705"/>
      <c r="H210" s="705"/>
      <c r="I210" s="706"/>
      <c r="J210" s="346" t="s">
        <v>58</v>
      </c>
      <c r="K210" s="212">
        <f>M210/'生產管理報表 7-1 (週)'!$B$42</f>
        <v>0</v>
      </c>
      <c r="L210" s="347" t="s">
        <v>59</v>
      </c>
      <c r="M210" s="383">
        <f>SUM(M205:M209)</f>
        <v>0</v>
      </c>
      <c r="N210" s="681"/>
      <c r="O210" s="682"/>
      <c r="P210" s="683"/>
      <c r="R210" s="2"/>
      <c r="S210" s="2"/>
    </row>
    <row r="211" spans="1:20" s="288" customFormat="1" ht="15.75" customHeight="1" thickTop="1">
      <c r="B211" s="296"/>
      <c r="C211" s="297"/>
      <c r="M211" s="328"/>
      <c r="R211" s="2"/>
      <c r="S211" s="2"/>
    </row>
    <row r="212" spans="1:20" s="288" customFormat="1" ht="14.25">
      <c r="A212" s="684" t="s">
        <v>174</v>
      </c>
      <c r="B212" s="685"/>
      <c r="C212" s="302" t="s">
        <v>47</v>
      </c>
      <c r="D212" s="686" t="s">
        <v>12</v>
      </c>
      <c r="E212" s="687"/>
      <c r="F212" s="688"/>
      <c r="G212" s="689" t="s">
        <v>53</v>
      </c>
      <c r="H212" s="690"/>
      <c r="I212" s="691"/>
      <c r="J212" s="303" t="s">
        <v>54</v>
      </c>
      <c r="K212" s="275" t="s">
        <v>55</v>
      </c>
      <c r="L212" s="275" t="s">
        <v>56</v>
      </c>
      <c r="M212" s="329" t="s">
        <v>11</v>
      </c>
      <c r="N212" s="276" t="s">
        <v>312</v>
      </c>
      <c r="O212" s="692" t="s">
        <v>51</v>
      </c>
      <c r="P212" s="693"/>
      <c r="R212" s="2"/>
      <c r="S212" s="2"/>
    </row>
    <row r="213" spans="1:20" s="288" customFormat="1" ht="20.100000000000001" customHeight="1">
      <c r="A213" s="694">
        <v>7</v>
      </c>
      <c r="B213" s="697" t="s">
        <v>231</v>
      </c>
      <c r="C213" s="278">
        <v>1</v>
      </c>
      <c r="D213" s="279"/>
      <c r="E213" s="280"/>
      <c r="F213" s="281"/>
      <c r="G213" s="282"/>
      <c r="H213" s="283"/>
      <c r="I213" s="284"/>
      <c r="J213" s="285"/>
      <c r="K213" s="286"/>
      <c r="L213" s="287"/>
      <c r="M213" s="330">
        <f t="shared" ref="M213:M215" si="23">L213*J213</f>
        <v>0</v>
      </c>
      <c r="N213" s="287"/>
      <c r="O213" s="700"/>
      <c r="P213" s="701"/>
      <c r="R213" s="2"/>
      <c r="S213" s="2"/>
    </row>
    <row r="214" spans="1:20" s="288" customFormat="1" ht="20.100000000000001" customHeight="1">
      <c r="A214" s="695"/>
      <c r="B214" s="698"/>
      <c r="C214" s="278">
        <v>2</v>
      </c>
      <c r="D214" s="279"/>
      <c r="E214" s="280"/>
      <c r="F214" s="281"/>
      <c r="G214" s="282"/>
      <c r="H214" s="283"/>
      <c r="I214" s="284"/>
      <c r="J214" s="285"/>
      <c r="K214" s="286"/>
      <c r="L214" s="287"/>
      <c r="M214" s="330">
        <f t="shared" si="23"/>
        <v>0</v>
      </c>
      <c r="N214" s="287"/>
      <c r="O214" s="702"/>
      <c r="P214" s="703"/>
      <c r="R214" s="2"/>
      <c r="S214" s="2"/>
    </row>
    <row r="215" spans="1:20" s="288" customFormat="1" ht="20.100000000000001" customHeight="1">
      <c r="A215" s="695"/>
      <c r="B215" s="698"/>
      <c r="C215" s="278">
        <v>3</v>
      </c>
      <c r="D215" s="279"/>
      <c r="E215" s="280"/>
      <c r="F215" s="281"/>
      <c r="G215" s="282"/>
      <c r="H215" s="283"/>
      <c r="I215" s="284"/>
      <c r="J215" s="285"/>
      <c r="K215" s="286"/>
      <c r="L215" s="287"/>
      <c r="M215" s="330">
        <f t="shared" si="23"/>
        <v>0</v>
      </c>
      <c r="N215" s="287"/>
      <c r="O215" s="702"/>
      <c r="P215" s="703"/>
      <c r="R215" s="2"/>
      <c r="S215" s="2"/>
    </row>
    <row r="216" spans="1:20" s="288" customFormat="1" ht="20.100000000000001" customHeight="1">
      <c r="A216" s="695"/>
      <c r="B216" s="698"/>
      <c r="C216" s="278">
        <v>4</v>
      </c>
      <c r="D216" s="279"/>
      <c r="E216" s="280"/>
      <c r="F216" s="281"/>
      <c r="G216" s="282"/>
      <c r="H216" s="283"/>
      <c r="I216" s="284"/>
      <c r="J216" s="285"/>
      <c r="K216" s="286"/>
      <c r="L216" s="287"/>
      <c r="M216" s="331">
        <v>0</v>
      </c>
      <c r="N216" s="287"/>
      <c r="O216" s="298"/>
      <c r="P216" s="299"/>
      <c r="R216" s="2"/>
      <c r="S216" s="2"/>
    </row>
    <row r="217" spans="1:20" s="288" customFormat="1" ht="20.100000000000001" customHeight="1" thickBot="1">
      <c r="A217" s="695"/>
      <c r="B217" s="698"/>
      <c r="C217" s="278">
        <v>5</v>
      </c>
      <c r="D217" s="289"/>
      <c r="E217" s="290"/>
      <c r="F217" s="291"/>
      <c r="G217" s="282"/>
      <c r="H217" s="283"/>
      <c r="I217" s="284"/>
      <c r="J217" s="382"/>
      <c r="K217" s="378"/>
      <c r="L217" s="316"/>
      <c r="M217" s="332">
        <v>0</v>
      </c>
      <c r="N217" s="287"/>
      <c r="O217" s="300"/>
      <c r="P217" s="301"/>
      <c r="R217" s="2"/>
      <c r="S217" s="2"/>
    </row>
    <row r="218" spans="1:20" s="288" customFormat="1" ht="17.25" thickTop="1" thickBot="1">
      <c r="A218" s="696"/>
      <c r="B218" s="699"/>
      <c r="C218" s="704"/>
      <c r="D218" s="705"/>
      <c r="E218" s="705"/>
      <c r="F218" s="705"/>
      <c r="G218" s="705"/>
      <c r="H218" s="705"/>
      <c r="I218" s="706"/>
      <c r="J218" s="346" t="s">
        <v>58</v>
      </c>
      <c r="K218" s="212">
        <f>M218/'生產管理報表 7-1 (週)'!$B$42</f>
        <v>0</v>
      </c>
      <c r="L218" s="347" t="s">
        <v>59</v>
      </c>
      <c r="M218" s="383">
        <f>SUM(M213:M217)</f>
        <v>0</v>
      </c>
      <c r="N218" s="681"/>
      <c r="O218" s="682"/>
      <c r="P218" s="683"/>
      <c r="R218" s="2"/>
      <c r="S218" s="2"/>
      <c r="T218" s="2"/>
    </row>
    <row r="219" spans="1:20" ht="15.75" customHeight="1" thickTop="1"/>
  </sheetData>
  <mergeCells count="397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O65:P65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O173:P173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8" max="15" man="1"/>
    <brk id="74" max="15" man="1"/>
    <brk id="110" max="15" man="1"/>
    <brk id="146" max="15" man="1"/>
    <brk id="182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48" t="s">
        <v>339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</row>
    <row r="2" spans="1:75" s="136" customFormat="1" ht="15.75" customHeight="1">
      <c r="A2" s="648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</row>
    <row r="3" spans="1:75" ht="15.75" customHeight="1">
      <c r="A3" s="649" t="s">
        <v>409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</row>
    <row r="4" spans="1:75" s="136" customFormat="1" ht="15.75" customHeight="1">
      <c r="A4" s="649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</row>
    <row r="5" spans="1:75" ht="15.75" customHeight="1">
      <c r="A5" s="651" t="s">
        <v>174</v>
      </c>
      <c r="B5" s="678">
        <v>1</v>
      </c>
      <c r="C5" s="678"/>
      <c r="D5" s="678">
        <v>2</v>
      </c>
      <c r="E5" s="678"/>
      <c r="F5" s="678">
        <v>3</v>
      </c>
      <c r="G5" s="678"/>
      <c r="H5" s="654">
        <v>4</v>
      </c>
      <c r="I5" s="654"/>
      <c r="J5" s="654">
        <v>5</v>
      </c>
      <c r="K5" s="654"/>
      <c r="L5" s="654">
        <v>6</v>
      </c>
      <c r="M5" s="654"/>
      <c r="N5" s="654">
        <v>7</v>
      </c>
      <c r="O5" s="654"/>
      <c r="P5" s="654">
        <v>8</v>
      </c>
      <c r="Q5" s="654"/>
    </row>
    <row r="6" spans="1:75" ht="15.75" customHeight="1">
      <c r="A6" s="651"/>
      <c r="B6" s="679" t="s">
        <v>427</v>
      </c>
      <c r="C6" s="679"/>
      <c r="D6" s="679" t="s">
        <v>195</v>
      </c>
      <c r="E6" s="679"/>
      <c r="F6" s="679" t="s">
        <v>166</v>
      </c>
      <c r="G6" s="679"/>
      <c r="H6" s="651" t="s">
        <v>406</v>
      </c>
      <c r="I6" s="651"/>
      <c r="J6" s="651" t="s">
        <v>172</v>
      </c>
      <c r="K6" s="651"/>
      <c r="L6" s="651" t="s">
        <v>167</v>
      </c>
      <c r="M6" s="651"/>
      <c r="N6" s="651" t="s">
        <v>173</v>
      </c>
      <c r="O6" s="651"/>
      <c r="P6" s="770" t="s">
        <v>200</v>
      </c>
      <c r="Q6" s="770"/>
    </row>
    <row r="8" spans="1:75" s="235" customFormat="1" ht="15.75" customHeight="1">
      <c r="A8" s="749" t="s">
        <v>174</v>
      </c>
      <c r="B8" s="750"/>
      <c r="C8" s="234" t="s">
        <v>47</v>
      </c>
      <c r="D8" s="802" t="s">
        <v>12</v>
      </c>
      <c r="E8" s="664"/>
      <c r="F8" s="792"/>
      <c r="G8" s="803" t="s">
        <v>53</v>
      </c>
      <c r="H8" s="804"/>
      <c r="I8" s="805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06" t="s">
        <v>51</v>
      </c>
      <c r="P8" s="807"/>
    </row>
    <row r="9" spans="1:75" ht="20.100000000000001" customHeight="1">
      <c r="A9" s="793">
        <v>1</v>
      </c>
      <c r="B9" s="796" t="s">
        <v>428</v>
      </c>
      <c r="C9" s="236">
        <v>1</v>
      </c>
      <c r="D9" s="237"/>
      <c r="E9" s="238"/>
      <c r="F9" s="238"/>
      <c r="G9" s="237"/>
      <c r="H9" s="238"/>
      <c r="I9" s="239"/>
      <c r="J9" s="236"/>
      <c r="K9" s="241"/>
      <c r="L9" s="236"/>
      <c r="M9" s="321">
        <f>L9*J9</f>
        <v>0</v>
      </c>
      <c r="N9" s="242"/>
      <c r="O9" s="731"/>
      <c r="P9" s="732"/>
      <c r="S9" s="339"/>
      <c r="T9" s="338"/>
    </row>
    <row r="10" spans="1:75" ht="20.100000000000001" customHeight="1">
      <c r="A10" s="794"/>
      <c r="B10" s="797"/>
      <c r="C10" s="236">
        <v>2</v>
      </c>
      <c r="D10" s="237"/>
      <c r="E10" s="238"/>
      <c r="F10" s="239"/>
      <c r="G10" s="237"/>
      <c r="H10" s="238"/>
      <c r="I10" s="239"/>
      <c r="J10" s="236"/>
      <c r="K10" s="241"/>
      <c r="L10" s="236"/>
      <c r="M10" s="321">
        <f t="shared" ref="M10:M13" si="0">L10*J10</f>
        <v>0</v>
      </c>
      <c r="N10" s="242"/>
      <c r="O10" s="809"/>
      <c r="P10" s="752"/>
      <c r="S10" s="338"/>
      <c r="T10" s="338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794"/>
      <c r="B11" s="797"/>
      <c r="C11" s="236">
        <v>3</v>
      </c>
      <c r="D11" s="237"/>
      <c r="E11" s="238"/>
      <c r="F11" s="239"/>
      <c r="G11" s="237"/>
      <c r="H11" s="238"/>
      <c r="I11" s="239"/>
      <c r="J11" s="236"/>
      <c r="K11" s="241"/>
      <c r="L11" s="236"/>
      <c r="M11" s="321">
        <f t="shared" si="0"/>
        <v>0</v>
      </c>
      <c r="N11" s="242"/>
      <c r="O11" s="809"/>
      <c r="P11" s="752"/>
      <c r="S11" s="339"/>
      <c r="T11" s="338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794"/>
      <c r="B12" s="797"/>
      <c r="C12" s="236">
        <v>4</v>
      </c>
      <c r="D12" s="237"/>
      <c r="E12" s="238"/>
      <c r="F12" s="239"/>
      <c r="G12" s="237"/>
      <c r="H12" s="238"/>
      <c r="I12" s="239"/>
      <c r="J12" s="236"/>
      <c r="K12" s="241"/>
      <c r="L12" s="236"/>
      <c r="M12" s="321">
        <f t="shared" si="0"/>
        <v>0</v>
      </c>
      <c r="N12" s="242"/>
      <c r="O12" s="809"/>
      <c r="P12" s="752"/>
      <c r="S12" s="338"/>
      <c r="T12" s="338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794"/>
      <c r="B13" s="797"/>
      <c r="C13" s="236">
        <v>5</v>
      </c>
      <c r="D13" s="243"/>
      <c r="E13" s="244"/>
      <c r="F13" s="245"/>
      <c r="G13" s="237"/>
      <c r="H13" s="238"/>
      <c r="I13" s="267"/>
      <c r="J13" s="246"/>
      <c r="K13" s="247"/>
      <c r="L13" s="246"/>
      <c r="M13" s="322">
        <f t="shared" si="0"/>
        <v>0</v>
      </c>
      <c r="N13" s="242"/>
      <c r="O13" s="809"/>
      <c r="P13" s="752"/>
      <c r="S13" s="339"/>
      <c r="T13" s="338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795"/>
      <c r="B14" s="798"/>
      <c r="C14" s="666"/>
      <c r="D14" s="667"/>
      <c r="E14" s="667"/>
      <c r="F14" s="667"/>
      <c r="G14" s="667"/>
      <c r="H14" s="667"/>
      <c r="I14" s="801"/>
      <c r="J14" s="343" t="s">
        <v>58</v>
      </c>
      <c r="K14" s="344">
        <v>0</v>
      </c>
      <c r="L14" s="343" t="s">
        <v>59</v>
      </c>
      <c r="M14" s="323">
        <f>SUM(M9:M13)</f>
        <v>0</v>
      </c>
      <c r="N14" s="767"/>
      <c r="O14" s="768"/>
      <c r="P14" s="769"/>
      <c r="S14" s="338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S15" s="339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49" t="s">
        <v>174</v>
      </c>
      <c r="B16" s="750"/>
      <c r="C16" s="251" t="s">
        <v>47</v>
      </c>
      <c r="D16" s="663" t="s">
        <v>12</v>
      </c>
      <c r="E16" s="664"/>
      <c r="F16" s="665"/>
      <c r="G16" s="663" t="s">
        <v>53</v>
      </c>
      <c r="H16" s="664"/>
      <c r="I16" s="665"/>
      <c r="J16" s="253" t="s">
        <v>54</v>
      </c>
      <c r="K16" s="253" t="s">
        <v>55</v>
      </c>
      <c r="L16" s="253" t="s">
        <v>56</v>
      </c>
      <c r="M16" s="253" t="s">
        <v>11</v>
      </c>
      <c r="N16" s="254" t="s">
        <v>312</v>
      </c>
      <c r="O16" s="758" t="s">
        <v>51</v>
      </c>
      <c r="P16" s="759"/>
      <c r="S16" s="338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793">
        <v>2</v>
      </c>
      <c r="B17" s="796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760"/>
      <c r="P17" s="761"/>
      <c r="S17" s="339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794"/>
      <c r="B18" s="797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760"/>
      <c r="P18" s="761"/>
      <c r="S18" s="338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794"/>
      <c r="B19" s="797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59"/>
      <c r="O19" s="760"/>
      <c r="P19" s="761"/>
      <c r="S19" s="339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794"/>
      <c r="B20" s="797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760"/>
      <c r="P20" s="761"/>
      <c r="S20" s="338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794"/>
      <c r="B21" s="797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65"/>
      <c r="O21" s="760"/>
      <c r="P21" s="76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795"/>
      <c r="B22" s="798"/>
      <c r="C22" s="666"/>
      <c r="D22" s="667"/>
      <c r="E22" s="667"/>
      <c r="F22" s="667"/>
      <c r="G22" s="667"/>
      <c r="H22" s="667"/>
      <c r="I22" s="801"/>
      <c r="J22" s="343" t="s">
        <v>58</v>
      </c>
      <c r="K22" s="344">
        <v>0</v>
      </c>
      <c r="L22" s="343" t="s">
        <v>59</v>
      </c>
      <c r="M22" s="249">
        <f>SUM(M17:M21)</f>
        <v>0</v>
      </c>
      <c r="N22" s="762"/>
      <c r="O22" s="763"/>
      <c r="P22" s="764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49" t="s">
        <v>174</v>
      </c>
      <c r="B24" s="750"/>
      <c r="C24" s="251" t="s">
        <v>47</v>
      </c>
      <c r="D24" s="663" t="s">
        <v>12</v>
      </c>
      <c r="E24" s="664"/>
      <c r="F24" s="665"/>
      <c r="G24" s="663" t="s">
        <v>53</v>
      </c>
      <c r="H24" s="664"/>
      <c r="I24" s="792"/>
      <c r="J24" s="252" t="s">
        <v>54</v>
      </c>
      <c r="K24" s="253" t="s">
        <v>55</v>
      </c>
      <c r="L24" s="253" t="s">
        <v>56</v>
      </c>
      <c r="M24" s="253" t="s">
        <v>11</v>
      </c>
      <c r="N24" s="254" t="s">
        <v>312</v>
      </c>
      <c r="O24" s="756" t="s">
        <v>51</v>
      </c>
      <c r="P24" s="757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793">
        <v>3</v>
      </c>
      <c r="B25" s="796" t="s">
        <v>400</v>
      </c>
      <c r="C25" s="255">
        <v>1</v>
      </c>
      <c r="D25" s="237"/>
      <c r="E25" s="238"/>
      <c r="F25" s="239"/>
      <c r="G25" s="237"/>
      <c r="H25" s="238"/>
      <c r="I25" s="239"/>
      <c r="J25" s="256"/>
      <c r="K25" s="257"/>
      <c r="L25" s="256"/>
      <c r="M25" s="324">
        <f t="shared" ref="M25:M29" si="2">L25*J25</f>
        <v>0</v>
      </c>
      <c r="N25" s="269"/>
      <c r="O25" s="751"/>
      <c r="P25" s="752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794"/>
      <c r="B26" s="797"/>
      <c r="C26" s="255">
        <v>2</v>
      </c>
      <c r="D26" s="237"/>
      <c r="E26" s="238"/>
      <c r="F26" s="239"/>
      <c r="G26" s="237"/>
      <c r="H26" s="238"/>
      <c r="I26" s="239"/>
      <c r="J26" s="256"/>
      <c r="K26" s="257"/>
      <c r="L26" s="256"/>
      <c r="M26" s="324">
        <f t="shared" si="2"/>
        <v>0</v>
      </c>
      <c r="N26" s="269"/>
      <c r="O26" s="751"/>
      <c r="P26" s="752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794"/>
      <c r="B27" s="797"/>
      <c r="C27" s="255">
        <v>3</v>
      </c>
      <c r="D27" s="237"/>
      <c r="E27" s="238"/>
      <c r="F27" s="239"/>
      <c r="G27" s="237"/>
      <c r="H27" s="238"/>
      <c r="I27" s="239"/>
      <c r="J27" s="256"/>
      <c r="K27" s="257"/>
      <c r="L27" s="256"/>
      <c r="M27" s="324">
        <f t="shared" si="2"/>
        <v>0</v>
      </c>
      <c r="N27" s="269"/>
      <c r="O27" s="751"/>
      <c r="P27" s="752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794"/>
      <c r="B28" s="797"/>
      <c r="C28" s="255">
        <v>4</v>
      </c>
      <c r="D28" s="237"/>
      <c r="E28" s="238"/>
      <c r="F28" s="239"/>
      <c r="G28" s="237"/>
      <c r="H28" s="238"/>
      <c r="I28" s="267"/>
      <c r="J28" s="268"/>
      <c r="K28" s="257"/>
      <c r="L28" s="256"/>
      <c r="M28" s="324">
        <f t="shared" si="2"/>
        <v>0</v>
      </c>
      <c r="N28" s="269"/>
      <c r="O28" s="751"/>
      <c r="P28" s="752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794"/>
      <c r="B29" s="797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751"/>
      <c r="P29" s="752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795"/>
      <c r="B30" s="798"/>
      <c r="C30" s="666"/>
      <c r="D30" s="667"/>
      <c r="E30" s="667"/>
      <c r="F30" s="667"/>
      <c r="G30" s="667"/>
      <c r="H30" s="667"/>
      <c r="I30" s="801"/>
      <c r="J30" s="345" t="s">
        <v>58</v>
      </c>
      <c r="K30" s="344">
        <v>0</v>
      </c>
      <c r="L30" s="345" t="s">
        <v>59</v>
      </c>
      <c r="M30" s="325">
        <f>SUM(M25:M29)</f>
        <v>0</v>
      </c>
      <c r="N30" s="753"/>
      <c r="O30" s="754"/>
      <c r="P30" s="755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71"/>
  <sheetViews>
    <sheetView view="pageBreakPreview" topLeftCell="A112" zoomScaleNormal="60" zoomScaleSheetLayoutView="100" workbookViewId="0">
      <selection activeCell="R113" sqref="R113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35.42578125" style="288" customWidth="1"/>
    <col min="17" max="17" width="12.5703125" style="288"/>
    <col min="18" max="18" width="27.42578125" style="288" bestFit="1" customWidth="1"/>
    <col min="19" max="16384" width="12.5703125" style="288"/>
  </cols>
  <sheetData>
    <row r="1" spans="1:20" s="135" customFormat="1" ht="15.75" customHeight="1">
      <c r="A1" s="836" t="s">
        <v>339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8"/>
    </row>
    <row r="2" spans="1:20" s="136" customFormat="1" ht="15.75" customHeight="1">
      <c r="A2" s="839"/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840"/>
    </row>
    <row r="3" spans="1:20" s="135" customFormat="1" ht="15.75" customHeight="1">
      <c r="A3" s="810" t="s">
        <v>619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Q3" s="231"/>
      <c r="R3" s="231"/>
      <c r="S3" s="231"/>
      <c r="T3" s="231"/>
    </row>
    <row r="4" spans="1:20" s="136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</row>
    <row r="5" spans="1:20" s="135" customFormat="1" ht="15.75" customHeight="1">
      <c r="A5" s="747" t="s">
        <v>174</v>
      </c>
      <c r="B5" s="749">
        <v>1</v>
      </c>
      <c r="C5" s="750"/>
      <c r="D5" s="749">
        <v>2</v>
      </c>
      <c r="E5" s="750"/>
      <c r="F5" s="749">
        <v>3</v>
      </c>
      <c r="G5" s="750"/>
      <c r="H5" s="740">
        <v>4</v>
      </c>
      <c r="I5" s="741"/>
      <c r="J5" s="740">
        <v>5</v>
      </c>
      <c r="K5" s="741"/>
      <c r="L5" s="740">
        <v>6</v>
      </c>
      <c r="M5" s="741"/>
      <c r="N5" s="740">
        <v>7</v>
      </c>
      <c r="O5" s="741"/>
      <c r="P5" s="351">
        <v>8</v>
      </c>
    </row>
    <row r="6" spans="1:20" s="135" customFormat="1" ht="15.75" customHeight="1">
      <c r="A6" s="748"/>
      <c r="B6" s="744" t="s">
        <v>427</v>
      </c>
      <c r="C6" s="745"/>
      <c r="D6" s="744" t="s">
        <v>195</v>
      </c>
      <c r="E6" s="745"/>
      <c r="F6" s="744" t="s">
        <v>166</v>
      </c>
      <c r="G6" s="745"/>
      <c r="H6" s="742" t="s">
        <v>406</v>
      </c>
      <c r="I6" s="743"/>
      <c r="J6" s="742" t="s">
        <v>172</v>
      </c>
      <c r="K6" s="743"/>
      <c r="L6" s="742" t="s">
        <v>167</v>
      </c>
      <c r="M6" s="743"/>
      <c r="N6" s="742" t="s">
        <v>173</v>
      </c>
      <c r="O6" s="743"/>
      <c r="P6" s="352" t="s">
        <v>200</v>
      </c>
    </row>
    <row r="7" spans="1:20" s="135" customFormat="1" ht="15.75" customHeight="1">
      <c r="A7" s="480"/>
      <c r="B7" s="481"/>
      <c r="C7" s="482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4"/>
    </row>
    <row r="8" spans="1:20" s="277" customFormat="1" ht="15.75" customHeight="1">
      <c r="A8" s="824" t="s">
        <v>174</v>
      </c>
      <c r="B8" s="825"/>
      <c r="C8" s="477" t="s">
        <v>47</v>
      </c>
      <c r="D8" s="826" t="s">
        <v>12</v>
      </c>
      <c r="E8" s="827"/>
      <c r="F8" s="828"/>
      <c r="G8" s="829" t="s">
        <v>53</v>
      </c>
      <c r="H8" s="830"/>
      <c r="I8" s="831"/>
      <c r="J8" s="478" t="s">
        <v>54</v>
      </c>
      <c r="K8" s="478" t="s">
        <v>55</v>
      </c>
      <c r="L8" s="478" t="s">
        <v>56</v>
      </c>
      <c r="M8" s="479" t="s">
        <v>11</v>
      </c>
      <c r="N8" s="479" t="s">
        <v>312</v>
      </c>
      <c r="O8" s="832" t="s">
        <v>51</v>
      </c>
      <c r="P8" s="833"/>
      <c r="R8" s="338"/>
      <c r="S8" s="339"/>
    </row>
    <row r="9" spans="1:20" s="297" customFormat="1" ht="60" customHeight="1">
      <c r="A9" s="694">
        <v>4</v>
      </c>
      <c r="B9" s="728" t="s">
        <v>406</v>
      </c>
      <c r="C9" s="278">
        <v>1</v>
      </c>
      <c r="D9" s="237" t="s">
        <v>319</v>
      </c>
      <c r="E9" s="238"/>
      <c r="F9" s="239"/>
      <c r="G9" s="305" t="s">
        <v>364</v>
      </c>
      <c r="H9" s="304"/>
      <c r="I9" s="305"/>
      <c r="J9" s="311">
        <v>127.84000000000002</v>
      </c>
      <c r="K9" s="312">
        <v>2.5210495398472685E-3</v>
      </c>
      <c r="L9" s="313">
        <v>49.900000000000091</v>
      </c>
      <c r="M9" s="321">
        <f t="shared" ref="M9:M13" si="0">L9*J9</f>
        <v>6379.2160000000122</v>
      </c>
      <c r="N9" s="313"/>
      <c r="O9" s="724" t="s">
        <v>607</v>
      </c>
      <c r="P9" s="834"/>
      <c r="R9" s="387"/>
      <c r="S9" s="389"/>
    </row>
    <row r="10" spans="1:20" s="297" customFormat="1" ht="60" customHeight="1">
      <c r="A10" s="695"/>
      <c r="B10" s="729"/>
      <c r="C10" s="278">
        <v>2</v>
      </c>
      <c r="D10" s="237" t="s">
        <v>319</v>
      </c>
      <c r="E10" s="238"/>
      <c r="F10" s="239"/>
      <c r="G10" s="305" t="s">
        <v>545</v>
      </c>
      <c r="H10" s="304"/>
      <c r="I10" s="305"/>
      <c r="J10" s="311">
        <v>144.79999999999998</v>
      </c>
      <c r="K10" s="312">
        <v>3.2707328118797485E-3</v>
      </c>
      <c r="L10" s="313">
        <v>30.559999999999945</v>
      </c>
      <c r="M10" s="321">
        <f t="shared" si="0"/>
        <v>4425.0879999999916</v>
      </c>
      <c r="N10" s="313"/>
      <c r="O10" s="724" t="s">
        <v>533</v>
      </c>
      <c r="P10" s="834"/>
      <c r="R10" s="387"/>
      <c r="S10" s="388"/>
      <c r="T10" s="334"/>
    </row>
    <row r="11" spans="1:20" s="297" customFormat="1" ht="60" customHeight="1">
      <c r="A11" s="695"/>
      <c r="B11" s="729"/>
      <c r="C11" s="278">
        <v>3</v>
      </c>
      <c r="D11" s="237" t="s">
        <v>319</v>
      </c>
      <c r="E11" s="238"/>
      <c r="F11" s="239"/>
      <c r="G11" s="305" t="s">
        <v>398</v>
      </c>
      <c r="H11" s="304"/>
      <c r="I11" s="305"/>
      <c r="J11" s="311">
        <v>157.87000000000003</v>
      </c>
      <c r="K11" s="312">
        <v>2.9264700182177602E-3</v>
      </c>
      <c r="L11" s="313">
        <v>26.799999999999955</v>
      </c>
      <c r="M11" s="321">
        <f t="shared" si="0"/>
        <v>4230.9159999999938</v>
      </c>
      <c r="N11" s="313"/>
      <c r="O11" s="733" t="s">
        <v>639</v>
      </c>
      <c r="P11" s="835"/>
      <c r="R11" s="387"/>
      <c r="S11" s="389"/>
    </row>
    <row r="12" spans="1:20" s="297" customFormat="1" ht="60" customHeight="1">
      <c r="A12" s="695"/>
      <c r="B12" s="729"/>
      <c r="C12" s="278">
        <v>4</v>
      </c>
      <c r="D12" s="237" t="s">
        <v>336</v>
      </c>
      <c r="E12" s="238"/>
      <c r="F12" s="239"/>
      <c r="G12" s="305" t="s">
        <v>563</v>
      </c>
      <c r="H12" s="304"/>
      <c r="I12" s="305"/>
      <c r="J12" s="311">
        <v>426.69</v>
      </c>
      <c r="K12" s="312">
        <v>2.6496792784040098E-3</v>
      </c>
      <c r="L12" s="313">
        <v>9.82000000000005</v>
      </c>
      <c r="M12" s="321">
        <f t="shared" si="0"/>
        <v>4190.095800000021</v>
      </c>
      <c r="N12" s="313"/>
      <c r="O12" s="733" t="s">
        <v>533</v>
      </c>
      <c r="P12" s="835"/>
      <c r="R12" s="387"/>
      <c r="S12" s="388"/>
      <c r="T12" s="334"/>
    </row>
    <row r="13" spans="1:20" s="297" customFormat="1" ht="60" customHeight="1" thickBot="1">
      <c r="A13" s="695"/>
      <c r="B13" s="729"/>
      <c r="C13" s="278">
        <v>5</v>
      </c>
      <c r="D13" s="237" t="s">
        <v>442</v>
      </c>
      <c r="E13" s="244"/>
      <c r="F13" s="245"/>
      <c r="G13" s="305" t="s">
        <v>441</v>
      </c>
      <c r="H13" s="304"/>
      <c r="I13" s="305"/>
      <c r="J13" s="315">
        <v>266.27999999999997</v>
      </c>
      <c r="K13" s="247">
        <v>2.4648287892002577E-3</v>
      </c>
      <c r="L13" s="316">
        <v>15.420000000000073</v>
      </c>
      <c r="M13" s="321">
        <f t="shared" si="0"/>
        <v>4106.0376000000188</v>
      </c>
      <c r="N13" s="313"/>
      <c r="O13" s="733" t="s">
        <v>640</v>
      </c>
      <c r="P13" s="835"/>
      <c r="R13" s="390"/>
      <c r="S13" s="389"/>
      <c r="T13" s="288"/>
    </row>
    <row r="14" spans="1:20" ht="15.75" customHeight="1" thickTop="1" thickBot="1">
      <c r="A14" s="696"/>
      <c r="B14" s="730"/>
      <c r="C14" s="737"/>
      <c r="D14" s="738"/>
      <c r="E14" s="738"/>
      <c r="F14" s="738"/>
      <c r="G14" s="738"/>
      <c r="H14" s="738"/>
      <c r="I14" s="739"/>
      <c r="J14" s="346" t="s">
        <v>58</v>
      </c>
      <c r="K14" s="344">
        <f>M14/'生產管理報表 7-1 (週)'!$B$10</f>
        <v>9.1384880160930673E-2</v>
      </c>
      <c r="L14" s="347" t="s">
        <v>59</v>
      </c>
      <c r="M14" s="348">
        <f>SUM(M9:M13)</f>
        <v>23331.353400000036</v>
      </c>
      <c r="N14" s="681"/>
      <c r="O14" s="682"/>
      <c r="P14" s="823"/>
      <c r="R14" s="338"/>
      <c r="S14" s="338"/>
    </row>
    <row r="15" spans="1:20" ht="15.75" customHeight="1" thickTop="1">
      <c r="A15" s="485"/>
      <c r="M15" s="328"/>
      <c r="P15" s="486"/>
      <c r="S15" s="339"/>
    </row>
    <row r="16" spans="1:20" ht="15.75" customHeight="1">
      <c r="A16" s="684" t="s">
        <v>174</v>
      </c>
      <c r="B16" s="685"/>
      <c r="C16" s="274" t="s">
        <v>47</v>
      </c>
      <c r="D16" s="714" t="s">
        <v>12</v>
      </c>
      <c r="E16" s="715"/>
      <c r="F16" s="716"/>
      <c r="G16" s="717" t="s">
        <v>53</v>
      </c>
      <c r="H16" s="718"/>
      <c r="I16" s="719"/>
      <c r="J16" s="373" t="s">
        <v>54</v>
      </c>
      <c r="K16" s="275" t="s">
        <v>55</v>
      </c>
      <c r="L16" s="275" t="s">
        <v>56</v>
      </c>
      <c r="M16" s="329" t="s">
        <v>11</v>
      </c>
      <c r="N16" s="276" t="s">
        <v>312</v>
      </c>
      <c r="O16" s="692" t="s">
        <v>51</v>
      </c>
      <c r="P16" s="815"/>
      <c r="S16" s="338"/>
      <c r="T16" s="334"/>
    </row>
    <row r="17" spans="1:20" s="297" customFormat="1" ht="60" customHeight="1">
      <c r="A17" s="694">
        <v>5</v>
      </c>
      <c r="B17" s="707" t="s">
        <v>198</v>
      </c>
      <c r="C17" s="278">
        <v>1</v>
      </c>
      <c r="D17" s="237" t="s">
        <v>319</v>
      </c>
      <c r="E17" s="238"/>
      <c r="F17" s="239"/>
      <c r="G17" s="305" t="s">
        <v>315</v>
      </c>
      <c r="H17" s="304"/>
      <c r="I17" s="305"/>
      <c r="J17" s="311">
        <v>147.43000000000004</v>
      </c>
      <c r="K17" s="312">
        <v>2.5899921086177942E-3</v>
      </c>
      <c r="L17" s="313">
        <v>65.550000000000182</v>
      </c>
      <c r="M17" s="321">
        <f>L17*J17</f>
        <v>9664.0365000000293</v>
      </c>
      <c r="N17" s="313"/>
      <c r="O17" s="775" t="s">
        <v>490</v>
      </c>
      <c r="P17" s="820"/>
      <c r="S17" s="389"/>
      <c r="T17" s="334"/>
    </row>
    <row r="18" spans="1:20" s="297" customFormat="1" ht="24.95" customHeight="1">
      <c r="A18" s="695"/>
      <c r="B18" s="708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ref="M18:M21" si="1">L18*J18</f>
        <v>0</v>
      </c>
      <c r="N18" s="313"/>
      <c r="O18" s="712"/>
      <c r="P18" s="821"/>
      <c r="S18" s="338"/>
      <c r="T18" s="335"/>
    </row>
    <row r="19" spans="1:20" ht="24.95" customHeight="1">
      <c r="A19" s="695"/>
      <c r="B19" s="708"/>
      <c r="C19" s="278">
        <v>3</v>
      </c>
      <c r="D19" s="237"/>
      <c r="E19" s="238"/>
      <c r="F19" s="239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02"/>
      <c r="P19" s="822"/>
    </row>
    <row r="20" spans="1:20" ht="24.95" customHeight="1">
      <c r="A20" s="695"/>
      <c r="B20" s="708"/>
      <c r="C20" s="278">
        <v>4</v>
      </c>
      <c r="D20" s="279"/>
      <c r="E20" s="280"/>
      <c r="F20" s="281"/>
      <c r="G20" s="349"/>
      <c r="H20" s="304"/>
      <c r="I20" s="305"/>
      <c r="J20" s="285"/>
      <c r="K20" s="286"/>
      <c r="L20" s="287"/>
      <c r="M20" s="321">
        <f t="shared" si="1"/>
        <v>0</v>
      </c>
      <c r="N20" s="287"/>
      <c r="O20" s="298"/>
      <c r="P20" s="487"/>
    </row>
    <row r="21" spans="1:20" ht="24.95" customHeight="1" thickBot="1">
      <c r="A21" s="695"/>
      <c r="B21" s="708"/>
      <c r="C21" s="278">
        <v>5</v>
      </c>
      <c r="D21" s="289"/>
      <c r="E21" s="290"/>
      <c r="F21" s="291"/>
      <c r="G21" s="349"/>
      <c r="H21" s="304"/>
      <c r="I21" s="305"/>
      <c r="J21" s="292"/>
      <c r="K21" s="247"/>
      <c r="L21" s="293"/>
      <c r="M21" s="321">
        <f t="shared" si="1"/>
        <v>0</v>
      </c>
      <c r="N21" s="287"/>
      <c r="O21" s="300"/>
      <c r="P21" s="488"/>
      <c r="R21" s="342"/>
    </row>
    <row r="22" spans="1:20" ht="15.75" customHeight="1" thickTop="1" thickBot="1">
      <c r="A22" s="696"/>
      <c r="B22" s="709"/>
      <c r="C22" s="704"/>
      <c r="D22" s="705"/>
      <c r="E22" s="705"/>
      <c r="F22" s="705"/>
      <c r="G22" s="705"/>
      <c r="H22" s="705"/>
      <c r="I22" s="706"/>
      <c r="J22" s="346" t="s">
        <v>58</v>
      </c>
      <c r="K22" s="344">
        <f>M22/'生產管理報表 7-1 (週)'!$B$10</f>
        <v>3.7852361253220793E-2</v>
      </c>
      <c r="L22" s="347" t="s">
        <v>59</v>
      </c>
      <c r="M22" s="348">
        <f>SUM(M17:M21)</f>
        <v>9664.0365000000293</v>
      </c>
      <c r="N22" s="681"/>
      <c r="O22" s="682"/>
      <c r="P22" s="823"/>
      <c r="R22" s="338"/>
    </row>
    <row r="23" spans="1:20" ht="15.75" customHeight="1" thickTop="1">
      <c r="A23" s="485"/>
      <c r="K23" s="288" t="s">
        <v>431</v>
      </c>
      <c r="M23" s="328"/>
      <c r="P23" s="486"/>
      <c r="R23" s="338"/>
    </row>
    <row r="24" spans="1:20" ht="24.95" customHeight="1">
      <c r="A24" s="684" t="s">
        <v>174</v>
      </c>
      <c r="B24" s="685"/>
      <c r="C24" s="302" t="s">
        <v>47</v>
      </c>
      <c r="D24" s="686" t="s">
        <v>12</v>
      </c>
      <c r="E24" s="687"/>
      <c r="F24" s="688"/>
      <c r="G24" s="689" t="s">
        <v>53</v>
      </c>
      <c r="H24" s="690"/>
      <c r="I24" s="691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312</v>
      </c>
      <c r="O24" s="692" t="s">
        <v>51</v>
      </c>
      <c r="P24" s="815"/>
      <c r="R24" s="338"/>
    </row>
    <row r="25" spans="1:20" ht="60" customHeight="1">
      <c r="A25" s="694">
        <v>6</v>
      </c>
      <c r="B25" s="707" t="s">
        <v>199</v>
      </c>
      <c r="C25" s="278">
        <v>1</v>
      </c>
      <c r="D25" s="489" t="s">
        <v>560</v>
      </c>
      <c r="E25" s="280"/>
      <c r="F25" s="281"/>
      <c r="G25" s="305" t="s">
        <v>559</v>
      </c>
      <c r="H25" s="304"/>
      <c r="I25" s="305"/>
      <c r="J25" s="311">
        <v>625.93999999999994</v>
      </c>
      <c r="K25" s="312">
        <v>1.841341708382489E-3</v>
      </c>
      <c r="L25" s="313">
        <v>10.940000000000055</v>
      </c>
      <c r="M25" s="321">
        <f t="shared" ref="M25:M29" si="2">L25*J25</f>
        <v>6847.7836000000334</v>
      </c>
      <c r="N25" s="287"/>
      <c r="O25" s="735" t="s">
        <v>621</v>
      </c>
      <c r="P25" s="816"/>
      <c r="R25" s="335"/>
      <c r="S25" s="335"/>
    </row>
    <row r="26" spans="1:20" ht="60" customHeight="1">
      <c r="A26" s="695"/>
      <c r="B26" s="708"/>
      <c r="C26" s="278">
        <v>2</v>
      </c>
      <c r="D26" s="237" t="s">
        <v>319</v>
      </c>
      <c r="E26" s="280"/>
      <c r="F26" s="281"/>
      <c r="G26" s="305" t="s">
        <v>495</v>
      </c>
      <c r="H26" s="304"/>
      <c r="I26" s="305"/>
      <c r="J26" s="311">
        <v>39.389999999999993</v>
      </c>
      <c r="K26" s="312">
        <v>1.1486035649604424E-3</v>
      </c>
      <c r="L26" s="313">
        <v>139.02999999999884</v>
      </c>
      <c r="M26" s="321">
        <f t="shared" si="2"/>
        <v>5476.3916999999528</v>
      </c>
      <c r="N26" s="287"/>
      <c r="O26" s="735" t="s">
        <v>606</v>
      </c>
      <c r="P26" s="816"/>
      <c r="R26" s="335"/>
      <c r="S26" s="335"/>
    </row>
    <row r="27" spans="1:20" ht="60" customHeight="1">
      <c r="A27" s="695"/>
      <c r="B27" s="708"/>
      <c r="C27" s="278">
        <v>3</v>
      </c>
      <c r="D27" s="237" t="s">
        <v>436</v>
      </c>
      <c r="E27" s="280"/>
      <c r="F27" s="281"/>
      <c r="G27" s="305" t="s">
        <v>434</v>
      </c>
      <c r="H27" s="304"/>
      <c r="I27" s="305"/>
      <c r="J27" s="311">
        <v>407.74000000000007</v>
      </c>
      <c r="K27" s="312">
        <v>2.8234402387607182E-3</v>
      </c>
      <c r="L27" s="313">
        <v>12.6400000000001</v>
      </c>
      <c r="M27" s="321">
        <f t="shared" si="2"/>
        <v>5153.8336000000418</v>
      </c>
      <c r="N27" s="287"/>
      <c r="O27" s="735" t="s">
        <v>605</v>
      </c>
      <c r="P27" s="816"/>
      <c r="R27" s="335"/>
    </row>
    <row r="28" spans="1:20" ht="60" customHeight="1">
      <c r="A28" s="695"/>
      <c r="B28" s="708"/>
      <c r="C28" s="278">
        <v>4</v>
      </c>
      <c r="D28" s="237" t="s">
        <v>578</v>
      </c>
      <c r="E28" s="280"/>
      <c r="F28" s="281"/>
      <c r="G28" s="305" t="s">
        <v>589</v>
      </c>
      <c r="H28" s="304"/>
      <c r="I28" s="305"/>
      <c r="J28" s="311">
        <v>52.26</v>
      </c>
      <c r="K28" s="312">
        <v>3.4922658249618098E-3</v>
      </c>
      <c r="L28" s="313">
        <v>81.989999999999782</v>
      </c>
      <c r="M28" s="321">
        <f t="shared" si="2"/>
        <v>4284.7973999999886</v>
      </c>
      <c r="N28" s="287"/>
      <c r="O28" s="735" t="s">
        <v>606</v>
      </c>
      <c r="P28" s="816"/>
      <c r="R28" s="335"/>
      <c r="S28" s="335"/>
    </row>
    <row r="29" spans="1:20" ht="60" customHeight="1" thickBot="1">
      <c r="A29" s="695"/>
      <c r="B29" s="708"/>
      <c r="C29" s="278">
        <v>5</v>
      </c>
      <c r="D29" s="243" t="s">
        <v>610</v>
      </c>
      <c r="E29" s="290"/>
      <c r="F29" s="291"/>
      <c r="G29" s="305" t="s">
        <v>498</v>
      </c>
      <c r="H29" s="304"/>
      <c r="I29" s="305"/>
      <c r="J29" s="315">
        <v>62.43</v>
      </c>
      <c r="K29" s="247">
        <v>4.4446148411248741E-3</v>
      </c>
      <c r="L29" s="316">
        <v>60.199999999999818</v>
      </c>
      <c r="M29" s="321">
        <f t="shared" si="2"/>
        <v>3758.2859999999887</v>
      </c>
      <c r="N29" s="287"/>
      <c r="O29" s="735" t="s">
        <v>606</v>
      </c>
      <c r="P29" s="816"/>
    </row>
    <row r="30" spans="1:20" ht="15.75" customHeight="1" thickTop="1" thickBot="1">
      <c r="A30" s="696"/>
      <c r="B30" s="709"/>
      <c r="C30" s="704"/>
      <c r="D30" s="705"/>
      <c r="E30" s="705"/>
      <c r="F30" s="705"/>
      <c r="G30" s="705"/>
      <c r="H30" s="705"/>
      <c r="I30" s="706"/>
      <c r="J30" s="490" t="s">
        <v>58</v>
      </c>
      <c r="K30" s="344">
        <f>M30/'生產管理報表 7-1 (週)'!$B$10</f>
        <v>9.9961709097061979E-2</v>
      </c>
      <c r="L30" s="491" t="s">
        <v>59</v>
      </c>
      <c r="M30" s="492">
        <f>SUM(M25:M29)</f>
        <v>25521.092300000008</v>
      </c>
      <c r="N30" s="817"/>
      <c r="O30" s="818"/>
      <c r="P30" s="819"/>
    </row>
    <row r="31" spans="1:20" s="135" customFormat="1" ht="15.75" customHeight="1" thickTop="1">
      <c r="A31" s="810" t="s">
        <v>636</v>
      </c>
      <c r="B31" s="810"/>
      <c r="C31" s="810"/>
      <c r="D31" s="810"/>
      <c r="E31" s="810"/>
      <c r="F31" s="810"/>
      <c r="G31" s="810"/>
      <c r="H31" s="810"/>
      <c r="I31" s="810"/>
      <c r="J31" s="810"/>
      <c r="K31" s="810"/>
      <c r="L31" s="810"/>
      <c r="M31" s="810"/>
      <c r="Q31" s="231"/>
      <c r="R31" s="231"/>
      <c r="S31" s="231"/>
      <c r="T31" s="231"/>
    </row>
    <row r="32" spans="1:20" s="136" customFormat="1" ht="15.75" customHeight="1">
      <c r="A32" s="746"/>
      <c r="B32" s="746"/>
      <c r="C32" s="746"/>
      <c r="D32" s="746"/>
      <c r="E32" s="746"/>
      <c r="F32" s="746"/>
      <c r="G32" s="746"/>
      <c r="H32" s="746"/>
      <c r="I32" s="746"/>
      <c r="J32" s="746"/>
      <c r="K32" s="746"/>
      <c r="L32" s="746"/>
      <c r="M32" s="746"/>
    </row>
    <row r="33" spans="1:20" s="135" customFormat="1" ht="15.75" customHeight="1">
      <c r="A33" s="747" t="s">
        <v>174</v>
      </c>
      <c r="B33" s="749">
        <v>1</v>
      </c>
      <c r="C33" s="750"/>
      <c r="D33" s="749">
        <v>2</v>
      </c>
      <c r="E33" s="750"/>
      <c r="F33" s="749">
        <v>3</v>
      </c>
      <c r="G33" s="750"/>
      <c r="H33" s="740">
        <v>4</v>
      </c>
      <c r="I33" s="741"/>
      <c r="J33" s="740">
        <v>5</v>
      </c>
      <c r="K33" s="741"/>
      <c r="L33" s="740">
        <v>6</v>
      </c>
      <c r="M33" s="741"/>
      <c r="N33" s="740">
        <v>7</v>
      </c>
      <c r="O33" s="741"/>
      <c r="P33" s="351">
        <v>8</v>
      </c>
    </row>
    <row r="34" spans="1:20" s="135" customFormat="1" ht="15.75" customHeight="1">
      <c r="A34" s="748"/>
      <c r="B34" s="744" t="s">
        <v>427</v>
      </c>
      <c r="C34" s="745"/>
      <c r="D34" s="744" t="s">
        <v>195</v>
      </c>
      <c r="E34" s="745"/>
      <c r="F34" s="744" t="s">
        <v>166</v>
      </c>
      <c r="G34" s="745"/>
      <c r="H34" s="742" t="s">
        <v>406</v>
      </c>
      <c r="I34" s="743"/>
      <c r="J34" s="742" t="s">
        <v>172</v>
      </c>
      <c r="K34" s="743"/>
      <c r="L34" s="742" t="s">
        <v>167</v>
      </c>
      <c r="M34" s="743"/>
      <c r="N34" s="742" t="s">
        <v>173</v>
      </c>
      <c r="O34" s="743"/>
      <c r="P34" s="352" t="s">
        <v>200</v>
      </c>
    </row>
    <row r="35" spans="1:20" s="135" customFormat="1" ht="15.75" customHeight="1">
      <c r="A35" s="480"/>
      <c r="B35" s="481"/>
      <c r="C35" s="482"/>
      <c r="D35" s="483"/>
      <c r="E35" s="483"/>
      <c r="F35" s="483"/>
      <c r="G35" s="483"/>
      <c r="H35" s="483"/>
      <c r="I35" s="483"/>
      <c r="J35" s="483"/>
      <c r="K35" s="483"/>
      <c r="L35" s="483"/>
      <c r="M35" s="483"/>
      <c r="N35" s="483"/>
      <c r="O35" s="483"/>
      <c r="P35" s="484"/>
    </row>
    <row r="36" spans="1:20" s="277" customFormat="1" ht="15.75" customHeight="1">
      <c r="A36" s="824" t="s">
        <v>174</v>
      </c>
      <c r="B36" s="825"/>
      <c r="C36" s="477" t="s">
        <v>47</v>
      </c>
      <c r="D36" s="826" t="s">
        <v>12</v>
      </c>
      <c r="E36" s="827"/>
      <c r="F36" s="828"/>
      <c r="G36" s="829" t="s">
        <v>53</v>
      </c>
      <c r="H36" s="830"/>
      <c r="I36" s="831"/>
      <c r="J36" s="478" t="s">
        <v>54</v>
      </c>
      <c r="K36" s="478" t="s">
        <v>55</v>
      </c>
      <c r="L36" s="478" t="s">
        <v>56</v>
      </c>
      <c r="M36" s="479" t="s">
        <v>11</v>
      </c>
      <c r="N36" s="479" t="s">
        <v>312</v>
      </c>
      <c r="O36" s="832" t="s">
        <v>51</v>
      </c>
      <c r="P36" s="833"/>
      <c r="R36" s="338"/>
      <c r="S36" s="339"/>
    </row>
    <row r="37" spans="1:20" s="297" customFormat="1" ht="81.75" customHeight="1">
      <c r="A37" s="694">
        <v>4</v>
      </c>
      <c r="B37" s="728" t="s">
        <v>406</v>
      </c>
      <c r="C37" s="278">
        <v>1</v>
      </c>
      <c r="D37" s="489" t="s">
        <v>560</v>
      </c>
      <c r="E37" s="280"/>
      <c r="F37" s="281"/>
      <c r="G37" s="305" t="s">
        <v>559</v>
      </c>
      <c r="H37" s="304"/>
      <c r="I37" s="305"/>
      <c r="J37" s="311">
        <v>625.93999999999994</v>
      </c>
      <c r="K37" s="312">
        <v>1.6049918522097297E-3</v>
      </c>
      <c r="L37" s="313">
        <v>10.700000000000045</v>
      </c>
      <c r="M37" s="321">
        <f t="shared" ref="M37" si="3">L37*J37</f>
        <v>6697.5580000000282</v>
      </c>
      <c r="N37" s="287"/>
      <c r="O37" s="735" t="s">
        <v>621</v>
      </c>
      <c r="P37" s="816"/>
      <c r="R37" s="387"/>
      <c r="S37" s="389"/>
    </row>
    <row r="38" spans="1:20" s="297" customFormat="1" ht="60" customHeight="1">
      <c r="A38" s="695"/>
      <c r="B38" s="729"/>
      <c r="C38" s="278">
        <v>2</v>
      </c>
      <c r="D38" s="237" t="s">
        <v>319</v>
      </c>
      <c r="E38" s="238"/>
      <c r="F38" s="239"/>
      <c r="G38" s="305" t="s">
        <v>364</v>
      </c>
      <c r="H38" s="304"/>
      <c r="I38" s="305"/>
      <c r="J38" s="311">
        <v>127.84000000000002</v>
      </c>
      <c r="K38" s="312">
        <v>2.4967808799974873E-3</v>
      </c>
      <c r="L38" s="313">
        <v>41.739999999999782</v>
      </c>
      <c r="M38" s="321">
        <f t="shared" ref="M38:M41" si="4">L38*J38</f>
        <v>5336.0415999999732</v>
      </c>
      <c r="N38" s="313"/>
      <c r="O38" s="735" t="s">
        <v>678</v>
      </c>
      <c r="P38" s="816"/>
      <c r="R38" s="387"/>
      <c r="S38" s="388"/>
      <c r="T38" s="334"/>
    </row>
    <row r="39" spans="1:20" s="297" customFormat="1" ht="60" customHeight="1">
      <c r="A39" s="695"/>
      <c r="B39" s="729"/>
      <c r="C39" s="278">
        <v>3</v>
      </c>
      <c r="D39" s="237" t="s">
        <v>319</v>
      </c>
      <c r="E39" s="238"/>
      <c r="F39" s="239"/>
      <c r="G39" s="305" t="s">
        <v>495</v>
      </c>
      <c r="H39" s="304"/>
      <c r="I39" s="305"/>
      <c r="J39" s="311">
        <v>39.389999999999993</v>
      </c>
      <c r="K39" s="312">
        <v>1.0358547516692582E-3</v>
      </c>
      <c r="L39" s="313">
        <v>125.45000000000073</v>
      </c>
      <c r="M39" s="321">
        <f t="shared" si="4"/>
        <v>4941.4755000000278</v>
      </c>
      <c r="N39" s="313"/>
      <c r="O39" s="735" t="s">
        <v>606</v>
      </c>
      <c r="P39" s="816"/>
      <c r="R39" s="387"/>
      <c r="S39" s="389"/>
    </row>
    <row r="40" spans="1:20" s="297" customFormat="1" ht="60" customHeight="1">
      <c r="A40" s="695"/>
      <c r="B40" s="729"/>
      <c r="C40" s="278">
        <v>4</v>
      </c>
      <c r="D40" s="237" t="s">
        <v>578</v>
      </c>
      <c r="E40" s="238"/>
      <c r="F40" s="239"/>
      <c r="G40" s="305" t="s">
        <v>589</v>
      </c>
      <c r="H40" s="304"/>
      <c r="I40" s="305"/>
      <c r="J40" s="311">
        <v>52.26</v>
      </c>
      <c r="K40" s="312">
        <v>3.5377291419016149E-3</v>
      </c>
      <c r="L40" s="313">
        <v>82.529999999999745</v>
      </c>
      <c r="M40" s="321">
        <f t="shared" si="4"/>
        <v>4313.0177999999869</v>
      </c>
      <c r="N40" s="313"/>
      <c r="O40" s="735" t="s">
        <v>606</v>
      </c>
      <c r="P40" s="816"/>
      <c r="R40" s="387"/>
      <c r="S40" s="388"/>
      <c r="T40" s="334"/>
    </row>
    <row r="41" spans="1:20" s="297" customFormat="1" ht="60" customHeight="1" thickBot="1">
      <c r="A41" s="695"/>
      <c r="B41" s="729"/>
      <c r="C41" s="278">
        <v>5</v>
      </c>
      <c r="D41" s="237" t="s">
        <v>319</v>
      </c>
      <c r="E41" s="238"/>
      <c r="F41" s="239"/>
      <c r="G41" s="305" t="s">
        <v>545</v>
      </c>
      <c r="H41" s="304"/>
      <c r="I41" s="305"/>
      <c r="J41" s="311">
        <v>144.79999999999998</v>
      </c>
      <c r="K41" s="312">
        <v>3.3888274768588307E-3</v>
      </c>
      <c r="L41" s="313">
        <v>27.910000000000082</v>
      </c>
      <c r="M41" s="321">
        <f t="shared" si="4"/>
        <v>4041.3680000000113</v>
      </c>
      <c r="N41" s="313"/>
      <c r="O41" s="735" t="s">
        <v>533</v>
      </c>
      <c r="P41" s="816"/>
      <c r="R41" s="390"/>
      <c r="S41" s="389"/>
      <c r="T41" s="288"/>
    </row>
    <row r="42" spans="1:20" ht="15.75" customHeight="1" thickTop="1" thickBot="1">
      <c r="A42" s="696"/>
      <c r="B42" s="730"/>
      <c r="C42" s="737"/>
      <c r="D42" s="738"/>
      <c r="E42" s="738"/>
      <c r="F42" s="738"/>
      <c r="G42" s="738"/>
      <c r="H42" s="738"/>
      <c r="I42" s="739"/>
      <c r="J42" s="346" t="s">
        <v>58</v>
      </c>
      <c r="K42" s="344">
        <f>M42/'生產管理報表 7-1 (週)'!$B$21</f>
        <v>0.10068211337788185</v>
      </c>
      <c r="L42" s="347" t="s">
        <v>59</v>
      </c>
      <c r="M42" s="348">
        <f>SUM(M37:M41)</f>
        <v>25329.460900000027</v>
      </c>
      <c r="N42" s="681"/>
      <c r="O42" s="682"/>
      <c r="P42" s="823"/>
      <c r="R42" s="338"/>
      <c r="S42" s="338"/>
    </row>
    <row r="43" spans="1:20" ht="15.75" customHeight="1" thickTop="1">
      <c r="A43" s="485"/>
      <c r="M43" s="328"/>
      <c r="P43" s="486"/>
      <c r="S43" s="339"/>
    </row>
    <row r="44" spans="1:20" ht="15.75" customHeight="1">
      <c r="A44" s="684" t="s">
        <v>174</v>
      </c>
      <c r="B44" s="685"/>
      <c r="C44" s="274" t="s">
        <v>47</v>
      </c>
      <c r="D44" s="714" t="s">
        <v>12</v>
      </c>
      <c r="E44" s="715"/>
      <c r="F44" s="716"/>
      <c r="G44" s="717" t="s">
        <v>53</v>
      </c>
      <c r="H44" s="718"/>
      <c r="I44" s="719"/>
      <c r="J44" s="373" t="s">
        <v>54</v>
      </c>
      <c r="K44" s="275" t="s">
        <v>55</v>
      </c>
      <c r="L44" s="275" t="s">
        <v>56</v>
      </c>
      <c r="M44" s="329" t="s">
        <v>11</v>
      </c>
      <c r="N44" s="276" t="s">
        <v>312</v>
      </c>
      <c r="O44" s="692" t="s">
        <v>51</v>
      </c>
      <c r="P44" s="815"/>
      <c r="S44" s="338"/>
      <c r="T44" s="334"/>
    </row>
    <row r="45" spans="1:20" s="297" customFormat="1" ht="60" customHeight="1">
      <c r="A45" s="694">
        <v>5</v>
      </c>
      <c r="B45" s="707" t="s">
        <v>198</v>
      </c>
      <c r="C45" s="278">
        <v>1</v>
      </c>
      <c r="D45" s="237" t="s">
        <v>319</v>
      </c>
      <c r="E45" s="238"/>
      <c r="F45" s="239"/>
      <c r="G45" s="305" t="s">
        <v>315</v>
      </c>
      <c r="H45" s="304"/>
      <c r="I45" s="305"/>
      <c r="J45" s="311">
        <v>147.43000000000004</v>
      </c>
      <c r="K45" s="312">
        <v>2.4776643357432714E-3</v>
      </c>
      <c r="L45" s="313">
        <v>59.369999999999891</v>
      </c>
      <c r="M45" s="321">
        <f>L45*J45</f>
        <v>8752.9190999999864</v>
      </c>
      <c r="N45" s="313"/>
      <c r="O45" s="775" t="s">
        <v>490</v>
      </c>
      <c r="P45" s="820"/>
      <c r="S45" s="389"/>
      <c r="T45" s="334"/>
    </row>
    <row r="46" spans="1:20" s="297" customFormat="1" ht="24.95" customHeight="1">
      <c r="A46" s="695"/>
      <c r="B46" s="708"/>
      <c r="C46" s="278">
        <v>2</v>
      </c>
      <c r="D46" s="237"/>
      <c r="E46" s="238"/>
      <c r="F46" s="239"/>
      <c r="G46" s="349"/>
      <c r="H46" s="304"/>
      <c r="I46" s="305"/>
      <c r="J46" s="311"/>
      <c r="K46" s="312"/>
      <c r="L46" s="313"/>
      <c r="M46" s="321">
        <f t="shared" ref="M46:M49" si="5">L46*J46</f>
        <v>0</v>
      </c>
      <c r="N46" s="313"/>
      <c r="O46" s="712"/>
      <c r="P46" s="821"/>
      <c r="S46" s="338"/>
      <c r="T46" s="335"/>
    </row>
    <row r="47" spans="1:20" ht="24.95" customHeight="1">
      <c r="A47" s="695"/>
      <c r="B47" s="708"/>
      <c r="C47" s="278">
        <v>3</v>
      </c>
      <c r="D47" s="237"/>
      <c r="E47" s="238"/>
      <c r="F47" s="239"/>
      <c r="G47" s="349"/>
      <c r="H47" s="304"/>
      <c r="I47" s="305"/>
      <c r="J47" s="311"/>
      <c r="K47" s="312"/>
      <c r="L47" s="313"/>
      <c r="M47" s="321">
        <f t="shared" si="5"/>
        <v>0</v>
      </c>
      <c r="N47" s="287"/>
      <c r="O47" s="702"/>
      <c r="P47" s="822"/>
    </row>
    <row r="48" spans="1:20" ht="24.95" customHeight="1">
      <c r="A48" s="695"/>
      <c r="B48" s="708"/>
      <c r="C48" s="278">
        <v>4</v>
      </c>
      <c r="D48" s="279"/>
      <c r="E48" s="280"/>
      <c r="F48" s="281"/>
      <c r="G48" s="349"/>
      <c r="H48" s="304"/>
      <c r="I48" s="305"/>
      <c r="J48" s="285"/>
      <c r="K48" s="286"/>
      <c r="L48" s="287"/>
      <c r="M48" s="321">
        <f t="shared" si="5"/>
        <v>0</v>
      </c>
      <c r="N48" s="287"/>
      <c r="O48" s="298"/>
      <c r="P48" s="487"/>
    </row>
    <row r="49" spans="1:20" ht="24.95" customHeight="1" thickBot="1">
      <c r="A49" s="695"/>
      <c r="B49" s="708"/>
      <c r="C49" s="278">
        <v>5</v>
      </c>
      <c r="D49" s="289"/>
      <c r="E49" s="290"/>
      <c r="F49" s="291"/>
      <c r="G49" s="349"/>
      <c r="H49" s="304"/>
      <c r="I49" s="305"/>
      <c r="J49" s="292"/>
      <c r="K49" s="247"/>
      <c r="L49" s="293"/>
      <c r="M49" s="321">
        <f t="shared" si="5"/>
        <v>0</v>
      </c>
      <c r="N49" s="287"/>
      <c r="O49" s="300"/>
      <c r="P49" s="488"/>
      <c r="R49" s="342"/>
    </row>
    <row r="50" spans="1:20" ht="15.75" customHeight="1" thickTop="1" thickBot="1">
      <c r="A50" s="696"/>
      <c r="B50" s="709"/>
      <c r="C50" s="704"/>
      <c r="D50" s="705"/>
      <c r="E50" s="705"/>
      <c r="F50" s="705"/>
      <c r="G50" s="705"/>
      <c r="H50" s="705"/>
      <c r="I50" s="706"/>
      <c r="J50" s="346" t="s">
        <v>58</v>
      </c>
      <c r="K50" s="344">
        <f>M50/'生產管理報表 7-1 (週)'!$B$21</f>
        <v>3.4791991692710099E-2</v>
      </c>
      <c r="L50" s="347" t="s">
        <v>59</v>
      </c>
      <c r="M50" s="348">
        <f>SUM(M45:M49)</f>
        <v>8752.9190999999864</v>
      </c>
      <c r="N50" s="681"/>
      <c r="O50" s="682"/>
      <c r="P50" s="823"/>
      <c r="R50" s="338"/>
    </row>
    <row r="51" spans="1:20" ht="15.75" customHeight="1" thickTop="1">
      <c r="A51" s="485"/>
      <c r="K51" s="288" t="s">
        <v>431</v>
      </c>
      <c r="M51" s="328"/>
      <c r="P51" s="486"/>
      <c r="R51" s="338"/>
    </row>
    <row r="52" spans="1:20" ht="24.95" customHeight="1">
      <c r="A52" s="684" t="s">
        <v>174</v>
      </c>
      <c r="B52" s="685"/>
      <c r="C52" s="302" t="s">
        <v>47</v>
      </c>
      <c r="D52" s="686" t="s">
        <v>12</v>
      </c>
      <c r="E52" s="687"/>
      <c r="F52" s="688"/>
      <c r="G52" s="689" t="s">
        <v>53</v>
      </c>
      <c r="H52" s="690"/>
      <c r="I52" s="691"/>
      <c r="J52" s="303" t="s">
        <v>54</v>
      </c>
      <c r="K52" s="275" t="s">
        <v>55</v>
      </c>
      <c r="L52" s="275" t="s">
        <v>56</v>
      </c>
      <c r="M52" s="329" t="s">
        <v>11</v>
      </c>
      <c r="N52" s="276" t="s">
        <v>312</v>
      </c>
      <c r="O52" s="692" t="s">
        <v>51</v>
      </c>
      <c r="P52" s="815"/>
      <c r="R52" s="338"/>
    </row>
    <row r="53" spans="1:20" ht="60" customHeight="1">
      <c r="A53" s="694">
        <v>6</v>
      </c>
      <c r="B53" s="707" t="s">
        <v>199</v>
      </c>
      <c r="C53" s="278">
        <v>1</v>
      </c>
      <c r="D53" s="237" t="s">
        <v>436</v>
      </c>
      <c r="E53" s="280"/>
      <c r="F53" s="281"/>
      <c r="G53" s="305" t="s">
        <v>689</v>
      </c>
      <c r="H53" s="304"/>
      <c r="I53" s="305"/>
      <c r="J53" s="311">
        <v>407.74000000000007</v>
      </c>
      <c r="K53" s="312">
        <v>2.3447517860413986E-3</v>
      </c>
      <c r="L53" s="313">
        <v>10.029999999999973</v>
      </c>
      <c r="M53" s="321">
        <f t="shared" ref="M53:M57" si="6">L53*J53</f>
        <v>4089.6321999999896</v>
      </c>
      <c r="N53" s="287"/>
      <c r="O53" s="735" t="s">
        <v>605</v>
      </c>
      <c r="P53" s="816"/>
      <c r="R53" s="335"/>
      <c r="S53" s="335"/>
    </row>
    <row r="54" spans="1:20" ht="60" customHeight="1">
      <c r="A54" s="695"/>
      <c r="B54" s="708"/>
      <c r="C54" s="278">
        <v>2</v>
      </c>
      <c r="D54" s="237"/>
      <c r="E54" s="280"/>
      <c r="F54" s="281"/>
      <c r="G54" s="305"/>
      <c r="H54" s="304"/>
      <c r="I54" s="305"/>
      <c r="J54" s="311"/>
      <c r="K54" s="312"/>
      <c r="L54" s="313"/>
      <c r="M54" s="321">
        <f t="shared" si="6"/>
        <v>0</v>
      </c>
      <c r="N54" s="287"/>
      <c r="O54" s="735"/>
      <c r="P54" s="816"/>
      <c r="R54" s="335"/>
      <c r="S54" s="335"/>
    </row>
    <row r="55" spans="1:20" ht="24.95" customHeight="1">
      <c r="A55" s="695"/>
      <c r="B55" s="708"/>
      <c r="C55" s="278">
        <v>3</v>
      </c>
      <c r="D55" s="237"/>
      <c r="E55" s="280"/>
      <c r="F55" s="281"/>
      <c r="G55" s="305"/>
      <c r="H55" s="304"/>
      <c r="I55" s="305"/>
      <c r="J55" s="311"/>
      <c r="K55" s="312"/>
      <c r="L55" s="313"/>
      <c r="M55" s="321">
        <f t="shared" si="6"/>
        <v>0</v>
      </c>
      <c r="N55" s="287"/>
      <c r="O55" s="735"/>
      <c r="P55" s="816"/>
      <c r="R55" s="335"/>
    </row>
    <row r="56" spans="1:20" ht="24.95" customHeight="1">
      <c r="A56" s="695"/>
      <c r="B56" s="708"/>
      <c r="C56" s="278">
        <v>4</v>
      </c>
      <c r="D56" s="237"/>
      <c r="E56" s="280"/>
      <c r="F56" s="281"/>
      <c r="G56" s="305"/>
      <c r="H56" s="304"/>
      <c r="I56" s="305"/>
      <c r="J56" s="311"/>
      <c r="K56" s="312"/>
      <c r="L56" s="313"/>
      <c r="M56" s="321">
        <f t="shared" si="6"/>
        <v>0</v>
      </c>
      <c r="N56" s="287"/>
      <c r="O56" s="735"/>
      <c r="P56" s="816"/>
      <c r="R56" s="335"/>
      <c r="S56" s="335"/>
    </row>
    <row r="57" spans="1:20" ht="24.95" customHeight="1" thickBot="1">
      <c r="A57" s="695"/>
      <c r="B57" s="708"/>
      <c r="C57" s="278">
        <v>5</v>
      </c>
      <c r="D57" s="243"/>
      <c r="E57" s="290"/>
      <c r="F57" s="291"/>
      <c r="G57" s="305"/>
      <c r="H57" s="304"/>
      <c r="I57" s="305"/>
      <c r="J57" s="315"/>
      <c r="K57" s="247"/>
      <c r="L57" s="316"/>
      <c r="M57" s="321">
        <f t="shared" si="6"/>
        <v>0</v>
      </c>
      <c r="N57" s="287"/>
      <c r="O57" s="735"/>
      <c r="P57" s="816"/>
    </row>
    <row r="58" spans="1:20" ht="15.75" customHeight="1" thickTop="1" thickBot="1">
      <c r="A58" s="696"/>
      <c r="B58" s="709"/>
      <c r="C58" s="704"/>
      <c r="D58" s="705"/>
      <c r="E58" s="705"/>
      <c r="F58" s="705"/>
      <c r="G58" s="705"/>
      <c r="H58" s="705"/>
      <c r="I58" s="706"/>
      <c r="J58" s="490" t="s">
        <v>58</v>
      </c>
      <c r="K58" s="344">
        <f>M58/'生產管理報表 7-1 (週)'!$B$21</f>
        <v>1.6255885368418359E-2</v>
      </c>
      <c r="L58" s="491" t="s">
        <v>59</v>
      </c>
      <c r="M58" s="492">
        <f>SUM(M53:M57)</f>
        <v>4089.6321999999896</v>
      </c>
      <c r="N58" s="817"/>
      <c r="O58" s="818"/>
      <c r="P58" s="819"/>
    </row>
    <row r="59" spans="1:20" s="135" customFormat="1" ht="15.75" customHeight="1" thickTop="1">
      <c r="A59" s="810" t="s">
        <v>674</v>
      </c>
      <c r="B59" s="810"/>
      <c r="C59" s="810"/>
      <c r="D59" s="810"/>
      <c r="E59" s="810"/>
      <c r="F59" s="810"/>
      <c r="G59" s="810"/>
      <c r="H59" s="810"/>
      <c r="I59" s="810"/>
      <c r="J59" s="810"/>
      <c r="K59" s="810"/>
      <c r="L59" s="810"/>
      <c r="M59" s="810"/>
      <c r="Q59" s="231"/>
      <c r="R59" s="231"/>
      <c r="S59" s="231"/>
      <c r="T59" s="231"/>
    </row>
    <row r="60" spans="1:20" s="136" customFormat="1" ht="15.75" customHeight="1">
      <c r="A60" s="746"/>
      <c r="B60" s="746"/>
      <c r="C60" s="746"/>
      <c r="D60" s="746"/>
      <c r="E60" s="746"/>
      <c r="F60" s="746"/>
      <c r="G60" s="746"/>
      <c r="H60" s="746"/>
      <c r="I60" s="746"/>
      <c r="J60" s="746"/>
      <c r="K60" s="746"/>
      <c r="L60" s="746"/>
      <c r="M60" s="746"/>
    </row>
    <row r="61" spans="1:20" s="135" customFormat="1" ht="15.75" customHeight="1">
      <c r="A61" s="747" t="s">
        <v>174</v>
      </c>
      <c r="B61" s="749">
        <v>1</v>
      </c>
      <c r="C61" s="750"/>
      <c r="D61" s="749">
        <v>2</v>
      </c>
      <c r="E61" s="750"/>
      <c r="F61" s="749">
        <v>3</v>
      </c>
      <c r="G61" s="750"/>
      <c r="H61" s="740">
        <v>4</v>
      </c>
      <c r="I61" s="741"/>
      <c r="J61" s="740">
        <v>5</v>
      </c>
      <c r="K61" s="741"/>
      <c r="L61" s="740">
        <v>6</v>
      </c>
      <c r="M61" s="741"/>
      <c r="N61" s="740">
        <v>7</v>
      </c>
      <c r="O61" s="741"/>
      <c r="P61" s="351">
        <v>8</v>
      </c>
    </row>
    <row r="62" spans="1:20" s="135" customFormat="1" ht="15.75" customHeight="1">
      <c r="A62" s="748"/>
      <c r="B62" s="744" t="s">
        <v>427</v>
      </c>
      <c r="C62" s="745"/>
      <c r="D62" s="744" t="s">
        <v>195</v>
      </c>
      <c r="E62" s="745"/>
      <c r="F62" s="744" t="s">
        <v>166</v>
      </c>
      <c r="G62" s="745"/>
      <c r="H62" s="742" t="s">
        <v>406</v>
      </c>
      <c r="I62" s="743"/>
      <c r="J62" s="742" t="s">
        <v>172</v>
      </c>
      <c r="K62" s="743"/>
      <c r="L62" s="742" t="s">
        <v>167</v>
      </c>
      <c r="M62" s="743"/>
      <c r="N62" s="742" t="s">
        <v>173</v>
      </c>
      <c r="O62" s="743"/>
      <c r="P62" s="352" t="s">
        <v>200</v>
      </c>
    </row>
    <row r="63" spans="1:20" s="135" customFormat="1" ht="15.75" customHeight="1">
      <c r="A63" s="480"/>
      <c r="B63" s="481"/>
      <c r="C63" s="482"/>
      <c r="D63" s="483"/>
      <c r="E63" s="483"/>
      <c r="F63" s="483"/>
      <c r="G63" s="483"/>
      <c r="H63" s="483"/>
      <c r="I63" s="483"/>
      <c r="J63" s="483"/>
      <c r="K63" s="483"/>
      <c r="L63" s="483"/>
      <c r="M63" s="483"/>
      <c r="N63" s="483"/>
      <c r="O63" s="483"/>
      <c r="P63" s="484"/>
    </row>
    <row r="64" spans="1:20" s="277" customFormat="1" ht="15.75" customHeight="1">
      <c r="A64" s="824" t="s">
        <v>174</v>
      </c>
      <c r="B64" s="825"/>
      <c r="C64" s="477" t="s">
        <v>47</v>
      </c>
      <c r="D64" s="826" t="s">
        <v>12</v>
      </c>
      <c r="E64" s="827"/>
      <c r="F64" s="828"/>
      <c r="G64" s="829" t="s">
        <v>53</v>
      </c>
      <c r="H64" s="830"/>
      <c r="I64" s="831"/>
      <c r="J64" s="478" t="s">
        <v>54</v>
      </c>
      <c r="K64" s="478" t="s">
        <v>55</v>
      </c>
      <c r="L64" s="478" t="s">
        <v>56</v>
      </c>
      <c r="M64" s="479" t="s">
        <v>11</v>
      </c>
      <c r="N64" s="479" t="s">
        <v>312</v>
      </c>
      <c r="O64" s="832" t="s">
        <v>51</v>
      </c>
      <c r="P64" s="833"/>
      <c r="R64" s="338"/>
      <c r="S64" s="339"/>
    </row>
    <row r="65" spans="1:20" s="297" customFormat="1" ht="60" customHeight="1">
      <c r="A65" s="694">
        <v>4</v>
      </c>
      <c r="B65" s="728" t="s">
        <v>406</v>
      </c>
      <c r="C65" s="278">
        <v>1</v>
      </c>
      <c r="D65" s="237" t="s">
        <v>560</v>
      </c>
      <c r="E65" s="238"/>
      <c r="F65" s="239"/>
      <c r="G65" s="305" t="s">
        <v>559</v>
      </c>
      <c r="H65" s="304"/>
      <c r="I65" s="305"/>
      <c r="J65" s="311">
        <v>625.93999999999994</v>
      </c>
      <c r="K65" s="312">
        <v>1.7721560147625473E-3</v>
      </c>
      <c r="L65" s="313">
        <v>10.029999999999973</v>
      </c>
      <c r="M65" s="321">
        <f t="shared" ref="M65:M69" si="7">L65*J65</f>
        <v>6278.1781999999821</v>
      </c>
      <c r="N65" s="313"/>
      <c r="O65" s="724" t="s">
        <v>714</v>
      </c>
      <c r="P65" s="834"/>
      <c r="R65" s="387"/>
      <c r="S65" s="389"/>
    </row>
    <row r="66" spans="1:20" s="297" customFormat="1" ht="60" customHeight="1">
      <c r="A66" s="695"/>
      <c r="B66" s="729"/>
      <c r="C66" s="278">
        <v>2</v>
      </c>
      <c r="D66" s="237" t="s">
        <v>319</v>
      </c>
      <c r="E66" s="238"/>
      <c r="F66" s="239"/>
      <c r="G66" s="305" t="s">
        <v>364</v>
      </c>
      <c r="H66" s="304"/>
      <c r="I66" s="305"/>
      <c r="J66" s="311">
        <v>127.84000000000002</v>
      </c>
      <c r="K66" s="312">
        <v>2.7568862520318833E-3</v>
      </c>
      <c r="L66" s="313">
        <v>41.920000000000073</v>
      </c>
      <c r="M66" s="321">
        <f t="shared" si="7"/>
        <v>5359.0528000000104</v>
      </c>
      <c r="N66" s="313"/>
      <c r="O66" s="724" t="s">
        <v>713</v>
      </c>
      <c r="P66" s="834"/>
      <c r="R66" s="387"/>
      <c r="S66" s="388"/>
      <c r="T66" s="334"/>
    </row>
    <row r="67" spans="1:20" s="297" customFormat="1" ht="60" customHeight="1">
      <c r="A67" s="695"/>
      <c r="B67" s="729"/>
      <c r="C67" s="278">
        <v>3</v>
      </c>
      <c r="D67" s="237" t="s">
        <v>336</v>
      </c>
      <c r="E67" s="238"/>
      <c r="F67" s="239"/>
      <c r="G67" s="305" t="s">
        <v>563</v>
      </c>
      <c r="H67" s="304"/>
      <c r="I67" s="305"/>
      <c r="J67" s="311">
        <v>426.69</v>
      </c>
      <c r="K67" s="312">
        <v>1.8775465686083565E-3</v>
      </c>
      <c r="L67" s="313">
        <v>11.569999999999936</v>
      </c>
      <c r="M67" s="321">
        <f t="shared" si="7"/>
        <v>4936.8032999999732</v>
      </c>
      <c r="N67" s="313"/>
      <c r="O67" s="733" t="s">
        <v>712</v>
      </c>
      <c r="P67" s="835"/>
      <c r="R67" s="387"/>
      <c r="S67" s="389"/>
    </row>
    <row r="68" spans="1:20" s="297" customFormat="1" ht="60" customHeight="1">
      <c r="A68" s="695"/>
      <c r="B68" s="729"/>
      <c r="C68" s="278">
        <v>4</v>
      </c>
      <c r="D68" s="237" t="s">
        <v>319</v>
      </c>
      <c r="E68" s="238"/>
      <c r="F68" s="239"/>
      <c r="G68" s="305" t="s">
        <v>495</v>
      </c>
      <c r="H68" s="304"/>
      <c r="I68" s="305"/>
      <c r="J68" s="311">
        <v>39.389999999999993</v>
      </c>
      <c r="K68" s="312">
        <v>1.4393688201936729E-3</v>
      </c>
      <c r="L68" s="313">
        <v>113.0099999999984</v>
      </c>
      <c r="M68" s="321">
        <f t="shared" si="7"/>
        <v>4451.4638999999361</v>
      </c>
      <c r="N68" s="313"/>
      <c r="O68" s="733" t="s">
        <v>711</v>
      </c>
      <c r="P68" s="835"/>
      <c r="R68" s="387"/>
      <c r="S68" s="388"/>
      <c r="T68" s="334"/>
    </row>
    <row r="69" spans="1:20" s="297" customFormat="1" ht="60" customHeight="1" thickBot="1">
      <c r="A69" s="695"/>
      <c r="B69" s="729"/>
      <c r="C69" s="278">
        <v>5</v>
      </c>
      <c r="D69" s="237" t="s">
        <v>578</v>
      </c>
      <c r="E69" s="244"/>
      <c r="F69" s="245"/>
      <c r="G69" s="305" t="s">
        <v>589</v>
      </c>
      <c r="H69" s="304"/>
      <c r="I69" s="305"/>
      <c r="J69" s="315">
        <v>52.26</v>
      </c>
      <c r="K69" s="247">
        <v>3.1082167752042632E-3</v>
      </c>
      <c r="L69" s="316">
        <v>76.970000000000255</v>
      </c>
      <c r="M69" s="321">
        <f t="shared" si="7"/>
        <v>4022.4522000000134</v>
      </c>
      <c r="N69" s="313"/>
      <c r="O69" s="733" t="s">
        <v>711</v>
      </c>
      <c r="P69" s="835"/>
      <c r="R69" s="390"/>
      <c r="S69" s="389"/>
      <c r="T69" s="288"/>
    </row>
    <row r="70" spans="1:20" ht="15.75" customHeight="1" thickTop="1" thickBot="1">
      <c r="A70" s="696"/>
      <c r="B70" s="730"/>
      <c r="C70" s="737"/>
      <c r="D70" s="738"/>
      <c r="E70" s="738"/>
      <c r="F70" s="738"/>
      <c r="G70" s="738"/>
      <c r="H70" s="738"/>
      <c r="I70" s="739"/>
      <c r="J70" s="346" t="s">
        <v>58</v>
      </c>
      <c r="K70" s="344">
        <f>M70/'生產管理報表 7-1 (週)'!$B$32</f>
        <v>0.10882681654062949</v>
      </c>
      <c r="L70" s="347" t="s">
        <v>59</v>
      </c>
      <c r="M70" s="348">
        <f>SUM(M65:M69)</f>
        <v>25047.950399999918</v>
      </c>
      <c r="N70" s="681"/>
      <c r="O70" s="682"/>
      <c r="P70" s="823"/>
      <c r="R70" s="338"/>
      <c r="S70" s="338"/>
    </row>
    <row r="71" spans="1:20" ht="15.75" customHeight="1" thickTop="1">
      <c r="A71" s="485"/>
      <c r="M71" s="328"/>
      <c r="P71" s="486"/>
      <c r="S71" s="339"/>
    </row>
    <row r="72" spans="1:20" ht="15.75" customHeight="1">
      <c r="A72" s="684" t="s">
        <v>174</v>
      </c>
      <c r="B72" s="685"/>
      <c r="C72" s="274" t="s">
        <v>47</v>
      </c>
      <c r="D72" s="714" t="s">
        <v>12</v>
      </c>
      <c r="E72" s="715"/>
      <c r="F72" s="716"/>
      <c r="G72" s="717" t="s">
        <v>53</v>
      </c>
      <c r="H72" s="718"/>
      <c r="I72" s="719"/>
      <c r="J72" s="373" t="s">
        <v>54</v>
      </c>
      <c r="K72" s="275" t="s">
        <v>55</v>
      </c>
      <c r="L72" s="275" t="s">
        <v>56</v>
      </c>
      <c r="M72" s="329" t="s">
        <v>11</v>
      </c>
      <c r="N72" s="276" t="s">
        <v>312</v>
      </c>
      <c r="O72" s="692" t="s">
        <v>51</v>
      </c>
      <c r="P72" s="815"/>
      <c r="S72" s="338"/>
      <c r="T72" s="334"/>
    </row>
    <row r="73" spans="1:20" s="297" customFormat="1" ht="60" customHeight="1">
      <c r="A73" s="694">
        <v>5</v>
      </c>
      <c r="B73" s="707" t="s">
        <v>198</v>
      </c>
      <c r="C73" s="278">
        <v>1</v>
      </c>
      <c r="D73" s="237" t="s">
        <v>319</v>
      </c>
      <c r="E73" s="238"/>
      <c r="F73" s="239"/>
      <c r="G73" s="305" t="s">
        <v>315</v>
      </c>
      <c r="H73" s="304"/>
      <c r="I73" s="305"/>
      <c r="J73" s="311">
        <v>147.43000000000004</v>
      </c>
      <c r="K73" s="312">
        <v>2.4531098277712471E-3</v>
      </c>
      <c r="L73" s="313">
        <v>51.480000000000018</v>
      </c>
      <c r="M73" s="321">
        <f>L73*J73</f>
        <v>7589.6964000000044</v>
      </c>
      <c r="N73" s="313"/>
      <c r="O73" s="775" t="s">
        <v>709</v>
      </c>
      <c r="P73" s="820"/>
      <c r="S73" s="389"/>
      <c r="T73" s="334"/>
    </row>
    <row r="74" spans="1:20" s="297" customFormat="1" ht="24.95" customHeight="1">
      <c r="A74" s="695"/>
      <c r="B74" s="708"/>
      <c r="C74" s="278">
        <v>2</v>
      </c>
      <c r="D74" s="237"/>
      <c r="E74" s="238"/>
      <c r="F74" s="239"/>
      <c r="G74" s="349"/>
      <c r="H74" s="304"/>
      <c r="I74" s="305"/>
      <c r="J74" s="311"/>
      <c r="K74" s="312"/>
      <c r="L74" s="313"/>
      <c r="M74" s="321">
        <f t="shared" ref="M74:M77" si="8">L74*J74</f>
        <v>0</v>
      </c>
      <c r="N74" s="313"/>
      <c r="O74" s="712"/>
      <c r="P74" s="821"/>
      <c r="S74" s="338"/>
      <c r="T74" s="335"/>
    </row>
    <row r="75" spans="1:20" ht="24.95" customHeight="1">
      <c r="A75" s="695"/>
      <c r="B75" s="708"/>
      <c r="C75" s="278">
        <v>3</v>
      </c>
      <c r="D75" s="237"/>
      <c r="E75" s="238"/>
      <c r="F75" s="239"/>
      <c r="G75" s="349"/>
      <c r="H75" s="304"/>
      <c r="I75" s="305"/>
      <c r="J75" s="311"/>
      <c r="K75" s="312"/>
      <c r="L75" s="313"/>
      <c r="M75" s="321">
        <f t="shared" si="8"/>
        <v>0</v>
      </c>
      <c r="N75" s="287"/>
      <c r="O75" s="702"/>
      <c r="P75" s="822"/>
    </row>
    <row r="76" spans="1:20" ht="24.95" customHeight="1">
      <c r="A76" s="695"/>
      <c r="B76" s="708"/>
      <c r="C76" s="278">
        <v>4</v>
      </c>
      <c r="D76" s="279"/>
      <c r="E76" s="280"/>
      <c r="F76" s="281"/>
      <c r="G76" s="349"/>
      <c r="H76" s="304"/>
      <c r="I76" s="305"/>
      <c r="J76" s="285"/>
      <c r="K76" s="286"/>
      <c r="L76" s="287"/>
      <c r="M76" s="321">
        <f t="shared" si="8"/>
        <v>0</v>
      </c>
      <c r="N76" s="287"/>
      <c r="O76" s="298"/>
      <c r="P76" s="487"/>
    </row>
    <row r="77" spans="1:20" ht="24.95" customHeight="1" thickBot="1">
      <c r="A77" s="695"/>
      <c r="B77" s="708"/>
      <c r="C77" s="278">
        <v>5</v>
      </c>
      <c r="D77" s="289"/>
      <c r="E77" s="290"/>
      <c r="F77" s="291"/>
      <c r="G77" s="349"/>
      <c r="H77" s="304"/>
      <c r="I77" s="305"/>
      <c r="J77" s="292"/>
      <c r="K77" s="247"/>
      <c r="L77" s="293"/>
      <c r="M77" s="321">
        <f t="shared" si="8"/>
        <v>0</v>
      </c>
      <c r="N77" s="287"/>
      <c r="O77" s="300"/>
      <c r="P77" s="488"/>
      <c r="R77" s="342"/>
    </row>
    <row r="78" spans="1:20" ht="15.75" customHeight="1" thickTop="1" thickBot="1">
      <c r="A78" s="696"/>
      <c r="B78" s="709"/>
      <c r="C78" s="704"/>
      <c r="D78" s="705"/>
      <c r="E78" s="705"/>
      <c r="F78" s="705"/>
      <c r="G78" s="705"/>
      <c r="H78" s="705"/>
      <c r="I78" s="706"/>
      <c r="J78" s="346" t="s">
        <v>58</v>
      </c>
      <c r="K78" s="344">
        <f>M78/'生產管理報表 7-1 (週)'!$B$32</f>
        <v>3.2975252846311899E-2</v>
      </c>
      <c r="L78" s="347" t="s">
        <v>59</v>
      </c>
      <c r="M78" s="348">
        <f>SUM(M73:M77)</f>
        <v>7589.6964000000044</v>
      </c>
      <c r="N78" s="681"/>
      <c r="O78" s="682"/>
      <c r="P78" s="823"/>
      <c r="R78" s="338"/>
    </row>
    <row r="79" spans="1:20" ht="15.75" customHeight="1" thickTop="1">
      <c r="A79" s="485"/>
      <c r="K79" s="288" t="s">
        <v>431</v>
      </c>
      <c r="M79" s="328"/>
      <c r="P79" s="486"/>
      <c r="R79" s="338"/>
    </row>
    <row r="80" spans="1:20" ht="24.95" customHeight="1">
      <c r="A80" s="684" t="s">
        <v>174</v>
      </c>
      <c r="B80" s="685"/>
      <c r="C80" s="302" t="s">
        <v>47</v>
      </c>
      <c r="D80" s="686" t="s">
        <v>12</v>
      </c>
      <c r="E80" s="687"/>
      <c r="F80" s="688"/>
      <c r="G80" s="689" t="s">
        <v>53</v>
      </c>
      <c r="H80" s="690"/>
      <c r="I80" s="691"/>
      <c r="J80" s="303" t="s">
        <v>54</v>
      </c>
      <c r="K80" s="275" t="s">
        <v>55</v>
      </c>
      <c r="L80" s="275" t="s">
        <v>56</v>
      </c>
      <c r="M80" s="329" t="s">
        <v>11</v>
      </c>
      <c r="N80" s="276" t="s">
        <v>312</v>
      </c>
      <c r="O80" s="692" t="s">
        <v>51</v>
      </c>
      <c r="P80" s="815"/>
      <c r="R80" s="338"/>
    </row>
    <row r="81" spans="1:20" ht="60" customHeight="1">
      <c r="A81" s="694">
        <v>6</v>
      </c>
      <c r="B81" s="707" t="s">
        <v>199</v>
      </c>
      <c r="C81" s="278">
        <v>1</v>
      </c>
      <c r="D81" s="489" t="s">
        <v>436</v>
      </c>
      <c r="E81" s="280"/>
      <c r="F81" s="281"/>
      <c r="G81" s="305" t="s">
        <v>434</v>
      </c>
      <c r="H81" s="304"/>
      <c r="I81" s="305"/>
      <c r="J81" s="311">
        <v>407.74000000000007</v>
      </c>
      <c r="K81" s="312">
        <v>2.7883350051073463E-3</v>
      </c>
      <c r="L81" s="313">
        <v>9.9100000000000819</v>
      </c>
      <c r="M81" s="321">
        <f t="shared" ref="M81:M85" si="9">L81*J81</f>
        <v>4040.703400000034</v>
      </c>
      <c r="N81" s="287"/>
      <c r="O81" s="735" t="s">
        <v>710</v>
      </c>
      <c r="P81" s="816"/>
      <c r="R81" s="335"/>
      <c r="S81" s="335"/>
    </row>
    <row r="82" spans="1:20" ht="24.95" customHeight="1">
      <c r="A82" s="695"/>
      <c r="B82" s="708"/>
      <c r="C82" s="278">
        <v>2</v>
      </c>
      <c r="D82" s="237"/>
      <c r="E82" s="280"/>
      <c r="F82" s="281"/>
      <c r="G82" s="349"/>
      <c r="H82" s="304"/>
      <c r="I82" s="305"/>
      <c r="J82" s="311"/>
      <c r="K82" s="312"/>
      <c r="L82" s="313"/>
      <c r="M82" s="321">
        <f t="shared" si="9"/>
        <v>0</v>
      </c>
      <c r="N82" s="287"/>
      <c r="O82" s="735"/>
      <c r="P82" s="816"/>
      <c r="R82" s="335"/>
      <c r="S82" s="335"/>
    </row>
    <row r="83" spans="1:20" ht="24.95" customHeight="1">
      <c r="A83" s="695"/>
      <c r="B83" s="708"/>
      <c r="C83" s="278">
        <v>3</v>
      </c>
      <c r="D83" s="237"/>
      <c r="E83" s="280"/>
      <c r="F83" s="281"/>
      <c r="G83" s="349"/>
      <c r="H83" s="304"/>
      <c r="I83" s="305"/>
      <c r="J83" s="311"/>
      <c r="K83" s="312"/>
      <c r="L83" s="313"/>
      <c r="M83" s="321">
        <f t="shared" si="9"/>
        <v>0</v>
      </c>
      <c r="N83" s="287"/>
      <c r="O83" s="735"/>
      <c r="P83" s="816"/>
      <c r="R83" s="335"/>
    </row>
    <row r="84" spans="1:20" ht="24.95" customHeight="1">
      <c r="A84" s="695"/>
      <c r="B84" s="708"/>
      <c r="C84" s="278">
        <v>4</v>
      </c>
      <c r="D84" s="237"/>
      <c r="E84" s="280"/>
      <c r="F84" s="281"/>
      <c r="G84" s="349"/>
      <c r="H84" s="304"/>
      <c r="I84" s="305"/>
      <c r="J84" s="311"/>
      <c r="K84" s="312"/>
      <c r="L84" s="313"/>
      <c r="M84" s="321">
        <f t="shared" si="9"/>
        <v>0</v>
      </c>
      <c r="N84" s="287"/>
      <c r="O84" s="735"/>
      <c r="P84" s="816"/>
      <c r="R84" s="335"/>
      <c r="S84" s="335"/>
    </row>
    <row r="85" spans="1:20" ht="24.95" customHeight="1" thickBot="1">
      <c r="A85" s="695"/>
      <c r="B85" s="708"/>
      <c r="C85" s="278">
        <v>5</v>
      </c>
      <c r="D85" s="243"/>
      <c r="E85" s="290"/>
      <c r="F85" s="291"/>
      <c r="G85" s="349"/>
      <c r="H85" s="304"/>
      <c r="I85" s="305"/>
      <c r="J85" s="315"/>
      <c r="K85" s="247"/>
      <c r="L85" s="316"/>
      <c r="M85" s="321">
        <f t="shared" si="9"/>
        <v>0</v>
      </c>
      <c r="N85" s="287"/>
      <c r="O85" s="735"/>
      <c r="P85" s="816"/>
    </row>
    <row r="86" spans="1:20" ht="15.75" customHeight="1" thickTop="1" thickBot="1">
      <c r="A86" s="696"/>
      <c r="B86" s="709"/>
      <c r="C86" s="704"/>
      <c r="D86" s="705"/>
      <c r="E86" s="705"/>
      <c r="F86" s="705"/>
      <c r="G86" s="705"/>
      <c r="H86" s="705"/>
      <c r="I86" s="706"/>
      <c r="J86" s="490" t="s">
        <v>58</v>
      </c>
      <c r="K86" s="344">
        <f>M86/'生產管理報表 7-1 (週)'!$B$32</f>
        <v>1.7555803192859362E-2</v>
      </c>
      <c r="L86" s="491" t="s">
        <v>59</v>
      </c>
      <c r="M86" s="492">
        <f>SUM(M81:M85)</f>
        <v>4040.703400000034</v>
      </c>
      <c r="N86" s="817"/>
      <c r="O86" s="818"/>
      <c r="P86" s="819"/>
    </row>
    <row r="87" spans="1:20" s="135" customFormat="1" ht="15.75" customHeight="1" thickTop="1">
      <c r="A87" s="810" t="s">
        <v>697</v>
      </c>
      <c r="B87" s="810"/>
      <c r="C87" s="810"/>
      <c r="D87" s="810"/>
      <c r="E87" s="810"/>
      <c r="F87" s="810"/>
      <c r="G87" s="810"/>
      <c r="H87" s="810"/>
      <c r="I87" s="810"/>
      <c r="J87" s="810"/>
      <c r="K87" s="810"/>
      <c r="L87" s="810"/>
      <c r="M87" s="810"/>
      <c r="Q87" s="231"/>
      <c r="R87" s="231"/>
      <c r="S87" s="231"/>
      <c r="T87" s="231"/>
    </row>
    <row r="88" spans="1:20" s="136" customFormat="1" ht="15.75" customHeight="1">
      <c r="A88" s="746"/>
      <c r="B88" s="746"/>
      <c r="C88" s="746"/>
      <c r="D88" s="746"/>
      <c r="E88" s="746"/>
      <c r="F88" s="746"/>
      <c r="G88" s="746"/>
      <c r="H88" s="746"/>
      <c r="I88" s="746"/>
      <c r="J88" s="746"/>
      <c r="K88" s="746"/>
      <c r="L88" s="746"/>
      <c r="M88" s="746"/>
    </row>
    <row r="89" spans="1:20" s="135" customFormat="1" ht="15.75" customHeight="1">
      <c r="A89" s="747" t="s">
        <v>174</v>
      </c>
      <c r="B89" s="749">
        <v>1</v>
      </c>
      <c r="C89" s="750"/>
      <c r="D89" s="749">
        <v>2</v>
      </c>
      <c r="E89" s="750"/>
      <c r="F89" s="749">
        <v>3</v>
      </c>
      <c r="G89" s="750"/>
      <c r="H89" s="740">
        <v>4</v>
      </c>
      <c r="I89" s="741"/>
      <c r="J89" s="740">
        <v>5</v>
      </c>
      <c r="K89" s="741"/>
      <c r="L89" s="740">
        <v>6</v>
      </c>
      <c r="M89" s="741"/>
      <c r="N89" s="740">
        <v>7</v>
      </c>
      <c r="O89" s="741"/>
      <c r="P89" s="351">
        <v>8</v>
      </c>
    </row>
    <row r="90" spans="1:20" s="135" customFormat="1" ht="15.75" customHeight="1">
      <c r="A90" s="748"/>
      <c r="B90" s="744" t="s">
        <v>427</v>
      </c>
      <c r="C90" s="745"/>
      <c r="D90" s="744" t="s">
        <v>195</v>
      </c>
      <c r="E90" s="745"/>
      <c r="F90" s="744" t="s">
        <v>166</v>
      </c>
      <c r="G90" s="745"/>
      <c r="H90" s="742" t="s">
        <v>406</v>
      </c>
      <c r="I90" s="743"/>
      <c r="J90" s="742" t="s">
        <v>172</v>
      </c>
      <c r="K90" s="743"/>
      <c r="L90" s="742" t="s">
        <v>167</v>
      </c>
      <c r="M90" s="743"/>
      <c r="N90" s="742" t="s">
        <v>173</v>
      </c>
      <c r="O90" s="743"/>
      <c r="P90" s="352" t="s">
        <v>200</v>
      </c>
    </row>
    <row r="91" spans="1:20" s="135" customFormat="1" ht="15.75" customHeight="1">
      <c r="A91" s="480"/>
      <c r="B91" s="481"/>
      <c r="C91" s="482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3"/>
      <c r="O91" s="483"/>
      <c r="P91" s="484"/>
    </row>
    <row r="92" spans="1:20" s="277" customFormat="1" ht="15.75" customHeight="1">
      <c r="A92" s="824" t="s">
        <v>174</v>
      </c>
      <c r="B92" s="825"/>
      <c r="C92" s="477" t="s">
        <v>47</v>
      </c>
      <c r="D92" s="826" t="s">
        <v>12</v>
      </c>
      <c r="E92" s="827"/>
      <c r="F92" s="828"/>
      <c r="G92" s="829" t="s">
        <v>53</v>
      </c>
      <c r="H92" s="830"/>
      <c r="I92" s="831"/>
      <c r="J92" s="478" t="s">
        <v>54</v>
      </c>
      <c r="K92" s="478" t="s">
        <v>55</v>
      </c>
      <c r="L92" s="478" t="s">
        <v>56</v>
      </c>
      <c r="M92" s="479" t="s">
        <v>11</v>
      </c>
      <c r="N92" s="479" t="s">
        <v>312</v>
      </c>
      <c r="O92" s="832" t="s">
        <v>51</v>
      </c>
      <c r="P92" s="833"/>
      <c r="R92" s="338"/>
      <c r="S92" s="339"/>
    </row>
    <row r="93" spans="1:20" s="297" customFormat="1" ht="80.099999999999994" customHeight="1">
      <c r="A93" s="694">
        <v>4</v>
      </c>
      <c r="B93" s="728" t="s">
        <v>406</v>
      </c>
      <c r="C93" s="278">
        <v>1</v>
      </c>
      <c r="D93" s="237" t="s">
        <v>720</v>
      </c>
      <c r="E93" s="238"/>
      <c r="F93" s="239"/>
      <c r="G93" s="305" t="s">
        <v>723</v>
      </c>
      <c r="H93" s="304"/>
      <c r="I93" s="305"/>
      <c r="J93" s="311">
        <v>440.17999999999995</v>
      </c>
      <c r="K93" s="312">
        <v>2.1140207310420076E-3</v>
      </c>
      <c r="L93" s="313">
        <v>21.519999999999982</v>
      </c>
      <c r="M93" s="321">
        <f t="shared" ref="M93:M97" si="10">L93*J93</f>
        <v>9472.673599999991</v>
      </c>
      <c r="N93" s="313"/>
      <c r="O93" s="724" t="s">
        <v>757</v>
      </c>
      <c r="P93" s="834"/>
      <c r="R93" s="387"/>
      <c r="S93" s="389"/>
    </row>
    <row r="94" spans="1:20" s="297" customFormat="1" ht="80.099999999999994" customHeight="1">
      <c r="A94" s="695"/>
      <c r="B94" s="729"/>
      <c r="C94" s="278">
        <v>2</v>
      </c>
      <c r="D94" s="237" t="s">
        <v>319</v>
      </c>
      <c r="E94" s="238"/>
      <c r="F94" s="239"/>
      <c r="G94" s="305" t="s">
        <v>364</v>
      </c>
      <c r="H94" s="304"/>
      <c r="I94" s="305"/>
      <c r="J94" s="311">
        <v>127.84000000000002</v>
      </c>
      <c r="K94" s="312">
        <v>2.8403215354281851E-3</v>
      </c>
      <c r="L94" s="313">
        <v>61.539999999999964</v>
      </c>
      <c r="M94" s="321">
        <f t="shared" si="10"/>
        <v>7867.2735999999968</v>
      </c>
      <c r="N94" s="313"/>
      <c r="O94" s="724" t="s">
        <v>758</v>
      </c>
      <c r="P94" s="834"/>
      <c r="R94" s="387"/>
      <c r="S94" s="388"/>
      <c r="T94" s="334"/>
    </row>
    <row r="95" spans="1:20" s="297" customFormat="1" ht="80.099999999999994" customHeight="1">
      <c r="A95" s="695"/>
      <c r="B95" s="729"/>
      <c r="C95" s="278">
        <v>3</v>
      </c>
      <c r="D95" s="237" t="s">
        <v>560</v>
      </c>
      <c r="E95" s="238"/>
      <c r="F95" s="239"/>
      <c r="G95" s="305" t="s">
        <v>559</v>
      </c>
      <c r="H95" s="304"/>
      <c r="I95" s="305"/>
      <c r="J95" s="311">
        <v>625.93999999999994</v>
      </c>
      <c r="K95" s="312">
        <v>1.8688889455218869E-3</v>
      </c>
      <c r="L95" s="313">
        <v>11.430000000000064</v>
      </c>
      <c r="M95" s="321">
        <f t="shared" si="10"/>
        <v>7154.4942000000392</v>
      </c>
      <c r="N95" s="313"/>
      <c r="O95" s="733" t="s">
        <v>759</v>
      </c>
      <c r="P95" s="835"/>
      <c r="R95" s="387"/>
      <c r="S95" s="389"/>
    </row>
    <row r="96" spans="1:20" s="297" customFormat="1" ht="80.099999999999994" customHeight="1">
      <c r="A96" s="695"/>
      <c r="B96" s="729"/>
      <c r="C96" s="278">
        <v>4</v>
      </c>
      <c r="D96" s="237" t="s">
        <v>336</v>
      </c>
      <c r="E96" s="238"/>
      <c r="F96" s="239"/>
      <c r="G96" s="305" t="s">
        <v>563</v>
      </c>
      <c r="H96" s="304"/>
      <c r="I96" s="305"/>
      <c r="J96" s="311">
        <v>426.69</v>
      </c>
      <c r="K96" s="312">
        <v>1.5790184753605562E-3</v>
      </c>
      <c r="L96" s="313">
        <v>12.089999999999918</v>
      </c>
      <c r="M96" s="321">
        <f t="shared" si="10"/>
        <v>5158.6820999999654</v>
      </c>
      <c r="N96" s="313"/>
      <c r="O96" s="733" t="s">
        <v>760</v>
      </c>
      <c r="P96" s="835"/>
      <c r="R96" s="387"/>
      <c r="S96" s="388"/>
      <c r="T96" s="334"/>
    </row>
    <row r="97" spans="1:20" s="297" customFormat="1" ht="80.099999999999994" customHeight="1" thickBot="1">
      <c r="A97" s="695"/>
      <c r="B97" s="729"/>
      <c r="C97" s="278">
        <v>5</v>
      </c>
      <c r="D97" s="237" t="s">
        <v>319</v>
      </c>
      <c r="E97" s="244"/>
      <c r="F97" s="245"/>
      <c r="G97" s="305" t="s">
        <v>495</v>
      </c>
      <c r="H97" s="304"/>
      <c r="I97" s="305"/>
      <c r="J97" s="315">
        <v>39.389999999999993</v>
      </c>
      <c r="K97" s="247">
        <v>1.1536471152511136E-3</v>
      </c>
      <c r="L97" s="316">
        <v>107.65999999999985</v>
      </c>
      <c r="M97" s="321">
        <f t="shared" si="10"/>
        <v>4240.7273999999934</v>
      </c>
      <c r="N97" s="313"/>
      <c r="O97" s="733" t="s">
        <v>761</v>
      </c>
      <c r="P97" s="835"/>
      <c r="R97" s="390"/>
      <c r="S97" s="389"/>
      <c r="T97" s="288"/>
    </row>
    <row r="98" spans="1:20" ht="15.75" customHeight="1" thickTop="1" thickBot="1">
      <c r="A98" s="696"/>
      <c r="B98" s="730"/>
      <c r="C98" s="737"/>
      <c r="D98" s="738"/>
      <c r="E98" s="738"/>
      <c r="F98" s="738"/>
      <c r="G98" s="738"/>
      <c r="H98" s="738"/>
      <c r="I98" s="739"/>
      <c r="J98" s="346" t="s">
        <v>58</v>
      </c>
      <c r="K98" s="344">
        <f>M98/'生產管理報表 7-1 (週)'!$B$43</f>
        <v>0.142454822036399</v>
      </c>
      <c r="L98" s="347" t="s">
        <v>59</v>
      </c>
      <c r="M98" s="348">
        <f>SUM(M93:M97)</f>
        <v>33893.850899999983</v>
      </c>
      <c r="N98" s="681"/>
      <c r="O98" s="682"/>
      <c r="P98" s="823"/>
      <c r="R98" s="338"/>
      <c r="S98" s="338"/>
    </row>
    <row r="99" spans="1:20" ht="15.75" customHeight="1" thickTop="1">
      <c r="A99" s="485"/>
      <c r="M99" s="328"/>
      <c r="P99" s="486"/>
      <c r="S99" s="339"/>
    </row>
    <row r="100" spans="1:20" ht="15.75" customHeight="1">
      <c r="A100" s="684" t="s">
        <v>174</v>
      </c>
      <c r="B100" s="685"/>
      <c r="C100" s="274" t="s">
        <v>47</v>
      </c>
      <c r="D100" s="714" t="s">
        <v>12</v>
      </c>
      <c r="E100" s="715"/>
      <c r="F100" s="716"/>
      <c r="G100" s="717" t="s">
        <v>53</v>
      </c>
      <c r="H100" s="718"/>
      <c r="I100" s="719"/>
      <c r="J100" s="373" t="s">
        <v>54</v>
      </c>
      <c r="K100" s="275" t="s">
        <v>55</v>
      </c>
      <c r="L100" s="275" t="s">
        <v>56</v>
      </c>
      <c r="M100" s="329" t="s">
        <v>11</v>
      </c>
      <c r="N100" s="276" t="s">
        <v>312</v>
      </c>
      <c r="O100" s="692" t="s">
        <v>51</v>
      </c>
      <c r="P100" s="815"/>
      <c r="S100" s="338"/>
      <c r="T100" s="334"/>
    </row>
    <row r="101" spans="1:20" s="297" customFormat="1" ht="60" customHeight="1">
      <c r="A101" s="694">
        <v>5</v>
      </c>
      <c r="B101" s="707" t="s">
        <v>198</v>
      </c>
      <c r="C101" s="278">
        <v>1</v>
      </c>
      <c r="D101" s="237" t="s">
        <v>319</v>
      </c>
      <c r="E101" s="238"/>
      <c r="F101" s="239"/>
      <c r="G101" s="305" t="s">
        <v>315</v>
      </c>
      <c r="H101" s="304"/>
      <c r="I101" s="305"/>
      <c r="J101" s="311">
        <v>147.43000000000004</v>
      </c>
      <c r="K101" s="312">
        <v>2.1875885779074128E-3</v>
      </c>
      <c r="L101" s="313">
        <v>66.359999999999673</v>
      </c>
      <c r="M101" s="321">
        <f>L101*J101</f>
        <v>9783.454799999954</v>
      </c>
      <c r="N101" s="313"/>
      <c r="O101" s="775" t="s">
        <v>755</v>
      </c>
      <c r="P101" s="820"/>
      <c r="S101" s="389"/>
      <c r="T101" s="334"/>
    </row>
    <row r="102" spans="1:20" s="297" customFormat="1" ht="24.95" customHeight="1">
      <c r="A102" s="695"/>
      <c r="B102" s="708"/>
      <c r="C102" s="278">
        <v>2</v>
      </c>
      <c r="D102" s="237"/>
      <c r="E102" s="238"/>
      <c r="F102" s="239"/>
      <c r="G102" s="349"/>
      <c r="H102" s="304"/>
      <c r="I102" s="305"/>
      <c r="J102" s="311"/>
      <c r="K102" s="312"/>
      <c r="L102" s="313"/>
      <c r="M102" s="321">
        <f t="shared" ref="M102:M105" si="11">L102*J102</f>
        <v>0</v>
      </c>
      <c r="N102" s="313"/>
      <c r="O102" s="712"/>
      <c r="P102" s="821"/>
      <c r="S102" s="338"/>
      <c r="T102" s="335"/>
    </row>
    <row r="103" spans="1:20" ht="24.95" customHeight="1">
      <c r="A103" s="695"/>
      <c r="B103" s="708"/>
      <c r="C103" s="278">
        <v>3</v>
      </c>
      <c r="D103" s="237"/>
      <c r="E103" s="238"/>
      <c r="F103" s="239"/>
      <c r="G103" s="349"/>
      <c r="H103" s="304"/>
      <c r="I103" s="305"/>
      <c r="J103" s="311"/>
      <c r="K103" s="312"/>
      <c r="L103" s="313"/>
      <c r="M103" s="321">
        <f t="shared" si="11"/>
        <v>0</v>
      </c>
      <c r="N103" s="287"/>
      <c r="O103" s="702"/>
      <c r="P103" s="822"/>
    </row>
    <row r="104" spans="1:20" ht="24.95" customHeight="1">
      <c r="A104" s="695"/>
      <c r="B104" s="708"/>
      <c r="C104" s="278">
        <v>4</v>
      </c>
      <c r="D104" s="279"/>
      <c r="E104" s="280"/>
      <c r="F104" s="281"/>
      <c r="G104" s="349"/>
      <c r="H104" s="304"/>
      <c r="I104" s="305"/>
      <c r="J104" s="285"/>
      <c r="K104" s="286"/>
      <c r="L104" s="287"/>
      <c r="M104" s="321">
        <f t="shared" si="11"/>
        <v>0</v>
      </c>
      <c r="N104" s="287"/>
      <c r="O104" s="298"/>
      <c r="P104" s="487"/>
    </row>
    <row r="105" spans="1:20" ht="24.95" customHeight="1" thickBot="1">
      <c r="A105" s="695"/>
      <c r="B105" s="708"/>
      <c r="C105" s="278">
        <v>5</v>
      </c>
      <c r="D105" s="289"/>
      <c r="E105" s="290"/>
      <c r="F105" s="291"/>
      <c r="G105" s="349"/>
      <c r="H105" s="304"/>
      <c r="I105" s="305"/>
      <c r="J105" s="292"/>
      <c r="K105" s="247"/>
      <c r="L105" s="293"/>
      <c r="M105" s="321">
        <f t="shared" si="11"/>
        <v>0</v>
      </c>
      <c r="N105" s="287"/>
      <c r="O105" s="300"/>
      <c r="P105" s="488"/>
      <c r="R105" s="342"/>
    </row>
    <row r="106" spans="1:20" ht="15.75" customHeight="1" thickTop="1" thickBot="1">
      <c r="A106" s="696"/>
      <c r="B106" s="709"/>
      <c r="C106" s="704"/>
      <c r="D106" s="705"/>
      <c r="E106" s="705"/>
      <c r="F106" s="705"/>
      <c r="G106" s="705"/>
      <c r="H106" s="705"/>
      <c r="I106" s="706"/>
      <c r="J106" s="346" t="s">
        <v>58</v>
      </c>
      <c r="K106" s="344">
        <f>M106/'生產管理報表 7-1 (週)'!$B$43</f>
        <v>4.1119562263582973E-2</v>
      </c>
      <c r="L106" s="347" t="s">
        <v>59</v>
      </c>
      <c r="M106" s="348">
        <f>SUM(M101:M105)</f>
        <v>9783.454799999954</v>
      </c>
      <c r="N106" s="681"/>
      <c r="O106" s="682"/>
      <c r="P106" s="823"/>
      <c r="R106" s="338"/>
    </row>
    <row r="107" spans="1:20" ht="15.75" customHeight="1" thickTop="1">
      <c r="A107" s="485"/>
      <c r="K107" s="288" t="s">
        <v>431</v>
      </c>
      <c r="M107" s="328"/>
      <c r="P107" s="486"/>
      <c r="R107" s="338"/>
    </row>
    <row r="108" spans="1:20" ht="24.95" customHeight="1">
      <c r="A108" s="684" t="s">
        <v>174</v>
      </c>
      <c r="B108" s="685"/>
      <c r="C108" s="302" t="s">
        <v>47</v>
      </c>
      <c r="D108" s="686" t="s">
        <v>12</v>
      </c>
      <c r="E108" s="687"/>
      <c r="F108" s="688"/>
      <c r="G108" s="689" t="s">
        <v>53</v>
      </c>
      <c r="H108" s="690"/>
      <c r="I108" s="691"/>
      <c r="J108" s="303" t="s">
        <v>54</v>
      </c>
      <c r="K108" s="275" t="s">
        <v>55</v>
      </c>
      <c r="L108" s="275" t="s">
        <v>56</v>
      </c>
      <c r="M108" s="329" t="s">
        <v>11</v>
      </c>
      <c r="N108" s="276" t="s">
        <v>312</v>
      </c>
      <c r="O108" s="692" t="s">
        <v>51</v>
      </c>
      <c r="P108" s="815"/>
      <c r="R108" s="338"/>
    </row>
    <row r="109" spans="1:20" ht="60" customHeight="1">
      <c r="A109" s="694">
        <v>6</v>
      </c>
      <c r="B109" s="707" t="s">
        <v>199</v>
      </c>
      <c r="C109" s="278">
        <v>1</v>
      </c>
      <c r="D109" s="489" t="s">
        <v>436</v>
      </c>
      <c r="E109" s="280"/>
      <c r="F109" s="281"/>
      <c r="G109" s="305" t="s">
        <v>434</v>
      </c>
      <c r="H109" s="304"/>
      <c r="I109" s="305"/>
      <c r="J109" s="311">
        <v>407.74000000000007</v>
      </c>
      <c r="K109" s="312">
        <v>2.5194859116387039E-3</v>
      </c>
      <c r="L109" s="313">
        <v>10.230000000000018</v>
      </c>
      <c r="M109" s="321">
        <f t="shared" ref="M109:M113" si="12">L109*J109</f>
        <v>4171.180200000008</v>
      </c>
      <c r="N109" s="287"/>
      <c r="O109" s="735" t="s">
        <v>756</v>
      </c>
      <c r="P109" s="816"/>
      <c r="R109" s="335"/>
      <c r="S109" s="335"/>
    </row>
    <row r="110" spans="1:20" ht="24.95" customHeight="1">
      <c r="A110" s="695"/>
      <c r="B110" s="708"/>
      <c r="C110" s="278">
        <v>2</v>
      </c>
      <c r="D110" s="237"/>
      <c r="E110" s="280"/>
      <c r="F110" s="281"/>
      <c r="G110" s="349"/>
      <c r="H110" s="304"/>
      <c r="I110" s="305"/>
      <c r="J110" s="311"/>
      <c r="K110" s="312"/>
      <c r="L110" s="313"/>
      <c r="M110" s="321">
        <f t="shared" si="12"/>
        <v>0</v>
      </c>
      <c r="N110" s="287"/>
      <c r="O110" s="735"/>
      <c r="P110" s="816"/>
      <c r="R110" s="335"/>
      <c r="S110" s="335"/>
    </row>
    <row r="111" spans="1:20" ht="24.95" customHeight="1">
      <c r="A111" s="695"/>
      <c r="B111" s="708"/>
      <c r="C111" s="278">
        <v>3</v>
      </c>
      <c r="D111" s="237"/>
      <c r="E111" s="280"/>
      <c r="F111" s="281"/>
      <c r="G111" s="349"/>
      <c r="H111" s="304"/>
      <c r="I111" s="305"/>
      <c r="J111" s="311"/>
      <c r="K111" s="312"/>
      <c r="L111" s="313"/>
      <c r="M111" s="321">
        <f t="shared" si="12"/>
        <v>0</v>
      </c>
      <c r="N111" s="287"/>
      <c r="O111" s="735"/>
      <c r="P111" s="816"/>
      <c r="R111" s="335"/>
    </row>
    <row r="112" spans="1:20" ht="24.95" customHeight="1">
      <c r="A112" s="695"/>
      <c r="B112" s="708"/>
      <c r="C112" s="278">
        <v>4</v>
      </c>
      <c r="D112" s="237"/>
      <c r="E112" s="280"/>
      <c r="F112" s="281"/>
      <c r="G112" s="349"/>
      <c r="H112" s="304"/>
      <c r="I112" s="305"/>
      <c r="J112" s="311"/>
      <c r="K112" s="312"/>
      <c r="L112" s="313"/>
      <c r="M112" s="321">
        <f t="shared" si="12"/>
        <v>0</v>
      </c>
      <c r="N112" s="287"/>
      <c r="O112" s="735"/>
      <c r="P112" s="816"/>
      <c r="R112" s="335"/>
      <c r="S112" s="335"/>
    </row>
    <row r="113" spans="1:20" ht="24.95" customHeight="1" thickBot="1">
      <c r="A113" s="695"/>
      <c r="B113" s="708"/>
      <c r="C113" s="278">
        <v>5</v>
      </c>
      <c r="D113" s="243"/>
      <c r="E113" s="290"/>
      <c r="F113" s="291"/>
      <c r="G113" s="349"/>
      <c r="H113" s="304"/>
      <c r="I113" s="305"/>
      <c r="J113" s="315"/>
      <c r="K113" s="247"/>
      <c r="L113" s="316"/>
      <c r="M113" s="321">
        <f t="shared" si="12"/>
        <v>0</v>
      </c>
      <c r="N113" s="287"/>
      <c r="O113" s="735"/>
      <c r="P113" s="816"/>
    </row>
    <row r="114" spans="1:20" ht="15.75" customHeight="1" thickTop="1" thickBot="1">
      <c r="A114" s="696"/>
      <c r="B114" s="709"/>
      <c r="C114" s="704"/>
      <c r="D114" s="705"/>
      <c r="E114" s="705"/>
      <c r="F114" s="705"/>
      <c r="G114" s="705"/>
      <c r="H114" s="705"/>
      <c r="I114" s="706"/>
      <c r="J114" s="490" t="s">
        <v>58</v>
      </c>
      <c r="K114" s="344">
        <f>M114/'生產管理報表 7-1 (週)'!$B$43</f>
        <v>1.7531343216971331E-2</v>
      </c>
      <c r="L114" s="491" t="s">
        <v>59</v>
      </c>
      <c r="M114" s="492">
        <f>SUM(M109:M113)</f>
        <v>4171.180200000008</v>
      </c>
      <c r="N114" s="817"/>
      <c r="O114" s="818"/>
      <c r="P114" s="819"/>
    </row>
    <row r="115" spans="1:20" s="135" customFormat="1" ht="15.75" customHeight="1" thickTop="1">
      <c r="A115" s="810" t="s">
        <v>737</v>
      </c>
      <c r="B115" s="810"/>
      <c r="C115" s="810"/>
      <c r="D115" s="810"/>
      <c r="E115" s="810"/>
      <c r="F115" s="810"/>
      <c r="G115" s="810"/>
      <c r="H115" s="810"/>
      <c r="I115" s="810"/>
      <c r="J115" s="810"/>
      <c r="K115" s="810"/>
      <c r="L115" s="810"/>
      <c r="M115" s="810"/>
      <c r="Q115" s="231"/>
      <c r="R115" s="231"/>
      <c r="S115" s="231"/>
      <c r="T115" s="231"/>
    </row>
    <row r="116" spans="1:20" s="136" customFormat="1" ht="15.75" customHeight="1">
      <c r="A116" s="746"/>
      <c r="B116" s="746"/>
      <c r="C116" s="746"/>
      <c r="D116" s="746"/>
      <c r="E116" s="746"/>
      <c r="F116" s="746"/>
      <c r="G116" s="746"/>
      <c r="H116" s="746"/>
      <c r="I116" s="746"/>
      <c r="J116" s="746"/>
      <c r="K116" s="746"/>
      <c r="L116" s="746"/>
      <c r="M116" s="746"/>
    </row>
    <row r="117" spans="1:20" s="135" customFormat="1" ht="15.75" customHeight="1">
      <c r="A117" s="747" t="s">
        <v>174</v>
      </c>
      <c r="B117" s="749">
        <v>1</v>
      </c>
      <c r="C117" s="750"/>
      <c r="D117" s="749">
        <v>2</v>
      </c>
      <c r="E117" s="750"/>
      <c r="F117" s="749">
        <v>3</v>
      </c>
      <c r="G117" s="750"/>
      <c r="H117" s="740">
        <v>4</v>
      </c>
      <c r="I117" s="741"/>
      <c r="J117" s="740">
        <v>5</v>
      </c>
      <c r="K117" s="741"/>
      <c r="L117" s="740">
        <v>6</v>
      </c>
      <c r="M117" s="741"/>
      <c r="N117" s="740">
        <v>7</v>
      </c>
      <c r="O117" s="741"/>
      <c r="P117" s="351">
        <v>8</v>
      </c>
    </row>
    <row r="118" spans="1:20" s="135" customFormat="1" ht="15.75" customHeight="1">
      <c r="A118" s="748"/>
      <c r="B118" s="744" t="s">
        <v>427</v>
      </c>
      <c r="C118" s="745"/>
      <c r="D118" s="744" t="s">
        <v>195</v>
      </c>
      <c r="E118" s="745"/>
      <c r="F118" s="744" t="s">
        <v>166</v>
      </c>
      <c r="G118" s="745"/>
      <c r="H118" s="742" t="s">
        <v>406</v>
      </c>
      <c r="I118" s="743"/>
      <c r="J118" s="742" t="s">
        <v>172</v>
      </c>
      <c r="K118" s="743"/>
      <c r="L118" s="742" t="s">
        <v>167</v>
      </c>
      <c r="M118" s="743"/>
      <c r="N118" s="742" t="s">
        <v>173</v>
      </c>
      <c r="O118" s="743"/>
      <c r="P118" s="352" t="s">
        <v>200</v>
      </c>
    </row>
    <row r="119" spans="1:20" s="135" customFormat="1" ht="15.75" customHeight="1">
      <c r="A119" s="480"/>
      <c r="B119" s="481"/>
      <c r="C119" s="482"/>
      <c r="D119" s="483"/>
      <c r="E119" s="483"/>
      <c r="F119" s="483"/>
      <c r="G119" s="483"/>
      <c r="H119" s="483"/>
      <c r="I119" s="483"/>
      <c r="J119" s="483"/>
      <c r="K119" s="483"/>
      <c r="L119" s="483"/>
      <c r="M119" s="483"/>
      <c r="N119" s="483"/>
      <c r="O119" s="483"/>
      <c r="P119" s="484"/>
    </row>
    <row r="120" spans="1:20" s="277" customFormat="1" ht="15.75" customHeight="1">
      <c r="A120" s="824" t="s">
        <v>174</v>
      </c>
      <c r="B120" s="825"/>
      <c r="C120" s="477" t="s">
        <v>47</v>
      </c>
      <c r="D120" s="826" t="s">
        <v>12</v>
      </c>
      <c r="E120" s="827"/>
      <c r="F120" s="828"/>
      <c r="G120" s="829" t="s">
        <v>53</v>
      </c>
      <c r="H120" s="830"/>
      <c r="I120" s="831"/>
      <c r="J120" s="478" t="s">
        <v>54</v>
      </c>
      <c r="K120" s="478" t="s">
        <v>55</v>
      </c>
      <c r="L120" s="478" t="s">
        <v>56</v>
      </c>
      <c r="M120" s="479" t="s">
        <v>11</v>
      </c>
      <c r="N120" s="479" t="s">
        <v>312</v>
      </c>
      <c r="O120" s="832" t="s">
        <v>51</v>
      </c>
      <c r="P120" s="833"/>
      <c r="R120" s="338"/>
      <c r="S120" s="339"/>
    </row>
    <row r="121" spans="1:20" s="297" customFormat="1" ht="60" customHeight="1">
      <c r="A121" s="694">
        <v>4</v>
      </c>
      <c r="B121" s="728" t="s">
        <v>406</v>
      </c>
      <c r="C121" s="278">
        <v>1</v>
      </c>
      <c r="D121" s="237"/>
      <c r="E121" s="238"/>
      <c r="F121" s="239"/>
      <c r="G121" s="305"/>
      <c r="H121" s="304"/>
      <c r="I121" s="305"/>
      <c r="J121" s="311"/>
      <c r="K121" s="312"/>
      <c r="L121" s="313"/>
      <c r="M121" s="321">
        <f t="shared" ref="M121:M125" si="13">L121*J121</f>
        <v>0</v>
      </c>
      <c r="N121" s="313"/>
      <c r="O121" s="724"/>
      <c r="P121" s="834"/>
      <c r="R121" s="387"/>
      <c r="S121" s="389"/>
    </row>
    <row r="122" spans="1:20" s="297" customFormat="1" ht="60" customHeight="1">
      <c r="A122" s="695"/>
      <c r="B122" s="729"/>
      <c r="C122" s="278">
        <v>2</v>
      </c>
      <c r="D122" s="237"/>
      <c r="E122" s="238"/>
      <c r="F122" s="239"/>
      <c r="G122" s="305"/>
      <c r="H122" s="304"/>
      <c r="I122" s="305"/>
      <c r="J122" s="311"/>
      <c r="K122" s="312"/>
      <c r="L122" s="313"/>
      <c r="M122" s="321">
        <f t="shared" si="13"/>
        <v>0</v>
      </c>
      <c r="N122" s="313"/>
      <c r="O122" s="724"/>
      <c r="P122" s="834"/>
      <c r="R122" s="387"/>
      <c r="S122" s="388"/>
      <c r="T122" s="334"/>
    </row>
    <row r="123" spans="1:20" s="297" customFormat="1" ht="60" customHeight="1">
      <c r="A123" s="695"/>
      <c r="B123" s="729"/>
      <c r="C123" s="278">
        <v>3</v>
      </c>
      <c r="D123" s="237"/>
      <c r="E123" s="238"/>
      <c r="F123" s="239"/>
      <c r="G123" s="305"/>
      <c r="H123" s="304"/>
      <c r="I123" s="305"/>
      <c r="J123" s="311"/>
      <c r="K123" s="312"/>
      <c r="L123" s="313"/>
      <c r="M123" s="321">
        <f t="shared" si="13"/>
        <v>0</v>
      </c>
      <c r="N123" s="313"/>
      <c r="O123" s="733"/>
      <c r="P123" s="835"/>
      <c r="R123" s="387"/>
      <c r="S123" s="389"/>
    </row>
    <row r="124" spans="1:20" s="297" customFormat="1" ht="60" customHeight="1">
      <c r="A124" s="695"/>
      <c r="B124" s="729"/>
      <c r="C124" s="278">
        <v>4</v>
      </c>
      <c r="D124" s="237"/>
      <c r="E124" s="238"/>
      <c r="F124" s="239"/>
      <c r="G124" s="305"/>
      <c r="H124" s="304"/>
      <c r="I124" s="305"/>
      <c r="J124" s="311"/>
      <c r="K124" s="312"/>
      <c r="L124" s="313"/>
      <c r="M124" s="321">
        <f t="shared" si="13"/>
        <v>0</v>
      </c>
      <c r="N124" s="313"/>
      <c r="O124" s="733"/>
      <c r="P124" s="835"/>
      <c r="R124" s="387"/>
      <c r="S124" s="388"/>
      <c r="T124" s="334"/>
    </row>
    <row r="125" spans="1:20" s="297" customFormat="1" ht="60" customHeight="1" thickBot="1">
      <c r="A125" s="695"/>
      <c r="B125" s="729"/>
      <c r="C125" s="278">
        <v>5</v>
      </c>
      <c r="D125" s="237"/>
      <c r="E125" s="244"/>
      <c r="F125" s="245"/>
      <c r="G125" s="305"/>
      <c r="H125" s="304"/>
      <c r="I125" s="305"/>
      <c r="J125" s="315"/>
      <c r="K125" s="247"/>
      <c r="L125" s="316"/>
      <c r="M125" s="321">
        <f t="shared" si="13"/>
        <v>0</v>
      </c>
      <c r="N125" s="313"/>
      <c r="O125" s="733"/>
      <c r="P125" s="835"/>
      <c r="R125" s="390"/>
      <c r="S125" s="389"/>
      <c r="T125" s="288"/>
    </row>
    <row r="126" spans="1:20" ht="15.75" customHeight="1" thickTop="1" thickBot="1">
      <c r="A126" s="696"/>
      <c r="B126" s="730"/>
      <c r="C126" s="737"/>
      <c r="D126" s="738"/>
      <c r="E126" s="738"/>
      <c r="F126" s="738"/>
      <c r="G126" s="738"/>
      <c r="H126" s="738"/>
      <c r="I126" s="739"/>
      <c r="J126" s="346" t="s">
        <v>58</v>
      </c>
      <c r="K126" s="344">
        <f>M126/'生產管理報表 7-1 (週)'!$B$54</f>
        <v>0</v>
      </c>
      <c r="L126" s="347" t="s">
        <v>59</v>
      </c>
      <c r="M126" s="348">
        <f>SUM(M121:M125)</f>
        <v>0</v>
      </c>
      <c r="N126" s="681"/>
      <c r="O126" s="682"/>
      <c r="P126" s="823"/>
      <c r="R126" s="338"/>
      <c r="S126" s="338"/>
    </row>
    <row r="127" spans="1:20" ht="15.75" customHeight="1" thickTop="1">
      <c r="A127" s="485"/>
      <c r="M127" s="328"/>
      <c r="P127" s="486"/>
      <c r="S127" s="339"/>
    </row>
    <row r="128" spans="1:20" ht="15.75" customHeight="1">
      <c r="A128" s="684" t="s">
        <v>174</v>
      </c>
      <c r="B128" s="685"/>
      <c r="C128" s="274" t="s">
        <v>47</v>
      </c>
      <c r="D128" s="714" t="s">
        <v>12</v>
      </c>
      <c r="E128" s="715"/>
      <c r="F128" s="716"/>
      <c r="G128" s="717" t="s">
        <v>53</v>
      </c>
      <c r="H128" s="718"/>
      <c r="I128" s="719"/>
      <c r="J128" s="373" t="s">
        <v>54</v>
      </c>
      <c r="K128" s="275" t="s">
        <v>55</v>
      </c>
      <c r="L128" s="275" t="s">
        <v>56</v>
      </c>
      <c r="M128" s="329" t="s">
        <v>11</v>
      </c>
      <c r="N128" s="276" t="s">
        <v>312</v>
      </c>
      <c r="O128" s="692" t="s">
        <v>51</v>
      </c>
      <c r="P128" s="815"/>
      <c r="S128" s="338"/>
      <c r="T128" s="334"/>
    </row>
    <row r="129" spans="1:20" s="297" customFormat="1" ht="60" customHeight="1">
      <c r="A129" s="694">
        <v>5</v>
      </c>
      <c r="B129" s="707" t="s">
        <v>198</v>
      </c>
      <c r="C129" s="278">
        <v>1</v>
      </c>
      <c r="D129" s="237"/>
      <c r="E129" s="238"/>
      <c r="F129" s="239"/>
      <c r="G129" s="305"/>
      <c r="H129" s="304"/>
      <c r="I129" s="305"/>
      <c r="J129" s="311"/>
      <c r="K129" s="312"/>
      <c r="L129" s="313"/>
      <c r="M129" s="321">
        <f>L129*J129</f>
        <v>0</v>
      </c>
      <c r="N129" s="313"/>
      <c r="O129" s="775"/>
      <c r="P129" s="820"/>
      <c r="S129" s="389"/>
      <c r="T129" s="334"/>
    </row>
    <row r="130" spans="1:20" s="297" customFormat="1" ht="24.95" customHeight="1">
      <c r="A130" s="695"/>
      <c r="B130" s="708"/>
      <c r="C130" s="278">
        <v>2</v>
      </c>
      <c r="D130" s="237"/>
      <c r="E130" s="238"/>
      <c r="F130" s="239"/>
      <c r="G130" s="349"/>
      <c r="H130" s="304"/>
      <c r="I130" s="305"/>
      <c r="J130" s="311"/>
      <c r="K130" s="312"/>
      <c r="L130" s="313"/>
      <c r="M130" s="321">
        <f t="shared" ref="M130:M133" si="14">L130*J130</f>
        <v>0</v>
      </c>
      <c r="N130" s="313"/>
      <c r="O130" s="712"/>
      <c r="P130" s="821"/>
      <c r="S130" s="338"/>
      <c r="T130" s="335"/>
    </row>
    <row r="131" spans="1:20" ht="24.95" customHeight="1">
      <c r="A131" s="695"/>
      <c r="B131" s="708"/>
      <c r="C131" s="278">
        <v>3</v>
      </c>
      <c r="D131" s="237"/>
      <c r="E131" s="238"/>
      <c r="F131" s="239"/>
      <c r="G131" s="349"/>
      <c r="H131" s="304"/>
      <c r="I131" s="305"/>
      <c r="J131" s="311"/>
      <c r="K131" s="312"/>
      <c r="L131" s="313"/>
      <c r="M131" s="321">
        <f t="shared" si="14"/>
        <v>0</v>
      </c>
      <c r="N131" s="287"/>
      <c r="O131" s="702"/>
      <c r="P131" s="822"/>
    </row>
    <row r="132" spans="1:20" ht="24.95" customHeight="1">
      <c r="A132" s="695"/>
      <c r="B132" s="708"/>
      <c r="C132" s="278">
        <v>4</v>
      </c>
      <c r="D132" s="279"/>
      <c r="E132" s="280"/>
      <c r="F132" s="281"/>
      <c r="G132" s="349"/>
      <c r="H132" s="304"/>
      <c r="I132" s="305"/>
      <c r="J132" s="285"/>
      <c r="K132" s="286"/>
      <c r="L132" s="287"/>
      <c r="M132" s="321">
        <f t="shared" si="14"/>
        <v>0</v>
      </c>
      <c r="N132" s="287"/>
      <c r="O132" s="298"/>
      <c r="P132" s="487"/>
    </row>
    <row r="133" spans="1:20" ht="24.95" customHeight="1" thickBot="1">
      <c r="A133" s="695"/>
      <c r="B133" s="708"/>
      <c r="C133" s="278">
        <v>5</v>
      </c>
      <c r="D133" s="289"/>
      <c r="E133" s="290"/>
      <c r="F133" s="291"/>
      <c r="G133" s="349"/>
      <c r="H133" s="304"/>
      <c r="I133" s="305"/>
      <c r="J133" s="292"/>
      <c r="K133" s="247"/>
      <c r="L133" s="293"/>
      <c r="M133" s="321">
        <f t="shared" si="14"/>
        <v>0</v>
      </c>
      <c r="N133" s="287"/>
      <c r="O133" s="300"/>
      <c r="P133" s="488"/>
      <c r="R133" s="342"/>
    </row>
    <row r="134" spans="1:20" ht="15.75" customHeight="1" thickTop="1" thickBot="1">
      <c r="A134" s="696"/>
      <c r="B134" s="709"/>
      <c r="C134" s="704"/>
      <c r="D134" s="705"/>
      <c r="E134" s="705"/>
      <c r="F134" s="705"/>
      <c r="G134" s="705"/>
      <c r="H134" s="705"/>
      <c r="I134" s="706"/>
      <c r="J134" s="346" t="s">
        <v>58</v>
      </c>
      <c r="K134" s="344">
        <f>M134/'生產管理報表 7-1 (週)'!$B$54</f>
        <v>0</v>
      </c>
      <c r="L134" s="347" t="s">
        <v>59</v>
      </c>
      <c r="M134" s="348">
        <f>SUM(M129:M133)</f>
        <v>0</v>
      </c>
      <c r="N134" s="681"/>
      <c r="O134" s="682"/>
      <c r="P134" s="823"/>
      <c r="R134" s="338"/>
    </row>
    <row r="135" spans="1:20" ht="15.75" customHeight="1" thickTop="1">
      <c r="A135" s="485"/>
      <c r="K135" s="288" t="s">
        <v>431</v>
      </c>
      <c r="M135" s="328"/>
      <c r="P135" s="486"/>
      <c r="R135" s="338"/>
    </row>
    <row r="136" spans="1:20" ht="24.95" customHeight="1">
      <c r="A136" s="684" t="s">
        <v>174</v>
      </c>
      <c r="B136" s="685"/>
      <c r="C136" s="302" t="s">
        <v>47</v>
      </c>
      <c r="D136" s="686" t="s">
        <v>12</v>
      </c>
      <c r="E136" s="687"/>
      <c r="F136" s="688"/>
      <c r="G136" s="689" t="s">
        <v>53</v>
      </c>
      <c r="H136" s="690"/>
      <c r="I136" s="691"/>
      <c r="J136" s="303" t="s">
        <v>54</v>
      </c>
      <c r="K136" s="275" t="s">
        <v>55</v>
      </c>
      <c r="L136" s="275" t="s">
        <v>56</v>
      </c>
      <c r="M136" s="329" t="s">
        <v>11</v>
      </c>
      <c r="N136" s="276" t="s">
        <v>312</v>
      </c>
      <c r="O136" s="692" t="s">
        <v>51</v>
      </c>
      <c r="P136" s="815"/>
      <c r="R136" s="338"/>
    </row>
    <row r="137" spans="1:20" ht="60" customHeight="1">
      <c r="A137" s="694">
        <v>6</v>
      </c>
      <c r="B137" s="707" t="s">
        <v>199</v>
      </c>
      <c r="C137" s="278">
        <v>1</v>
      </c>
      <c r="D137" s="489"/>
      <c r="E137" s="280"/>
      <c r="F137" s="281"/>
      <c r="G137" s="305"/>
      <c r="H137" s="304"/>
      <c r="I137" s="305"/>
      <c r="J137" s="311"/>
      <c r="K137" s="312"/>
      <c r="L137" s="313"/>
      <c r="M137" s="321">
        <f t="shared" ref="M137:M141" si="15">L137*J137</f>
        <v>0</v>
      </c>
      <c r="N137" s="287"/>
      <c r="O137" s="735"/>
      <c r="P137" s="816"/>
      <c r="R137" s="335"/>
      <c r="S137" s="335"/>
    </row>
    <row r="138" spans="1:20" ht="24.95" customHeight="1">
      <c r="A138" s="695"/>
      <c r="B138" s="708"/>
      <c r="C138" s="278">
        <v>2</v>
      </c>
      <c r="D138" s="237"/>
      <c r="E138" s="280"/>
      <c r="F138" s="281"/>
      <c r="G138" s="305"/>
      <c r="H138" s="304"/>
      <c r="I138" s="305"/>
      <c r="J138" s="311"/>
      <c r="K138" s="312"/>
      <c r="L138" s="313"/>
      <c r="M138" s="321">
        <f t="shared" si="15"/>
        <v>0</v>
      </c>
      <c r="N138" s="287"/>
      <c r="O138" s="735"/>
      <c r="P138" s="816"/>
      <c r="R138" s="335"/>
      <c r="S138" s="335"/>
    </row>
    <row r="139" spans="1:20" ht="24.95" customHeight="1">
      <c r="A139" s="695"/>
      <c r="B139" s="708"/>
      <c r="C139" s="278">
        <v>3</v>
      </c>
      <c r="D139" s="237"/>
      <c r="E139" s="280"/>
      <c r="F139" s="281"/>
      <c r="G139" s="305"/>
      <c r="H139" s="304"/>
      <c r="I139" s="305"/>
      <c r="J139" s="311"/>
      <c r="K139" s="312"/>
      <c r="L139" s="313"/>
      <c r="M139" s="321">
        <f t="shared" si="15"/>
        <v>0</v>
      </c>
      <c r="N139" s="287"/>
      <c r="O139" s="735"/>
      <c r="P139" s="816"/>
      <c r="R139" s="335"/>
    </row>
    <row r="140" spans="1:20" ht="24.95" customHeight="1">
      <c r="A140" s="695"/>
      <c r="B140" s="708"/>
      <c r="C140" s="278">
        <v>4</v>
      </c>
      <c r="D140" s="237"/>
      <c r="E140" s="280"/>
      <c r="F140" s="281"/>
      <c r="G140" s="305"/>
      <c r="H140" s="304"/>
      <c r="I140" s="305"/>
      <c r="J140" s="311"/>
      <c r="K140" s="312"/>
      <c r="L140" s="313"/>
      <c r="M140" s="321">
        <f t="shared" si="15"/>
        <v>0</v>
      </c>
      <c r="N140" s="287"/>
      <c r="O140" s="735"/>
      <c r="P140" s="816"/>
      <c r="R140" s="335"/>
      <c r="S140" s="335"/>
    </row>
    <row r="141" spans="1:20" ht="24.95" customHeight="1" thickBot="1">
      <c r="A141" s="695"/>
      <c r="B141" s="708"/>
      <c r="C141" s="278">
        <v>5</v>
      </c>
      <c r="D141" s="243"/>
      <c r="E141" s="290"/>
      <c r="F141" s="291"/>
      <c r="G141" s="305"/>
      <c r="H141" s="304"/>
      <c r="I141" s="305"/>
      <c r="J141" s="315"/>
      <c r="K141" s="247"/>
      <c r="L141" s="316"/>
      <c r="M141" s="321">
        <f t="shared" si="15"/>
        <v>0</v>
      </c>
      <c r="N141" s="287"/>
      <c r="O141" s="735"/>
      <c r="P141" s="816"/>
    </row>
    <row r="142" spans="1:20" ht="15.75" customHeight="1" thickTop="1" thickBot="1">
      <c r="A142" s="696"/>
      <c r="B142" s="709"/>
      <c r="C142" s="704"/>
      <c r="D142" s="705"/>
      <c r="E142" s="705"/>
      <c r="F142" s="705"/>
      <c r="G142" s="705"/>
      <c r="H142" s="705"/>
      <c r="I142" s="706"/>
      <c r="J142" s="490" t="s">
        <v>58</v>
      </c>
      <c r="K142" s="344">
        <f>M142/'生產管理報表 7-1 (週)'!$B$54</f>
        <v>0</v>
      </c>
      <c r="L142" s="491" t="s">
        <v>59</v>
      </c>
      <c r="M142" s="492">
        <f>SUM(M137:M141)</f>
        <v>0</v>
      </c>
      <c r="N142" s="817"/>
      <c r="O142" s="818"/>
      <c r="P142" s="819"/>
    </row>
    <row r="143" spans="1:20" s="135" customFormat="1" ht="15.75" customHeight="1" thickTop="1">
      <c r="A143" s="810" t="s">
        <v>762</v>
      </c>
      <c r="B143" s="810"/>
      <c r="C143" s="810"/>
      <c r="D143" s="810"/>
      <c r="E143" s="810"/>
      <c r="F143" s="810"/>
      <c r="G143" s="810"/>
      <c r="H143" s="810"/>
      <c r="I143" s="810"/>
      <c r="J143" s="810"/>
      <c r="K143" s="810"/>
      <c r="L143" s="810"/>
      <c r="M143" s="810"/>
      <c r="Q143" s="231"/>
      <c r="R143" s="231"/>
      <c r="S143" s="231"/>
      <c r="T143" s="231"/>
    </row>
    <row r="144" spans="1:20" s="136" customFormat="1" ht="15.75" customHeight="1">
      <c r="A144" s="746"/>
      <c r="B144" s="746"/>
      <c r="C144" s="746"/>
      <c r="D144" s="746"/>
      <c r="E144" s="746"/>
      <c r="F144" s="746"/>
      <c r="G144" s="746"/>
      <c r="H144" s="746"/>
      <c r="I144" s="746"/>
      <c r="J144" s="746"/>
      <c r="K144" s="746"/>
      <c r="L144" s="746"/>
      <c r="M144" s="746"/>
    </row>
    <row r="145" spans="1:20" s="135" customFormat="1" ht="15.75" customHeight="1">
      <c r="A145" s="747" t="s">
        <v>174</v>
      </c>
      <c r="B145" s="749">
        <v>1</v>
      </c>
      <c r="C145" s="750"/>
      <c r="D145" s="749">
        <v>2</v>
      </c>
      <c r="E145" s="750"/>
      <c r="F145" s="749">
        <v>3</v>
      </c>
      <c r="G145" s="750"/>
      <c r="H145" s="740">
        <v>4</v>
      </c>
      <c r="I145" s="741"/>
      <c r="J145" s="740">
        <v>5</v>
      </c>
      <c r="K145" s="741"/>
      <c r="L145" s="740">
        <v>6</v>
      </c>
      <c r="M145" s="741"/>
      <c r="N145" s="740">
        <v>7</v>
      </c>
      <c r="O145" s="741"/>
      <c r="P145" s="351">
        <v>8</v>
      </c>
    </row>
    <row r="146" spans="1:20" s="135" customFormat="1" ht="15.75" customHeight="1">
      <c r="A146" s="748"/>
      <c r="B146" s="744" t="s">
        <v>427</v>
      </c>
      <c r="C146" s="745"/>
      <c r="D146" s="744" t="s">
        <v>195</v>
      </c>
      <c r="E146" s="745"/>
      <c r="F146" s="744" t="s">
        <v>166</v>
      </c>
      <c r="G146" s="745"/>
      <c r="H146" s="742" t="s">
        <v>406</v>
      </c>
      <c r="I146" s="743"/>
      <c r="J146" s="742" t="s">
        <v>172</v>
      </c>
      <c r="K146" s="743"/>
      <c r="L146" s="742" t="s">
        <v>167</v>
      </c>
      <c r="M146" s="743"/>
      <c r="N146" s="742" t="s">
        <v>173</v>
      </c>
      <c r="O146" s="743"/>
      <c r="P146" s="352" t="s">
        <v>200</v>
      </c>
    </row>
    <row r="147" spans="1:20" s="135" customFormat="1" ht="15.75" customHeight="1">
      <c r="A147" s="480"/>
      <c r="B147" s="481"/>
      <c r="C147" s="482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4"/>
    </row>
    <row r="148" spans="1:20" s="277" customFormat="1" ht="15.75" customHeight="1">
      <c r="A148" s="824" t="s">
        <v>174</v>
      </c>
      <c r="B148" s="825"/>
      <c r="C148" s="477" t="s">
        <v>47</v>
      </c>
      <c r="D148" s="826" t="s">
        <v>12</v>
      </c>
      <c r="E148" s="827"/>
      <c r="F148" s="828"/>
      <c r="G148" s="829" t="s">
        <v>53</v>
      </c>
      <c r="H148" s="830"/>
      <c r="I148" s="831"/>
      <c r="J148" s="478" t="s">
        <v>54</v>
      </c>
      <c r="K148" s="478" t="s">
        <v>55</v>
      </c>
      <c r="L148" s="478" t="s">
        <v>56</v>
      </c>
      <c r="M148" s="479" t="s">
        <v>11</v>
      </c>
      <c r="N148" s="479" t="s">
        <v>312</v>
      </c>
      <c r="O148" s="832" t="s">
        <v>51</v>
      </c>
      <c r="P148" s="833"/>
      <c r="R148" s="338"/>
      <c r="S148" s="339"/>
    </row>
    <row r="149" spans="1:20" s="297" customFormat="1" ht="60" customHeight="1">
      <c r="A149" s="694">
        <v>4</v>
      </c>
      <c r="B149" s="728" t="s">
        <v>406</v>
      </c>
      <c r="C149" s="278">
        <v>1</v>
      </c>
      <c r="D149" s="237"/>
      <c r="E149" s="238"/>
      <c r="F149" s="239"/>
      <c r="G149" s="305"/>
      <c r="H149" s="304"/>
      <c r="I149" s="305"/>
      <c r="J149" s="311"/>
      <c r="K149" s="312"/>
      <c r="L149" s="313"/>
      <c r="M149" s="321">
        <f t="shared" ref="M149:M153" si="16">L149*J149</f>
        <v>0</v>
      </c>
      <c r="N149" s="313"/>
      <c r="O149" s="724"/>
      <c r="P149" s="834"/>
      <c r="R149" s="387"/>
      <c r="S149" s="389"/>
    </row>
    <row r="150" spans="1:20" s="297" customFormat="1" ht="60" customHeight="1">
      <c r="A150" s="695"/>
      <c r="B150" s="729"/>
      <c r="C150" s="278">
        <v>2</v>
      </c>
      <c r="D150" s="237"/>
      <c r="E150" s="238"/>
      <c r="F150" s="239"/>
      <c r="G150" s="305"/>
      <c r="H150" s="304"/>
      <c r="I150" s="305"/>
      <c r="J150" s="311"/>
      <c r="K150" s="312"/>
      <c r="L150" s="313"/>
      <c r="M150" s="321">
        <f t="shared" si="16"/>
        <v>0</v>
      </c>
      <c r="N150" s="313"/>
      <c r="O150" s="724"/>
      <c r="P150" s="834"/>
      <c r="R150" s="387"/>
      <c r="S150" s="388"/>
      <c r="T150" s="334"/>
    </row>
    <row r="151" spans="1:20" s="297" customFormat="1" ht="60" customHeight="1">
      <c r="A151" s="695"/>
      <c r="B151" s="729"/>
      <c r="C151" s="278">
        <v>3</v>
      </c>
      <c r="D151" s="237"/>
      <c r="E151" s="238"/>
      <c r="F151" s="239"/>
      <c r="G151" s="305"/>
      <c r="H151" s="304"/>
      <c r="I151" s="305"/>
      <c r="J151" s="311"/>
      <c r="K151" s="312"/>
      <c r="L151" s="313"/>
      <c r="M151" s="321">
        <f t="shared" si="16"/>
        <v>0</v>
      </c>
      <c r="N151" s="313"/>
      <c r="O151" s="733"/>
      <c r="P151" s="835"/>
      <c r="R151" s="387"/>
      <c r="S151" s="389"/>
    </row>
    <row r="152" spans="1:20" s="297" customFormat="1" ht="60" customHeight="1">
      <c r="A152" s="695"/>
      <c r="B152" s="729"/>
      <c r="C152" s="278">
        <v>4</v>
      </c>
      <c r="D152" s="237"/>
      <c r="E152" s="238"/>
      <c r="F152" s="239"/>
      <c r="G152" s="305"/>
      <c r="H152" s="304"/>
      <c r="I152" s="305"/>
      <c r="J152" s="311"/>
      <c r="K152" s="312"/>
      <c r="L152" s="313"/>
      <c r="M152" s="321">
        <f t="shared" si="16"/>
        <v>0</v>
      </c>
      <c r="N152" s="313"/>
      <c r="O152" s="733"/>
      <c r="P152" s="835"/>
      <c r="R152" s="387"/>
      <c r="S152" s="388"/>
      <c r="T152" s="334"/>
    </row>
    <row r="153" spans="1:20" s="297" customFormat="1" ht="60" customHeight="1" thickBot="1">
      <c r="A153" s="695"/>
      <c r="B153" s="729"/>
      <c r="C153" s="278">
        <v>5</v>
      </c>
      <c r="D153" s="237"/>
      <c r="E153" s="244"/>
      <c r="F153" s="245"/>
      <c r="G153" s="305"/>
      <c r="H153" s="304"/>
      <c r="I153" s="305"/>
      <c r="J153" s="315"/>
      <c r="K153" s="247"/>
      <c r="L153" s="316"/>
      <c r="M153" s="321">
        <f t="shared" si="16"/>
        <v>0</v>
      </c>
      <c r="N153" s="313"/>
      <c r="O153" s="733"/>
      <c r="P153" s="835"/>
      <c r="R153" s="390"/>
      <c r="S153" s="389"/>
      <c r="T153" s="288"/>
    </row>
    <row r="154" spans="1:20" ht="15.75" customHeight="1" thickTop="1" thickBot="1">
      <c r="A154" s="696"/>
      <c r="B154" s="730"/>
      <c r="C154" s="737"/>
      <c r="D154" s="738"/>
      <c r="E154" s="738"/>
      <c r="F154" s="738"/>
      <c r="G154" s="738"/>
      <c r="H154" s="738"/>
      <c r="I154" s="739"/>
      <c r="J154" s="346" t="s">
        <v>58</v>
      </c>
      <c r="K154" s="344">
        <f>M154/'生產管理報表 7-1 (週)'!$B$43</f>
        <v>0</v>
      </c>
      <c r="L154" s="347" t="s">
        <v>59</v>
      </c>
      <c r="M154" s="348">
        <f>SUM(M149:M153)</f>
        <v>0</v>
      </c>
      <c r="N154" s="681"/>
      <c r="O154" s="682"/>
      <c r="P154" s="823"/>
      <c r="R154" s="338"/>
      <c r="S154" s="338"/>
    </row>
    <row r="155" spans="1:20" ht="15.75" customHeight="1" thickTop="1">
      <c r="A155" s="485"/>
      <c r="M155" s="328"/>
      <c r="P155" s="486"/>
      <c r="S155" s="339"/>
    </row>
    <row r="156" spans="1:20" ht="15.75" customHeight="1">
      <c r="A156" s="684" t="s">
        <v>174</v>
      </c>
      <c r="B156" s="685"/>
      <c r="C156" s="274" t="s">
        <v>47</v>
      </c>
      <c r="D156" s="714" t="s">
        <v>12</v>
      </c>
      <c r="E156" s="715"/>
      <c r="F156" s="716"/>
      <c r="G156" s="717" t="s">
        <v>53</v>
      </c>
      <c r="H156" s="718"/>
      <c r="I156" s="719"/>
      <c r="J156" s="373" t="s">
        <v>54</v>
      </c>
      <c r="K156" s="275" t="s">
        <v>55</v>
      </c>
      <c r="L156" s="275" t="s">
        <v>56</v>
      </c>
      <c r="M156" s="329" t="s">
        <v>11</v>
      </c>
      <c r="N156" s="276" t="s">
        <v>312</v>
      </c>
      <c r="O156" s="692" t="s">
        <v>51</v>
      </c>
      <c r="P156" s="815"/>
      <c r="S156" s="338"/>
      <c r="T156" s="334"/>
    </row>
    <row r="157" spans="1:20" s="297" customFormat="1" ht="60" customHeight="1">
      <c r="A157" s="694">
        <v>5</v>
      </c>
      <c r="B157" s="707" t="s">
        <v>198</v>
      </c>
      <c r="C157" s="278">
        <v>1</v>
      </c>
      <c r="D157" s="237"/>
      <c r="E157" s="238"/>
      <c r="F157" s="239"/>
      <c r="G157" s="305"/>
      <c r="H157" s="304"/>
      <c r="I157" s="305"/>
      <c r="J157" s="311"/>
      <c r="K157" s="312"/>
      <c r="L157" s="313"/>
      <c r="M157" s="321">
        <f>L157*J157</f>
        <v>0</v>
      </c>
      <c r="N157" s="313"/>
      <c r="O157" s="775"/>
      <c r="P157" s="820"/>
      <c r="S157" s="389"/>
      <c r="T157" s="334"/>
    </row>
    <row r="158" spans="1:20" s="297" customFormat="1" ht="24.95" customHeight="1">
      <c r="A158" s="695"/>
      <c r="B158" s="708"/>
      <c r="C158" s="278">
        <v>2</v>
      </c>
      <c r="D158" s="237"/>
      <c r="E158" s="238"/>
      <c r="F158" s="239"/>
      <c r="G158" s="349"/>
      <c r="H158" s="304"/>
      <c r="I158" s="305"/>
      <c r="J158" s="311"/>
      <c r="K158" s="312"/>
      <c r="L158" s="313"/>
      <c r="M158" s="321">
        <f t="shared" ref="M158:M161" si="17">L158*J158</f>
        <v>0</v>
      </c>
      <c r="N158" s="313"/>
      <c r="O158" s="712"/>
      <c r="P158" s="821"/>
      <c r="S158" s="338"/>
      <c r="T158" s="335"/>
    </row>
    <row r="159" spans="1:20" ht="24.95" customHeight="1">
      <c r="A159" s="695"/>
      <c r="B159" s="708"/>
      <c r="C159" s="278">
        <v>3</v>
      </c>
      <c r="D159" s="237"/>
      <c r="E159" s="238"/>
      <c r="F159" s="239"/>
      <c r="G159" s="349"/>
      <c r="H159" s="304"/>
      <c r="I159" s="305"/>
      <c r="J159" s="311"/>
      <c r="K159" s="312"/>
      <c r="L159" s="313"/>
      <c r="M159" s="321">
        <f t="shared" si="17"/>
        <v>0</v>
      </c>
      <c r="N159" s="287"/>
      <c r="O159" s="702"/>
      <c r="P159" s="822"/>
    </row>
    <row r="160" spans="1:20" ht="24.95" customHeight="1">
      <c r="A160" s="695"/>
      <c r="B160" s="708"/>
      <c r="C160" s="278">
        <v>4</v>
      </c>
      <c r="D160" s="279"/>
      <c r="E160" s="280"/>
      <c r="F160" s="281"/>
      <c r="G160" s="349"/>
      <c r="H160" s="304"/>
      <c r="I160" s="305"/>
      <c r="J160" s="285"/>
      <c r="K160" s="286"/>
      <c r="L160" s="287"/>
      <c r="M160" s="321">
        <f t="shared" si="17"/>
        <v>0</v>
      </c>
      <c r="N160" s="287"/>
      <c r="O160" s="298"/>
      <c r="P160" s="487"/>
    </row>
    <row r="161" spans="1:19" ht="24.95" customHeight="1" thickBot="1">
      <c r="A161" s="695"/>
      <c r="B161" s="708"/>
      <c r="C161" s="278">
        <v>5</v>
      </c>
      <c r="D161" s="289"/>
      <c r="E161" s="290"/>
      <c r="F161" s="291"/>
      <c r="G161" s="349"/>
      <c r="H161" s="304"/>
      <c r="I161" s="305"/>
      <c r="J161" s="292"/>
      <c r="K161" s="247"/>
      <c r="L161" s="293"/>
      <c r="M161" s="321">
        <f t="shared" si="17"/>
        <v>0</v>
      </c>
      <c r="N161" s="287"/>
      <c r="O161" s="300"/>
      <c r="P161" s="488"/>
      <c r="R161" s="342"/>
    </row>
    <row r="162" spans="1:19" ht="15.75" customHeight="1" thickTop="1" thickBot="1">
      <c r="A162" s="696"/>
      <c r="B162" s="709"/>
      <c r="C162" s="704"/>
      <c r="D162" s="705"/>
      <c r="E162" s="705"/>
      <c r="F162" s="705"/>
      <c r="G162" s="705"/>
      <c r="H162" s="705"/>
      <c r="I162" s="706"/>
      <c r="J162" s="346" t="s">
        <v>58</v>
      </c>
      <c r="K162" s="344">
        <f>M162/'生產管理報表 7-1 (週)'!$B$43</f>
        <v>0</v>
      </c>
      <c r="L162" s="347" t="s">
        <v>59</v>
      </c>
      <c r="M162" s="348">
        <f>SUM(M157:M161)</f>
        <v>0</v>
      </c>
      <c r="N162" s="681"/>
      <c r="O162" s="682"/>
      <c r="P162" s="823"/>
      <c r="R162" s="338"/>
    </row>
    <row r="163" spans="1:19" ht="15.75" customHeight="1" thickTop="1">
      <c r="A163" s="485"/>
      <c r="K163" s="288" t="s">
        <v>431</v>
      </c>
      <c r="M163" s="328"/>
      <c r="P163" s="486"/>
      <c r="R163" s="338"/>
    </row>
    <row r="164" spans="1:19" ht="24.95" customHeight="1">
      <c r="A164" s="684" t="s">
        <v>174</v>
      </c>
      <c r="B164" s="685"/>
      <c r="C164" s="302" t="s">
        <v>47</v>
      </c>
      <c r="D164" s="686" t="s">
        <v>12</v>
      </c>
      <c r="E164" s="687"/>
      <c r="F164" s="688"/>
      <c r="G164" s="689" t="s">
        <v>53</v>
      </c>
      <c r="H164" s="690"/>
      <c r="I164" s="691"/>
      <c r="J164" s="303" t="s">
        <v>54</v>
      </c>
      <c r="K164" s="275" t="s">
        <v>55</v>
      </c>
      <c r="L164" s="275" t="s">
        <v>56</v>
      </c>
      <c r="M164" s="329" t="s">
        <v>11</v>
      </c>
      <c r="N164" s="276" t="s">
        <v>312</v>
      </c>
      <c r="O164" s="692" t="s">
        <v>51</v>
      </c>
      <c r="P164" s="815"/>
      <c r="R164" s="338"/>
    </row>
    <row r="165" spans="1:19" ht="60" customHeight="1">
      <c r="A165" s="694">
        <v>6</v>
      </c>
      <c r="B165" s="707" t="s">
        <v>199</v>
      </c>
      <c r="C165" s="278">
        <v>1</v>
      </c>
      <c r="D165" s="489"/>
      <c r="E165" s="280"/>
      <c r="F165" s="281"/>
      <c r="G165" s="305"/>
      <c r="H165" s="304"/>
      <c r="I165" s="305"/>
      <c r="J165" s="311"/>
      <c r="K165" s="312"/>
      <c r="L165" s="313"/>
      <c r="M165" s="321">
        <f t="shared" ref="M165:M169" si="18">L165*J165</f>
        <v>0</v>
      </c>
      <c r="N165" s="287"/>
      <c r="O165" s="735"/>
      <c r="P165" s="816"/>
      <c r="R165" s="335"/>
      <c r="S165" s="335"/>
    </row>
    <row r="166" spans="1:19" ht="24.95" customHeight="1">
      <c r="A166" s="695"/>
      <c r="B166" s="708"/>
      <c r="C166" s="278">
        <v>2</v>
      </c>
      <c r="D166" s="237"/>
      <c r="E166" s="280"/>
      <c r="F166" s="281"/>
      <c r="G166" s="305"/>
      <c r="H166" s="304"/>
      <c r="I166" s="305"/>
      <c r="J166" s="311"/>
      <c r="K166" s="312"/>
      <c r="L166" s="313"/>
      <c r="M166" s="321">
        <f t="shared" si="18"/>
        <v>0</v>
      </c>
      <c r="N166" s="287"/>
      <c r="O166" s="735"/>
      <c r="P166" s="816"/>
      <c r="R166" s="335"/>
      <c r="S166" s="335"/>
    </row>
    <row r="167" spans="1:19" ht="24.95" customHeight="1">
      <c r="A167" s="695"/>
      <c r="B167" s="708"/>
      <c r="C167" s="278">
        <v>3</v>
      </c>
      <c r="D167" s="237"/>
      <c r="E167" s="280"/>
      <c r="F167" s="281"/>
      <c r="G167" s="305"/>
      <c r="H167" s="304"/>
      <c r="I167" s="305"/>
      <c r="J167" s="311"/>
      <c r="K167" s="312"/>
      <c r="L167" s="313"/>
      <c r="M167" s="321">
        <f t="shared" si="18"/>
        <v>0</v>
      </c>
      <c r="N167" s="287"/>
      <c r="O167" s="735"/>
      <c r="P167" s="816"/>
      <c r="R167" s="335"/>
    </row>
    <row r="168" spans="1:19" ht="24.95" customHeight="1">
      <c r="A168" s="695"/>
      <c r="B168" s="708"/>
      <c r="C168" s="278">
        <v>4</v>
      </c>
      <c r="D168" s="237"/>
      <c r="E168" s="280"/>
      <c r="F168" s="281"/>
      <c r="G168" s="305"/>
      <c r="H168" s="304"/>
      <c r="I168" s="305"/>
      <c r="J168" s="311"/>
      <c r="K168" s="312"/>
      <c r="L168" s="313"/>
      <c r="M168" s="321">
        <f t="shared" si="18"/>
        <v>0</v>
      </c>
      <c r="N168" s="287"/>
      <c r="O168" s="735"/>
      <c r="P168" s="816"/>
      <c r="R168" s="335"/>
      <c r="S168" s="335"/>
    </row>
    <row r="169" spans="1:19" ht="24.95" customHeight="1" thickBot="1">
      <c r="A169" s="695"/>
      <c r="B169" s="708"/>
      <c r="C169" s="278">
        <v>5</v>
      </c>
      <c r="D169" s="243"/>
      <c r="E169" s="290"/>
      <c r="F169" s="291"/>
      <c r="G169" s="305"/>
      <c r="H169" s="304"/>
      <c r="I169" s="305"/>
      <c r="J169" s="315"/>
      <c r="K169" s="247"/>
      <c r="L169" s="316"/>
      <c r="M169" s="321">
        <f t="shared" si="18"/>
        <v>0</v>
      </c>
      <c r="N169" s="287"/>
      <c r="O169" s="735"/>
      <c r="P169" s="816"/>
    </row>
    <row r="170" spans="1:19" ht="15.75" customHeight="1" thickTop="1" thickBot="1">
      <c r="A170" s="696"/>
      <c r="B170" s="709"/>
      <c r="C170" s="704"/>
      <c r="D170" s="705"/>
      <c r="E170" s="705"/>
      <c r="F170" s="705"/>
      <c r="G170" s="705"/>
      <c r="H170" s="705"/>
      <c r="I170" s="706"/>
      <c r="J170" s="490" t="s">
        <v>58</v>
      </c>
      <c r="K170" s="344">
        <f>M170/'生產管理報表 7-1 (週)'!$B$43</f>
        <v>0</v>
      </c>
      <c r="L170" s="491" t="s">
        <v>59</v>
      </c>
      <c r="M170" s="492">
        <f>SUM(M165:M169)</f>
        <v>0</v>
      </c>
      <c r="N170" s="817"/>
      <c r="O170" s="818"/>
      <c r="P170" s="819"/>
    </row>
    <row r="171" spans="1:19" ht="15.75" customHeight="1" thickTop="1"/>
  </sheetData>
  <mergeCells count="319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19" t="s">
        <v>339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s="99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ht="15.75" customHeight="1">
      <c r="A3" s="626" t="s">
        <v>360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6"/>
      <c r="N3" s="626"/>
      <c r="O3" s="626"/>
      <c r="P3" s="626"/>
      <c r="Q3" s="626"/>
    </row>
    <row r="4" spans="1:17" s="99" customFormat="1" ht="15.75" customHeight="1">
      <c r="A4" s="843"/>
      <c r="B4" s="843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</row>
    <row r="5" spans="1:17" ht="15.75" customHeight="1">
      <c r="A5" s="559" t="s">
        <v>174</v>
      </c>
      <c r="B5" s="842">
        <v>1</v>
      </c>
      <c r="C5" s="842"/>
      <c r="D5" s="842">
        <v>2</v>
      </c>
      <c r="E5" s="842"/>
      <c r="F5" s="842">
        <v>3</v>
      </c>
      <c r="G5" s="842"/>
      <c r="H5" s="842">
        <v>4</v>
      </c>
      <c r="I5" s="842"/>
      <c r="J5" s="842">
        <v>5</v>
      </c>
      <c r="K5" s="842"/>
      <c r="L5" s="842">
        <v>6</v>
      </c>
      <c r="M5" s="842"/>
      <c r="N5" s="842">
        <v>7</v>
      </c>
      <c r="O5" s="842"/>
      <c r="P5" s="844">
        <v>8</v>
      </c>
      <c r="Q5" s="844"/>
    </row>
    <row r="6" spans="1:17" ht="15.75" customHeight="1">
      <c r="A6" s="559"/>
      <c r="B6" s="559" t="s">
        <v>232</v>
      </c>
      <c r="C6" s="559"/>
      <c r="D6" s="559" t="s">
        <v>317</v>
      </c>
      <c r="E6" s="559"/>
      <c r="F6" s="559" t="s">
        <v>166</v>
      </c>
      <c r="G6" s="559"/>
      <c r="H6" s="559" t="s">
        <v>406</v>
      </c>
      <c r="I6" s="559"/>
      <c r="J6" s="559" t="s">
        <v>172</v>
      </c>
      <c r="K6" s="559"/>
      <c r="L6" s="559" t="s">
        <v>167</v>
      </c>
      <c r="M6" s="559"/>
      <c r="N6" s="559" t="s">
        <v>173</v>
      </c>
      <c r="O6" s="559"/>
      <c r="P6" s="847" t="s">
        <v>201</v>
      </c>
      <c r="Q6" s="847"/>
    </row>
    <row r="8" spans="1:17" s="105" customFormat="1" ht="15.75" customHeight="1">
      <c r="A8" s="130" t="s">
        <v>176</v>
      </c>
      <c r="B8" s="130" t="s">
        <v>18</v>
      </c>
      <c r="C8" s="841" t="s">
        <v>12</v>
      </c>
      <c r="D8" s="841"/>
      <c r="E8" s="841"/>
      <c r="F8" s="841" t="s">
        <v>53</v>
      </c>
      <c r="G8" s="841"/>
      <c r="H8" s="841"/>
      <c r="I8" s="130" t="s">
        <v>54</v>
      </c>
      <c r="J8" s="133" t="s">
        <v>19</v>
      </c>
      <c r="K8" s="130" t="s">
        <v>57</v>
      </c>
      <c r="L8" s="130" t="s">
        <v>2</v>
      </c>
      <c r="M8" s="841" t="s">
        <v>50</v>
      </c>
      <c r="N8" s="841"/>
      <c r="O8" s="841"/>
      <c r="P8" s="841"/>
      <c r="Q8" s="841"/>
    </row>
    <row r="9" spans="1:17" ht="15.75" customHeight="1">
      <c r="A9" s="841" t="s">
        <v>175</v>
      </c>
      <c r="B9" s="128">
        <v>1</v>
      </c>
      <c r="C9" s="845"/>
      <c r="D9" s="846"/>
      <c r="E9" s="846"/>
      <c r="F9" s="845"/>
      <c r="G9" s="846"/>
      <c r="H9" s="846"/>
      <c r="I9" s="107"/>
      <c r="J9" s="117"/>
      <c r="K9" s="117"/>
      <c r="L9" s="134">
        <f t="shared" ref="L9:L13" si="0">K9-J9</f>
        <v>0</v>
      </c>
      <c r="M9" s="845"/>
      <c r="N9" s="845"/>
      <c r="O9" s="845"/>
      <c r="P9" s="845"/>
      <c r="Q9" s="845"/>
    </row>
    <row r="10" spans="1:17" ht="15.75" customHeight="1">
      <c r="A10" s="841"/>
      <c r="B10" s="128">
        <v>2</v>
      </c>
      <c r="C10" s="845"/>
      <c r="D10" s="846"/>
      <c r="E10" s="846"/>
      <c r="F10" s="845"/>
      <c r="G10" s="846"/>
      <c r="H10" s="846"/>
      <c r="I10" s="107"/>
      <c r="J10" s="117"/>
      <c r="K10" s="117"/>
      <c r="L10" s="134">
        <f t="shared" si="0"/>
        <v>0</v>
      </c>
      <c r="M10" s="845"/>
      <c r="N10" s="845"/>
      <c r="O10" s="845"/>
      <c r="P10" s="845"/>
      <c r="Q10" s="845"/>
    </row>
    <row r="11" spans="1:17" ht="15.75" customHeight="1">
      <c r="A11" s="841"/>
      <c r="B11" s="128">
        <v>3</v>
      </c>
      <c r="C11" s="845"/>
      <c r="D11" s="846"/>
      <c r="E11" s="846"/>
      <c r="F11" s="845"/>
      <c r="G11" s="846"/>
      <c r="H11" s="846"/>
      <c r="I11" s="107"/>
      <c r="J11" s="117"/>
      <c r="K11" s="117"/>
      <c r="L11" s="134">
        <f t="shared" si="0"/>
        <v>0</v>
      </c>
      <c r="M11" s="845"/>
      <c r="N11" s="845"/>
      <c r="O11" s="845"/>
      <c r="P11" s="845"/>
      <c r="Q11" s="845"/>
    </row>
    <row r="12" spans="1:17" ht="15.75" customHeight="1">
      <c r="A12" s="841"/>
      <c r="B12" s="128">
        <v>4</v>
      </c>
      <c r="C12" s="845"/>
      <c r="D12" s="846"/>
      <c r="E12" s="846"/>
      <c r="F12" s="845"/>
      <c r="G12" s="846"/>
      <c r="H12" s="846"/>
      <c r="I12" s="107"/>
      <c r="J12" s="117"/>
      <c r="K12" s="117"/>
      <c r="L12" s="134">
        <f t="shared" si="0"/>
        <v>0</v>
      </c>
      <c r="M12" s="845"/>
      <c r="N12" s="845"/>
      <c r="O12" s="845"/>
      <c r="P12" s="845"/>
      <c r="Q12" s="845"/>
    </row>
    <row r="13" spans="1:17" ht="15.75" customHeight="1">
      <c r="A13" s="841"/>
      <c r="B13" s="128">
        <v>5</v>
      </c>
      <c r="C13" s="845"/>
      <c r="D13" s="846"/>
      <c r="E13" s="846"/>
      <c r="F13" s="845"/>
      <c r="G13" s="846"/>
      <c r="H13" s="846"/>
      <c r="I13" s="107"/>
      <c r="J13" s="117"/>
      <c r="K13" s="117"/>
      <c r="L13" s="134">
        <f t="shared" si="0"/>
        <v>0</v>
      </c>
      <c r="M13" s="845"/>
      <c r="N13" s="845"/>
      <c r="O13" s="845"/>
      <c r="P13" s="845"/>
      <c r="Q13" s="845"/>
    </row>
    <row r="14" spans="1:17" ht="15.75" customHeight="1">
      <c r="A14" s="848"/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848"/>
      <c r="O14" s="849"/>
    </row>
    <row r="15" spans="1:17" s="105" customFormat="1" ht="15.75" customHeight="1">
      <c r="A15" s="130" t="s">
        <v>176</v>
      </c>
      <c r="B15" s="130" t="s">
        <v>18</v>
      </c>
      <c r="C15" s="841" t="s">
        <v>12</v>
      </c>
      <c r="D15" s="841"/>
      <c r="E15" s="841"/>
      <c r="F15" s="841" t="s">
        <v>53</v>
      </c>
      <c r="G15" s="841"/>
      <c r="H15" s="841"/>
      <c r="I15" s="130" t="s">
        <v>54</v>
      </c>
      <c r="J15" s="133" t="s">
        <v>19</v>
      </c>
      <c r="K15" s="130" t="s">
        <v>57</v>
      </c>
      <c r="L15" s="130" t="s">
        <v>2</v>
      </c>
      <c r="M15" s="841" t="s">
        <v>50</v>
      </c>
      <c r="N15" s="841"/>
      <c r="O15" s="841"/>
      <c r="P15" s="841"/>
      <c r="Q15" s="841"/>
    </row>
    <row r="16" spans="1:17" ht="15.75" customHeight="1">
      <c r="A16" s="841" t="s">
        <v>177</v>
      </c>
      <c r="B16" s="128">
        <v>1</v>
      </c>
      <c r="C16" s="845"/>
      <c r="D16" s="846"/>
      <c r="E16" s="846"/>
      <c r="F16" s="845"/>
      <c r="G16" s="846"/>
      <c r="H16" s="846"/>
      <c r="I16" s="107"/>
      <c r="J16" s="117"/>
      <c r="K16" s="117"/>
      <c r="L16" s="134">
        <f t="shared" ref="L16:L19" si="1">K16-J16</f>
        <v>0</v>
      </c>
      <c r="M16" s="845"/>
      <c r="N16" s="845"/>
      <c r="O16" s="845"/>
      <c r="P16" s="845"/>
      <c r="Q16" s="845"/>
    </row>
    <row r="17" spans="1:17" ht="15.75" customHeight="1">
      <c r="A17" s="841"/>
      <c r="B17" s="128">
        <v>2</v>
      </c>
      <c r="C17" s="845"/>
      <c r="D17" s="846"/>
      <c r="E17" s="846"/>
      <c r="F17" s="845"/>
      <c r="G17" s="846"/>
      <c r="H17" s="846"/>
      <c r="I17" s="107"/>
      <c r="J17" s="117"/>
      <c r="K17" s="117"/>
      <c r="L17" s="134">
        <f t="shared" si="1"/>
        <v>0</v>
      </c>
      <c r="M17" s="845"/>
      <c r="N17" s="845"/>
      <c r="O17" s="845"/>
      <c r="P17" s="845"/>
      <c r="Q17" s="845"/>
    </row>
    <row r="18" spans="1:17" ht="15.75" customHeight="1">
      <c r="A18" s="841"/>
      <c r="B18" s="128">
        <v>3</v>
      </c>
      <c r="C18" s="845"/>
      <c r="D18" s="846"/>
      <c r="E18" s="846"/>
      <c r="F18" s="845"/>
      <c r="G18" s="846"/>
      <c r="H18" s="846"/>
      <c r="I18" s="107"/>
      <c r="J18" s="117"/>
      <c r="K18" s="117"/>
      <c r="L18" s="134">
        <f t="shared" si="1"/>
        <v>0</v>
      </c>
      <c r="M18" s="845"/>
      <c r="N18" s="845"/>
      <c r="O18" s="845"/>
      <c r="P18" s="845"/>
      <c r="Q18" s="845"/>
    </row>
    <row r="19" spans="1:17" ht="15.75" customHeight="1">
      <c r="A19" s="841"/>
      <c r="B19" s="128">
        <v>4</v>
      </c>
      <c r="C19" s="845"/>
      <c r="D19" s="846"/>
      <c r="E19" s="846"/>
      <c r="F19" s="845"/>
      <c r="G19" s="846"/>
      <c r="H19" s="846"/>
      <c r="I19" s="107"/>
      <c r="J19" s="117"/>
      <c r="K19" s="117"/>
      <c r="L19" s="134">
        <f t="shared" si="1"/>
        <v>0</v>
      </c>
      <c r="M19" s="845"/>
      <c r="N19" s="845"/>
      <c r="O19" s="845"/>
      <c r="P19" s="845"/>
      <c r="Q19" s="845"/>
    </row>
    <row r="20" spans="1:17" ht="15.75" customHeight="1">
      <c r="A20" s="841"/>
      <c r="B20" s="128">
        <v>5</v>
      </c>
      <c r="C20" s="845"/>
      <c r="D20" s="846"/>
      <c r="E20" s="846"/>
      <c r="F20" s="845"/>
      <c r="G20" s="846"/>
      <c r="H20" s="846"/>
      <c r="I20" s="107"/>
      <c r="J20" s="117"/>
      <c r="K20" s="117"/>
      <c r="L20" s="134">
        <f>K20-J20</f>
        <v>0</v>
      </c>
      <c r="M20" s="845"/>
      <c r="N20" s="845"/>
      <c r="O20" s="845"/>
      <c r="P20" s="845"/>
      <c r="Q20" s="84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G49"/>
  <sheetViews>
    <sheetView zoomScale="70" zoomScaleNormal="70" workbookViewId="0">
      <selection activeCell="B4" sqref="B4"/>
    </sheetView>
  </sheetViews>
  <sheetFormatPr defaultColWidth="10.140625" defaultRowHeight="15.75"/>
  <cols>
    <col min="1" max="4" width="25.7109375" style="454" customWidth="1"/>
    <col min="5" max="5" width="33.7109375" style="454" customWidth="1"/>
    <col min="6" max="6" width="25.7109375" style="454" customWidth="1"/>
    <col min="7" max="7" width="33.7109375" style="454" customWidth="1"/>
    <col min="8" max="11" width="25.7109375" style="454" customWidth="1"/>
    <col min="12" max="12" width="26.42578125" style="454" bestFit="1" customWidth="1"/>
    <col min="13" max="14" width="26.42578125" style="454" customWidth="1"/>
    <col min="15" max="15" width="26.140625" style="454" bestFit="1" customWidth="1"/>
    <col min="16" max="16" width="10.140625" style="454"/>
    <col min="17" max="18" width="13.7109375" style="454" bestFit="1" customWidth="1"/>
    <col min="19" max="20" width="10.140625" style="454"/>
    <col min="21" max="21" width="15.140625" style="454" bestFit="1" customWidth="1"/>
    <col min="22" max="23" width="10.140625" style="454"/>
    <col min="24" max="24" width="13.7109375" style="454" bestFit="1" customWidth="1"/>
    <col min="25" max="26" width="10.140625" style="454"/>
    <col min="27" max="27" width="15.140625" style="454" bestFit="1" customWidth="1"/>
    <col min="28" max="29" width="10.140625" style="454"/>
    <col min="30" max="30" width="13.7109375" style="454" bestFit="1" customWidth="1"/>
    <col min="31" max="32" width="10.140625" style="454"/>
    <col min="33" max="33" width="15.140625" style="454" bestFit="1" customWidth="1"/>
    <col min="34" max="16384" width="10.140625" style="454"/>
  </cols>
  <sheetData>
    <row r="1" spans="1:33" ht="27">
      <c r="A1" s="852" t="s">
        <v>516</v>
      </c>
      <c r="B1" s="852"/>
      <c r="C1" s="852"/>
      <c r="D1" s="852"/>
      <c r="E1" s="852"/>
      <c r="F1" s="852"/>
      <c r="G1" s="852"/>
      <c r="H1" s="852"/>
      <c r="I1" s="852"/>
      <c r="J1" s="852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</row>
    <row r="2" spans="1:33" ht="48">
      <c r="A2" s="853" t="s">
        <v>648</v>
      </c>
      <c r="B2" s="855">
        <f>SUM(C9:C39)</f>
        <v>351862.88600000006</v>
      </c>
      <c r="C2" s="853" t="s">
        <v>649</v>
      </c>
      <c r="D2" s="857">
        <f>B2/B48</f>
        <v>2.0069566072447925E-3</v>
      </c>
      <c r="E2" s="456" t="s">
        <v>650</v>
      </c>
      <c r="F2" s="457" t="s">
        <v>651</v>
      </c>
      <c r="G2" s="458" t="s">
        <v>652</v>
      </c>
      <c r="H2" s="459" t="s">
        <v>653</v>
      </c>
      <c r="I2" s="859" t="s">
        <v>579</v>
      </c>
      <c r="J2" s="859" t="s">
        <v>580</v>
      </c>
      <c r="K2" s="453"/>
      <c r="L2" s="443"/>
      <c r="M2" s="453"/>
      <c r="N2" s="453"/>
      <c r="O2" s="453"/>
      <c r="P2" s="453"/>
      <c r="Q2" s="453"/>
      <c r="R2" s="453"/>
      <c r="S2" s="453"/>
      <c r="T2" s="453"/>
      <c r="U2" s="453"/>
      <c r="V2" s="453"/>
    </row>
    <row r="3" spans="1:33" ht="24">
      <c r="A3" s="854"/>
      <c r="B3" s="856"/>
      <c r="C3" s="854"/>
      <c r="D3" s="858"/>
      <c r="E3" s="455">
        <f>SUM(E9:E39)</f>
        <v>1054348.78255985</v>
      </c>
      <c r="F3" s="460">
        <f>E3/B48</f>
        <v>6.0137978163999767E-3</v>
      </c>
      <c r="G3" s="461">
        <f>SUM(G9:G38)</f>
        <v>678847.18104999966</v>
      </c>
      <c r="H3" s="462">
        <f>G3/B48</f>
        <v>3.8720106312030837E-3</v>
      </c>
      <c r="I3" s="860"/>
      <c r="J3" s="860"/>
      <c r="K3" s="463"/>
      <c r="L3" s="464"/>
      <c r="M3" s="453"/>
      <c r="N3" s="453"/>
      <c r="O3" s="453"/>
      <c r="P3" s="453"/>
      <c r="Q3" s="453"/>
      <c r="R3" s="453"/>
      <c r="S3" s="453"/>
      <c r="T3" s="453"/>
      <c r="U3" s="453"/>
      <c r="V3" s="453"/>
    </row>
    <row r="4" spans="1:33" ht="40.5">
      <c r="A4" s="465" t="s">
        <v>581</v>
      </c>
      <c r="B4" s="465" t="s">
        <v>135</v>
      </c>
      <c r="C4" s="465" t="s">
        <v>582</v>
      </c>
      <c r="D4" s="465" t="s">
        <v>583</v>
      </c>
      <c r="E4" s="465" t="s">
        <v>584</v>
      </c>
      <c r="F4" s="465" t="s">
        <v>585</v>
      </c>
      <c r="G4" s="466" t="s">
        <v>586</v>
      </c>
      <c r="H4" s="466" t="s">
        <v>587</v>
      </c>
      <c r="I4" s="861"/>
      <c r="J4" s="861"/>
      <c r="K4" s="453"/>
      <c r="L4" s="443"/>
      <c r="M4" s="444"/>
      <c r="N4" s="443"/>
      <c r="O4" s="467"/>
      <c r="P4" s="443"/>
      <c r="Q4" s="444"/>
      <c r="R4" s="468"/>
      <c r="S4" s="453"/>
      <c r="T4" s="453"/>
      <c r="U4" s="468"/>
      <c r="V4" s="453"/>
      <c r="X4" s="469"/>
      <c r="AA4" s="469"/>
      <c r="AD4" s="469"/>
      <c r="AG4" s="469"/>
    </row>
    <row r="5" spans="1:33" ht="18.75">
      <c r="A5" s="474">
        <v>46231</v>
      </c>
      <c r="B5" s="510">
        <v>6626056.8700000001</v>
      </c>
      <c r="C5" s="445">
        <v>13277.1584</v>
      </c>
      <c r="D5" s="511">
        <f t="shared" ref="D5:D46" si="0">C5/B5</f>
        <v>2.003779723067786E-3</v>
      </c>
      <c r="E5" s="445">
        <v>39781.560499999985</v>
      </c>
      <c r="F5" s="471">
        <f t="shared" ref="F5:F46" si="1">E5/B5</f>
        <v>6.0038060765995179E-3</v>
      </c>
      <c r="G5" s="472">
        <f t="shared" ref="G5:G46" si="2">E5-C5</f>
        <v>26504.402099999985</v>
      </c>
      <c r="H5" s="473">
        <f t="shared" ref="H5:H46" si="3">G5/B5</f>
        <v>4.0000263535317328E-3</v>
      </c>
      <c r="I5" s="851">
        <f>SUM(C5:C11)</f>
        <v>85080.957900000009</v>
      </c>
      <c r="J5" s="851">
        <f>SUM(E5:E11)</f>
        <v>255308.68299999996</v>
      </c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</row>
    <row r="6" spans="1:33" ht="18.75">
      <c r="A6" s="474">
        <f t="shared" ref="A6:A46" si="4">A5+1</f>
        <v>46232</v>
      </c>
      <c r="B6" s="510">
        <v>6255627.21</v>
      </c>
      <c r="C6" s="445">
        <v>12523.439700000003</v>
      </c>
      <c r="D6" s="511">
        <f t="shared" si="0"/>
        <v>2.001947891009318E-3</v>
      </c>
      <c r="E6" s="445">
        <v>37544.726500000004</v>
      </c>
      <c r="F6" s="471">
        <f t="shared" si="1"/>
        <v>6.001752540493858E-3</v>
      </c>
      <c r="G6" s="472">
        <f t="shared" si="2"/>
        <v>25021.286800000002</v>
      </c>
      <c r="H6" s="473">
        <f t="shared" si="3"/>
        <v>3.99980464948454E-3</v>
      </c>
      <c r="I6" s="851"/>
      <c r="J6" s="851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</row>
    <row r="7" spans="1:33" ht="18.75">
      <c r="A7" s="474">
        <f t="shared" si="4"/>
        <v>46233</v>
      </c>
      <c r="B7" s="510">
        <v>5785963.21</v>
      </c>
      <c r="C7" s="445">
        <v>11563.415300000004</v>
      </c>
      <c r="D7" s="511">
        <f t="shared" si="0"/>
        <v>1.998529005510217E-3</v>
      </c>
      <c r="E7" s="445">
        <v>34707.423399999992</v>
      </c>
      <c r="F7" s="471">
        <f t="shared" si="1"/>
        <v>5.9985558394174427E-3</v>
      </c>
      <c r="G7" s="472">
        <f t="shared" si="2"/>
        <v>23144.008099999988</v>
      </c>
      <c r="H7" s="473">
        <f t="shared" si="3"/>
        <v>4.0000268339072257E-3</v>
      </c>
      <c r="I7" s="851"/>
      <c r="J7" s="851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</row>
    <row r="8" spans="1:33" ht="18.75">
      <c r="A8" s="474">
        <f t="shared" si="4"/>
        <v>46234</v>
      </c>
      <c r="B8" s="510">
        <v>4936115.0199999996</v>
      </c>
      <c r="C8" s="445">
        <v>9854.7837999999956</v>
      </c>
      <c r="D8" s="511">
        <f t="shared" si="0"/>
        <v>1.9964655928945505E-3</v>
      </c>
      <c r="E8" s="445">
        <v>29598.431699999994</v>
      </c>
      <c r="F8" s="471">
        <f t="shared" si="1"/>
        <v>5.9963010545892826E-3</v>
      </c>
      <c r="G8" s="472">
        <f t="shared" si="2"/>
        <v>19743.647899999996</v>
      </c>
      <c r="H8" s="473">
        <f t="shared" si="3"/>
        <v>3.9998354616947313E-3</v>
      </c>
      <c r="I8" s="851"/>
      <c r="J8" s="851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</row>
    <row r="9" spans="1:33" ht="18.75">
      <c r="A9" s="474">
        <f t="shared" si="4"/>
        <v>46235</v>
      </c>
      <c r="B9" s="510">
        <v>5278918.5600000005</v>
      </c>
      <c r="C9" s="445">
        <v>10569.7711</v>
      </c>
      <c r="D9" s="511">
        <f t="shared" si="0"/>
        <v>2.0022606865145497E-3</v>
      </c>
      <c r="E9" s="445">
        <v>31686.342000000004</v>
      </c>
      <c r="F9" s="471">
        <f t="shared" si="1"/>
        <v>6.002430543274E-3</v>
      </c>
      <c r="G9" s="472">
        <f t="shared" si="2"/>
        <v>21116.570900000006</v>
      </c>
      <c r="H9" s="473">
        <f t="shared" si="3"/>
        <v>4.0001698567594503E-3</v>
      </c>
      <c r="I9" s="851"/>
      <c r="J9" s="851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</row>
    <row r="10" spans="1:33" ht="18.75">
      <c r="A10" s="474">
        <f t="shared" si="4"/>
        <v>46236</v>
      </c>
      <c r="B10" s="510">
        <v>6878371.459999999</v>
      </c>
      <c r="C10" s="445">
        <v>13798.472</v>
      </c>
      <c r="D10" s="511">
        <f t="shared" si="0"/>
        <v>2.0060667092847008E-3</v>
      </c>
      <c r="E10" s="445">
        <v>41544.367100000003</v>
      </c>
      <c r="F10" s="471">
        <f t="shared" si="1"/>
        <v>6.039855122915971E-3</v>
      </c>
      <c r="G10" s="472">
        <f t="shared" si="2"/>
        <v>27745.895100000002</v>
      </c>
      <c r="H10" s="473">
        <f t="shared" si="3"/>
        <v>4.0337884136312707E-3</v>
      </c>
      <c r="I10" s="851"/>
      <c r="J10" s="851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</row>
    <row r="11" spans="1:33" ht="18.75">
      <c r="A11" s="474">
        <f t="shared" si="4"/>
        <v>46237</v>
      </c>
      <c r="B11" s="510">
        <v>6725813.830000001</v>
      </c>
      <c r="C11" s="445">
        <v>13493.917600000004</v>
      </c>
      <c r="D11" s="511">
        <f t="shared" si="0"/>
        <v>2.0062877060038997E-3</v>
      </c>
      <c r="E11" s="445">
        <v>40445.831799999978</v>
      </c>
      <c r="F11" s="471">
        <f t="shared" si="1"/>
        <v>6.0135223516884009E-3</v>
      </c>
      <c r="G11" s="472">
        <f t="shared" si="2"/>
        <v>26951.914199999974</v>
      </c>
      <c r="H11" s="473">
        <f t="shared" si="3"/>
        <v>4.0072346456845017E-3</v>
      </c>
      <c r="I11" s="851"/>
      <c r="J11" s="851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</row>
    <row r="12" spans="1:33" ht="18.75">
      <c r="A12" s="470">
        <f t="shared" si="4"/>
        <v>46238</v>
      </c>
      <c r="B12" s="510">
        <v>6631265.1099999994</v>
      </c>
      <c r="C12" s="445">
        <v>13286.170599999998</v>
      </c>
      <c r="D12" s="511">
        <f t="shared" si="0"/>
        <v>2.0035649879182704E-3</v>
      </c>
      <c r="E12" s="445">
        <v>39842.499800000005</v>
      </c>
      <c r="F12" s="471">
        <f t="shared" si="1"/>
        <v>6.0082803415470757E-3</v>
      </c>
      <c r="G12" s="472">
        <f t="shared" si="2"/>
        <v>26556.329200000007</v>
      </c>
      <c r="H12" s="473">
        <f t="shared" si="3"/>
        <v>4.0047153536288058E-3</v>
      </c>
      <c r="I12" s="850">
        <f>SUM(C12:C18)</f>
        <v>83879.815799999997</v>
      </c>
      <c r="J12" s="850">
        <f>SUM(E12:E18)</f>
        <v>251578.55800000002</v>
      </c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</row>
    <row r="13" spans="1:33" ht="19.5" customHeight="1">
      <c r="A13" s="470">
        <f t="shared" si="4"/>
        <v>46239</v>
      </c>
      <c r="B13" s="510">
        <v>6359055.9800000004</v>
      </c>
      <c r="C13" s="445">
        <v>12730.983699999997</v>
      </c>
      <c r="D13" s="511">
        <f t="shared" si="0"/>
        <v>2.0020241589381316E-3</v>
      </c>
      <c r="E13" s="445">
        <v>38169.582899999987</v>
      </c>
      <c r="F13" s="471">
        <f t="shared" si="1"/>
        <v>6.0023976860791818E-3</v>
      </c>
      <c r="G13" s="472">
        <f t="shared" si="2"/>
        <v>25438.59919999999</v>
      </c>
      <c r="H13" s="473">
        <f t="shared" si="3"/>
        <v>4.0003735271410502E-3</v>
      </c>
      <c r="I13" s="850"/>
      <c r="J13" s="850"/>
      <c r="K13" s="453"/>
      <c r="L13" s="453"/>
      <c r="M13" s="453"/>
      <c r="N13" s="453"/>
      <c r="O13" s="453"/>
      <c r="P13" s="453"/>
      <c r="Q13" s="453"/>
      <c r="R13" s="453"/>
      <c r="S13" s="453"/>
      <c r="T13" s="453"/>
      <c r="U13" s="453"/>
      <c r="V13" s="453"/>
    </row>
    <row r="14" spans="1:33" ht="19.5" customHeight="1">
      <c r="A14" s="470">
        <f t="shared" si="4"/>
        <v>46240</v>
      </c>
      <c r="B14" s="510">
        <v>5817645.9100000011</v>
      </c>
      <c r="C14" s="445">
        <v>11623.718500000006</v>
      </c>
      <c r="D14" s="511">
        <f t="shared" si="0"/>
        <v>1.9980106523877464E-3</v>
      </c>
      <c r="E14" s="445">
        <v>34928.446999999993</v>
      </c>
      <c r="F14" s="471">
        <f t="shared" si="1"/>
        <v>6.0038798408066033E-3</v>
      </c>
      <c r="G14" s="472">
        <f t="shared" si="2"/>
        <v>23304.728499999987</v>
      </c>
      <c r="H14" s="473">
        <f t="shared" si="3"/>
        <v>4.0058691884188565E-3</v>
      </c>
      <c r="I14" s="850"/>
      <c r="J14" s="850"/>
      <c r="K14" s="453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</row>
    <row r="15" spans="1:33" ht="19.5" customHeight="1">
      <c r="A15" s="470">
        <f t="shared" si="4"/>
        <v>46241</v>
      </c>
      <c r="B15" s="510">
        <v>4858510.08</v>
      </c>
      <c r="C15" s="445">
        <v>9699.203300000001</v>
      </c>
      <c r="D15" s="511">
        <f t="shared" si="0"/>
        <v>1.9963328551949821E-3</v>
      </c>
      <c r="E15" s="445">
        <v>29133.017699999989</v>
      </c>
      <c r="F15" s="471">
        <f t="shared" si="1"/>
        <v>5.9962863553429096E-3</v>
      </c>
      <c r="G15" s="472">
        <f t="shared" si="2"/>
        <v>19433.814399999988</v>
      </c>
      <c r="H15" s="473">
        <f t="shared" si="3"/>
        <v>3.9999535001479279E-3</v>
      </c>
      <c r="I15" s="850"/>
      <c r="J15" s="850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</row>
    <row r="16" spans="1:33" ht="19.5" customHeight="1">
      <c r="A16" s="470">
        <f t="shared" si="4"/>
        <v>46242</v>
      </c>
      <c r="B16" s="510">
        <v>5207709.9500000011</v>
      </c>
      <c r="C16" s="445">
        <v>10427.265900000006</v>
      </c>
      <c r="D16" s="511">
        <f t="shared" si="0"/>
        <v>2.0022747042584433E-3</v>
      </c>
      <c r="E16" s="445">
        <v>31289.272199999996</v>
      </c>
      <c r="F16" s="471">
        <f t="shared" si="1"/>
        <v>6.0082593885629112E-3</v>
      </c>
      <c r="G16" s="472">
        <f t="shared" si="2"/>
        <v>20862.00629999999</v>
      </c>
      <c r="H16" s="473">
        <f t="shared" si="3"/>
        <v>4.0059846843044679E-3</v>
      </c>
      <c r="I16" s="850"/>
      <c r="J16" s="850"/>
      <c r="K16" s="453"/>
      <c r="L16" s="453"/>
      <c r="M16" s="453"/>
      <c r="N16" s="453"/>
      <c r="O16" s="453"/>
      <c r="P16" s="453"/>
      <c r="Q16" s="453"/>
      <c r="R16" s="453"/>
      <c r="S16" s="453"/>
      <c r="T16" s="453"/>
      <c r="U16" s="453"/>
      <c r="V16" s="453"/>
    </row>
    <row r="17" spans="1:22" ht="19.5" customHeight="1">
      <c r="A17" s="470">
        <f t="shared" si="4"/>
        <v>46243</v>
      </c>
      <c r="B17" s="510">
        <v>6655646.0600000005</v>
      </c>
      <c r="C17" s="445">
        <v>13391.190799999998</v>
      </c>
      <c r="D17" s="511">
        <f t="shared" si="0"/>
        <v>2.0120046467735392E-3</v>
      </c>
      <c r="E17" s="445">
        <v>40096.119000000028</v>
      </c>
      <c r="F17" s="471">
        <f t="shared" si="1"/>
        <v>6.0243766928916326E-3</v>
      </c>
      <c r="G17" s="472">
        <f t="shared" si="2"/>
        <v>26704.928200000031</v>
      </c>
      <c r="H17" s="473">
        <f t="shared" si="3"/>
        <v>4.0123720461180939E-3</v>
      </c>
      <c r="I17" s="850"/>
      <c r="J17" s="850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</row>
    <row r="18" spans="1:22" ht="19.5" customHeight="1">
      <c r="A18" s="470">
        <f t="shared" si="4"/>
        <v>46244</v>
      </c>
      <c r="B18" s="510">
        <v>6334097.5899999989</v>
      </c>
      <c r="C18" s="445">
        <v>12721.283000000001</v>
      </c>
      <c r="D18" s="511">
        <f t="shared" si="0"/>
        <v>2.0083812759822042E-3</v>
      </c>
      <c r="E18" s="445">
        <v>38119.619399999981</v>
      </c>
      <c r="F18" s="471">
        <f t="shared" si="1"/>
        <v>6.0181610495205502E-3</v>
      </c>
      <c r="G18" s="472">
        <f t="shared" si="2"/>
        <v>25398.336399999978</v>
      </c>
      <c r="H18" s="473">
        <f t="shared" si="3"/>
        <v>4.009779773538346E-3</v>
      </c>
      <c r="I18" s="850"/>
      <c r="J18" s="850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</row>
    <row r="19" spans="1:22" ht="19.5" customHeight="1">
      <c r="A19" s="474">
        <f t="shared" si="4"/>
        <v>46245</v>
      </c>
      <c r="B19" s="510">
        <v>5779689.7400000012</v>
      </c>
      <c r="C19" s="445">
        <v>11591.330399999999</v>
      </c>
      <c r="D19" s="511">
        <f t="shared" si="0"/>
        <v>2.0055281375709272E-3</v>
      </c>
      <c r="E19" s="445">
        <v>34773.205399999984</v>
      </c>
      <c r="F19" s="471">
        <f t="shared" si="1"/>
        <v>6.0164484538576595E-3</v>
      </c>
      <c r="G19" s="472">
        <f t="shared" si="2"/>
        <v>23181.874999999985</v>
      </c>
      <c r="H19" s="473">
        <f t="shared" si="3"/>
        <v>4.0109203162867323E-3</v>
      </c>
      <c r="I19" s="851">
        <f>SUM(C19:C25)</f>
        <v>76818.528200000015</v>
      </c>
      <c r="J19" s="851">
        <f>SUM(E19:E25)</f>
        <v>230163.40269999992</v>
      </c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</row>
    <row r="20" spans="1:22" ht="19.5" customHeight="1">
      <c r="A20" s="474">
        <f t="shared" si="4"/>
        <v>46246</v>
      </c>
      <c r="B20" s="510">
        <v>5663016.0200000005</v>
      </c>
      <c r="C20" s="445">
        <v>11350.168600000003</v>
      </c>
      <c r="D20" s="511">
        <f t="shared" si="0"/>
        <v>2.0042621387463427E-3</v>
      </c>
      <c r="E20" s="445">
        <v>34036.167799999988</v>
      </c>
      <c r="F20" s="471">
        <f t="shared" si="1"/>
        <v>6.0102545498361467E-3</v>
      </c>
      <c r="G20" s="472">
        <f t="shared" si="2"/>
        <v>22685.999199999984</v>
      </c>
      <c r="H20" s="473">
        <f t="shared" si="3"/>
        <v>4.0059924110898036E-3</v>
      </c>
      <c r="I20" s="851"/>
      <c r="J20" s="851"/>
      <c r="K20" s="453"/>
      <c r="L20" s="453"/>
      <c r="M20" s="453"/>
      <c r="N20" s="453"/>
      <c r="O20" s="453"/>
      <c r="P20" s="453"/>
      <c r="Q20" s="453"/>
      <c r="R20" s="453"/>
      <c r="S20" s="453"/>
      <c r="T20" s="453"/>
      <c r="U20" s="453"/>
      <c r="V20" s="453"/>
    </row>
    <row r="21" spans="1:22" ht="19.5" customHeight="1">
      <c r="A21" s="474">
        <f t="shared" si="4"/>
        <v>46247</v>
      </c>
      <c r="B21" s="510">
        <v>5284211.2599999988</v>
      </c>
      <c r="C21" s="445">
        <v>10587.487999999999</v>
      </c>
      <c r="D21" s="511">
        <f t="shared" si="0"/>
        <v>2.0036080086623942E-3</v>
      </c>
      <c r="E21" s="445">
        <v>31735.899099999981</v>
      </c>
      <c r="F21" s="471">
        <f t="shared" si="1"/>
        <v>6.005796804573629E-3</v>
      </c>
      <c r="G21" s="472">
        <f t="shared" si="2"/>
        <v>21148.411099999983</v>
      </c>
      <c r="H21" s="473">
        <f t="shared" si="3"/>
        <v>4.0021887959112348E-3</v>
      </c>
      <c r="I21" s="851"/>
      <c r="J21" s="851"/>
      <c r="K21" s="453"/>
      <c r="L21" s="453"/>
      <c r="M21" s="453"/>
      <c r="N21" s="453"/>
      <c r="O21" s="453"/>
      <c r="P21" s="453"/>
      <c r="Q21" s="453"/>
      <c r="R21" s="453"/>
      <c r="S21" s="453"/>
      <c r="T21" s="453"/>
      <c r="U21" s="453"/>
      <c r="V21" s="453"/>
    </row>
    <row r="22" spans="1:22" ht="19.5" customHeight="1">
      <c r="A22" s="474">
        <f t="shared" si="4"/>
        <v>46248</v>
      </c>
      <c r="B22" s="510">
        <v>4470999.01</v>
      </c>
      <c r="C22" s="445">
        <v>8950.7318000000014</v>
      </c>
      <c r="D22" s="511">
        <f t="shared" si="0"/>
        <v>2.0019534291956824E-3</v>
      </c>
      <c r="E22" s="445">
        <v>26842.667499999989</v>
      </c>
      <c r="F22" s="471">
        <f t="shared" si="1"/>
        <v>6.0037292426061151E-3</v>
      </c>
      <c r="G22" s="472">
        <f t="shared" si="2"/>
        <v>17891.935699999987</v>
      </c>
      <c r="H22" s="473">
        <f t="shared" si="3"/>
        <v>4.0017758134104327E-3</v>
      </c>
      <c r="I22" s="851"/>
      <c r="J22" s="851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</row>
    <row r="23" spans="1:22" ht="19.5" customHeight="1">
      <c r="A23" s="474">
        <f t="shared" si="4"/>
        <v>46249</v>
      </c>
      <c r="B23" s="510">
        <v>4735598.2300000014</v>
      </c>
      <c r="C23" s="445">
        <v>9489.5119999999988</v>
      </c>
      <c r="D23" s="511">
        <f t="shared" si="0"/>
        <v>2.0038676296236383E-3</v>
      </c>
      <c r="E23" s="445">
        <v>28450.71059999998</v>
      </c>
      <c r="F23" s="471">
        <f t="shared" si="1"/>
        <v>6.0078387604262564E-3</v>
      </c>
      <c r="G23" s="472">
        <f t="shared" si="2"/>
        <v>18961.198599999982</v>
      </c>
      <c r="H23" s="473">
        <f t="shared" si="3"/>
        <v>4.0039711308026181E-3</v>
      </c>
      <c r="I23" s="851"/>
      <c r="J23" s="851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</row>
    <row r="24" spans="1:22" ht="18.75">
      <c r="A24" s="474">
        <f t="shared" si="4"/>
        <v>46250</v>
      </c>
      <c r="B24" s="510">
        <v>6269913.0900000008</v>
      </c>
      <c r="C24" s="445">
        <v>12630.162300000004</v>
      </c>
      <c r="D24" s="511">
        <f t="shared" si="0"/>
        <v>2.014407874352211E-3</v>
      </c>
      <c r="E24" s="445">
        <v>37744.26999999999</v>
      </c>
      <c r="F24" s="471">
        <f t="shared" si="1"/>
        <v>6.0199032200620164E-3</v>
      </c>
      <c r="G24" s="472">
        <f t="shared" si="2"/>
        <v>25114.107699999986</v>
      </c>
      <c r="H24" s="473">
        <f t="shared" si="3"/>
        <v>4.0054953457098049E-3</v>
      </c>
      <c r="I24" s="851"/>
      <c r="J24" s="851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</row>
    <row r="25" spans="1:22" ht="18.75">
      <c r="A25" s="474">
        <f t="shared" si="4"/>
        <v>46251</v>
      </c>
      <c r="B25" s="510">
        <v>6084577.5199999996</v>
      </c>
      <c r="C25" s="445">
        <v>12219.135100000005</v>
      </c>
      <c r="D25" s="511">
        <f t="shared" si="0"/>
        <v>2.0082142202701371E-3</v>
      </c>
      <c r="E25" s="445">
        <v>36580.482299999989</v>
      </c>
      <c r="F25" s="471">
        <f t="shared" si="1"/>
        <v>6.012000369747938E-3</v>
      </c>
      <c r="G25" s="472">
        <f t="shared" si="2"/>
        <v>24361.347199999982</v>
      </c>
      <c r="H25" s="473">
        <f t="shared" si="3"/>
        <v>4.0037861494778004E-3</v>
      </c>
      <c r="I25" s="851"/>
      <c r="J25" s="851"/>
      <c r="K25" s="453"/>
      <c r="L25" s="453"/>
      <c r="M25" s="453"/>
      <c r="N25" s="453"/>
      <c r="O25" s="453"/>
      <c r="P25" s="453"/>
      <c r="Q25" s="453"/>
      <c r="R25" s="453"/>
      <c r="S25" s="453"/>
      <c r="T25" s="453"/>
      <c r="U25" s="453"/>
      <c r="V25" s="453"/>
    </row>
    <row r="26" spans="1:22" ht="19.5" customHeight="1">
      <c r="A26" s="470">
        <f t="shared" si="4"/>
        <v>46252</v>
      </c>
      <c r="B26" s="510">
        <v>6583839.5199999986</v>
      </c>
      <c r="C26" s="445">
        <v>13246.760499999997</v>
      </c>
      <c r="D26" s="511">
        <f t="shared" si="0"/>
        <v>2.0120114501211294E-3</v>
      </c>
      <c r="E26" s="445">
        <v>39662.875700000041</v>
      </c>
      <c r="F26" s="471">
        <f t="shared" si="1"/>
        <v>6.0242774113060471E-3</v>
      </c>
      <c r="G26" s="472">
        <f t="shared" si="2"/>
        <v>26416.115200000044</v>
      </c>
      <c r="H26" s="473">
        <f t="shared" si="3"/>
        <v>4.0122659611849182E-3</v>
      </c>
      <c r="I26" s="850">
        <f>SUM(C26:C32)</f>
        <v>79453.050500000012</v>
      </c>
      <c r="J26" s="850">
        <f>SUM(E26:E32)</f>
        <v>237927.01724999998</v>
      </c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</row>
    <row r="27" spans="1:22" ht="19.5" customHeight="1">
      <c r="A27" s="470">
        <f t="shared" si="4"/>
        <v>46253</v>
      </c>
      <c r="B27" s="510">
        <v>5965361.700000002</v>
      </c>
      <c r="C27" s="445">
        <v>11966.639100000002</v>
      </c>
      <c r="D27" s="511">
        <f t="shared" si="0"/>
        <v>2.0060207078474385E-3</v>
      </c>
      <c r="E27" s="445">
        <v>35860.800900000017</v>
      </c>
      <c r="F27" s="471">
        <f t="shared" si="1"/>
        <v>6.0115048681792429E-3</v>
      </c>
      <c r="G27" s="472">
        <f t="shared" si="2"/>
        <v>23894.161800000016</v>
      </c>
      <c r="H27" s="473">
        <f t="shared" si="3"/>
        <v>4.0054841603318053E-3</v>
      </c>
      <c r="I27" s="850"/>
      <c r="J27" s="850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</row>
    <row r="28" spans="1:22" ht="19.5" customHeight="1">
      <c r="A28" s="470">
        <f t="shared" si="4"/>
        <v>46254</v>
      </c>
      <c r="B28" s="510">
        <v>5515098.4399999985</v>
      </c>
      <c r="C28" s="445">
        <v>11073.432899999998</v>
      </c>
      <c r="D28" s="511">
        <f t="shared" si="0"/>
        <v>2.0078395735761336E-3</v>
      </c>
      <c r="E28" s="445">
        <v>33209.806469999967</v>
      </c>
      <c r="F28" s="471">
        <f t="shared" si="1"/>
        <v>6.0216162651123908E-3</v>
      </c>
      <c r="G28" s="472">
        <f t="shared" si="2"/>
        <v>22136.373569999967</v>
      </c>
      <c r="H28" s="473">
        <f t="shared" si="3"/>
        <v>4.0137766915362572E-3</v>
      </c>
      <c r="I28" s="850"/>
      <c r="J28" s="850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</row>
    <row r="29" spans="1:22" ht="19.5" customHeight="1">
      <c r="A29" s="470">
        <f t="shared" si="4"/>
        <v>46255</v>
      </c>
      <c r="B29" s="510">
        <v>4265125.8000000007</v>
      </c>
      <c r="C29" s="445">
        <v>8553.2546999999977</v>
      </c>
      <c r="D29" s="511">
        <f t="shared" si="0"/>
        <v>2.0053932993019797E-3</v>
      </c>
      <c r="E29" s="445">
        <v>25640.929499999987</v>
      </c>
      <c r="F29" s="471">
        <f t="shared" si="1"/>
        <v>6.0117639437504942E-3</v>
      </c>
      <c r="G29" s="472">
        <f t="shared" si="2"/>
        <v>17087.67479999999</v>
      </c>
      <c r="H29" s="473">
        <f t="shared" si="3"/>
        <v>4.0063706444485149E-3</v>
      </c>
      <c r="I29" s="850"/>
      <c r="J29" s="850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</row>
    <row r="30" spans="1:22" ht="19.5" customHeight="1">
      <c r="A30" s="470">
        <f t="shared" si="4"/>
        <v>46256</v>
      </c>
      <c r="B30" s="510">
        <v>4672768.7700000005</v>
      </c>
      <c r="C30" s="445">
        <v>9391.6960000000017</v>
      </c>
      <c r="D30" s="511">
        <f t="shared" si="0"/>
        <v>2.009878181924247E-3</v>
      </c>
      <c r="E30" s="445">
        <v>28082.390839999975</v>
      </c>
      <c r="F30" s="471">
        <f t="shared" si="1"/>
        <v>6.0097968083278322E-3</v>
      </c>
      <c r="G30" s="472">
        <f t="shared" si="2"/>
        <v>18690.694839999975</v>
      </c>
      <c r="H30" s="473">
        <f t="shared" si="3"/>
        <v>3.999918626403586E-3</v>
      </c>
      <c r="I30" s="850"/>
      <c r="J30" s="850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</row>
    <row r="31" spans="1:22" ht="19.5" customHeight="1">
      <c r="A31" s="470">
        <f t="shared" si="4"/>
        <v>46257</v>
      </c>
      <c r="B31" s="510">
        <v>6356809.7199999988</v>
      </c>
      <c r="C31" s="445">
        <v>12804.660800000001</v>
      </c>
      <c r="D31" s="511">
        <f t="shared" si="0"/>
        <v>2.0143218633261219E-3</v>
      </c>
      <c r="E31" s="445">
        <v>38291.61903999999</v>
      </c>
      <c r="F31" s="471">
        <f t="shared" si="1"/>
        <v>6.023716412263477E-3</v>
      </c>
      <c r="G31" s="472">
        <f t="shared" si="2"/>
        <v>25486.958239999989</v>
      </c>
      <c r="H31" s="473">
        <f t="shared" si="3"/>
        <v>4.0093945489373551E-3</v>
      </c>
      <c r="I31" s="850"/>
      <c r="J31" s="850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</row>
    <row r="32" spans="1:22" ht="19.5" customHeight="1">
      <c r="A32" s="470">
        <f t="shared" si="4"/>
        <v>46258</v>
      </c>
      <c r="B32" s="510">
        <v>6178265.8500000015</v>
      </c>
      <c r="C32" s="445">
        <v>12416.606500000002</v>
      </c>
      <c r="D32" s="511">
        <f t="shared" si="0"/>
        <v>2.0097235699237511E-3</v>
      </c>
      <c r="E32" s="445">
        <v>37178.594800000006</v>
      </c>
      <c r="F32" s="471">
        <f t="shared" si="1"/>
        <v>6.0176424424986498E-3</v>
      </c>
      <c r="G32" s="472">
        <f t="shared" si="2"/>
        <v>24761.988300000005</v>
      </c>
      <c r="H32" s="473">
        <f t="shared" si="3"/>
        <v>4.0079188725748987E-3</v>
      </c>
      <c r="I32" s="850"/>
      <c r="J32" s="850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</row>
    <row r="33" spans="1:22" ht="19.5" customHeight="1">
      <c r="A33" s="474">
        <f t="shared" si="4"/>
        <v>46259</v>
      </c>
      <c r="B33" s="510">
        <v>6384123.5299999984</v>
      </c>
      <c r="C33" s="445">
        <v>12792.113900000002</v>
      </c>
      <c r="D33" s="511">
        <f t="shared" si="0"/>
        <v>2.0037384677611346E-3</v>
      </c>
      <c r="E33" s="445">
        <v>38391.420899999983</v>
      </c>
      <c r="F33" s="471">
        <f t="shared" si="1"/>
        <v>6.0135773876543383E-3</v>
      </c>
      <c r="G33" s="472">
        <f t="shared" si="2"/>
        <v>25599.306999999979</v>
      </c>
      <c r="H33" s="473">
        <f t="shared" si="3"/>
        <v>4.0098389198932032E-3</v>
      </c>
      <c r="I33" s="851">
        <f>SUM(C33:C39)</f>
        <v>73849.330800000011</v>
      </c>
      <c r="J33" s="851">
        <f>SUM(E33:E39)</f>
        <v>221003.26370985003</v>
      </c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V33" s="453"/>
    </row>
    <row r="34" spans="1:22" ht="19.5" customHeight="1">
      <c r="A34" s="474">
        <f t="shared" si="4"/>
        <v>46260</v>
      </c>
      <c r="B34" s="510">
        <v>5681937.0600000005</v>
      </c>
      <c r="C34" s="445">
        <v>11467.072200000002</v>
      </c>
      <c r="D34" s="511">
        <f t="shared" si="0"/>
        <v>2.0181624820743791E-3</v>
      </c>
      <c r="E34" s="445">
        <v>34193.186500000018</v>
      </c>
      <c r="F34" s="471">
        <f t="shared" si="1"/>
        <v>6.017874914651028E-3</v>
      </c>
      <c r="G34" s="472">
        <f t="shared" si="2"/>
        <v>22726.114300000016</v>
      </c>
      <c r="H34" s="473">
        <f t="shared" si="3"/>
        <v>3.9997124325766489E-3</v>
      </c>
      <c r="I34" s="851"/>
      <c r="J34" s="851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V34" s="453"/>
    </row>
    <row r="35" spans="1:22" ht="19.5" customHeight="1">
      <c r="A35" s="474">
        <f t="shared" si="4"/>
        <v>46261</v>
      </c>
      <c r="B35" s="510">
        <v>4735272.8999999994</v>
      </c>
      <c r="C35" s="445">
        <v>9525.7897000000012</v>
      </c>
      <c r="D35" s="511">
        <f t="shared" si="0"/>
        <v>2.0116664659390595E-3</v>
      </c>
      <c r="E35" s="445">
        <v>28468.26270000001</v>
      </c>
      <c r="F35" s="471">
        <f t="shared" si="1"/>
        <v>6.0119581914698126E-3</v>
      </c>
      <c r="G35" s="472">
        <f t="shared" si="2"/>
        <v>18942.473000000009</v>
      </c>
      <c r="H35" s="473">
        <f t="shared" si="3"/>
        <v>4.0002917255307531E-3</v>
      </c>
      <c r="I35" s="851"/>
      <c r="J35" s="851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</row>
    <row r="36" spans="1:22" ht="19.5" customHeight="1">
      <c r="A36" s="474">
        <f t="shared" si="4"/>
        <v>46262</v>
      </c>
      <c r="B36" s="510">
        <v>3911723.8000000003</v>
      </c>
      <c r="C36" s="445">
        <v>7824.7946000000029</v>
      </c>
      <c r="D36" s="511">
        <f t="shared" si="0"/>
        <v>2.0003443494655739E-3</v>
      </c>
      <c r="E36" s="445">
        <v>23507.562500000004</v>
      </c>
      <c r="F36" s="471">
        <f t="shared" si="1"/>
        <v>6.0095149100250897E-3</v>
      </c>
      <c r="G36" s="472">
        <f t="shared" si="2"/>
        <v>15682.767900000001</v>
      </c>
      <c r="H36" s="473">
        <f t="shared" si="3"/>
        <v>4.0091705605595157E-3</v>
      </c>
      <c r="I36" s="851"/>
      <c r="J36" s="851"/>
      <c r="K36" s="453"/>
      <c r="L36" s="453"/>
      <c r="M36" s="453"/>
      <c r="N36" s="453"/>
      <c r="O36" s="453"/>
      <c r="P36" s="453"/>
      <c r="Q36" s="453"/>
      <c r="R36" s="453"/>
      <c r="S36" s="453"/>
      <c r="T36" s="453"/>
      <c r="U36" s="453"/>
      <c r="V36" s="453"/>
    </row>
    <row r="37" spans="1:22" ht="19.5" customHeight="1">
      <c r="A37" s="474">
        <f t="shared" si="4"/>
        <v>46263</v>
      </c>
      <c r="B37" s="510">
        <v>4263630.51</v>
      </c>
      <c r="C37" s="445">
        <v>8542.9051000000018</v>
      </c>
      <c r="D37" s="511">
        <f t="shared" si="0"/>
        <v>2.0036691922443351E-3</v>
      </c>
      <c r="E37" s="445">
        <v>25605.174999999996</v>
      </c>
      <c r="F37" s="471">
        <f t="shared" si="1"/>
        <v>6.0054863900483712E-3</v>
      </c>
      <c r="G37" s="472">
        <f t="shared" si="2"/>
        <v>17062.269899999992</v>
      </c>
      <c r="H37" s="473">
        <f t="shared" si="3"/>
        <v>4.0018171978040357E-3</v>
      </c>
      <c r="I37" s="851"/>
      <c r="J37" s="851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</row>
    <row r="38" spans="1:22" ht="18.75">
      <c r="A38" s="474">
        <f t="shared" si="4"/>
        <v>46264</v>
      </c>
      <c r="B38" s="510">
        <v>5874431.6899999995</v>
      </c>
      <c r="C38" s="445">
        <v>11829.432999999995</v>
      </c>
      <c r="D38" s="511">
        <f t="shared" si="0"/>
        <v>2.0137153046033626E-3</v>
      </c>
      <c r="E38" s="445">
        <v>35331.7183</v>
      </c>
      <c r="F38" s="471">
        <f t="shared" si="1"/>
        <v>6.0144913013704653E-3</v>
      </c>
      <c r="G38" s="472">
        <f t="shared" si="2"/>
        <v>23502.285300000003</v>
      </c>
      <c r="H38" s="473">
        <f t="shared" si="3"/>
        <v>4.0007759967671027E-3</v>
      </c>
      <c r="I38" s="851"/>
      <c r="J38" s="851"/>
      <c r="K38" s="453"/>
      <c r="L38" s="453"/>
      <c r="M38" s="453"/>
      <c r="N38" s="453"/>
      <c r="O38" s="453"/>
      <c r="P38" s="453"/>
      <c r="Q38" s="453"/>
      <c r="R38" s="453"/>
      <c r="S38" s="453"/>
      <c r="T38" s="453"/>
      <c r="U38" s="453"/>
      <c r="V38" s="453"/>
    </row>
    <row r="39" spans="1:22" ht="18.75">
      <c r="A39" s="474">
        <f t="shared" si="4"/>
        <v>46265</v>
      </c>
      <c r="B39" s="510">
        <v>5898192.4799999995</v>
      </c>
      <c r="C39" s="445">
        <v>11867.222299999999</v>
      </c>
      <c r="D39" s="511">
        <f t="shared" si="0"/>
        <v>2.0120100081915267E-3</v>
      </c>
      <c r="E39" s="445">
        <v>35505.937809850009</v>
      </c>
      <c r="F39" s="471">
        <f t="shared" si="1"/>
        <v>6.0197997827717573E-3</v>
      </c>
      <c r="G39" s="472">
        <f t="shared" si="2"/>
        <v>23638.715509850008</v>
      </c>
      <c r="H39" s="473">
        <f t="shared" si="3"/>
        <v>4.0077897745802301E-3</v>
      </c>
      <c r="I39" s="851"/>
      <c r="J39" s="851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</row>
    <row r="40" spans="1:22" ht="19.5" customHeight="1">
      <c r="A40" s="470">
        <f t="shared" si="4"/>
        <v>46266</v>
      </c>
      <c r="B40" s="510"/>
      <c r="C40" s="445"/>
      <c r="D40" s="511" t="e">
        <f t="shared" si="0"/>
        <v>#DIV/0!</v>
      </c>
      <c r="E40" s="445"/>
      <c r="F40" s="471" t="e">
        <f t="shared" si="1"/>
        <v>#DIV/0!</v>
      </c>
      <c r="G40" s="472">
        <f t="shared" si="2"/>
        <v>0</v>
      </c>
      <c r="H40" s="473" t="e">
        <f t="shared" si="3"/>
        <v>#DIV/0!</v>
      </c>
      <c r="I40" s="850">
        <f>SUM(C40:C46)</f>
        <v>0</v>
      </c>
      <c r="J40" s="850">
        <f>SUM(E40:E46)</f>
        <v>0</v>
      </c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</row>
    <row r="41" spans="1:22" ht="19.5" customHeight="1">
      <c r="A41" s="470">
        <f t="shared" si="4"/>
        <v>46267</v>
      </c>
      <c r="B41" s="510"/>
      <c r="C41" s="445"/>
      <c r="D41" s="511" t="e">
        <f t="shared" si="0"/>
        <v>#DIV/0!</v>
      </c>
      <c r="E41" s="445"/>
      <c r="F41" s="471" t="e">
        <f t="shared" si="1"/>
        <v>#DIV/0!</v>
      </c>
      <c r="G41" s="472">
        <f t="shared" si="2"/>
        <v>0</v>
      </c>
      <c r="H41" s="473" t="e">
        <f t="shared" si="3"/>
        <v>#DIV/0!</v>
      </c>
      <c r="I41" s="850"/>
      <c r="J41" s="850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</row>
    <row r="42" spans="1:22" ht="19.5" customHeight="1">
      <c r="A42" s="470">
        <f t="shared" si="4"/>
        <v>46268</v>
      </c>
      <c r="B42" s="510"/>
      <c r="C42" s="445"/>
      <c r="D42" s="511" t="e">
        <f t="shared" si="0"/>
        <v>#DIV/0!</v>
      </c>
      <c r="E42" s="445"/>
      <c r="F42" s="471" t="e">
        <f t="shared" si="1"/>
        <v>#DIV/0!</v>
      </c>
      <c r="G42" s="472">
        <f t="shared" si="2"/>
        <v>0</v>
      </c>
      <c r="H42" s="473" t="e">
        <f t="shared" si="3"/>
        <v>#DIV/0!</v>
      </c>
      <c r="I42" s="850"/>
      <c r="J42" s="850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</row>
    <row r="43" spans="1:22" ht="19.5" customHeight="1">
      <c r="A43" s="470">
        <f t="shared" si="4"/>
        <v>46269</v>
      </c>
      <c r="B43" s="510"/>
      <c r="C43" s="445"/>
      <c r="D43" s="511" t="e">
        <f t="shared" si="0"/>
        <v>#DIV/0!</v>
      </c>
      <c r="E43" s="445"/>
      <c r="F43" s="471" t="e">
        <f t="shared" si="1"/>
        <v>#DIV/0!</v>
      </c>
      <c r="G43" s="472">
        <f t="shared" si="2"/>
        <v>0</v>
      </c>
      <c r="H43" s="473" t="e">
        <f t="shared" si="3"/>
        <v>#DIV/0!</v>
      </c>
      <c r="I43" s="850"/>
      <c r="J43" s="850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</row>
    <row r="44" spans="1:22" ht="19.5" customHeight="1">
      <c r="A44" s="470">
        <f t="shared" si="4"/>
        <v>46270</v>
      </c>
      <c r="B44" s="510"/>
      <c r="C44" s="445"/>
      <c r="D44" s="511" t="e">
        <f t="shared" si="0"/>
        <v>#DIV/0!</v>
      </c>
      <c r="E44" s="445"/>
      <c r="F44" s="471" t="e">
        <f t="shared" si="1"/>
        <v>#DIV/0!</v>
      </c>
      <c r="G44" s="472">
        <f t="shared" si="2"/>
        <v>0</v>
      </c>
      <c r="H44" s="473" t="e">
        <f t="shared" si="3"/>
        <v>#DIV/0!</v>
      </c>
      <c r="I44" s="850"/>
      <c r="J44" s="850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</row>
    <row r="45" spans="1:22" ht="19.5" customHeight="1">
      <c r="A45" s="470">
        <f t="shared" si="4"/>
        <v>46271</v>
      </c>
      <c r="B45" s="510"/>
      <c r="C45" s="445"/>
      <c r="D45" s="511" t="e">
        <f t="shared" si="0"/>
        <v>#DIV/0!</v>
      </c>
      <c r="E45" s="445"/>
      <c r="F45" s="471" t="e">
        <f t="shared" si="1"/>
        <v>#DIV/0!</v>
      </c>
      <c r="G45" s="472">
        <f t="shared" si="2"/>
        <v>0</v>
      </c>
      <c r="H45" s="473" t="e">
        <f t="shared" si="3"/>
        <v>#DIV/0!</v>
      </c>
      <c r="I45" s="850"/>
      <c r="J45" s="850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</row>
    <row r="46" spans="1:22" ht="19.5" customHeight="1">
      <c r="A46" s="470">
        <f t="shared" si="4"/>
        <v>46272</v>
      </c>
      <c r="B46" s="510"/>
      <c r="C46" s="445"/>
      <c r="D46" s="511" t="e">
        <f t="shared" si="0"/>
        <v>#DIV/0!</v>
      </c>
      <c r="E46" s="445"/>
      <c r="F46" s="471" t="e">
        <f t="shared" si="1"/>
        <v>#DIV/0!</v>
      </c>
      <c r="G46" s="472">
        <f t="shared" si="2"/>
        <v>0</v>
      </c>
      <c r="H46" s="473" t="e">
        <f t="shared" si="3"/>
        <v>#DIV/0!</v>
      </c>
      <c r="I46" s="850"/>
      <c r="J46" s="850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</row>
    <row r="47" spans="1:22" ht="18.75">
      <c r="A47" s="453"/>
      <c r="B47" s="453"/>
      <c r="C47" s="453"/>
      <c r="D47" s="453"/>
      <c r="E47" s="453"/>
      <c r="F47" s="453"/>
      <c r="G47" s="453"/>
      <c r="H47" s="45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</row>
    <row r="48" spans="1:22" ht="18.75">
      <c r="A48" s="475" t="s">
        <v>588</v>
      </c>
      <c r="B48" s="476">
        <f>SUM(B9:B39)</f>
        <v>175321621.17000002</v>
      </c>
      <c r="C48" s="453"/>
      <c r="D48" s="453"/>
      <c r="E48" s="453"/>
      <c r="F48" s="453"/>
      <c r="G48" s="453"/>
      <c r="H48" s="453"/>
      <c r="I48" s="453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  <c r="U48" s="453"/>
      <c r="V48" s="453"/>
    </row>
    <row r="49" spans="1:22" ht="18.75">
      <c r="A49" s="453"/>
      <c r="B49" s="453"/>
      <c r="C49" s="453"/>
      <c r="D49" s="453"/>
      <c r="E49" s="453"/>
      <c r="F49" s="453"/>
      <c r="G49" s="453"/>
      <c r="H49" s="4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</row>
  </sheetData>
  <mergeCells count="19"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  <mergeCell ref="I40:I46"/>
    <mergeCell ref="J40:J46"/>
    <mergeCell ref="I19:I25"/>
    <mergeCell ref="J19:J25"/>
    <mergeCell ref="I26:I32"/>
    <mergeCell ref="J26:J32"/>
    <mergeCell ref="I33:I39"/>
    <mergeCell ref="J33:J39"/>
  </mergeCells>
  <phoneticPr fontId="13" type="noConversion"/>
  <conditionalFormatting sqref="A5:A46">
    <cfRule type="timePeriod" dxfId="2" priority="4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M134"/>
  <sheetViews>
    <sheetView zoomScale="70" zoomScaleNormal="70" workbookViewId="0">
      <pane xSplit="3" ySplit="2" topLeftCell="D23" activePane="bottomRight" state="frozen"/>
      <selection pane="topRight" activeCell="D1" sqref="D1"/>
      <selection pane="bottomLeft" activeCell="A4" sqref="A4"/>
      <selection pane="bottomRight" activeCell="Z27" sqref="Z27"/>
    </sheetView>
  </sheetViews>
  <sheetFormatPr defaultColWidth="8.85546875" defaultRowHeight="16.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897" t="s">
        <v>418</v>
      </c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8"/>
      <c r="T2" s="898"/>
      <c r="U2" s="898"/>
      <c r="V2" s="898"/>
      <c r="W2" s="898"/>
      <c r="X2" s="898"/>
      <c r="Y2" s="898"/>
      <c r="Z2" s="898"/>
      <c r="AA2" s="898"/>
      <c r="AB2" s="898"/>
      <c r="AC2" s="898"/>
      <c r="AD2" s="898"/>
      <c r="AF2" s="146"/>
      <c r="AG2" s="146"/>
    </row>
    <row r="3" spans="2:39" ht="17.100000000000001" customHeight="1">
      <c r="B3" s="889" t="s">
        <v>419</v>
      </c>
      <c r="C3" s="890"/>
      <c r="D3" s="893" t="s">
        <v>501</v>
      </c>
      <c r="E3" s="894" t="s">
        <v>502</v>
      </c>
      <c r="F3" s="895" t="s">
        <v>503</v>
      </c>
      <c r="G3" s="862" t="s">
        <v>504</v>
      </c>
      <c r="H3" s="896" t="s">
        <v>505</v>
      </c>
      <c r="I3" s="879" t="s">
        <v>506</v>
      </c>
      <c r="J3" s="880"/>
      <c r="K3" s="879" t="s">
        <v>507</v>
      </c>
      <c r="L3" s="880"/>
      <c r="M3" s="879" t="s">
        <v>508</v>
      </c>
      <c r="N3" s="880"/>
      <c r="O3" s="879" t="s">
        <v>509</v>
      </c>
      <c r="P3" s="880"/>
      <c r="Q3" s="879" t="s">
        <v>396</v>
      </c>
      <c r="R3" s="880"/>
      <c r="S3" s="881" t="s">
        <v>397</v>
      </c>
      <c r="T3" s="882"/>
      <c r="U3" s="883"/>
      <c r="V3" s="884" t="s">
        <v>566</v>
      </c>
      <c r="W3" s="885"/>
      <c r="X3" s="886"/>
      <c r="Y3" s="887" t="s">
        <v>168</v>
      </c>
      <c r="Z3" s="887" t="s">
        <v>228</v>
      </c>
      <c r="AA3" s="887" t="s">
        <v>510</v>
      </c>
      <c r="AB3" s="887" t="s">
        <v>420</v>
      </c>
      <c r="AC3" s="887" t="s">
        <v>229</v>
      </c>
      <c r="AD3" s="862" t="s">
        <v>169</v>
      </c>
      <c r="AF3" s="864" t="s">
        <v>230</v>
      </c>
      <c r="AG3" s="865"/>
      <c r="AH3" s="865"/>
      <c r="AI3" s="865"/>
      <c r="AJ3" s="865"/>
      <c r="AK3" s="865"/>
      <c r="AL3" s="865"/>
      <c r="AM3" s="866"/>
    </row>
    <row r="4" spans="2:39">
      <c r="B4" s="891"/>
      <c r="C4" s="892"/>
      <c r="D4" s="893"/>
      <c r="E4" s="893"/>
      <c r="F4" s="895"/>
      <c r="G4" s="863"/>
      <c r="H4" s="863"/>
      <c r="I4" s="433" t="s">
        <v>511</v>
      </c>
      <c r="J4" s="361" t="s">
        <v>512</v>
      </c>
      <c r="K4" s="433" t="s">
        <v>511</v>
      </c>
      <c r="L4" s="361" t="s">
        <v>512</v>
      </c>
      <c r="M4" s="433" t="s">
        <v>511</v>
      </c>
      <c r="N4" s="361" t="s">
        <v>512</v>
      </c>
      <c r="O4" s="433" t="s">
        <v>511</v>
      </c>
      <c r="P4" s="361" t="s">
        <v>512</v>
      </c>
      <c r="Q4" s="433" t="s">
        <v>511</v>
      </c>
      <c r="R4" s="361" t="s">
        <v>512</v>
      </c>
      <c r="S4" s="433" t="s">
        <v>511</v>
      </c>
      <c r="T4" s="361" t="s">
        <v>512</v>
      </c>
      <c r="U4" s="361" t="s">
        <v>513</v>
      </c>
      <c r="V4" s="433" t="s">
        <v>511</v>
      </c>
      <c r="W4" s="361" t="s">
        <v>512</v>
      </c>
      <c r="X4" s="361" t="s">
        <v>513</v>
      </c>
      <c r="Y4" s="888"/>
      <c r="Z4" s="888"/>
      <c r="AA4" s="888"/>
      <c r="AB4" s="888"/>
      <c r="AC4" s="888"/>
      <c r="AD4" s="863"/>
      <c r="AF4" s="867"/>
      <c r="AG4" s="868"/>
      <c r="AH4" s="868"/>
      <c r="AI4" s="868"/>
      <c r="AJ4" s="868"/>
      <c r="AK4" s="868"/>
      <c r="AL4" s="868"/>
      <c r="AM4" s="869"/>
    </row>
    <row r="5" spans="2:39" s="147" customFormat="1" ht="27" customHeight="1">
      <c r="B5" s="873" t="s">
        <v>612</v>
      </c>
      <c r="C5" s="874"/>
      <c r="D5" s="360">
        <v>1</v>
      </c>
      <c r="E5" s="434" t="s">
        <v>314</v>
      </c>
      <c r="F5" s="435">
        <f>IFERROR(Q5*G5,"-")</f>
        <v>2070.3000000000002</v>
      </c>
      <c r="G5" s="363">
        <v>15.450000000000001</v>
      </c>
      <c r="H5" s="436">
        <v>58120</v>
      </c>
      <c r="I5" s="436">
        <v>58120</v>
      </c>
      <c r="J5" s="438">
        <f>IFERROR(I5/H5,"-")</f>
        <v>1</v>
      </c>
      <c r="K5" s="437">
        <v>58254</v>
      </c>
      <c r="L5" s="438">
        <f>IFERROR(K5/H5,"-")</f>
        <v>1.0023055746730902</v>
      </c>
      <c r="M5" s="437">
        <v>0</v>
      </c>
      <c r="N5" s="438">
        <f>IFERROR(M5/H5,"-")</f>
        <v>0</v>
      </c>
      <c r="O5" s="439">
        <f>IFERROR(K5+M5,"-")</f>
        <v>58254</v>
      </c>
      <c r="P5" s="438">
        <f>IFERROR(O5/H5,"-")</f>
        <v>1.0023055746730902</v>
      </c>
      <c r="Q5" s="436">
        <v>134</v>
      </c>
      <c r="R5" s="438">
        <f>IFERROR(Q5/H5,"-")</f>
        <v>2.3055746730901582E-3</v>
      </c>
      <c r="S5" s="439">
        <f>IFERROR(O5-H5,"-")</f>
        <v>134</v>
      </c>
      <c r="T5" s="438">
        <f>IFERROR(S5/H5,"-")</f>
        <v>2.3055746730901582E-3</v>
      </c>
      <c r="U5" s="362">
        <f>IFERROR(S5*G5,"-")</f>
        <v>2070.3000000000002</v>
      </c>
      <c r="V5" s="450">
        <f>S5-Q5</f>
        <v>0</v>
      </c>
      <c r="W5" s="451">
        <f>IFERROR(V5/H5,"-")</f>
        <v>0</v>
      </c>
      <c r="X5" s="452">
        <f>IFERROR(V5*G5,"-")</f>
        <v>0</v>
      </c>
      <c r="Y5" s="364" t="s">
        <v>395</v>
      </c>
      <c r="Z5" s="364" t="s">
        <v>199</v>
      </c>
      <c r="AA5" s="365" t="s">
        <v>437</v>
      </c>
      <c r="AB5" s="365" t="s">
        <v>568</v>
      </c>
      <c r="AC5" s="365">
        <v>1</v>
      </c>
      <c r="AD5" s="440" t="s">
        <v>485</v>
      </c>
      <c r="AF5" s="870"/>
      <c r="AG5" s="871"/>
      <c r="AH5" s="871"/>
      <c r="AI5" s="871"/>
      <c r="AJ5" s="871"/>
      <c r="AK5" s="871"/>
      <c r="AL5" s="871"/>
      <c r="AM5" s="872"/>
    </row>
    <row r="6" spans="2:39" s="147" customFormat="1" ht="27" customHeight="1">
      <c r="B6" s="875"/>
      <c r="C6" s="876"/>
      <c r="D6" s="360">
        <v>2</v>
      </c>
      <c r="E6" s="434" t="s">
        <v>423</v>
      </c>
      <c r="F6" s="435">
        <f t="shared" ref="F6:F24" si="0">IFERROR(Q6*G6,"-")</f>
        <v>1849.7499999999998</v>
      </c>
      <c r="G6" s="363">
        <v>2.4499999999999997</v>
      </c>
      <c r="H6" s="436">
        <v>132325</v>
      </c>
      <c r="I6" s="436">
        <v>132325</v>
      </c>
      <c r="J6" s="438">
        <f t="shared" ref="J6:J24" si="1">IFERROR(I6/H6,"-")</f>
        <v>1</v>
      </c>
      <c r="K6" s="437">
        <v>133080</v>
      </c>
      <c r="L6" s="438">
        <f t="shared" ref="L6:L24" si="2">IFERROR(K6/H6,"-")</f>
        <v>1.0057056489703382</v>
      </c>
      <c r="M6" s="437">
        <v>0</v>
      </c>
      <c r="N6" s="438">
        <f t="shared" ref="N6:N24" si="3">IFERROR(M6/H6,"-")</f>
        <v>0</v>
      </c>
      <c r="O6" s="439">
        <f t="shared" ref="O6:O24" si="4">IFERROR(K6+M6,"-")</f>
        <v>133080</v>
      </c>
      <c r="P6" s="438">
        <f t="shared" ref="P6:P24" si="5">IFERROR(O6/H6,"-")</f>
        <v>1.0057056489703382</v>
      </c>
      <c r="Q6" s="436">
        <v>755</v>
      </c>
      <c r="R6" s="438">
        <f t="shared" ref="R6:R24" si="6">IFERROR(Q6/H6,"-")</f>
        <v>5.7056489703381829E-3</v>
      </c>
      <c r="S6" s="439">
        <f t="shared" ref="S6:S24" si="7">IFERROR(O6-H6,"-")</f>
        <v>755</v>
      </c>
      <c r="T6" s="438">
        <f t="shared" ref="T6:T24" si="8">IFERROR(S6/H6,"-")</f>
        <v>5.7056489703381829E-3</v>
      </c>
      <c r="U6" s="362">
        <f t="shared" ref="U6:U24" si="9">IFERROR(S6*G6,"-")</f>
        <v>1849.7499999999998</v>
      </c>
      <c r="V6" s="450">
        <f t="shared" ref="V6:V24" si="10">S6-Q6</f>
        <v>0</v>
      </c>
      <c r="W6" s="451">
        <f t="shared" ref="W6:W24" si="11">IFERROR(V6/H6,"-")</f>
        <v>0</v>
      </c>
      <c r="X6" s="452">
        <f t="shared" ref="X6:X24" si="12">IFERROR(V6*G6,"-")</f>
        <v>0</v>
      </c>
      <c r="Y6" s="364" t="s">
        <v>395</v>
      </c>
      <c r="Z6" s="364" t="s">
        <v>316</v>
      </c>
      <c r="AA6" s="365" t="s">
        <v>438</v>
      </c>
      <c r="AB6" s="365" t="s">
        <v>439</v>
      </c>
      <c r="AC6" s="365">
        <v>1</v>
      </c>
      <c r="AD6" s="440" t="s">
        <v>319</v>
      </c>
      <c r="AF6" s="160" t="s">
        <v>227</v>
      </c>
      <c r="AG6" s="160" t="s">
        <v>421</v>
      </c>
      <c r="AH6" s="155" t="s">
        <v>514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75"/>
      <c r="C7" s="876"/>
      <c r="D7" s="360">
        <v>3</v>
      </c>
      <c r="E7" s="434" t="s">
        <v>422</v>
      </c>
      <c r="F7" s="435">
        <f t="shared" si="0"/>
        <v>1787.76</v>
      </c>
      <c r="G7" s="363">
        <v>1.17</v>
      </c>
      <c r="H7" s="436">
        <v>215744</v>
      </c>
      <c r="I7" s="436">
        <v>215744</v>
      </c>
      <c r="J7" s="438">
        <f t="shared" si="1"/>
        <v>1</v>
      </c>
      <c r="K7" s="437">
        <v>217272</v>
      </c>
      <c r="L7" s="438">
        <f t="shared" si="2"/>
        <v>1.007082468110353</v>
      </c>
      <c r="M7" s="437">
        <v>0</v>
      </c>
      <c r="N7" s="438">
        <f t="shared" si="3"/>
        <v>0</v>
      </c>
      <c r="O7" s="439">
        <f t="shared" si="4"/>
        <v>217272</v>
      </c>
      <c r="P7" s="438">
        <f t="shared" si="5"/>
        <v>1.007082468110353</v>
      </c>
      <c r="Q7" s="436">
        <v>1528</v>
      </c>
      <c r="R7" s="438">
        <f t="shared" si="6"/>
        <v>7.0824681103530112E-3</v>
      </c>
      <c r="S7" s="439">
        <f t="shared" si="7"/>
        <v>1528</v>
      </c>
      <c r="T7" s="438">
        <f t="shared" si="8"/>
        <v>7.0824681103530112E-3</v>
      </c>
      <c r="U7" s="362">
        <f t="shared" si="9"/>
        <v>1787.76</v>
      </c>
      <c r="V7" s="450">
        <f t="shared" si="10"/>
        <v>0</v>
      </c>
      <c r="W7" s="451">
        <f t="shared" si="11"/>
        <v>0</v>
      </c>
      <c r="X7" s="452">
        <f t="shared" si="12"/>
        <v>0</v>
      </c>
      <c r="Y7" s="364" t="s">
        <v>395</v>
      </c>
      <c r="Z7" s="364" t="s">
        <v>316</v>
      </c>
      <c r="AA7" s="365" t="s">
        <v>440</v>
      </c>
      <c r="AB7" s="365" t="s">
        <v>488</v>
      </c>
      <c r="AC7" s="365">
        <v>1</v>
      </c>
      <c r="AD7" s="440" t="s">
        <v>319</v>
      </c>
      <c r="AF7" s="370">
        <f>SUM(AC5:AC24)</f>
        <v>20</v>
      </c>
      <c r="AG7" s="366">
        <f t="shared" ref="AG7:AM7" si="13">SUMIF($Z$5:$Z$24,TRIM(AG6),$AC$5:$AC$24)</f>
        <v>8</v>
      </c>
      <c r="AH7" s="366">
        <f t="shared" si="13"/>
        <v>0</v>
      </c>
      <c r="AI7" s="366">
        <f t="shared" si="13"/>
        <v>6</v>
      </c>
      <c r="AJ7" s="366">
        <f t="shared" si="13"/>
        <v>0</v>
      </c>
      <c r="AK7" s="366">
        <f t="shared" si="13"/>
        <v>1</v>
      </c>
      <c r="AL7" s="366">
        <f t="shared" si="13"/>
        <v>5</v>
      </c>
      <c r="AM7" s="366">
        <f t="shared" si="13"/>
        <v>0</v>
      </c>
    </row>
    <row r="8" spans="2:39" s="147" customFormat="1" ht="27" customHeight="1">
      <c r="B8" s="875"/>
      <c r="C8" s="876"/>
      <c r="D8" s="360">
        <v>4</v>
      </c>
      <c r="E8" s="434" t="s">
        <v>315</v>
      </c>
      <c r="F8" s="435">
        <f t="shared" si="0"/>
        <v>1509.6832000000004</v>
      </c>
      <c r="G8" s="363">
        <v>147.43000000000004</v>
      </c>
      <c r="H8" s="436">
        <v>3953.68</v>
      </c>
      <c r="I8" s="436">
        <v>3953.68</v>
      </c>
      <c r="J8" s="438">
        <f t="shared" si="1"/>
        <v>1</v>
      </c>
      <c r="K8" s="437">
        <v>4019.2300000000005</v>
      </c>
      <c r="L8" s="438">
        <f t="shared" si="2"/>
        <v>1.0165794904999901</v>
      </c>
      <c r="M8" s="437">
        <v>65.55</v>
      </c>
      <c r="N8" s="438">
        <f t="shared" si="3"/>
        <v>1.6579490499989882E-2</v>
      </c>
      <c r="O8" s="439">
        <f t="shared" si="4"/>
        <v>4084.7800000000007</v>
      </c>
      <c r="P8" s="438">
        <f t="shared" si="5"/>
        <v>1.0331589809999799</v>
      </c>
      <c r="Q8" s="436">
        <v>10.24</v>
      </c>
      <c r="R8" s="438">
        <f t="shared" si="6"/>
        <v>2.5899921086177942E-3</v>
      </c>
      <c r="S8" s="439">
        <f t="shared" si="7"/>
        <v>131.10000000000082</v>
      </c>
      <c r="T8" s="438">
        <f t="shared" si="8"/>
        <v>3.3158980999979971E-2</v>
      </c>
      <c r="U8" s="362">
        <f t="shared" si="9"/>
        <v>19328.073000000124</v>
      </c>
      <c r="V8" s="450">
        <f t="shared" si="10"/>
        <v>120.86000000000082</v>
      </c>
      <c r="W8" s="451">
        <f t="shared" si="11"/>
        <v>3.056898889136218E-2</v>
      </c>
      <c r="X8" s="452">
        <f t="shared" si="12"/>
        <v>17818.389800000125</v>
      </c>
      <c r="Y8" s="364" t="s">
        <v>395</v>
      </c>
      <c r="Z8" s="364" t="s">
        <v>198</v>
      </c>
      <c r="AA8" s="365" t="s">
        <v>595</v>
      </c>
      <c r="AB8" s="365" t="s">
        <v>629</v>
      </c>
      <c r="AC8" s="365">
        <v>1</v>
      </c>
      <c r="AD8" s="440" t="s">
        <v>319</v>
      </c>
      <c r="AF8" s="371" t="s">
        <v>11</v>
      </c>
      <c r="AG8" s="368">
        <f>SUMIF($Z$5:$Z24,TRIM(AG6),$F$5:$F$24)</f>
        <v>7367.6618000000008</v>
      </c>
      <c r="AH8" s="368">
        <f>SUMIF($Z$5:$Z24,TRIM(AH6),$F$5:$F$24)</f>
        <v>0</v>
      </c>
      <c r="AI8" s="368">
        <f>SUMIF($Z$5:$Z24,TRIM(AI6),$F$5:$F$24)</f>
        <v>8116.3483999999989</v>
      </c>
      <c r="AJ8" s="368">
        <f>SUMIF($Z$5:$Z24,TRIM(AJ6),$F$5:$F$24)</f>
        <v>0</v>
      </c>
      <c r="AK8" s="368">
        <f>SUMIF($Z$5:$Z24,TRIM(AK6),$F$5:$F$24)</f>
        <v>1509.6832000000004</v>
      </c>
      <c r="AL8" s="368">
        <f>SUMIF($Z$5:$Z24,TRIM(AL6),$F$5:$F$24)</f>
        <v>6083.7018000000007</v>
      </c>
      <c r="AM8" s="368">
        <f>SUMIF($Z$5:$Z24,TRIM(AM6),$F$5:$F$24)</f>
        <v>0</v>
      </c>
    </row>
    <row r="9" spans="2:39" s="147" customFormat="1" ht="27" customHeight="1">
      <c r="B9" s="875"/>
      <c r="C9" s="876"/>
      <c r="D9" s="360">
        <v>5</v>
      </c>
      <c r="E9" s="434" t="s">
        <v>559</v>
      </c>
      <c r="F9" s="435">
        <f t="shared" si="0"/>
        <v>1445.9213999999999</v>
      </c>
      <c r="G9" s="363">
        <v>625.93999999999994</v>
      </c>
      <c r="H9" s="436">
        <v>1254.52</v>
      </c>
      <c r="I9" s="436">
        <v>1254.52</v>
      </c>
      <c r="J9" s="438">
        <f t="shared" si="1"/>
        <v>1</v>
      </c>
      <c r="K9" s="437">
        <v>1265.46</v>
      </c>
      <c r="L9" s="438">
        <f t="shared" si="2"/>
        <v>1.0087204667920799</v>
      </c>
      <c r="M9" s="437">
        <v>10.940000000000001</v>
      </c>
      <c r="N9" s="438">
        <f t="shared" si="3"/>
        <v>8.7204667920798406E-3</v>
      </c>
      <c r="O9" s="439">
        <f t="shared" si="4"/>
        <v>1276.4000000000001</v>
      </c>
      <c r="P9" s="438">
        <f t="shared" si="5"/>
        <v>1.0174409335841597</v>
      </c>
      <c r="Q9" s="436">
        <v>2.31</v>
      </c>
      <c r="R9" s="438">
        <f t="shared" si="6"/>
        <v>1.841341708382489E-3</v>
      </c>
      <c r="S9" s="439">
        <f t="shared" si="7"/>
        <v>21.880000000000109</v>
      </c>
      <c r="T9" s="438">
        <f t="shared" si="8"/>
        <v>1.7440933584159764E-2</v>
      </c>
      <c r="U9" s="362">
        <f t="shared" si="9"/>
        <v>13695.567200000067</v>
      </c>
      <c r="V9" s="450">
        <f t="shared" si="10"/>
        <v>19.57000000000011</v>
      </c>
      <c r="W9" s="451">
        <f t="shared" si="11"/>
        <v>1.5599591875777278E-2</v>
      </c>
      <c r="X9" s="452">
        <f t="shared" si="12"/>
        <v>12249.645800000068</v>
      </c>
      <c r="Y9" s="364" t="s">
        <v>395</v>
      </c>
      <c r="Z9" s="364" t="s">
        <v>316</v>
      </c>
      <c r="AA9" s="365" t="s">
        <v>572</v>
      </c>
      <c r="AB9" s="365" t="s">
        <v>573</v>
      </c>
      <c r="AC9" s="365">
        <v>1</v>
      </c>
      <c r="AD9" s="440" t="s">
        <v>560</v>
      </c>
      <c r="AF9" s="360" t="s">
        <v>515</v>
      </c>
      <c r="AG9" s="441">
        <f>AG7/$AF7</f>
        <v>0.4</v>
      </c>
      <c r="AH9" s="441">
        <f t="shared" ref="AH9:AM9" si="14">AH7/$AF7</f>
        <v>0</v>
      </c>
      <c r="AI9" s="441">
        <f t="shared" si="14"/>
        <v>0.3</v>
      </c>
      <c r="AJ9" s="441">
        <f t="shared" si="14"/>
        <v>0</v>
      </c>
      <c r="AK9" s="441">
        <f t="shared" si="14"/>
        <v>0.05</v>
      </c>
      <c r="AL9" s="441">
        <f t="shared" si="14"/>
        <v>0.25</v>
      </c>
      <c r="AM9" s="441">
        <f t="shared" si="14"/>
        <v>0</v>
      </c>
    </row>
    <row r="10" spans="2:39" s="147" customFormat="1" ht="27" customHeight="1">
      <c r="B10" s="875"/>
      <c r="C10" s="876"/>
      <c r="D10" s="360">
        <v>6</v>
      </c>
      <c r="E10" s="434" t="s">
        <v>434</v>
      </c>
      <c r="F10" s="435">
        <f t="shared" si="0"/>
        <v>1215.0652000000002</v>
      </c>
      <c r="G10" s="363">
        <v>407.74000000000007</v>
      </c>
      <c r="H10" s="436">
        <v>1055.45</v>
      </c>
      <c r="I10" s="436">
        <v>1055.45</v>
      </c>
      <c r="J10" s="438">
        <f t="shared" si="1"/>
        <v>1</v>
      </c>
      <c r="K10" s="437">
        <v>1068.0899999999999</v>
      </c>
      <c r="L10" s="438">
        <f t="shared" si="2"/>
        <v>1.0119759344355488</v>
      </c>
      <c r="M10" s="437">
        <v>12.64</v>
      </c>
      <c r="N10" s="438">
        <f t="shared" si="3"/>
        <v>1.1975934435548818E-2</v>
      </c>
      <c r="O10" s="439">
        <f t="shared" si="4"/>
        <v>1080.73</v>
      </c>
      <c r="P10" s="438">
        <f t="shared" si="5"/>
        <v>1.0239518688710976</v>
      </c>
      <c r="Q10" s="436">
        <v>2.98</v>
      </c>
      <c r="R10" s="438">
        <f t="shared" si="6"/>
        <v>2.8234402387607182E-3</v>
      </c>
      <c r="S10" s="439">
        <f t="shared" si="7"/>
        <v>25.279999999999973</v>
      </c>
      <c r="T10" s="438">
        <f t="shared" si="8"/>
        <v>2.3951868871097608E-2</v>
      </c>
      <c r="U10" s="362">
        <f t="shared" si="9"/>
        <v>10307.667199999991</v>
      </c>
      <c r="V10" s="450">
        <f t="shared" si="10"/>
        <v>22.299999999999972</v>
      </c>
      <c r="W10" s="451">
        <f t="shared" si="11"/>
        <v>2.1128428632336892E-2</v>
      </c>
      <c r="X10" s="452">
        <f t="shared" si="12"/>
        <v>9092.6019999999899</v>
      </c>
      <c r="Y10" s="364" t="s">
        <v>395</v>
      </c>
      <c r="Z10" s="364" t="s">
        <v>316</v>
      </c>
      <c r="AA10" s="365" t="s">
        <v>572</v>
      </c>
      <c r="AB10" s="365" t="s">
        <v>597</v>
      </c>
      <c r="AC10" s="365">
        <v>1</v>
      </c>
      <c r="AD10" s="440" t="s">
        <v>436</v>
      </c>
    </row>
    <row r="11" spans="2:39" s="147" customFormat="1" ht="27" customHeight="1">
      <c r="B11" s="875"/>
      <c r="C11" s="876"/>
      <c r="D11" s="360">
        <v>7</v>
      </c>
      <c r="E11" s="434" t="s">
        <v>364</v>
      </c>
      <c r="F11" s="435">
        <f t="shared" si="0"/>
        <v>1185.0768</v>
      </c>
      <c r="G11" s="363">
        <v>127.84000000000002</v>
      </c>
      <c r="H11" s="436">
        <v>3677.04</v>
      </c>
      <c r="I11" s="436">
        <v>3677.04</v>
      </c>
      <c r="J11" s="438">
        <f t="shared" si="1"/>
        <v>1</v>
      </c>
      <c r="K11" s="437">
        <v>3726.94</v>
      </c>
      <c r="L11" s="438">
        <f t="shared" si="2"/>
        <v>1.0135706981702675</v>
      </c>
      <c r="M11" s="437">
        <v>49.9</v>
      </c>
      <c r="N11" s="438">
        <f t="shared" si="3"/>
        <v>1.357069817026739E-2</v>
      </c>
      <c r="O11" s="439">
        <f t="shared" si="4"/>
        <v>3776.84</v>
      </c>
      <c r="P11" s="438">
        <f t="shared" si="5"/>
        <v>1.0271413963405349</v>
      </c>
      <c r="Q11" s="436">
        <v>9.27</v>
      </c>
      <c r="R11" s="438">
        <f t="shared" si="6"/>
        <v>2.5210495398472685E-3</v>
      </c>
      <c r="S11" s="439">
        <f t="shared" si="7"/>
        <v>99.800000000000182</v>
      </c>
      <c r="T11" s="438">
        <f t="shared" si="8"/>
        <v>2.7141396340534828E-2</v>
      </c>
      <c r="U11" s="362">
        <f t="shared" si="9"/>
        <v>12758.432000000024</v>
      </c>
      <c r="V11" s="450">
        <f t="shared" si="10"/>
        <v>90.530000000000186</v>
      </c>
      <c r="W11" s="451">
        <f t="shared" si="11"/>
        <v>2.4620346800687559E-2</v>
      </c>
      <c r="X11" s="452">
        <f t="shared" si="12"/>
        <v>11573.355200000025</v>
      </c>
      <c r="Y11" s="364" t="s">
        <v>395</v>
      </c>
      <c r="Z11" s="364" t="s">
        <v>421</v>
      </c>
      <c r="AA11" s="365" t="s">
        <v>570</v>
      </c>
      <c r="AB11" s="365" t="s">
        <v>596</v>
      </c>
      <c r="AC11" s="365">
        <v>1</v>
      </c>
      <c r="AD11" s="440" t="s">
        <v>319</v>
      </c>
    </row>
    <row r="12" spans="2:39" s="147" customFormat="1" ht="27" customHeight="1">
      <c r="B12" s="875"/>
      <c r="C12" s="876"/>
      <c r="D12" s="360">
        <v>8</v>
      </c>
      <c r="E12" s="434" t="s">
        <v>495</v>
      </c>
      <c r="F12" s="435">
        <f t="shared" si="0"/>
        <v>1139.1587999999999</v>
      </c>
      <c r="G12" s="363">
        <v>39.389999999999993</v>
      </c>
      <c r="H12" s="436">
        <v>25178.400000000001</v>
      </c>
      <c r="I12" s="436">
        <v>25178.400000000001</v>
      </c>
      <c r="J12" s="438">
        <f t="shared" si="1"/>
        <v>1</v>
      </c>
      <c r="K12" s="437">
        <v>25317.43</v>
      </c>
      <c r="L12" s="438">
        <f t="shared" si="2"/>
        <v>1.0055217964604581</v>
      </c>
      <c r="M12" s="437">
        <v>139.03</v>
      </c>
      <c r="N12" s="438">
        <f t="shared" si="3"/>
        <v>5.5217964604581705E-3</v>
      </c>
      <c r="O12" s="439">
        <f t="shared" si="4"/>
        <v>25456.46</v>
      </c>
      <c r="P12" s="438">
        <f t="shared" si="5"/>
        <v>1.0110435929209163</v>
      </c>
      <c r="Q12" s="436">
        <v>28.92</v>
      </c>
      <c r="R12" s="438">
        <f t="shared" si="6"/>
        <v>1.1486035649604424E-3</v>
      </c>
      <c r="S12" s="439">
        <f t="shared" si="7"/>
        <v>278.05999999999767</v>
      </c>
      <c r="T12" s="438">
        <f t="shared" si="8"/>
        <v>1.1043592920916247E-2</v>
      </c>
      <c r="U12" s="362">
        <f t="shared" si="9"/>
        <v>10952.783399999906</v>
      </c>
      <c r="V12" s="450">
        <f t="shared" si="10"/>
        <v>249.13999999999766</v>
      </c>
      <c r="W12" s="451">
        <f t="shared" si="11"/>
        <v>9.8949893559558046E-3</v>
      </c>
      <c r="X12" s="452">
        <f t="shared" si="12"/>
        <v>9813.6245999999064</v>
      </c>
      <c r="Y12" s="364" t="s">
        <v>395</v>
      </c>
      <c r="Z12" s="364" t="s">
        <v>199</v>
      </c>
      <c r="AA12" s="365" t="s">
        <v>569</v>
      </c>
      <c r="AB12" s="365" t="s">
        <v>594</v>
      </c>
      <c r="AC12" s="365">
        <v>1</v>
      </c>
      <c r="AD12" s="440" t="s">
        <v>319</v>
      </c>
    </row>
    <row r="13" spans="2:39" s="147" customFormat="1" ht="27" customHeight="1">
      <c r="B13" s="875"/>
      <c r="C13" s="876"/>
      <c r="D13" s="360">
        <v>9</v>
      </c>
      <c r="E13" s="434" t="s">
        <v>563</v>
      </c>
      <c r="F13" s="435">
        <f t="shared" si="0"/>
        <v>1024.056</v>
      </c>
      <c r="G13" s="363">
        <v>426.69</v>
      </c>
      <c r="H13" s="436">
        <v>905.77</v>
      </c>
      <c r="I13" s="436">
        <v>905.77</v>
      </c>
      <c r="J13" s="438">
        <f t="shared" si="1"/>
        <v>1</v>
      </c>
      <c r="K13" s="437">
        <v>915.59</v>
      </c>
      <c r="L13" s="438">
        <f t="shared" si="2"/>
        <v>1.0108416043808031</v>
      </c>
      <c r="M13" s="437">
        <v>9.82</v>
      </c>
      <c r="N13" s="438">
        <f t="shared" si="3"/>
        <v>1.0841604380803074E-2</v>
      </c>
      <c r="O13" s="439">
        <f t="shared" si="4"/>
        <v>925.41000000000008</v>
      </c>
      <c r="P13" s="438">
        <f t="shared" si="5"/>
        <v>1.0216832087616063</v>
      </c>
      <c r="Q13" s="436">
        <v>2.4</v>
      </c>
      <c r="R13" s="438">
        <f t="shared" si="6"/>
        <v>2.6496792784040098E-3</v>
      </c>
      <c r="S13" s="439">
        <f t="shared" si="7"/>
        <v>19.6400000000001</v>
      </c>
      <c r="T13" s="438">
        <f t="shared" si="8"/>
        <v>2.168320876160626E-2</v>
      </c>
      <c r="U13" s="362">
        <f t="shared" si="9"/>
        <v>8380.1916000000419</v>
      </c>
      <c r="V13" s="450">
        <f t="shared" si="10"/>
        <v>17.240000000000101</v>
      </c>
      <c r="W13" s="451">
        <f t="shared" si="11"/>
        <v>1.9033529483202249E-2</v>
      </c>
      <c r="X13" s="452">
        <f t="shared" si="12"/>
        <v>7356.1356000000433</v>
      </c>
      <c r="Y13" s="364" t="s">
        <v>395</v>
      </c>
      <c r="Z13" s="364" t="s">
        <v>421</v>
      </c>
      <c r="AA13" s="365" t="s">
        <v>570</v>
      </c>
      <c r="AB13" s="376" t="s">
        <v>430</v>
      </c>
      <c r="AC13" s="365">
        <v>1</v>
      </c>
      <c r="AD13" s="440" t="s">
        <v>336</v>
      </c>
      <c r="AH13" s="367"/>
    </row>
    <row r="14" spans="2:39" s="147" customFormat="1" ht="27" customHeight="1">
      <c r="B14" s="875"/>
      <c r="C14" s="876"/>
      <c r="D14" s="360">
        <v>10</v>
      </c>
      <c r="E14" s="434" t="s">
        <v>498</v>
      </c>
      <c r="F14" s="435">
        <f t="shared" si="0"/>
        <v>1013.2389000000001</v>
      </c>
      <c r="G14" s="363">
        <v>62.43</v>
      </c>
      <c r="H14" s="436">
        <v>3651.6099999999997</v>
      </c>
      <c r="I14" s="436">
        <v>3651.6099999999997</v>
      </c>
      <c r="J14" s="438">
        <f t="shared" si="1"/>
        <v>1</v>
      </c>
      <c r="K14" s="437">
        <v>3711.8100000000004</v>
      </c>
      <c r="L14" s="438">
        <f t="shared" si="2"/>
        <v>1.0164858788315294</v>
      </c>
      <c r="M14" s="437">
        <v>60.2</v>
      </c>
      <c r="N14" s="438">
        <f t="shared" si="3"/>
        <v>1.6485878831529108E-2</v>
      </c>
      <c r="O14" s="439">
        <f t="shared" si="4"/>
        <v>3772.01</v>
      </c>
      <c r="P14" s="438">
        <f t="shared" si="5"/>
        <v>1.0329717576630584</v>
      </c>
      <c r="Q14" s="436">
        <v>16.23</v>
      </c>
      <c r="R14" s="438">
        <f t="shared" si="6"/>
        <v>4.4446148411248741E-3</v>
      </c>
      <c r="S14" s="439">
        <f t="shared" si="7"/>
        <v>120.40000000000055</v>
      </c>
      <c r="T14" s="438">
        <f t="shared" si="8"/>
        <v>3.2971757663058363E-2</v>
      </c>
      <c r="U14" s="362">
        <f t="shared" si="9"/>
        <v>7516.5720000000338</v>
      </c>
      <c r="V14" s="450">
        <f t="shared" si="10"/>
        <v>104.17000000000054</v>
      </c>
      <c r="W14" s="451">
        <f t="shared" si="11"/>
        <v>2.8527142821933488E-2</v>
      </c>
      <c r="X14" s="452">
        <f t="shared" si="12"/>
        <v>6503.3331000000335</v>
      </c>
      <c r="Y14" s="364" t="s">
        <v>395</v>
      </c>
      <c r="Z14" s="364" t="s">
        <v>199</v>
      </c>
      <c r="AA14" s="365" t="s">
        <v>569</v>
      </c>
      <c r="AB14" s="365" t="s">
        <v>594</v>
      </c>
      <c r="AC14" s="365">
        <v>1</v>
      </c>
      <c r="AD14" s="440" t="s">
        <v>610</v>
      </c>
      <c r="AH14" s="367"/>
    </row>
    <row r="15" spans="2:39" s="147" customFormat="1" ht="27" customHeight="1">
      <c r="B15" s="875"/>
      <c r="C15" s="876"/>
      <c r="D15" s="360">
        <v>11</v>
      </c>
      <c r="E15" s="434" t="s">
        <v>543</v>
      </c>
      <c r="F15" s="435">
        <f t="shared" si="0"/>
        <v>958.99649999999997</v>
      </c>
      <c r="G15" s="363">
        <v>43.889999999999993</v>
      </c>
      <c r="H15" s="436">
        <v>2434.73</v>
      </c>
      <c r="I15" s="436">
        <v>2434.73</v>
      </c>
      <c r="J15" s="438">
        <f t="shared" si="1"/>
        <v>1</v>
      </c>
      <c r="K15" s="437">
        <v>2482.9199999999996</v>
      </c>
      <c r="L15" s="438">
        <f t="shared" si="2"/>
        <v>1.0197927490933285</v>
      </c>
      <c r="M15" s="437">
        <v>48.190000000000005</v>
      </c>
      <c r="N15" s="438">
        <f t="shared" si="3"/>
        <v>1.9792749093328624E-2</v>
      </c>
      <c r="O15" s="439">
        <f t="shared" si="4"/>
        <v>2531.1099999999997</v>
      </c>
      <c r="P15" s="438">
        <f t="shared" si="5"/>
        <v>1.039585498186657</v>
      </c>
      <c r="Q15" s="436">
        <v>21.85</v>
      </c>
      <c r="R15" s="438">
        <f t="shared" si="6"/>
        <v>8.9743010518620134E-3</v>
      </c>
      <c r="S15" s="439">
        <f t="shared" si="7"/>
        <v>96.379999999999654</v>
      </c>
      <c r="T15" s="438">
        <f t="shared" si="8"/>
        <v>3.9585498186657103E-2</v>
      </c>
      <c r="U15" s="362">
        <f t="shared" si="9"/>
        <v>4230.1181999999844</v>
      </c>
      <c r="V15" s="450">
        <f t="shared" si="10"/>
        <v>74.52999999999966</v>
      </c>
      <c r="W15" s="451">
        <f t="shared" si="11"/>
        <v>3.0611197134795095E-2</v>
      </c>
      <c r="X15" s="452">
        <f t="shared" si="12"/>
        <v>3271.1216999999847</v>
      </c>
      <c r="Y15" s="364" t="s">
        <v>395</v>
      </c>
      <c r="Z15" s="364" t="s">
        <v>199</v>
      </c>
      <c r="AA15" s="365" t="s">
        <v>569</v>
      </c>
      <c r="AB15" s="365" t="s">
        <v>594</v>
      </c>
      <c r="AC15" s="365">
        <v>1</v>
      </c>
      <c r="AD15" s="440" t="s">
        <v>542</v>
      </c>
      <c r="AH15" s="367"/>
    </row>
    <row r="16" spans="2:39" s="147" customFormat="1" ht="26.25" customHeight="1">
      <c r="B16" s="875"/>
      <c r="C16" s="876"/>
      <c r="D16" s="360">
        <v>12</v>
      </c>
      <c r="E16" s="434" t="s">
        <v>525</v>
      </c>
      <c r="F16" s="435">
        <f t="shared" si="0"/>
        <v>945.36000000000013</v>
      </c>
      <c r="G16" s="363">
        <v>24.240000000000002</v>
      </c>
      <c r="H16" s="436">
        <v>20325</v>
      </c>
      <c r="I16" s="436">
        <v>20325</v>
      </c>
      <c r="J16" s="438">
        <f t="shared" si="1"/>
        <v>1</v>
      </c>
      <c r="K16" s="437">
        <v>20374</v>
      </c>
      <c r="L16" s="438">
        <f t="shared" si="2"/>
        <v>1.002410824108241</v>
      </c>
      <c r="M16" s="437">
        <v>0</v>
      </c>
      <c r="N16" s="438">
        <f t="shared" si="3"/>
        <v>0</v>
      </c>
      <c r="O16" s="439">
        <f t="shared" si="4"/>
        <v>20374</v>
      </c>
      <c r="P16" s="438">
        <f t="shared" si="5"/>
        <v>1.002410824108241</v>
      </c>
      <c r="Q16" s="436">
        <v>39</v>
      </c>
      <c r="R16" s="438">
        <f t="shared" si="6"/>
        <v>1.918819188191882E-3</v>
      </c>
      <c r="S16" s="439">
        <f t="shared" si="7"/>
        <v>49</v>
      </c>
      <c r="T16" s="438">
        <f t="shared" si="8"/>
        <v>2.4108241082410825E-3</v>
      </c>
      <c r="U16" s="362">
        <f t="shared" si="9"/>
        <v>1187.76</v>
      </c>
      <c r="V16" s="450">
        <f t="shared" si="10"/>
        <v>10</v>
      </c>
      <c r="W16" s="451">
        <f t="shared" si="11"/>
        <v>4.9200492004920044E-4</v>
      </c>
      <c r="X16" s="452">
        <f t="shared" si="12"/>
        <v>242.40000000000003</v>
      </c>
      <c r="Y16" s="364" t="s">
        <v>395</v>
      </c>
      <c r="Z16" s="364" t="s">
        <v>316</v>
      </c>
      <c r="AA16" s="365" t="s">
        <v>630</v>
      </c>
      <c r="AB16" s="365" t="s">
        <v>631</v>
      </c>
      <c r="AC16" s="365">
        <v>1</v>
      </c>
      <c r="AD16" s="440" t="s">
        <v>524</v>
      </c>
      <c r="AH16" s="367"/>
    </row>
    <row r="17" spans="2:39" s="147" customFormat="1" ht="27" customHeight="1">
      <c r="B17" s="875"/>
      <c r="C17" s="876"/>
      <c r="D17" s="360">
        <v>13</v>
      </c>
      <c r="E17" s="434" t="s">
        <v>589</v>
      </c>
      <c r="F17" s="435">
        <f t="shared" si="0"/>
        <v>902.00759999999991</v>
      </c>
      <c r="G17" s="363">
        <v>52.26</v>
      </c>
      <c r="H17" s="436">
        <v>4942.3499999999995</v>
      </c>
      <c r="I17" s="436">
        <v>4942.3499999999995</v>
      </c>
      <c r="J17" s="438">
        <f t="shared" si="1"/>
        <v>1</v>
      </c>
      <c r="K17" s="437">
        <v>5024.34</v>
      </c>
      <c r="L17" s="438">
        <f t="shared" si="2"/>
        <v>1.0165892743330602</v>
      </c>
      <c r="M17" s="437">
        <v>81.990000000000009</v>
      </c>
      <c r="N17" s="438">
        <f t="shared" si="3"/>
        <v>1.6589274333060188E-2</v>
      </c>
      <c r="O17" s="439">
        <f t="shared" si="4"/>
        <v>5106.33</v>
      </c>
      <c r="P17" s="438">
        <f t="shared" si="5"/>
        <v>1.0331785486661205</v>
      </c>
      <c r="Q17" s="436">
        <v>17.259999999999998</v>
      </c>
      <c r="R17" s="438">
        <f t="shared" si="6"/>
        <v>3.4922658249618098E-3</v>
      </c>
      <c r="S17" s="439">
        <f t="shared" si="7"/>
        <v>163.98000000000047</v>
      </c>
      <c r="T17" s="438">
        <f t="shared" si="8"/>
        <v>3.3178548666120466E-2</v>
      </c>
      <c r="U17" s="362">
        <f t="shared" si="9"/>
        <v>8569.5948000000244</v>
      </c>
      <c r="V17" s="450">
        <f t="shared" si="10"/>
        <v>146.72000000000048</v>
      </c>
      <c r="W17" s="451">
        <f t="shared" si="11"/>
        <v>2.9686282841158658E-2</v>
      </c>
      <c r="X17" s="452">
        <f t="shared" si="12"/>
        <v>7667.5872000000245</v>
      </c>
      <c r="Y17" s="364" t="s">
        <v>395</v>
      </c>
      <c r="Z17" s="364" t="s">
        <v>199</v>
      </c>
      <c r="AA17" s="365" t="s">
        <v>569</v>
      </c>
      <c r="AB17" s="365" t="s">
        <v>594</v>
      </c>
      <c r="AC17" s="365">
        <v>1</v>
      </c>
      <c r="AD17" s="440" t="s">
        <v>578</v>
      </c>
    </row>
    <row r="18" spans="2:39" s="147" customFormat="1" ht="27" customHeight="1">
      <c r="B18" s="875"/>
      <c r="C18" s="876"/>
      <c r="D18" s="360">
        <v>14</v>
      </c>
      <c r="E18" s="434" t="s">
        <v>546</v>
      </c>
      <c r="F18" s="435">
        <f t="shared" si="0"/>
        <v>878.78139999999996</v>
      </c>
      <c r="G18" s="363">
        <v>212.78</v>
      </c>
      <c r="H18" s="436">
        <v>352.86</v>
      </c>
      <c r="I18" s="436">
        <v>352.86</v>
      </c>
      <c r="J18" s="438">
        <f t="shared" si="1"/>
        <v>1</v>
      </c>
      <c r="K18" s="437">
        <v>363.28</v>
      </c>
      <c r="L18" s="438">
        <f t="shared" si="2"/>
        <v>1.0295301252621436</v>
      </c>
      <c r="M18" s="437">
        <v>10.42</v>
      </c>
      <c r="N18" s="438">
        <f t="shared" si="3"/>
        <v>2.9530125262143624E-2</v>
      </c>
      <c r="O18" s="439">
        <f t="shared" si="4"/>
        <v>373.7</v>
      </c>
      <c r="P18" s="438">
        <f t="shared" si="5"/>
        <v>1.0590602505242872</v>
      </c>
      <c r="Q18" s="436">
        <v>4.13</v>
      </c>
      <c r="R18" s="438">
        <f t="shared" si="6"/>
        <v>1.1704358669160572E-2</v>
      </c>
      <c r="S18" s="439">
        <f t="shared" si="7"/>
        <v>20.839999999999975</v>
      </c>
      <c r="T18" s="438">
        <f t="shared" si="8"/>
        <v>5.9060250524287178E-2</v>
      </c>
      <c r="U18" s="362">
        <f t="shared" si="9"/>
        <v>4434.335199999995</v>
      </c>
      <c r="V18" s="450">
        <f t="shared" si="10"/>
        <v>16.709999999999976</v>
      </c>
      <c r="W18" s="451">
        <f t="shared" si="11"/>
        <v>4.7355891855126613E-2</v>
      </c>
      <c r="X18" s="452">
        <f t="shared" si="12"/>
        <v>3555.5537999999951</v>
      </c>
      <c r="Y18" s="364" t="s">
        <v>395</v>
      </c>
      <c r="Z18" s="364" t="s">
        <v>421</v>
      </c>
      <c r="AA18" s="364" t="s">
        <v>500</v>
      </c>
      <c r="AB18" s="365" t="s">
        <v>429</v>
      </c>
      <c r="AC18" s="365">
        <v>1</v>
      </c>
      <c r="AD18" s="440" t="s">
        <v>542</v>
      </c>
    </row>
    <row r="19" spans="2:39" s="147" customFormat="1" ht="27" customHeight="1">
      <c r="B19" s="875"/>
      <c r="C19" s="876"/>
      <c r="D19" s="360">
        <v>15</v>
      </c>
      <c r="E19" s="434" t="s">
        <v>564</v>
      </c>
      <c r="F19" s="435">
        <f t="shared" si="0"/>
        <v>877.58190000000002</v>
      </c>
      <c r="G19" s="363">
        <v>91.13</v>
      </c>
      <c r="H19" s="436">
        <v>898.31999999999994</v>
      </c>
      <c r="I19" s="436">
        <v>898.31999999999994</v>
      </c>
      <c r="J19" s="438">
        <f t="shared" si="1"/>
        <v>1</v>
      </c>
      <c r="K19" s="437">
        <v>924.31999999999994</v>
      </c>
      <c r="L19" s="438">
        <f t="shared" si="2"/>
        <v>1.0289429156647965</v>
      </c>
      <c r="M19" s="437">
        <v>25.999999999999996</v>
      </c>
      <c r="N19" s="438">
        <f t="shared" si="3"/>
        <v>2.8942915664796506E-2</v>
      </c>
      <c r="O19" s="439">
        <f t="shared" si="4"/>
        <v>950.31999999999994</v>
      </c>
      <c r="P19" s="438">
        <f t="shared" si="5"/>
        <v>1.0578858313295931</v>
      </c>
      <c r="Q19" s="436">
        <v>9.6300000000000008</v>
      </c>
      <c r="R19" s="438">
        <f t="shared" si="6"/>
        <v>1.0720010686615017E-2</v>
      </c>
      <c r="S19" s="439">
        <f t="shared" si="7"/>
        <v>52</v>
      </c>
      <c r="T19" s="438">
        <f t="shared" si="8"/>
        <v>5.7885831329593025E-2</v>
      </c>
      <c r="U19" s="362">
        <f t="shared" si="9"/>
        <v>4738.76</v>
      </c>
      <c r="V19" s="450">
        <f t="shared" si="10"/>
        <v>42.37</v>
      </c>
      <c r="W19" s="451">
        <f t="shared" si="11"/>
        <v>4.7165820642978001E-2</v>
      </c>
      <c r="X19" s="452">
        <f t="shared" si="12"/>
        <v>3861.1780999999996</v>
      </c>
      <c r="Y19" s="364" t="s">
        <v>395</v>
      </c>
      <c r="Z19" s="364" t="s">
        <v>421</v>
      </c>
      <c r="AA19" s="365" t="s">
        <v>500</v>
      </c>
      <c r="AB19" s="365" t="s">
        <v>429</v>
      </c>
      <c r="AC19" s="365">
        <v>1</v>
      </c>
      <c r="AD19" s="440" t="s">
        <v>562</v>
      </c>
    </row>
    <row r="20" spans="2:39" s="147" customFormat="1" ht="27" customHeight="1">
      <c r="B20" s="875"/>
      <c r="C20" s="876"/>
      <c r="D20" s="360">
        <v>16</v>
      </c>
      <c r="E20" s="434" t="s">
        <v>410</v>
      </c>
      <c r="F20" s="435">
        <f t="shared" si="0"/>
        <v>872.4917999999999</v>
      </c>
      <c r="G20" s="363">
        <v>368.13999999999993</v>
      </c>
      <c r="H20" s="436">
        <v>395.5</v>
      </c>
      <c r="I20" s="436">
        <v>395.5</v>
      </c>
      <c r="J20" s="438">
        <f t="shared" si="1"/>
        <v>1</v>
      </c>
      <c r="K20" s="437">
        <v>405.42</v>
      </c>
      <c r="L20" s="438">
        <f t="shared" si="2"/>
        <v>1.0250821744627054</v>
      </c>
      <c r="M20" s="437">
        <v>9.9200000000000017</v>
      </c>
      <c r="N20" s="438">
        <f t="shared" si="3"/>
        <v>2.5082174462705442E-2</v>
      </c>
      <c r="O20" s="439">
        <f t="shared" si="4"/>
        <v>415.34000000000003</v>
      </c>
      <c r="P20" s="438">
        <f t="shared" si="5"/>
        <v>1.0501643489254109</v>
      </c>
      <c r="Q20" s="436">
        <v>2.37</v>
      </c>
      <c r="R20" s="438">
        <f t="shared" si="6"/>
        <v>5.992414664981037E-3</v>
      </c>
      <c r="S20" s="439">
        <f t="shared" si="7"/>
        <v>19.840000000000032</v>
      </c>
      <c r="T20" s="438">
        <f t="shared" si="8"/>
        <v>5.0164348925410954E-2</v>
      </c>
      <c r="U20" s="362">
        <f t="shared" si="9"/>
        <v>7303.8976000000102</v>
      </c>
      <c r="V20" s="450">
        <f t="shared" si="10"/>
        <v>17.470000000000031</v>
      </c>
      <c r="W20" s="451">
        <f t="shared" si="11"/>
        <v>4.4171934260429917E-2</v>
      </c>
      <c r="X20" s="452">
        <f t="shared" si="12"/>
        <v>6431.4058000000105</v>
      </c>
      <c r="Y20" s="364" t="s">
        <v>395</v>
      </c>
      <c r="Z20" s="364" t="s">
        <v>316</v>
      </c>
      <c r="AA20" s="376" t="s">
        <v>598</v>
      </c>
      <c r="AB20" s="365" t="s">
        <v>429</v>
      </c>
      <c r="AC20" s="365">
        <v>1</v>
      </c>
      <c r="AD20" s="440" t="s">
        <v>411</v>
      </c>
    </row>
    <row r="21" spans="2:39" s="147" customFormat="1" ht="27" customHeight="1">
      <c r="B21" s="875"/>
      <c r="C21" s="876"/>
      <c r="D21" s="360">
        <v>17</v>
      </c>
      <c r="E21" s="434" t="s">
        <v>555</v>
      </c>
      <c r="F21" s="435">
        <f t="shared" si="0"/>
        <v>850.81050000000016</v>
      </c>
      <c r="G21" s="363">
        <v>99.51</v>
      </c>
      <c r="H21" s="436">
        <v>1213.92</v>
      </c>
      <c r="I21" s="436">
        <v>1213.92</v>
      </c>
      <c r="J21" s="438">
        <f t="shared" si="1"/>
        <v>1</v>
      </c>
      <c r="K21" s="437">
        <v>1245.04</v>
      </c>
      <c r="L21" s="438">
        <f t="shared" si="2"/>
        <v>1.0256359562409383</v>
      </c>
      <c r="M21" s="437">
        <v>31.119999999999997</v>
      </c>
      <c r="N21" s="438">
        <f t="shared" si="3"/>
        <v>2.5635956240938444E-2</v>
      </c>
      <c r="O21" s="439">
        <f t="shared" si="4"/>
        <v>1276.1599999999999</v>
      </c>
      <c r="P21" s="438">
        <f t="shared" si="5"/>
        <v>1.0512719124818768</v>
      </c>
      <c r="Q21" s="436">
        <v>8.5500000000000007</v>
      </c>
      <c r="R21" s="438">
        <f t="shared" si="6"/>
        <v>7.0432977461447211E-3</v>
      </c>
      <c r="S21" s="439">
        <f t="shared" si="7"/>
        <v>62.239999999999782</v>
      </c>
      <c r="T21" s="438">
        <f t="shared" si="8"/>
        <v>5.1271912481876715E-2</v>
      </c>
      <c r="U21" s="362">
        <f t="shared" si="9"/>
        <v>6193.5023999999785</v>
      </c>
      <c r="V21" s="450">
        <f t="shared" si="10"/>
        <v>53.689999999999785</v>
      </c>
      <c r="W21" s="451">
        <f t="shared" si="11"/>
        <v>4.4228614735731996E-2</v>
      </c>
      <c r="X21" s="452">
        <f t="shared" si="12"/>
        <v>5342.6918999999789</v>
      </c>
      <c r="Y21" s="364" t="s">
        <v>395</v>
      </c>
      <c r="Z21" s="364" t="s">
        <v>421</v>
      </c>
      <c r="AA21" s="365" t="s">
        <v>445</v>
      </c>
      <c r="AB21" s="365" t="s">
        <v>571</v>
      </c>
      <c r="AC21" s="365">
        <v>1</v>
      </c>
      <c r="AD21" s="440" t="s">
        <v>328</v>
      </c>
    </row>
    <row r="22" spans="2:39" s="147" customFormat="1" ht="27" customHeight="1">
      <c r="B22" s="875"/>
      <c r="C22" s="876"/>
      <c r="D22" s="360">
        <v>18</v>
      </c>
      <c r="E22" s="434" t="s">
        <v>435</v>
      </c>
      <c r="F22" s="435">
        <f t="shared" si="0"/>
        <v>850.59699999999998</v>
      </c>
      <c r="G22" s="363">
        <v>160.49</v>
      </c>
      <c r="H22" s="436">
        <v>629.20000000000005</v>
      </c>
      <c r="I22" s="436">
        <v>629.20000000000005</v>
      </c>
      <c r="J22" s="438">
        <f t="shared" si="1"/>
        <v>1</v>
      </c>
      <c r="K22" s="437">
        <v>644.80999999999995</v>
      </c>
      <c r="L22" s="438">
        <f t="shared" si="2"/>
        <v>1.0248092816274632</v>
      </c>
      <c r="M22" s="437">
        <v>15.61</v>
      </c>
      <c r="N22" s="438">
        <f t="shared" si="3"/>
        <v>2.4809281627463441E-2</v>
      </c>
      <c r="O22" s="439">
        <f t="shared" si="4"/>
        <v>660.42</v>
      </c>
      <c r="P22" s="438">
        <f t="shared" si="5"/>
        <v>1.0496185632549266</v>
      </c>
      <c r="Q22" s="436">
        <v>5.3</v>
      </c>
      <c r="R22" s="438">
        <f t="shared" si="6"/>
        <v>8.4233947870311493E-3</v>
      </c>
      <c r="S22" s="439">
        <f t="shared" si="7"/>
        <v>31.219999999999914</v>
      </c>
      <c r="T22" s="438">
        <f t="shared" si="8"/>
        <v>4.9618563254926751E-2</v>
      </c>
      <c r="U22" s="362">
        <f t="shared" si="9"/>
        <v>5010.4977999999865</v>
      </c>
      <c r="V22" s="450">
        <f t="shared" si="10"/>
        <v>25.919999999999913</v>
      </c>
      <c r="W22" s="451">
        <f t="shared" si="11"/>
        <v>4.1195168467895601E-2</v>
      </c>
      <c r="X22" s="452">
        <f t="shared" si="12"/>
        <v>4159.9007999999867</v>
      </c>
      <c r="Y22" s="364" t="s">
        <v>395</v>
      </c>
      <c r="Z22" s="364" t="s">
        <v>421</v>
      </c>
      <c r="AA22" s="376" t="s">
        <v>570</v>
      </c>
      <c r="AB22" s="365" t="s">
        <v>429</v>
      </c>
      <c r="AC22" s="365">
        <v>1</v>
      </c>
      <c r="AD22" s="440" t="s">
        <v>411</v>
      </c>
    </row>
    <row r="23" spans="2:39" s="147" customFormat="1" ht="27" customHeight="1">
      <c r="B23" s="875"/>
      <c r="C23" s="876"/>
      <c r="D23" s="360">
        <v>19</v>
      </c>
      <c r="E23" s="434" t="s">
        <v>499</v>
      </c>
      <c r="F23" s="435">
        <f t="shared" si="0"/>
        <v>850.43179999999995</v>
      </c>
      <c r="G23" s="363">
        <v>66.13</v>
      </c>
      <c r="H23" s="436">
        <v>1930.46</v>
      </c>
      <c r="I23" s="436">
        <v>1930.46</v>
      </c>
      <c r="J23" s="438">
        <f t="shared" si="1"/>
        <v>1</v>
      </c>
      <c r="K23" s="437">
        <v>1979.69</v>
      </c>
      <c r="L23" s="438">
        <f t="shared" si="2"/>
        <v>1.0255016938967914</v>
      </c>
      <c r="M23" s="437">
        <v>49.230000000000004</v>
      </c>
      <c r="N23" s="438">
        <f t="shared" si="3"/>
        <v>2.5501693896791439E-2</v>
      </c>
      <c r="O23" s="439">
        <f t="shared" si="4"/>
        <v>2028.92</v>
      </c>
      <c r="P23" s="438">
        <f t="shared" si="5"/>
        <v>1.0510033877935829</v>
      </c>
      <c r="Q23" s="436">
        <v>12.86</v>
      </c>
      <c r="R23" s="438">
        <f t="shared" si="6"/>
        <v>6.6616246904882773E-3</v>
      </c>
      <c r="S23" s="439">
        <f t="shared" si="7"/>
        <v>98.460000000000036</v>
      </c>
      <c r="T23" s="438">
        <f t="shared" si="8"/>
        <v>5.1003387793582891E-2</v>
      </c>
      <c r="U23" s="362">
        <f t="shared" si="9"/>
        <v>6511.1598000000022</v>
      </c>
      <c r="V23" s="450">
        <f t="shared" si="10"/>
        <v>85.600000000000037</v>
      </c>
      <c r="W23" s="451">
        <f t="shared" si="11"/>
        <v>4.4341763103094615E-2</v>
      </c>
      <c r="X23" s="452">
        <f t="shared" si="12"/>
        <v>5660.7280000000019</v>
      </c>
      <c r="Y23" s="364" t="s">
        <v>395</v>
      </c>
      <c r="Z23" s="364" t="s">
        <v>421</v>
      </c>
      <c r="AA23" s="365" t="s">
        <v>445</v>
      </c>
      <c r="AB23" s="365" t="s">
        <v>571</v>
      </c>
      <c r="AC23" s="365">
        <v>1</v>
      </c>
      <c r="AD23" s="440" t="s">
        <v>320</v>
      </c>
    </row>
    <row r="24" spans="2:39" s="147" customFormat="1" ht="27" customHeight="1">
      <c r="B24" s="877"/>
      <c r="C24" s="878"/>
      <c r="D24" s="360">
        <v>20</v>
      </c>
      <c r="E24" s="434" t="s">
        <v>526</v>
      </c>
      <c r="F24" s="435">
        <f t="shared" si="0"/>
        <v>850.32640000000026</v>
      </c>
      <c r="G24" s="363">
        <v>113.68000000000004</v>
      </c>
      <c r="H24" s="436">
        <v>1045.5999999999999</v>
      </c>
      <c r="I24" s="436">
        <v>1045.5999999999999</v>
      </c>
      <c r="J24" s="438">
        <f t="shared" si="1"/>
        <v>1</v>
      </c>
      <c r="K24" s="437">
        <v>1072.1500000000001</v>
      </c>
      <c r="L24" s="438">
        <f t="shared" si="2"/>
        <v>1.025392119357307</v>
      </c>
      <c r="M24" s="437">
        <v>26.550000000000004</v>
      </c>
      <c r="N24" s="438">
        <f t="shared" si="3"/>
        <v>2.5392119357306817E-2</v>
      </c>
      <c r="O24" s="439">
        <f t="shared" si="4"/>
        <v>1098.7</v>
      </c>
      <c r="P24" s="438">
        <f t="shared" si="5"/>
        <v>1.0507842387146138</v>
      </c>
      <c r="Q24" s="436">
        <v>7.4799999999999995</v>
      </c>
      <c r="R24" s="438">
        <f t="shared" si="6"/>
        <v>7.1537872991583778E-3</v>
      </c>
      <c r="S24" s="439">
        <f t="shared" si="7"/>
        <v>53.100000000000136</v>
      </c>
      <c r="T24" s="438">
        <f t="shared" si="8"/>
        <v>5.0784238714613752E-2</v>
      </c>
      <c r="U24" s="362">
        <f t="shared" si="9"/>
        <v>6036.4080000000176</v>
      </c>
      <c r="V24" s="450">
        <f t="shared" si="10"/>
        <v>45.62000000000014</v>
      </c>
      <c r="W24" s="451">
        <f t="shared" si="11"/>
        <v>4.3630451415455379E-2</v>
      </c>
      <c r="X24" s="452">
        <f t="shared" si="12"/>
        <v>5186.0816000000177</v>
      </c>
      <c r="Y24" s="364" t="s">
        <v>395</v>
      </c>
      <c r="Z24" s="364" t="s">
        <v>421</v>
      </c>
      <c r="AA24" s="365" t="s">
        <v>445</v>
      </c>
      <c r="AB24" s="365" t="s">
        <v>571</v>
      </c>
      <c r="AC24" s="365">
        <v>1</v>
      </c>
      <c r="AD24" s="440" t="s">
        <v>517</v>
      </c>
    </row>
    <row r="25" spans="2:39" ht="17.100000000000001" customHeight="1">
      <c r="B25" s="889" t="s">
        <v>419</v>
      </c>
      <c r="C25" s="890"/>
      <c r="D25" s="893" t="s">
        <v>501</v>
      </c>
      <c r="E25" s="894" t="s">
        <v>502</v>
      </c>
      <c r="F25" s="895" t="s">
        <v>503</v>
      </c>
      <c r="G25" s="862" t="s">
        <v>504</v>
      </c>
      <c r="H25" s="896" t="s">
        <v>505</v>
      </c>
      <c r="I25" s="879" t="s">
        <v>506</v>
      </c>
      <c r="J25" s="880"/>
      <c r="K25" s="879" t="s">
        <v>507</v>
      </c>
      <c r="L25" s="880"/>
      <c r="M25" s="879" t="s">
        <v>508</v>
      </c>
      <c r="N25" s="880"/>
      <c r="O25" s="879" t="s">
        <v>509</v>
      </c>
      <c r="P25" s="880"/>
      <c r="Q25" s="879" t="s">
        <v>396</v>
      </c>
      <c r="R25" s="880"/>
      <c r="S25" s="881" t="s">
        <v>397</v>
      </c>
      <c r="T25" s="882"/>
      <c r="U25" s="883"/>
      <c r="V25" s="884" t="s">
        <v>566</v>
      </c>
      <c r="W25" s="885"/>
      <c r="X25" s="886"/>
      <c r="Y25" s="887" t="s">
        <v>168</v>
      </c>
      <c r="Z25" s="887" t="s">
        <v>228</v>
      </c>
      <c r="AA25" s="887" t="s">
        <v>510</v>
      </c>
      <c r="AB25" s="887" t="s">
        <v>420</v>
      </c>
      <c r="AC25" s="887" t="s">
        <v>229</v>
      </c>
      <c r="AD25" s="862" t="s">
        <v>169</v>
      </c>
      <c r="AF25" s="864" t="s">
        <v>230</v>
      </c>
      <c r="AG25" s="865"/>
      <c r="AH25" s="865"/>
      <c r="AI25" s="865"/>
      <c r="AJ25" s="865"/>
      <c r="AK25" s="865"/>
      <c r="AL25" s="865"/>
      <c r="AM25" s="866"/>
    </row>
    <row r="26" spans="2:39">
      <c r="B26" s="891"/>
      <c r="C26" s="892"/>
      <c r="D26" s="893"/>
      <c r="E26" s="893"/>
      <c r="F26" s="895"/>
      <c r="G26" s="863"/>
      <c r="H26" s="863"/>
      <c r="I26" s="433" t="s">
        <v>511</v>
      </c>
      <c r="J26" s="361" t="s">
        <v>512</v>
      </c>
      <c r="K26" s="433" t="s">
        <v>511</v>
      </c>
      <c r="L26" s="361" t="s">
        <v>512</v>
      </c>
      <c r="M26" s="433" t="s">
        <v>511</v>
      </c>
      <c r="N26" s="361" t="s">
        <v>512</v>
      </c>
      <c r="O26" s="433" t="s">
        <v>511</v>
      </c>
      <c r="P26" s="361" t="s">
        <v>512</v>
      </c>
      <c r="Q26" s="433" t="s">
        <v>511</v>
      </c>
      <c r="R26" s="361" t="s">
        <v>512</v>
      </c>
      <c r="S26" s="433" t="s">
        <v>511</v>
      </c>
      <c r="T26" s="361" t="s">
        <v>512</v>
      </c>
      <c r="U26" s="361" t="s">
        <v>513</v>
      </c>
      <c r="V26" s="433" t="s">
        <v>511</v>
      </c>
      <c r="W26" s="361" t="s">
        <v>512</v>
      </c>
      <c r="X26" s="361" t="s">
        <v>513</v>
      </c>
      <c r="Y26" s="888"/>
      <c r="Z26" s="888"/>
      <c r="AA26" s="888"/>
      <c r="AB26" s="888"/>
      <c r="AC26" s="888"/>
      <c r="AD26" s="863"/>
      <c r="AF26" s="867"/>
      <c r="AG26" s="868"/>
      <c r="AH26" s="868"/>
      <c r="AI26" s="868"/>
      <c r="AJ26" s="868"/>
      <c r="AK26" s="868"/>
      <c r="AL26" s="868"/>
      <c r="AM26" s="869"/>
    </row>
    <row r="27" spans="2:39" s="147" customFormat="1" ht="27" customHeight="1">
      <c r="B27" s="873" t="s">
        <v>644</v>
      </c>
      <c r="C27" s="874"/>
      <c r="D27" s="360">
        <v>1</v>
      </c>
      <c r="E27" s="434" t="s">
        <v>314</v>
      </c>
      <c r="F27" s="435">
        <f>IFERROR(Q27*G27,"-")</f>
        <v>1946.7</v>
      </c>
      <c r="G27" s="363">
        <v>15.450000000000001</v>
      </c>
      <c r="H27" s="436">
        <v>58062</v>
      </c>
      <c r="I27" s="436">
        <v>58062</v>
      </c>
      <c r="J27" s="438">
        <f>IFERROR(I27/H27,"-")</f>
        <v>1</v>
      </c>
      <c r="K27" s="437">
        <v>58190</v>
      </c>
      <c r="L27" s="438">
        <f>IFERROR(K27/H27,"-")</f>
        <v>1.0022045399745101</v>
      </c>
      <c r="M27" s="437">
        <v>0</v>
      </c>
      <c r="N27" s="438">
        <f>IFERROR(M27/H27,"-")</f>
        <v>0</v>
      </c>
      <c r="O27" s="439">
        <f>IFERROR(K27+M27,"-")</f>
        <v>58190</v>
      </c>
      <c r="P27" s="438">
        <f>IFERROR(O27/H27,"-")</f>
        <v>1.0022045399745101</v>
      </c>
      <c r="Q27" s="436">
        <v>126</v>
      </c>
      <c r="R27" s="438">
        <f>IFERROR(Q27/H27,"-")</f>
        <v>2.1700940374082879E-3</v>
      </c>
      <c r="S27" s="439">
        <f>IFERROR(O27-H27,"-")</f>
        <v>128</v>
      </c>
      <c r="T27" s="438">
        <f>IFERROR(S27/H27,"-")</f>
        <v>2.2045399745100067E-3</v>
      </c>
      <c r="U27" s="362">
        <f>IFERROR(S27*G27,"-")</f>
        <v>1977.6000000000001</v>
      </c>
      <c r="V27" s="450">
        <f>S27-Q27</f>
        <v>2</v>
      </c>
      <c r="W27" s="451">
        <f>IFERROR(V27/H27,"-")</f>
        <v>3.4445937101718855E-5</v>
      </c>
      <c r="X27" s="452">
        <f>IFERROR(V27*G27,"-")</f>
        <v>30.900000000000002</v>
      </c>
      <c r="Y27" s="364" t="s">
        <v>395</v>
      </c>
      <c r="Z27" s="364" t="s">
        <v>199</v>
      </c>
      <c r="AA27" s="365" t="s">
        <v>437</v>
      </c>
      <c r="AB27" s="365" t="s">
        <v>568</v>
      </c>
      <c r="AC27" s="365">
        <v>1</v>
      </c>
      <c r="AD27" s="440" t="s">
        <v>485</v>
      </c>
      <c r="AF27" s="870"/>
      <c r="AG27" s="871"/>
      <c r="AH27" s="871"/>
      <c r="AI27" s="871"/>
      <c r="AJ27" s="871"/>
      <c r="AK27" s="871"/>
      <c r="AL27" s="871"/>
      <c r="AM27" s="872"/>
    </row>
    <row r="28" spans="2:39" s="147" customFormat="1" ht="27" customHeight="1">
      <c r="B28" s="875"/>
      <c r="C28" s="876"/>
      <c r="D28" s="360">
        <v>2</v>
      </c>
      <c r="E28" s="434" t="s">
        <v>423</v>
      </c>
      <c r="F28" s="435">
        <f t="shared" ref="F28:F46" si="15">IFERROR(Q28*G28,"-")</f>
        <v>1871.7999999999997</v>
      </c>
      <c r="G28" s="363">
        <v>2.4499999999999997</v>
      </c>
      <c r="H28" s="436">
        <v>103696</v>
      </c>
      <c r="I28" s="436">
        <v>103696</v>
      </c>
      <c r="J28" s="438">
        <f t="shared" ref="J28:J46" si="16">IFERROR(I28/H28,"-")</f>
        <v>1</v>
      </c>
      <c r="K28" s="437">
        <v>104460</v>
      </c>
      <c r="L28" s="438">
        <f t="shared" ref="L28:L46" si="17">IFERROR(K28/H28,"-")</f>
        <v>1.0073676901712698</v>
      </c>
      <c r="M28" s="437">
        <v>0</v>
      </c>
      <c r="N28" s="438">
        <f t="shared" ref="N28:N46" si="18">IFERROR(M28/H28,"-")</f>
        <v>0</v>
      </c>
      <c r="O28" s="439">
        <f t="shared" ref="O28:O46" si="19">IFERROR(K28+M28,"-")</f>
        <v>104460</v>
      </c>
      <c r="P28" s="438">
        <f t="shared" ref="P28:P46" si="20">IFERROR(O28/H28,"-")</f>
        <v>1.0073676901712698</v>
      </c>
      <c r="Q28" s="436">
        <v>764</v>
      </c>
      <c r="R28" s="438">
        <f t="shared" ref="R28:R46" si="21">IFERROR(Q28/H28,"-")</f>
        <v>7.367690171269866E-3</v>
      </c>
      <c r="S28" s="439">
        <f t="shared" ref="S28:S46" si="22">IFERROR(O28-H28,"-")</f>
        <v>764</v>
      </c>
      <c r="T28" s="438">
        <f t="shared" ref="T28:T46" si="23">IFERROR(S28/H28,"-")</f>
        <v>7.367690171269866E-3</v>
      </c>
      <c r="U28" s="362">
        <f t="shared" ref="U28:U46" si="24">IFERROR(S28*G28,"-")</f>
        <v>1871.7999999999997</v>
      </c>
      <c r="V28" s="450">
        <f t="shared" ref="V28:V46" si="25">S28-Q28</f>
        <v>0</v>
      </c>
      <c r="W28" s="451">
        <f t="shared" ref="W28:W46" si="26">IFERROR(V28/H28,"-")</f>
        <v>0</v>
      </c>
      <c r="X28" s="452">
        <f t="shared" ref="X28:X46" si="27">IFERROR(V28*G28,"-")</f>
        <v>0</v>
      </c>
      <c r="Y28" s="364" t="s">
        <v>395</v>
      </c>
      <c r="Z28" s="364" t="s">
        <v>316</v>
      </c>
      <c r="AA28" s="365" t="s">
        <v>438</v>
      </c>
      <c r="AB28" s="365" t="s">
        <v>439</v>
      </c>
      <c r="AC28" s="365">
        <v>1</v>
      </c>
      <c r="AD28" s="440" t="s">
        <v>319</v>
      </c>
      <c r="AF28" s="160" t="s">
        <v>227</v>
      </c>
      <c r="AG28" s="160" t="s">
        <v>421</v>
      </c>
      <c r="AH28" s="155" t="s">
        <v>514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75"/>
      <c r="C29" s="876"/>
      <c r="D29" s="360">
        <v>3</v>
      </c>
      <c r="E29" s="434" t="s">
        <v>422</v>
      </c>
      <c r="F29" s="435">
        <f t="shared" si="15"/>
        <v>1619.28</v>
      </c>
      <c r="G29" s="363">
        <v>1.17</v>
      </c>
      <c r="H29" s="436">
        <v>221561</v>
      </c>
      <c r="I29" s="436">
        <v>221561</v>
      </c>
      <c r="J29" s="438">
        <f t="shared" si="16"/>
        <v>1</v>
      </c>
      <c r="K29" s="437">
        <v>223056</v>
      </c>
      <c r="L29" s="438">
        <f t="shared" si="17"/>
        <v>1.006747577416603</v>
      </c>
      <c r="M29" s="437">
        <v>0</v>
      </c>
      <c r="N29" s="438">
        <f t="shared" si="18"/>
        <v>0</v>
      </c>
      <c r="O29" s="439">
        <f t="shared" si="19"/>
        <v>223056</v>
      </c>
      <c r="P29" s="438">
        <f t="shared" si="20"/>
        <v>1.006747577416603</v>
      </c>
      <c r="Q29" s="436">
        <v>1384</v>
      </c>
      <c r="R29" s="438">
        <f t="shared" si="21"/>
        <v>6.2465867187817348E-3</v>
      </c>
      <c r="S29" s="439">
        <f t="shared" si="22"/>
        <v>1495</v>
      </c>
      <c r="T29" s="438">
        <f t="shared" si="23"/>
        <v>6.7475774166031021E-3</v>
      </c>
      <c r="U29" s="362">
        <f t="shared" si="24"/>
        <v>1749.1499999999999</v>
      </c>
      <c r="V29" s="450">
        <f t="shared" si="25"/>
        <v>111</v>
      </c>
      <c r="W29" s="451">
        <f t="shared" si="26"/>
        <v>5.0099069782136752E-4</v>
      </c>
      <c r="X29" s="452">
        <f t="shared" si="27"/>
        <v>129.87</v>
      </c>
      <c r="Y29" s="364" t="s">
        <v>395</v>
      </c>
      <c r="Z29" s="364" t="s">
        <v>316</v>
      </c>
      <c r="AA29" s="365" t="s">
        <v>440</v>
      </c>
      <c r="AB29" s="365" t="s">
        <v>488</v>
      </c>
      <c r="AC29" s="365">
        <v>1</v>
      </c>
      <c r="AD29" s="440" t="s">
        <v>319</v>
      </c>
      <c r="AF29" s="370">
        <f>SUM(AC27:AC46)</f>
        <v>20</v>
      </c>
      <c r="AG29" s="366">
        <f>SUMIF($Z$27:$Z$46,TRIM(AG28),$AC$27:$AC$46)</f>
        <v>11</v>
      </c>
      <c r="AH29" s="366">
        <f t="shared" ref="AH29:AM29" si="28">SUMIF($Z$27:$Z$46,TRIM(AH28),$AC$27:$AC$46)</f>
        <v>0</v>
      </c>
      <c r="AI29" s="366">
        <f t="shared" si="28"/>
        <v>4</v>
      </c>
      <c r="AJ29" s="366">
        <f t="shared" si="28"/>
        <v>0</v>
      </c>
      <c r="AK29" s="366">
        <f t="shared" si="28"/>
        <v>1</v>
      </c>
      <c r="AL29" s="366">
        <f t="shared" si="28"/>
        <v>4</v>
      </c>
      <c r="AM29" s="366">
        <f t="shared" si="28"/>
        <v>0</v>
      </c>
    </row>
    <row r="30" spans="2:39" s="147" customFormat="1" ht="27" customHeight="1">
      <c r="B30" s="875"/>
      <c r="C30" s="876"/>
      <c r="D30" s="360">
        <v>4</v>
      </c>
      <c r="E30" s="434" t="s">
        <v>315</v>
      </c>
      <c r="F30" s="435">
        <f t="shared" si="15"/>
        <v>1294.4354000000005</v>
      </c>
      <c r="G30" s="363">
        <v>147.43000000000004</v>
      </c>
      <c r="H30" s="436">
        <v>3543.6600000000003</v>
      </c>
      <c r="I30" s="436">
        <v>3543.6600000000003</v>
      </c>
      <c r="J30" s="438">
        <f t="shared" si="16"/>
        <v>1</v>
      </c>
      <c r="K30" s="437">
        <v>3603.0299999999997</v>
      </c>
      <c r="L30" s="438">
        <f t="shared" si="17"/>
        <v>1.0167538646484142</v>
      </c>
      <c r="M30" s="437">
        <v>59.37</v>
      </c>
      <c r="N30" s="438">
        <f t="shared" si="18"/>
        <v>1.675386464841435E-2</v>
      </c>
      <c r="O30" s="439">
        <f t="shared" si="19"/>
        <v>3662.3999999999996</v>
      </c>
      <c r="P30" s="438">
        <f t="shared" si="20"/>
        <v>1.0335077292968284</v>
      </c>
      <c r="Q30" s="436">
        <v>8.7800000000000011</v>
      </c>
      <c r="R30" s="438">
        <f t="shared" si="21"/>
        <v>2.4776643357432714E-3</v>
      </c>
      <c r="S30" s="439">
        <f t="shared" si="22"/>
        <v>118.73999999999933</v>
      </c>
      <c r="T30" s="438">
        <f t="shared" si="23"/>
        <v>3.3507729296828513E-2</v>
      </c>
      <c r="U30" s="362">
        <f t="shared" si="24"/>
        <v>17505.838199999904</v>
      </c>
      <c r="V30" s="450">
        <f t="shared" si="25"/>
        <v>109.95999999999933</v>
      </c>
      <c r="W30" s="451">
        <f t="shared" si="26"/>
        <v>3.1030064961085239E-2</v>
      </c>
      <c r="X30" s="452">
        <f t="shared" si="27"/>
        <v>16211.402799999905</v>
      </c>
      <c r="Y30" s="364" t="s">
        <v>395</v>
      </c>
      <c r="Z30" s="364" t="s">
        <v>198</v>
      </c>
      <c r="AA30" s="365" t="s">
        <v>595</v>
      </c>
      <c r="AB30" s="365" t="s">
        <v>629</v>
      </c>
      <c r="AC30" s="365">
        <v>1</v>
      </c>
      <c r="AD30" s="440" t="s">
        <v>319</v>
      </c>
      <c r="AF30" s="371" t="s">
        <v>11</v>
      </c>
      <c r="AG30" s="368">
        <f>SUMIF($Z$27:$Z46,TRIM(AG28),$F$27:$F$46)</f>
        <v>9488.8132000000005</v>
      </c>
      <c r="AH30" s="368">
        <f>SUMIF($Z$27:$Z46,TRIM(AH28),$F$27:$F$46)</f>
        <v>0</v>
      </c>
      <c r="AI30" s="368">
        <f>SUMIF($Z$27:$Z46,TRIM(AI28),$F$27:$F$46)</f>
        <v>5761.7367999999997</v>
      </c>
      <c r="AJ30" s="368">
        <f>SUMIF($Z$27:$Z46,TRIM(AJ28),$F$27:$F$46)</f>
        <v>0</v>
      </c>
      <c r="AK30" s="368">
        <f>SUMIF($Z$27:$Z46,TRIM(AK28),$F$27:$F$46)</f>
        <v>1294.4354000000005</v>
      </c>
      <c r="AL30" s="368">
        <f>SUMIF($Z$27:$Z46,TRIM(AL28),$F$27:$F$46)</f>
        <v>4992.4166000000005</v>
      </c>
      <c r="AM30" s="368">
        <f>SUMIF($Z$27:$Z46,TRIM(AM28),$F$27:$F$46)</f>
        <v>0</v>
      </c>
    </row>
    <row r="31" spans="2:39" s="147" customFormat="1" ht="27" customHeight="1">
      <c r="B31" s="875"/>
      <c r="C31" s="876"/>
      <c r="D31" s="360">
        <v>5</v>
      </c>
      <c r="E31" s="434" t="s">
        <v>559</v>
      </c>
      <c r="F31" s="435">
        <f t="shared" si="15"/>
        <v>1226.8423999999998</v>
      </c>
      <c r="G31" s="363">
        <v>625.93999999999994</v>
      </c>
      <c r="H31" s="436">
        <v>1221.19</v>
      </c>
      <c r="I31" s="436">
        <v>1221.19</v>
      </c>
      <c r="J31" s="438">
        <f t="shared" si="16"/>
        <v>1</v>
      </c>
      <c r="K31" s="437">
        <v>1231.8899999999999</v>
      </c>
      <c r="L31" s="438">
        <f t="shared" si="17"/>
        <v>1.0087619453156347</v>
      </c>
      <c r="M31" s="437">
        <v>10.7</v>
      </c>
      <c r="N31" s="438">
        <f t="shared" si="18"/>
        <v>8.7619453156347494E-3</v>
      </c>
      <c r="O31" s="439">
        <f t="shared" si="19"/>
        <v>1242.5899999999999</v>
      </c>
      <c r="P31" s="438">
        <f t="shared" si="20"/>
        <v>1.0175238906312694</v>
      </c>
      <c r="Q31" s="436">
        <v>1.96</v>
      </c>
      <c r="R31" s="438">
        <f t="shared" si="21"/>
        <v>1.6049918522097297E-3</v>
      </c>
      <c r="S31" s="439">
        <f t="shared" si="22"/>
        <v>21.399999999999864</v>
      </c>
      <c r="T31" s="438">
        <f t="shared" si="23"/>
        <v>1.7523890631269388E-2</v>
      </c>
      <c r="U31" s="362">
        <f t="shared" si="24"/>
        <v>13395.115999999913</v>
      </c>
      <c r="V31" s="450">
        <f t="shared" si="25"/>
        <v>19.439999999999863</v>
      </c>
      <c r="W31" s="451">
        <f t="shared" si="26"/>
        <v>1.5918898779059658E-2</v>
      </c>
      <c r="X31" s="452">
        <f t="shared" si="27"/>
        <v>12168.273599999913</v>
      </c>
      <c r="Y31" s="364" t="s">
        <v>395</v>
      </c>
      <c r="Z31" s="364" t="s">
        <v>316</v>
      </c>
      <c r="AA31" s="365" t="s">
        <v>572</v>
      </c>
      <c r="AB31" s="365" t="s">
        <v>573</v>
      </c>
      <c r="AC31" s="365">
        <v>1</v>
      </c>
      <c r="AD31" s="440" t="s">
        <v>560</v>
      </c>
      <c r="AF31" s="360" t="s">
        <v>515</v>
      </c>
      <c r="AG31" s="441">
        <f>AG29/$AF29</f>
        <v>0.55000000000000004</v>
      </c>
      <c r="AH31" s="441">
        <f t="shared" ref="AH31:AM31" si="29">AH29/$AF29</f>
        <v>0</v>
      </c>
      <c r="AI31" s="441">
        <f t="shared" si="29"/>
        <v>0.2</v>
      </c>
      <c r="AJ31" s="441">
        <f t="shared" si="29"/>
        <v>0</v>
      </c>
      <c r="AK31" s="441">
        <f t="shared" si="29"/>
        <v>0.05</v>
      </c>
      <c r="AL31" s="441">
        <f t="shared" si="29"/>
        <v>0.2</v>
      </c>
      <c r="AM31" s="441">
        <f t="shared" si="29"/>
        <v>0</v>
      </c>
    </row>
    <row r="32" spans="2:39" s="147" customFormat="1" ht="27" customHeight="1">
      <c r="B32" s="875"/>
      <c r="C32" s="876"/>
      <c r="D32" s="360">
        <v>6</v>
      </c>
      <c r="E32" s="434" t="s">
        <v>495</v>
      </c>
      <c r="F32" s="435">
        <f t="shared" si="15"/>
        <v>1070.6201999999998</v>
      </c>
      <c r="G32" s="363">
        <v>39.389999999999993</v>
      </c>
      <c r="H32" s="436">
        <v>26239.200000000001</v>
      </c>
      <c r="I32" s="436">
        <v>26239.200000000001</v>
      </c>
      <c r="J32" s="438">
        <f t="shared" si="16"/>
        <v>1</v>
      </c>
      <c r="K32" s="437">
        <v>26364.650000000005</v>
      </c>
      <c r="L32" s="438">
        <f t="shared" si="17"/>
        <v>1.0047810146650815</v>
      </c>
      <c r="M32" s="437">
        <v>125.45</v>
      </c>
      <c r="N32" s="438">
        <f t="shared" si="18"/>
        <v>4.7810146650812523E-3</v>
      </c>
      <c r="O32" s="439">
        <f t="shared" si="19"/>
        <v>26490.100000000006</v>
      </c>
      <c r="P32" s="438">
        <f t="shared" si="20"/>
        <v>1.0095620293301626</v>
      </c>
      <c r="Q32" s="436">
        <v>27.18</v>
      </c>
      <c r="R32" s="438">
        <f t="shared" si="21"/>
        <v>1.0358547516692582E-3</v>
      </c>
      <c r="S32" s="439">
        <f t="shared" si="22"/>
        <v>250.90000000000509</v>
      </c>
      <c r="T32" s="438">
        <f t="shared" si="23"/>
        <v>9.5620293301626989E-3</v>
      </c>
      <c r="U32" s="362">
        <f t="shared" si="24"/>
        <v>9882.9510000001992</v>
      </c>
      <c r="V32" s="450">
        <f t="shared" si="25"/>
        <v>223.72000000000509</v>
      </c>
      <c r="W32" s="451">
        <f t="shared" si="26"/>
        <v>8.5261745784934399E-3</v>
      </c>
      <c r="X32" s="452">
        <f t="shared" si="27"/>
        <v>8812.330800000198</v>
      </c>
      <c r="Y32" s="364" t="s">
        <v>395</v>
      </c>
      <c r="Z32" s="364" t="s">
        <v>199</v>
      </c>
      <c r="AA32" s="365" t="s">
        <v>569</v>
      </c>
      <c r="AB32" s="365" t="s">
        <v>594</v>
      </c>
      <c r="AC32" s="365">
        <v>1</v>
      </c>
      <c r="AD32" s="440" t="s">
        <v>319</v>
      </c>
    </row>
    <row r="33" spans="2:39" s="147" customFormat="1" ht="27" customHeight="1">
      <c r="B33" s="875"/>
      <c r="C33" s="876"/>
      <c r="D33" s="360">
        <v>7</v>
      </c>
      <c r="E33" s="434" t="s">
        <v>434</v>
      </c>
      <c r="F33" s="435">
        <f t="shared" si="15"/>
        <v>1043.8144</v>
      </c>
      <c r="G33" s="363">
        <v>407.74000000000007</v>
      </c>
      <c r="H33" s="436">
        <v>1091.8000000000002</v>
      </c>
      <c r="I33" s="436">
        <v>1091.8000000000002</v>
      </c>
      <c r="J33" s="438">
        <f t="shared" si="16"/>
        <v>1</v>
      </c>
      <c r="K33" s="437">
        <v>1101.83</v>
      </c>
      <c r="L33" s="438">
        <f t="shared" si="17"/>
        <v>1.0091866642242167</v>
      </c>
      <c r="M33" s="437">
        <v>10.029999999999999</v>
      </c>
      <c r="N33" s="438">
        <f t="shared" si="18"/>
        <v>9.186664224216887E-3</v>
      </c>
      <c r="O33" s="439">
        <f t="shared" si="19"/>
        <v>1111.8599999999999</v>
      </c>
      <c r="P33" s="438">
        <f t="shared" si="20"/>
        <v>1.0183733284484335</v>
      </c>
      <c r="Q33" s="436">
        <v>2.5599999999999996</v>
      </c>
      <c r="R33" s="438">
        <f t="shared" si="21"/>
        <v>2.3447517860413986E-3</v>
      </c>
      <c r="S33" s="439">
        <f t="shared" si="22"/>
        <v>20.059999999999718</v>
      </c>
      <c r="T33" s="438">
        <f t="shared" si="23"/>
        <v>1.8373328448433517E-2</v>
      </c>
      <c r="U33" s="362">
        <f t="shared" si="24"/>
        <v>8179.2643999998863</v>
      </c>
      <c r="V33" s="450">
        <f t="shared" si="25"/>
        <v>17.499999999999719</v>
      </c>
      <c r="W33" s="451">
        <f t="shared" si="26"/>
        <v>1.602857666239212E-2</v>
      </c>
      <c r="X33" s="452">
        <f t="shared" si="27"/>
        <v>7135.449999999887</v>
      </c>
      <c r="Y33" s="364" t="s">
        <v>395</v>
      </c>
      <c r="Z33" s="364" t="s">
        <v>316</v>
      </c>
      <c r="AA33" s="365" t="s">
        <v>572</v>
      </c>
      <c r="AB33" s="365" t="s">
        <v>597</v>
      </c>
      <c r="AC33" s="365">
        <v>1</v>
      </c>
      <c r="AD33" s="440" t="s">
        <v>436</v>
      </c>
    </row>
    <row r="34" spans="2:39" s="147" customFormat="1" ht="27" customHeight="1">
      <c r="B34" s="875"/>
      <c r="C34" s="876"/>
      <c r="D34" s="360">
        <v>8</v>
      </c>
      <c r="E34" s="434" t="s">
        <v>364</v>
      </c>
      <c r="F34" s="435">
        <f t="shared" si="15"/>
        <v>1016.3280000000001</v>
      </c>
      <c r="G34" s="363">
        <v>127.84000000000002</v>
      </c>
      <c r="H34" s="436">
        <v>3184.1</v>
      </c>
      <c r="I34" s="436">
        <v>3184.1</v>
      </c>
      <c r="J34" s="438">
        <f t="shared" si="16"/>
        <v>1</v>
      </c>
      <c r="K34" s="437">
        <v>3225.84</v>
      </c>
      <c r="L34" s="438">
        <f t="shared" si="17"/>
        <v>1.0131088847712071</v>
      </c>
      <c r="M34" s="437">
        <v>41.74</v>
      </c>
      <c r="N34" s="438">
        <f t="shared" si="18"/>
        <v>1.3108884771206936E-2</v>
      </c>
      <c r="O34" s="439">
        <f t="shared" si="19"/>
        <v>3267.58</v>
      </c>
      <c r="P34" s="438">
        <f t="shared" si="20"/>
        <v>1.0262177695424139</v>
      </c>
      <c r="Q34" s="436">
        <v>7.9499999999999993</v>
      </c>
      <c r="R34" s="438">
        <f t="shared" si="21"/>
        <v>2.4967808799974873E-3</v>
      </c>
      <c r="S34" s="439">
        <f t="shared" si="22"/>
        <v>83.480000000000018</v>
      </c>
      <c r="T34" s="438">
        <f t="shared" si="23"/>
        <v>2.6217769542413876E-2</v>
      </c>
      <c r="U34" s="362">
        <f t="shared" si="24"/>
        <v>10672.083200000005</v>
      </c>
      <c r="V34" s="450">
        <f t="shared" si="25"/>
        <v>75.530000000000015</v>
      </c>
      <c r="W34" s="451">
        <f t="shared" si="26"/>
        <v>2.3720988662416388E-2</v>
      </c>
      <c r="X34" s="452">
        <f t="shared" si="27"/>
        <v>9655.7552000000032</v>
      </c>
      <c r="Y34" s="364" t="s">
        <v>395</v>
      </c>
      <c r="Z34" s="364" t="s">
        <v>421</v>
      </c>
      <c r="AA34" s="365" t="s">
        <v>570</v>
      </c>
      <c r="AB34" s="365" t="s">
        <v>596</v>
      </c>
      <c r="AC34" s="365">
        <v>1</v>
      </c>
      <c r="AD34" s="440" t="s">
        <v>319</v>
      </c>
    </row>
    <row r="35" spans="2:39" s="147" customFormat="1" ht="27" customHeight="1">
      <c r="B35" s="875"/>
      <c r="C35" s="876"/>
      <c r="D35" s="360">
        <v>9</v>
      </c>
      <c r="E35" s="434" t="s">
        <v>660</v>
      </c>
      <c r="F35" s="435">
        <f t="shared" si="15"/>
        <v>999.92480000000012</v>
      </c>
      <c r="G35" s="363">
        <v>48.920000000000009</v>
      </c>
      <c r="H35" s="436">
        <v>4978.1900000000005</v>
      </c>
      <c r="I35" s="436">
        <v>4978.1900000000005</v>
      </c>
      <c r="J35" s="438">
        <f t="shared" si="16"/>
        <v>1</v>
      </c>
      <c r="K35" s="437">
        <v>5051.8300000000008</v>
      </c>
      <c r="L35" s="438">
        <f t="shared" si="17"/>
        <v>1.0147925249940239</v>
      </c>
      <c r="M35" s="437">
        <v>73.639999999999986</v>
      </c>
      <c r="N35" s="438">
        <f t="shared" si="18"/>
        <v>1.4792524994023929E-2</v>
      </c>
      <c r="O35" s="439">
        <f t="shared" si="19"/>
        <v>5125.4700000000012</v>
      </c>
      <c r="P35" s="438">
        <f t="shared" si="20"/>
        <v>1.0295850499880479</v>
      </c>
      <c r="Q35" s="436">
        <v>20.439999999999998</v>
      </c>
      <c r="R35" s="438">
        <f t="shared" si="21"/>
        <v>4.1059099793298356E-3</v>
      </c>
      <c r="S35" s="439">
        <f t="shared" si="22"/>
        <v>147.28000000000065</v>
      </c>
      <c r="T35" s="438">
        <f t="shared" si="23"/>
        <v>2.9585049988047993E-2</v>
      </c>
      <c r="U35" s="362">
        <f t="shared" si="24"/>
        <v>7204.9376000000329</v>
      </c>
      <c r="V35" s="450">
        <f t="shared" si="25"/>
        <v>126.84000000000066</v>
      </c>
      <c r="W35" s="451">
        <f t="shared" si="26"/>
        <v>2.5479140008718159E-2</v>
      </c>
      <c r="X35" s="452">
        <f t="shared" si="27"/>
        <v>6205.0128000000332</v>
      </c>
      <c r="Y35" s="364" t="s">
        <v>395</v>
      </c>
      <c r="Z35" s="364" t="s">
        <v>199</v>
      </c>
      <c r="AA35" s="365" t="s">
        <v>569</v>
      </c>
      <c r="AB35" s="376" t="s">
        <v>594</v>
      </c>
      <c r="AC35" s="365">
        <v>1</v>
      </c>
      <c r="AD35" s="440" t="s">
        <v>659</v>
      </c>
      <c r="AH35" s="367"/>
    </row>
    <row r="36" spans="2:39" s="147" customFormat="1" ht="27" customHeight="1">
      <c r="B36" s="875"/>
      <c r="C36" s="876"/>
      <c r="D36" s="360">
        <v>10</v>
      </c>
      <c r="E36" s="434" t="s">
        <v>589</v>
      </c>
      <c r="F36" s="435">
        <f t="shared" si="15"/>
        <v>975.17160000000001</v>
      </c>
      <c r="G36" s="363">
        <v>52.26</v>
      </c>
      <c r="H36" s="436">
        <v>5274.57</v>
      </c>
      <c r="I36" s="436">
        <v>5274.57</v>
      </c>
      <c r="J36" s="438">
        <f t="shared" si="16"/>
        <v>1</v>
      </c>
      <c r="K36" s="437">
        <v>5357.0999999999995</v>
      </c>
      <c r="L36" s="438">
        <f t="shared" si="17"/>
        <v>1.0156467731018832</v>
      </c>
      <c r="M36" s="437">
        <v>82.53</v>
      </c>
      <c r="N36" s="438">
        <f t="shared" si="18"/>
        <v>1.5646773101883189E-2</v>
      </c>
      <c r="O36" s="439">
        <f t="shared" si="19"/>
        <v>5439.6299999999992</v>
      </c>
      <c r="P36" s="438">
        <f t="shared" si="20"/>
        <v>1.0312935462037662</v>
      </c>
      <c r="Q36" s="436">
        <v>18.66</v>
      </c>
      <c r="R36" s="438">
        <f t="shared" si="21"/>
        <v>3.5377291419016149E-3</v>
      </c>
      <c r="S36" s="439">
        <f t="shared" si="22"/>
        <v>165.05999999999949</v>
      </c>
      <c r="T36" s="438">
        <f t="shared" si="23"/>
        <v>3.129354620376628E-2</v>
      </c>
      <c r="U36" s="362">
        <f t="shared" si="24"/>
        <v>8626.0355999999738</v>
      </c>
      <c r="V36" s="450">
        <f t="shared" si="25"/>
        <v>146.39999999999949</v>
      </c>
      <c r="W36" s="451">
        <f t="shared" si="26"/>
        <v>2.7755817061864665E-2</v>
      </c>
      <c r="X36" s="452">
        <f t="shared" si="27"/>
        <v>7650.8639999999732</v>
      </c>
      <c r="Y36" s="364" t="s">
        <v>395</v>
      </c>
      <c r="Z36" s="364" t="s">
        <v>199</v>
      </c>
      <c r="AA36" s="365" t="s">
        <v>569</v>
      </c>
      <c r="AB36" s="365" t="s">
        <v>594</v>
      </c>
      <c r="AC36" s="365">
        <v>1</v>
      </c>
      <c r="AD36" s="440" t="s">
        <v>578</v>
      </c>
      <c r="AH36" s="367"/>
    </row>
    <row r="37" spans="2:39" s="147" customFormat="1" ht="27" customHeight="1">
      <c r="B37" s="875"/>
      <c r="C37" s="876"/>
      <c r="D37" s="360">
        <v>11</v>
      </c>
      <c r="E37" s="434" t="s">
        <v>545</v>
      </c>
      <c r="F37" s="435">
        <f t="shared" si="15"/>
        <v>878.93599999999992</v>
      </c>
      <c r="G37" s="363">
        <v>144.79999999999998</v>
      </c>
      <c r="H37" s="436">
        <v>1791.18</v>
      </c>
      <c r="I37" s="436">
        <v>1791.18</v>
      </c>
      <c r="J37" s="438">
        <f t="shared" si="16"/>
        <v>1</v>
      </c>
      <c r="K37" s="437">
        <v>1819.0900000000001</v>
      </c>
      <c r="L37" s="438">
        <f t="shared" si="17"/>
        <v>1.0155819068993626</v>
      </c>
      <c r="M37" s="437">
        <v>27.91</v>
      </c>
      <c r="N37" s="438">
        <f t="shared" si="18"/>
        <v>1.5581906899362431E-2</v>
      </c>
      <c r="O37" s="439">
        <f t="shared" si="19"/>
        <v>1847.0000000000002</v>
      </c>
      <c r="P37" s="438">
        <f t="shared" si="20"/>
        <v>1.0311638137987249</v>
      </c>
      <c r="Q37" s="436">
        <v>6.07</v>
      </c>
      <c r="R37" s="438">
        <f t="shared" si="21"/>
        <v>3.3888274768588307E-3</v>
      </c>
      <c r="S37" s="439">
        <f t="shared" si="22"/>
        <v>55.820000000000164</v>
      </c>
      <c r="T37" s="438">
        <f t="shared" si="23"/>
        <v>3.1163813798724953E-2</v>
      </c>
      <c r="U37" s="362">
        <f t="shared" si="24"/>
        <v>8082.7360000000226</v>
      </c>
      <c r="V37" s="450">
        <f t="shared" si="25"/>
        <v>49.750000000000163</v>
      </c>
      <c r="W37" s="451">
        <f t="shared" si="26"/>
        <v>2.7774986321866122E-2</v>
      </c>
      <c r="X37" s="452">
        <f t="shared" si="27"/>
        <v>7203.8000000000229</v>
      </c>
      <c r="Y37" s="364" t="s">
        <v>395</v>
      </c>
      <c r="Z37" s="364" t="s">
        <v>421</v>
      </c>
      <c r="AA37" s="365" t="s">
        <v>570</v>
      </c>
      <c r="AB37" s="365" t="s">
        <v>629</v>
      </c>
      <c r="AC37" s="365">
        <v>1</v>
      </c>
      <c r="AD37" s="440" t="s">
        <v>319</v>
      </c>
      <c r="AH37" s="367"/>
    </row>
    <row r="38" spans="2:39" s="147" customFormat="1" ht="26.25" customHeight="1">
      <c r="B38" s="875"/>
      <c r="C38" s="876"/>
      <c r="D38" s="360">
        <v>12</v>
      </c>
      <c r="E38" s="434" t="s">
        <v>661</v>
      </c>
      <c r="F38" s="435">
        <f t="shared" si="15"/>
        <v>860.97900000000016</v>
      </c>
      <c r="G38" s="363">
        <v>351.42</v>
      </c>
      <c r="H38" s="436">
        <v>264.41000000000003</v>
      </c>
      <c r="I38" s="436">
        <v>264.41000000000003</v>
      </c>
      <c r="J38" s="438">
        <f t="shared" si="16"/>
        <v>1</v>
      </c>
      <c r="K38" s="437">
        <v>271.89000000000004</v>
      </c>
      <c r="L38" s="438">
        <f t="shared" si="17"/>
        <v>1.0282893990393707</v>
      </c>
      <c r="M38" s="437">
        <v>7.48</v>
      </c>
      <c r="N38" s="438">
        <f t="shared" si="18"/>
        <v>2.8289399039370673E-2</v>
      </c>
      <c r="O38" s="439">
        <f t="shared" si="19"/>
        <v>279.37000000000006</v>
      </c>
      <c r="P38" s="438">
        <f t="shared" si="20"/>
        <v>1.0565787980787416</v>
      </c>
      <c r="Q38" s="436">
        <v>2.4500000000000002</v>
      </c>
      <c r="R38" s="438">
        <f t="shared" si="21"/>
        <v>9.2659127869596462E-3</v>
      </c>
      <c r="S38" s="439">
        <f t="shared" si="22"/>
        <v>14.960000000000036</v>
      </c>
      <c r="T38" s="438">
        <f t="shared" si="23"/>
        <v>5.6578798078741478E-2</v>
      </c>
      <c r="U38" s="362">
        <f t="shared" si="24"/>
        <v>5257.2432000000126</v>
      </c>
      <c r="V38" s="450">
        <f t="shared" si="25"/>
        <v>12.510000000000037</v>
      </c>
      <c r="W38" s="451">
        <f t="shared" si="26"/>
        <v>4.7312885291781841E-2</v>
      </c>
      <c r="X38" s="452">
        <f t="shared" si="27"/>
        <v>4396.2642000000133</v>
      </c>
      <c r="Y38" s="364" t="s">
        <v>395</v>
      </c>
      <c r="Z38" s="364" t="s">
        <v>421</v>
      </c>
      <c r="AA38" s="365" t="s">
        <v>670</v>
      </c>
      <c r="AB38" s="365" t="s">
        <v>629</v>
      </c>
      <c r="AC38" s="365">
        <v>1</v>
      </c>
      <c r="AD38" s="440" t="s">
        <v>552</v>
      </c>
      <c r="AH38" s="367"/>
    </row>
    <row r="39" spans="2:39" s="147" customFormat="1" ht="27" customHeight="1">
      <c r="B39" s="875"/>
      <c r="C39" s="876"/>
      <c r="D39" s="360">
        <v>13</v>
      </c>
      <c r="E39" s="434" t="s">
        <v>564</v>
      </c>
      <c r="F39" s="435">
        <f t="shared" si="15"/>
        <v>846.59769999999992</v>
      </c>
      <c r="G39" s="363">
        <v>91.13</v>
      </c>
      <c r="H39" s="436">
        <v>1080.48</v>
      </c>
      <c r="I39" s="436">
        <v>1080.48</v>
      </c>
      <c r="J39" s="438">
        <f t="shared" si="16"/>
        <v>1</v>
      </c>
      <c r="K39" s="437">
        <v>1110.9599999999998</v>
      </c>
      <c r="L39" s="438">
        <f t="shared" si="17"/>
        <v>1.0282096845846289</v>
      </c>
      <c r="M39" s="437">
        <v>30.48</v>
      </c>
      <c r="N39" s="438">
        <f t="shared" si="18"/>
        <v>2.8209684584629052E-2</v>
      </c>
      <c r="O39" s="439">
        <f t="shared" si="19"/>
        <v>1141.4399999999998</v>
      </c>
      <c r="P39" s="438">
        <f t="shared" si="20"/>
        <v>1.0564193691692578</v>
      </c>
      <c r="Q39" s="436">
        <v>9.2899999999999991</v>
      </c>
      <c r="R39" s="438">
        <f t="shared" si="21"/>
        <v>8.5980305049607568E-3</v>
      </c>
      <c r="S39" s="439">
        <f t="shared" si="22"/>
        <v>60.959999999999809</v>
      </c>
      <c r="T39" s="438">
        <f t="shared" si="23"/>
        <v>5.6419369169257931E-2</v>
      </c>
      <c r="U39" s="362">
        <f t="shared" si="24"/>
        <v>5555.2847999999822</v>
      </c>
      <c r="V39" s="450">
        <f t="shared" si="25"/>
        <v>51.66999999999981</v>
      </c>
      <c r="W39" s="451">
        <f t="shared" si="26"/>
        <v>4.7821338664297171E-2</v>
      </c>
      <c r="X39" s="452">
        <f t="shared" si="27"/>
        <v>4708.6870999999828</v>
      </c>
      <c r="Y39" s="364" t="s">
        <v>395</v>
      </c>
      <c r="Z39" s="364" t="s">
        <v>421</v>
      </c>
      <c r="AA39" s="365" t="s">
        <v>500</v>
      </c>
      <c r="AB39" s="365" t="s">
        <v>429</v>
      </c>
      <c r="AC39" s="365">
        <v>1</v>
      </c>
      <c r="AD39" s="440" t="s">
        <v>562</v>
      </c>
    </row>
    <row r="40" spans="2:39" s="147" customFormat="1" ht="27" customHeight="1">
      <c r="B40" s="875"/>
      <c r="C40" s="876"/>
      <c r="D40" s="360">
        <v>14</v>
      </c>
      <c r="E40" s="434" t="s">
        <v>547</v>
      </c>
      <c r="F40" s="435">
        <f t="shared" si="15"/>
        <v>841.95799999999997</v>
      </c>
      <c r="G40" s="363">
        <v>49.82</v>
      </c>
      <c r="H40" s="436">
        <v>2532.5</v>
      </c>
      <c r="I40" s="436">
        <v>2532.5</v>
      </c>
      <c r="J40" s="438">
        <f t="shared" si="16"/>
        <v>1</v>
      </c>
      <c r="K40" s="437">
        <v>2597.7800000000002</v>
      </c>
      <c r="L40" s="438">
        <f t="shared" si="17"/>
        <v>1.0257769002961501</v>
      </c>
      <c r="M40" s="437">
        <v>65.28</v>
      </c>
      <c r="N40" s="438">
        <f t="shared" si="18"/>
        <v>2.5776900296150051E-2</v>
      </c>
      <c r="O40" s="439">
        <f t="shared" si="19"/>
        <v>2663.0600000000004</v>
      </c>
      <c r="P40" s="438">
        <f t="shared" si="20"/>
        <v>1.0515538005923002</v>
      </c>
      <c r="Q40" s="436">
        <v>16.899999999999999</v>
      </c>
      <c r="R40" s="438">
        <f t="shared" si="21"/>
        <v>6.6732477788746291E-3</v>
      </c>
      <c r="S40" s="439">
        <f t="shared" si="22"/>
        <v>130.5600000000004</v>
      </c>
      <c r="T40" s="438">
        <f t="shared" si="23"/>
        <v>5.1553800592300254E-2</v>
      </c>
      <c r="U40" s="362">
        <f t="shared" si="24"/>
        <v>6504.4992000000202</v>
      </c>
      <c r="V40" s="450">
        <f t="shared" si="25"/>
        <v>113.66000000000039</v>
      </c>
      <c r="W40" s="451">
        <f t="shared" si="26"/>
        <v>4.4880552813425623E-2</v>
      </c>
      <c r="X40" s="452">
        <f t="shared" si="27"/>
        <v>5662.5412000000197</v>
      </c>
      <c r="Y40" s="364" t="s">
        <v>395</v>
      </c>
      <c r="Z40" s="364" t="s">
        <v>421</v>
      </c>
      <c r="AA40" s="364" t="s">
        <v>500</v>
      </c>
      <c r="AB40" s="365" t="s">
        <v>429</v>
      </c>
      <c r="AC40" s="365">
        <v>1</v>
      </c>
      <c r="AD40" s="440" t="s">
        <v>537</v>
      </c>
    </row>
    <row r="41" spans="2:39" s="147" customFormat="1" ht="27" customHeight="1">
      <c r="B41" s="875"/>
      <c r="C41" s="876"/>
      <c r="D41" s="360">
        <v>15</v>
      </c>
      <c r="E41" s="434" t="s">
        <v>565</v>
      </c>
      <c r="F41" s="435">
        <f t="shared" si="15"/>
        <v>841.27979999999991</v>
      </c>
      <c r="G41" s="363">
        <v>139.97999999999999</v>
      </c>
      <c r="H41" s="436">
        <v>431.44000000000005</v>
      </c>
      <c r="I41" s="436">
        <v>431.44000000000005</v>
      </c>
      <c r="J41" s="438">
        <f t="shared" si="16"/>
        <v>1</v>
      </c>
      <c r="K41" s="437">
        <v>443.01000000000005</v>
      </c>
      <c r="L41" s="438">
        <f t="shared" si="17"/>
        <v>1.026817170406082</v>
      </c>
      <c r="M41" s="437">
        <v>11.57</v>
      </c>
      <c r="N41" s="438">
        <f t="shared" si="18"/>
        <v>2.6817170406081954E-2</v>
      </c>
      <c r="O41" s="439">
        <f t="shared" si="19"/>
        <v>454.58000000000004</v>
      </c>
      <c r="P41" s="438">
        <f t="shared" si="20"/>
        <v>1.0536343408121638</v>
      </c>
      <c r="Q41" s="436">
        <v>6.01</v>
      </c>
      <c r="R41" s="438">
        <f t="shared" si="21"/>
        <v>1.3930094567031334E-2</v>
      </c>
      <c r="S41" s="439">
        <f t="shared" si="22"/>
        <v>23.139999999999986</v>
      </c>
      <c r="T41" s="438">
        <f t="shared" si="23"/>
        <v>5.363434081216388E-2</v>
      </c>
      <c r="U41" s="362">
        <f t="shared" si="24"/>
        <v>3239.1371999999978</v>
      </c>
      <c r="V41" s="450">
        <f t="shared" si="25"/>
        <v>17.129999999999988</v>
      </c>
      <c r="W41" s="451">
        <f t="shared" si="26"/>
        <v>3.9704246245132545E-2</v>
      </c>
      <c r="X41" s="452">
        <f t="shared" si="27"/>
        <v>2397.8573999999981</v>
      </c>
      <c r="Y41" s="364" t="s">
        <v>395</v>
      </c>
      <c r="Z41" s="364" t="s">
        <v>421</v>
      </c>
      <c r="AA41" s="365" t="s">
        <v>570</v>
      </c>
      <c r="AB41" s="365" t="s">
        <v>596</v>
      </c>
      <c r="AC41" s="365">
        <v>1</v>
      </c>
      <c r="AD41" s="440" t="s">
        <v>471</v>
      </c>
    </row>
    <row r="42" spans="2:39" s="147" customFormat="1" ht="27" customHeight="1">
      <c r="B42" s="875"/>
      <c r="C42" s="876"/>
      <c r="D42" s="360">
        <v>16</v>
      </c>
      <c r="E42" s="434" t="s">
        <v>435</v>
      </c>
      <c r="F42" s="435">
        <f t="shared" si="15"/>
        <v>840.96759999999995</v>
      </c>
      <c r="G42" s="363">
        <v>160.49</v>
      </c>
      <c r="H42" s="436">
        <v>650.27</v>
      </c>
      <c r="I42" s="436">
        <v>650.27</v>
      </c>
      <c r="J42" s="438">
        <f t="shared" si="16"/>
        <v>1</v>
      </c>
      <c r="K42" s="437">
        <v>666.1099999999999</v>
      </c>
      <c r="L42" s="438">
        <f t="shared" si="17"/>
        <v>1.0243591123687084</v>
      </c>
      <c r="M42" s="437">
        <v>15.84</v>
      </c>
      <c r="N42" s="438">
        <f t="shared" si="18"/>
        <v>2.4359112368708382E-2</v>
      </c>
      <c r="O42" s="439">
        <f t="shared" si="19"/>
        <v>681.94999999999993</v>
      </c>
      <c r="P42" s="438">
        <f t="shared" si="20"/>
        <v>1.0487182247374167</v>
      </c>
      <c r="Q42" s="436">
        <v>5.2399999999999993</v>
      </c>
      <c r="R42" s="438">
        <f t="shared" si="21"/>
        <v>8.0581912128808025E-3</v>
      </c>
      <c r="S42" s="439">
        <f t="shared" si="22"/>
        <v>31.67999999999995</v>
      </c>
      <c r="T42" s="438">
        <f t="shared" si="23"/>
        <v>4.8718224737416688E-2</v>
      </c>
      <c r="U42" s="362">
        <f t="shared" si="24"/>
        <v>5084.3231999999925</v>
      </c>
      <c r="V42" s="450">
        <f t="shared" si="25"/>
        <v>26.439999999999952</v>
      </c>
      <c r="W42" s="451">
        <f t="shared" si="26"/>
        <v>4.0660033524535885E-2</v>
      </c>
      <c r="X42" s="452">
        <f t="shared" si="27"/>
        <v>4243.3555999999926</v>
      </c>
      <c r="Y42" s="364" t="s">
        <v>395</v>
      </c>
      <c r="Z42" s="364" t="s">
        <v>421</v>
      </c>
      <c r="AA42" s="376" t="s">
        <v>570</v>
      </c>
      <c r="AB42" s="365" t="s">
        <v>429</v>
      </c>
      <c r="AC42" s="365">
        <v>1</v>
      </c>
      <c r="AD42" s="440" t="s">
        <v>411</v>
      </c>
    </row>
    <row r="43" spans="2:39" s="147" customFormat="1" ht="27" customHeight="1">
      <c r="B43" s="875"/>
      <c r="C43" s="876"/>
      <c r="D43" s="360">
        <v>17</v>
      </c>
      <c r="E43" s="434" t="s">
        <v>662</v>
      </c>
      <c r="F43" s="435">
        <f t="shared" si="15"/>
        <v>840.93380000000025</v>
      </c>
      <c r="G43" s="363">
        <v>98.470000000000013</v>
      </c>
      <c r="H43" s="436">
        <v>377.51</v>
      </c>
      <c r="I43" s="436">
        <v>377.51</v>
      </c>
      <c r="J43" s="438">
        <f t="shared" si="16"/>
        <v>1</v>
      </c>
      <c r="K43" s="437">
        <v>391.40000000000003</v>
      </c>
      <c r="L43" s="438">
        <f t="shared" si="17"/>
        <v>1.0367937273184817</v>
      </c>
      <c r="M43" s="437">
        <v>13.89</v>
      </c>
      <c r="N43" s="438">
        <f t="shared" si="18"/>
        <v>3.6793727318481635E-2</v>
      </c>
      <c r="O43" s="439">
        <f t="shared" si="19"/>
        <v>405.29</v>
      </c>
      <c r="P43" s="438">
        <f t="shared" si="20"/>
        <v>1.0735874546369633</v>
      </c>
      <c r="Q43" s="436">
        <v>8.5400000000000009</v>
      </c>
      <c r="R43" s="438">
        <f t="shared" si="21"/>
        <v>2.2621917300203971E-2</v>
      </c>
      <c r="S43" s="439">
        <f t="shared" si="22"/>
        <v>27.78000000000003</v>
      </c>
      <c r="T43" s="438">
        <f t="shared" si="23"/>
        <v>7.358745463696334E-2</v>
      </c>
      <c r="U43" s="362">
        <f t="shared" si="24"/>
        <v>2735.4966000000031</v>
      </c>
      <c r="V43" s="450">
        <f t="shared" si="25"/>
        <v>19.24000000000003</v>
      </c>
      <c r="W43" s="451">
        <f t="shared" si="26"/>
        <v>5.0965537336759376E-2</v>
      </c>
      <c r="X43" s="452">
        <f t="shared" si="27"/>
        <v>1894.5628000000033</v>
      </c>
      <c r="Y43" s="364" t="s">
        <v>395</v>
      </c>
      <c r="Z43" s="364" t="s">
        <v>421</v>
      </c>
      <c r="AA43" s="365" t="s">
        <v>570</v>
      </c>
      <c r="AB43" s="365" t="s">
        <v>429</v>
      </c>
      <c r="AC43" s="365">
        <v>1</v>
      </c>
      <c r="AD43" s="440" t="s">
        <v>471</v>
      </c>
    </row>
    <row r="44" spans="2:39" s="147" customFormat="1" ht="27" customHeight="1">
      <c r="B44" s="875"/>
      <c r="C44" s="876"/>
      <c r="D44" s="360">
        <v>18</v>
      </c>
      <c r="E44" s="434" t="s">
        <v>546</v>
      </c>
      <c r="F44" s="435">
        <f t="shared" si="15"/>
        <v>840.48099999999999</v>
      </c>
      <c r="G44" s="363">
        <v>212.78</v>
      </c>
      <c r="H44" s="436">
        <v>335.81999999999994</v>
      </c>
      <c r="I44" s="436">
        <v>335.81999999999994</v>
      </c>
      <c r="J44" s="438">
        <f t="shared" si="16"/>
        <v>1</v>
      </c>
      <c r="K44" s="437">
        <v>346.03999999999996</v>
      </c>
      <c r="L44" s="438">
        <f t="shared" si="17"/>
        <v>1.0304329700434758</v>
      </c>
      <c r="M44" s="437">
        <v>10.219999999999999</v>
      </c>
      <c r="N44" s="438">
        <f t="shared" si="18"/>
        <v>3.0432970043475675E-2</v>
      </c>
      <c r="O44" s="439">
        <f t="shared" si="19"/>
        <v>356.26</v>
      </c>
      <c r="P44" s="438">
        <f t="shared" si="20"/>
        <v>1.0608659400869516</v>
      </c>
      <c r="Q44" s="436">
        <v>3.95</v>
      </c>
      <c r="R44" s="438">
        <f t="shared" si="21"/>
        <v>1.1762253588231793E-2</v>
      </c>
      <c r="S44" s="439">
        <f t="shared" si="22"/>
        <v>20.440000000000055</v>
      </c>
      <c r="T44" s="438">
        <f t="shared" si="23"/>
        <v>6.0865940086951516E-2</v>
      </c>
      <c r="U44" s="362">
        <f t="shared" si="24"/>
        <v>4349.2232000000113</v>
      </c>
      <c r="V44" s="450">
        <f t="shared" si="25"/>
        <v>16.490000000000055</v>
      </c>
      <c r="W44" s="451">
        <f t="shared" si="26"/>
        <v>4.9103686498719726E-2</v>
      </c>
      <c r="X44" s="452">
        <f t="shared" si="27"/>
        <v>3508.742200000012</v>
      </c>
      <c r="Y44" s="364" t="s">
        <v>395</v>
      </c>
      <c r="Z44" s="364" t="s">
        <v>421</v>
      </c>
      <c r="AA44" s="376" t="s">
        <v>500</v>
      </c>
      <c r="AB44" s="365" t="s">
        <v>429</v>
      </c>
      <c r="AC44" s="365">
        <v>1</v>
      </c>
      <c r="AD44" s="440" t="s">
        <v>542</v>
      </c>
    </row>
    <row r="45" spans="2:39" s="147" customFormat="1" ht="27" customHeight="1">
      <c r="B45" s="875"/>
      <c r="C45" s="876"/>
      <c r="D45" s="360">
        <v>19</v>
      </c>
      <c r="E45" s="434" t="s">
        <v>663</v>
      </c>
      <c r="F45" s="435">
        <f t="shared" si="15"/>
        <v>840.3742000000002</v>
      </c>
      <c r="G45" s="363">
        <v>98.060000000000016</v>
      </c>
      <c r="H45" s="436">
        <v>824.91</v>
      </c>
      <c r="I45" s="436">
        <v>824.91</v>
      </c>
      <c r="J45" s="438">
        <f t="shared" si="16"/>
        <v>1</v>
      </c>
      <c r="K45" s="437">
        <v>846.85</v>
      </c>
      <c r="L45" s="438">
        <f t="shared" si="17"/>
        <v>1.0265968408674886</v>
      </c>
      <c r="M45" s="437">
        <v>21.94</v>
      </c>
      <c r="N45" s="438">
        <f t="shared" si="18"/>
        <v>2.6596840867488578E-2</v>
      </c>
      <c r="O45" s="439">
        <f t="shared" si="19"/>
        <v>868.79000000000008</v>
      </c>
      <c r="P45" s="438">
        <f t="shared" si="20"/>
        <v>1.0531936817349772</v>
      </c>
      <c r="Q45" s="436">
        <v>8.57</v>
      </c>
      <c r="R45" s="438">
        <f t="shared" si="21"/>
        <v>1.0389012134657115E-2</v>
      </c>
      <c r="S45" s="439">
        <f t="shared" si="22"/>
        <v>43.880000000000109</v>
      </c>
      <c r="T45" s="438">
        <f t="shared" si="23"/>
        <v>5.319368173497728E-2</v>
      </c>
      <c r="U45" s="362">
        <f t="shared" si="24"/>
        <v>4302.872800000011</v>
      </c>
      <c r="V45" s="450">
        <f t="shared" si="25"/>
        <v>35.310000000000109</v>
      </c>
      <c r="W45" s="451">
        <f t="shared" si="26"/>
        <v>4.2804669600320165E-2</v>
      </c>
      <c r="X45" s="452">
        <f t="shared" si="27"/>
        <v>3462.4986000000113</v>
      </c>
      <c r="Y45" s="364" t="s">
        <v>395</v>
      </c>
      <c r="Z45" s="364" t="s">
        <v>421</v>
      </c>
      <c r="AA45" s="365" t="s">
        <v>445</v>
      </c>
      <c r="AB45" s="365" t="s">
        <v>571</v>
      </c>
      <c r="AC45" s="365">
        <v>1</v>
      </c>
      <c r="AD45" s="440" t="s">
        <v>552</v>
      </c>
    </row>
    <row r="46" spans="2:39" s="147" customFormat="1" ht="27" customHeight="1">
      <c r="B46" s="877"/>
      <c r="C46" s="878"/>
      <c r="D46" s="360">
        <v>20</v>
      </c>
      <c r="E46" s="434" t="s">
        <v>550</v>
      </c>
      <c r="F46" s="435">
        <f t="shared" si="15"/>
        <v>839.97810000000004</v>
      </c>
      <c r="G46" s="363">
        <v>31.59</v>
      </c>
      <c r="H46" s="436">
        <v>2676.24</v>
      </c>
      <c r="I46" s="436">
        <v>2676.24</v>
      </c>
      <c r="J46" s="438">
        <f t="shared" si="16"/>
        <v>1</v>
      </c>
      <c r="K46" s="437">
        <v>2748.9100000000003</v>
      </c>
      <c r="L46" s="438">
        <f t="shared" si="17"/>
        <v>1.0271537679729772</v>
      </c>
      <c r="M46" s="437">
        <v>72.67</v>
      </c>
      <c r="N46" s="438">
        <f t="shared" si="18"/>
        <v>2.7153767972977014E-2</v>
      </c>
      <c r="O46" s="439">
        <f t="shared" si="19"/>
        <v>2821.5800000000004</v>
      </c>
      <c r="P46" s="438">
        <f t="shared" si="20"/>
        <v>1.0543075359459542</v>
      </c>
      <c r="Q46" s="436">
        <v>26.59</v>
      </c>
      <c r="R46" s="438">
        <f t="shared" si="21"/>
        <v>9.9355812632648793E-3</v>
      </c>
      <c r="S46" s="439">
        <f t="shared" si="22"/>
        <v>145.3400000000006</v>
      </c>
      <c r="T46" s="438">
        <f t="shared" si="23"/>
        <v>5.4307535945954256E-2</v>
      </c>
      <c r="U46" s="362">
        <f t="shared" si="24"/>
        <v>4591.2906000000194</v>
      </c>
      <c r="V46" s="450">
        <f t="shared" si="25"/>
        <v>118.7500000000006</v>
      </c>
      <c r="W46" s="451">
        <f t="shared" si="26"/>
        <v>4.4371954682689375E-2</v>
      </c>
      <c r="X46" s="452">
        <f t="shared" si="27"/>
        <v>3751.3125000000186</v>
      </c>
      <c r="Y46" s="364" t="s">
        <v>395</v>
      </c>
      <c r="Z46" s="364" t="s">
        <v>421</v>
      </c>
      <c r="AA46" s="365" t="s">
        <v>445</v>
      </c>
      <c r="AB46" s="365" t="s">
        <v>571</v>
      </c>
      <c r="AC46" s="365">
        <v>1</v>
      </c>
      <c r="AD46" s="440" t="s">
        <v>549</v>
      </c>
    </row>
    <row r="47" spans="2:39" ht="16.5" customHeight="1">
      <c r="B47" s="889" t="s">
        <v>419</v>
      </c>
      <c r="C47" s="890"/>
      <c r="D47" s="893" t="s">
        <v>501</v>
      </c>
      <c r="E47" s="894" t="s">
        <v>502</v>
      </c>
      <c r="F47" s="895" t="s">
        <v>503</v>
      </c>
      <c r="G47" s="862" t="s">
        <v>504</v>
      </c>
      <c r="H47" s="896" t="s">
        <v>505</v>
      </c>
      <c r="I47" s="879" t="s">
        <v>506</v>
      </c>
      <c r="J47" s="880"/>
      <c r="K47" s="879" t="s">
        <v>507</v>
      </c>
      <c r="L47" s="880"/>
      <c r="M47" s="879" t="s">
        <v>508</v>
      </c>
      <c r="N47" s="880"/>
      <c r="O47" s="879" t="s">
        <v>509</v>
      </c>
      <c r="P47" s="880"/>
      <c r="Q47" s="879" t="s">
        <v>396</v>
      </c>
      <c r="R47" s="880"/>
      <c r="S47" s="881" t="s">
        <v>397</v>
      </c>
      <c r="T47" s="882"/>
      <c r="U47" s="883"/>
      <c r="V47" s="884" t="s">
        <v>566</v>
      </c>
      <c r="W47" s="885"/>
      <c r="X47" s="886"/>
      <c r="Y47" s="887" t="s">
        <v>168</v>
      </c>
      <c r="Z47" s="887" t="s">
        <v>228</v>
      </c>
      <c r="AA47" s="887" t="s">
        <v>510</v>
      </c>
      <c r="AB47" s="887" t="s">
        <v>420</v>
      </c>
      <c r="AC47" s="887" t="s">
        <v>229</v>
      </c>
      <c r="AD47" s="862" t="s">
        <v>169</v>
      </c>
      <c r="AF47" s="864" t="s">
        <v>230</v>
      </c>
      <c r="AG47" s="865"/>
      <c r="AH47" s="865"/>
      <c r="AI47" s="865"/>
      <c r="AJ47" s="865"/>
      <c r="AK47" s="865"/>
      <c r="AL47" s="865"/>
      <c r="AM47" s="866"/>
    </row>
    <row r="48" spans="2:39">
      <c r="B48" s="891"/>
      <c r="C48" s="892"/>
      <c r="D48" s="893"/>
      <c r="E48" s="893"/>
      <c r="F48" s="895"/>
      <c r="G48" s="863"/>
      <c r="H48" s="863"/>
      <c r="I48" s="433" t="s">
        <v>511</v>
      </c>
      <c r="J48" s="361" t="s">
        <v>512</v>
      </c>
      <c r="K48" s="433" t="s">
        <v>511</v>
      </c>
      <c r="L48" s="361" t="s">
        <v>512</v>
      </c>
      <c r="M48" s="433" t="s">
        <v>511</v>
      </c>
      <c r="N48" s="361" t="s">
        <v>512</v>
      </c>
      <c r="O48" s="433" t="s">
        <v>511</v>
      </c>
      <c r="P48" s="361" t="s">
        <v>512</v>
      </c>
      <c r="Q48" s="433" t="s">
        <v>511</v>
      </c>
      <c r="R48" s="361" t="s">
        <v>512</v>
      </c>
      <c r="S48" s="433" t="s">
        <v>511</v>
      </c>
      <c r="T48" s="361" t="s">
        <v>512</v>
      </c>
      <c r="U48" s="361" t="s">
        <v>513</v>
      </c>
      <c r="V48" s="433" t="s">
        <v>511</v>
      </c>
      <c r="W48" s="361" t="s">
        <v>512</v>
      </c>
      <c r="X48" s="361" t="s">
        <v>513</v>
      </c>
      <c r="Y48" s="888"/>
      <c r="Z48" s="888"/>
      <c r="AA48" s="888"/>
      <c r="AB48" s="888"/>
      <c r="AC48" s="888"/>
      <c r="AD48" s="863"/>
      <c r="AF48" s="867"/>
      <c r="AG48" s="868"/>
      <c r="AH48" s="868"/>
      <c r="AI48" s="868"/>
      <c r="AJ48" s="868"/>
      <c r="AK48" s="868"/>
      <c r="AL48" s="868"/>
      <c r="AM48" s="869"/>
    </row>
    <row r="49" spans="2:39" s="147" customFormat="1" ht="27" customHeight="1">
      <c r="B49" s="873" t="s">
        <v>645</v>
      </c>
      <c r="C49" s="874"/>
      <c r="D49" s="360">
        <v>1</v>
      </c>
      <c r="E49" s="434" t="s">
        <v>422</v>
      </c>
      <c r="F49" s="435">
        <f>IFERROR(Q49*G49,"-")</f>
        <v>1762.02</v>
      </c>
      <c r="G49" s="363">
        <v>1.17</v>
      </c>
      <c r="H49" s="436">
        <v>221142</v>
      </c>
      <c r="I49" s="436">
        <v>221142</v>
      </c>
      <c r="J49" s="438">
        <f>IFERROR(I49/H49,"-")</f>
        <v>1</v>
      </c>
      <c r="K49" s="436">
        <v>222648</v>
      </c>
      <c r="L49" s="438">
        <f>IFERROR(K49/H49,"-")</f>
        <v>1.0068101039151314</v>
      </c>
      <c r="M49" s="437">
        <v>0</v>
      </c>
      <c r="N49" s="438">
        <f>IFERROR(M49/H49,"-")</f>
        <v>0</v>
      </c>
      <c r="O49" s="439">
        <f>IFERROR(K49+M49,"-")</f>
        <v>222648</v>
      </c>
      <c r="P49" s="438">
        <f>IFERROR(O49/H49,"-")</f>
        <v>1.0068101039151314</v>
      </c>
      <c r="Q49" s="436">
        <v>1506</v>
      </c>
      <c r="R49" s="438">
        <f>IFERROR(Q49/H49,"-")</f>
        <v>6.8101039151314538E-3</v>
      </c>
      <c r="S49" s="439">
        <f>IFERROR(O49-H49,"-")</f>
        <v>1506</v>
      </c>
      <c r="T49" s="438">
        <f>IFERROR(S49/H49,"-")</f>
        <v>6.8101039151314538E-3</v>
      </c>
      <c r="U49" s="362">
        <f>IFERROR(S49*G49,"-")</f>
        <v>1762.02</v>
      </c>
      <c r="V49" s="450">
        <f>S49-Q49</f>
        <v>0</v>
      </c>
      <c r="W49" s="451">
        <f>IFERROR(V49/H49,"-")</f>
        <v>0</v>
      </c>
      <c r="X49" s="452">
        <f>IFERROR(V49*G49,"-")</f>
        <v>0</v>
      </c>
      <c r="Y49" s="364" t="s">
        <v>395</v>
      </c>
      <c r="Z49" s="364" t="s">
        <v>316</v>
      </c>
      <c r="AA49" s="365" t="s">
        <v>440</v>
      </c>
      <c r="AB49" s="365" t="s">
        <v>488</v>
      </c>
      <c r="AC49" s="365">
        <v>1</v>
      </c>
      <c r="AD49" s="440" t="s">
        <v>319</v>
      </c>
      <c r="AF49" s="870"/>
      <c r="AG49" s="871"/>
      <c r="AH49" s="871"/>
      <c r="AI49" s="871"/>
      <c r="AJ49" s="871"/>
      <c r="AK49" s="871"/>
      <c r="AL49" s="871"/>
      <c r="AM49" s="872"/>
    </row>
    <row r="50" spans="2:39" s="147" customFormat="1" ht="27" customHeight="1">
      <c r="B50" s="875"/>
      <c r="C50" s="876"/>
      <c r="D50" s="360">
        <v>2</v>
      </c>
      <c r="E50" s="434" t="s">
        <v>314</v>
      </c>
      <c r="F50" s="435">
        <f t="shared" ref="F50:F68" si="30">IFERROR(Q50*G50,"-")</f>
        <v>1668.6000000000001</v>
      </c>
      <c r="G50" s="363">
        <v>15.450000000000001</v>
      </c>
      <c r="H50" s="436">
        <v>51854</v>
      </c>
      <c r="I50" s="436">
        <v>51854</v>
      </c>
      <c r="J50" s="438">
        <f t="shared" ref="J50:J68" si="31">IFERROR(I50/H50,"-")</f>
        <v>1</v>
      </c>
      <c r="K50" s="436">
        <v>51962</v>
      </c>
      <c r="L50" s="438">
        <f t="shared" ref="L50:L68" si="32">IFERROR(K50/H50,"-")</f>
        <v>1.002082770856636</v>
      </c>
      <c r="M50" s="437">
        <v>0</v>
      </c>
      <c r="N50" s="438">
        <f t="shared" ref="N50:N68" si="33">IFERROR(M50/H50,"-")</f>
        <v>0</v>
      </c>
      <c r="O50" s="439">
        <f t="shared" ref="O50:O68" si="34">IFERROR(K50+M50,"-")</f>
        <v>51962</v>
      </c>
      <c r="P50" s="438">
        <f t="shared" ref="P50:P68" si="35">IFERROR(O50/H50,"-")</f>
        <v>1.002082770856636</v>
      </c>
      <c r="Q50" s="436">
        <v>108</v>
      </c>
      <c r="R50" s="438">
        <f t="shared" ref="R50:R68" si="36">IFERROR(Q50/H50,"-")</f>
        <v>2.0827708566359395E-3</v>
      </c>
      <c r="S50" s="439">
        <f t="shared" ref="S50:S68" si="37">IFERROR(O50-H50,"-")</f>
        <v>108</v>
      </c>
      <c r="T50" s="438">
        <f t="shared" ref="T50:T68" si="38">IFERROR(S50/H50,"-")</f>
        <v>2.0827708566359395E-3</v>
      </c>
      <c r="U50" s="362">
        <f t="shared" ref="U50:U68" si="39">IFERROR(S50*G50,"-")</f>
        <v>1668.6000000000001</v>
      </c>
      <c r="V50" s="450">
        <f t="shared" ref="V50:V68" si="40">S50-Q50</f>
        <v>0</v>
      </c>
      <c r="W50" s="451">
        <f t="shared" ref="W50:W68" si="41">IFERROR(V50/H50,"-")</f>
        <v>0</v>
      </c>
      <c r="X50" s="452">
        <f t="shared" ref="X50:X68" si="42">IFERROR(V50*G50,"-")</f>
        <v>0</v>
      </c>
      <c r="Y50" s="364" t="s">
        <v>395</v>
      </c>
      <c r="Z50" s="364" t="s">
        <v>199</v>
      </c>
      <c r="AA50" s="365" t="s">
        <v>437</v>
      </c>
      <c r="AB50" s="365" t="s">
        <v>568</v>
      </c>
      <c r="AC50" s="365">
        <v>1</v>
      </c>
      <c r="AD50" s="440" t="s">
        <v>485</v>
      </c>
      <c r="AF50" s="160" t="s">
        <v>227</v>
      </c>
      <c r="AG50" s="160" t="s">
        <v>421</v>
      </c>
      <c r="AH50" s="155" t="s">
        <v>514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75"/>
      <c r="C51" s="876"/>
      <c r="D51" s="360">
        <v>3</v>
      </c>
      <c r="E51" s="434" t="s">
        <v>423</v>
      </c>
      <c r="F51" s="435">
        <f t="shared" si="30"/>
        <v>1489.6</v>
      </c>
      <c r="G51" s="363">
        <v>2.4499999999999997</v>
      </c>
      <c r="H51" s="436">
        <v>93352</v>
      </c>
      <c r="I51" s="436">
        <v>93352</v>
      </c>
      <c r="J51" s="438">
        <f t="shared" si="31"/>
        <v>1</v>
      </c>
      <c r="K51" s="436">
        <v>93960</v>
      </c>
      <c r="L51" s="438">
        <f t="shared" si="32"/>
        <v>1.0065129831176622</v>
      </c>
      <c r="M51" s="437">
        <v>0</v>
      </c>
      <c r="N51" s="438">
        <f t="shared" si="33"/>
        <v>0</v>
      </c>
      <c r="O51" s="439">
        <f t="shared" si="34"/>
        <v>93960</v>
      </c>
      <c r="P51" s="438">
        <f t="shared" si="35"/>
        <v>1.0065129831176622</v>
      </c>
      <c r="Q51" s="436">
        <v>608</v>
      </c>
      <c r="R51" s="438">
        <f t="shared" si="36"/>
        <v>6.512983117662182E-3</v>
      </c>
      <c r="S51" s="439">
        <f t="shared" si="37"/>
        <v>608</v>
      </c>
      <c r="T51" s="438">
        <f t="shared" si="38"/>
        <v>6.512983117662182E-3</v>
      </c>
      <c r="U51" s="362">
        <f t="shared" si="39"/>
        <v>1489.6</v>
      </c>
      <c r="V51" s="450">
        <f t="shared" si="40"/>
        <v>0</v>
      </c>
      <c r="W51" s="451">
        <f t="shared" si="41"/>
        <v>0</v>
      </c>
      <c r="X51" s="452">
        <f t="shared" si="42"/>
        <v>0</v>
      </c>
      <c r="Y51" s="364" t="s">
        <v>395</v>
      </c>
      <c r="Z51" s="364" t="s">
        <v>316</v>
      </c>
      <c r="AA51" s="365" t="s">
        <v>438</v>
      </c>
      <c r="AB51" s="365" t="s">
        <v>439</v>
      </c>
      <c r="AC51" s="365">
        <v>1</v>
      </c>
      <c r="AD51" s="440" t="s">
        <v>331</v>
      </c>
      <c r="AF51" s="370">
        <f>SUM(AC49:AC68)</f>
        <v>20</v>
      </c>
      <c r="AG51" s="366">
        <f>SUMIF($Z$49:$Z$68,TRIM(AG50),$AC$49:$AC$68)</f>
        <v>8</v>
      </c>
      <c r="AH51" s="366">
        <f t="shared" ref="AH51:AM51" si="43">SUMIF($Z$49:$Z$68,TRIM(AH50),$AC$49:$AC$68)</f>
        <v>0</v>
      </c>
      <c r="AI51" s="366">
        <f t="shared" si="43"/>
        <v>6</v>
      </c>
      <c r="AJ51" s="366">
        <f t="shared" si="43"/>
        <v>0</v>
      </c>
      <c r="AK51" s="366">
        <f t="shared" si="43"/>
        <v>1</v>
      </c>
      <c r="AL51" s="366">
        <f t="shared" si="43"/>
        <v>5</v>
      </c>
      <c r="AM51" s="366">
        <f t="shared" si="43"/>
        <v>0</v>
      </c>
    </row>
    <row r="52" spans="2:39" s="147" customFormat="1" ht="27" customHeight="1">
      <c r="B52" s="875"/>
      <c r="C52" s="876"/>
      <c r="D52" s="360">
        <v>4</v>
      </c>
      <c r="E52" s="434" t="s">
        <v>559</v>
      </c>
      <c r="F52" s="435">
        <f t="shared" si="30"/>
        <v>1364.5491999999999</v>
      </c>
      <c r="G52" s="363">
        <v>625.93999999999994</v>
      </c>
      <c r="H52" s="436">
        <v>1230.1400000000001</v>
      </c>
      <c r="I52" s="436">
        <v>1230.1400000000001</v>
      </c>
      <c r="J52" s="438">
        <f t="shared" si="31"/>
        <v>1</v>
      </c>
      <c r="K52" s="436">
        <v>1240.17</v>
      </c>
      <c r="L52" s="438">
        <f t="shared" si="32"/>
        <v>1.0081535434991138</v>
      </c>
      <c r="M52" s="437">
        <v>10.029999999999999</v>
      </c>
      <c r="N52" s="438">
        <f t="shared" si="33"/>
        <v>8.1535434991139213E-3</v>
      </c>
      <c r="O52" s="439">
        <f t="shared" si="34"/>
        <v>1250.2</v>
      </c>
      <c r="P52" s="438">
        <f t="shared" si="35"/>
        <v>1.0163070869982278</v>
      </c>
      <c r="Q52" s="436">
        <v>2.1800000000000002</v>
      </c>
      <c r="R52" s="438">
        <f t="shared" si="36"/>
        <v>1.7721560147625473E-3</v>
      </c>
      <c r="S52" s="439">
        <f t="shared" si="37"/>
        <v>20.059999999999945</v>
      </c>
      <c r="T52" s="438">
        <f t="shared" si="38"/>
        <v>1.6307086998227797E-2</v>
      </c>
      <c r="U52" s="362">
        <f t="shared" si="39"/>
        <v>12556.356399999964</v>
      </c>
      <c r="V52" s="450">
        <f t="shared" si="40"/>
        <v>17.879999999999946</v>
      </c>
      <c r="W52" s="451">
        <f t="shared" si="41"/>
        <v>1.4534930983465252E-2</v>
      </c>
      <c r="X52" s="452">
        <f t="shared" si="42"/>
        <v>11191.807199999965</v>
      </c>
      <c r="Y52" s="364" t="s">
        <v>395</v>
      </c>
      <c r="Z52" s="364" t="s">
        <v>316</v>
      </c>
      <c r="AA52" s="365" t="s">
        <v>572</v>
      </c>
      <c r="AB52" s="365" t="s">
        <v>573</v>
      </c>
      <c r="AC52" s="365">
        <v>1</v>
      </c>
      <c r="AD52" s="440" t="s">
        <v>560</v>
      </c>
      <c r="AF52" s="371" t="s">
        <v>11</v>
      </c>
      <c r="AG52" s="368">
        <f>SUMIF($Z$49:$Z68,TRIM(AG50),$F$49:$F$68)</f>
        <v>6720.1255000000001</v>
      </c>
      <c r="AH52" s="368">
        <f>SUMIF($Z$49:$Z68,TRIM(AH50),$F$49:$F$68)</f>
        <v>0</v>
      </c>
      <c r="AI52" s="368">
        <f>SUMIF($Z$49:$Z68,TRIM(AI50),$F$49:$F$68)</f>
        <v>7400.501400000001</v>
      </c>
      <c r="AJ52" s="368">
        <f>SUMIF($Z$49:$Z68,TRIM(AJ50),$F$49:$F$68)</f>
        <v>0</v>
      </c>
      <c r="AK52" s="368">
        <f>SUMIF($Z$49:$Z68,TRIM(AK50),$F$49:$F$68)</f>
        <v>1203.0288000000003</v>
      </c>
      <c r="AL52" s="368">
        <f>SUMIF($Z$49:$Z68,TRIM(AL50),$F$49:$F$68)</f>
        <v>5438.7682000000013</v>
      </c>
      <c r="AM52" s="368">
        <f>SUMIF($Z$49:$Z68,TRIM(AM50),$F$49:$F$68)</f>
        <v>0</v>
      </c>
    </row>
    <row r="53" spans="2:39" s="147" customFormat="1" ht="27" customHeight="1">
      <c r="B53" s="875"/>
      <c r="C53" s="876"/>
      <c r="D53" s="360">
        <v>5</v>
      </c>
      <c r="E53" s="434" t="s">
        <v>495</v>
      </c>
      <c r="F53" s="435">
        <f t="shared" si="30"/>
        <v>1333.7453999999998</v>
      </c>
      <c r="G53" s="363">
        <v>39.389999999999993</v>
      </c>
      <c r="H53" s="436">
        <v>23524.2</v>
      </c>
      <c r="I53" s="436">
        <v>23524.2</v>
      </c>
      <c r="J53" s="438">
        <f t="shared" si="31"/>
        <v>1</v>
      </c>
      <c r="K53" s="436">
        <v>23637.209999999995</v>
      </c>
      <c r="L53" s="438">
        <f t="shared" si="32"/>
        <v>1.0048039890835818</v>
      </c>
      <c r="M53" s="437">
        <v>113.00999999999999</v>
      </c>
      <c r="N53" s="438">
        <f t="shared" si="33"/>
        <v>4.8039890835820127E-3</v>
      </c>
      <c r="O53" s="439">
        <f t="shared" si="34"/>
        <v>23750.219999999994</v>
      </c>
      <c r="P53" s="438">
        <f t="shared" si="35"/>
        <v>1.0096079781671636</v>
      </c>
      <c r="Q53" s="436">
        <v>33.86</v>
      </c>
      <c r="R53" s="438">
        <f t="shared" si="36"/>
        <v>1.4393688201936729E-3</v>
      </c>
      <c r="S53" s="439">
        <f t="shared" si="37"/>
        <v>226.01999999999316</v>
      </c>
      <c r="T53" s="438">
        <f t="shared" si="38"/>
        <v>9.6079781671637356E-3</v>
      </c>
      <c r="U53" s="362">
        <f t="shared" si="39"/>
        <v>8902.9277999997284</v>
      </c>
      <c r="V53" s="450">
        <f t="shared" si="40"/>
        <v>192.15999999999315</v>
      </c>
      <c r="W53" s="451">
        <f t="shared" si="41"/>
        <v>8.1686093469700623E-3</v>
      </c>
      <c r="X53" s="452">
        <f t="shared" si="42"/>
        <v>7569.1823999997287</v>
      </c>
      <c r="Y53" s="364" t="s">
        <v>395</v>
      </c>
      <c r="Z53" s="364" t="s">
        <v>199</v>
      </c>
      <c r="AA53" s="365" t="s">
        <v>569</v>
      </c>
      <c r="AB53" s="365" t="s">
        <v>594</v>
      </c>
      <c r="AC53" s="365">
        <v>1</v>
      </c>
      <c r="AD53" s="440" t="s">
        <v>319</v>
      </c>
      <c r="AF53" s="360" t="s">
        <v>515</v>
      </c>
      <c r="AG53" s="441">
        <f>AG51/$AF51</f>
        <v>0.4</v>
      </c>
      <c r="AH53" s="441">
        <f t="shared" ref="AH53:AM53" si="44">AH51/$AF51</f>
        <v>0</v>
      </c>
      <c r="AI53" s="441">
        <f t="shared" si="44"/>
        <v>0.3</v>
      </c>
      <c r="AJ53" s="441">
        <f t="shared" si="44"/>
        <v>0</v>
      </c>
      <c r="AK53" s="441">
        <f t="shared" si="44"/>
        <v>0.05</v>
      </c>
      <c r="AL53" s="441">
        <f t="shared" si="44"/>
        <v>0.25</v>
      </c>
      <c r="AM53" s="441">
        <f t="shared" si="44"/>
        <v>0</v>
      </c>
    </row>
    <row r="54" spans="2:39" s="147" customFormat="1" ht="27" customHeight="1">
      <c r="B54" s="875"/>
      <c r="C54" s="876"/>
      <c r="D54" s="360">
        <v>6</v>
      </c>
      <c r="E54" s="434" t="s">
        <v>434</v>
      </c>
      <c r="F54" s="435">
        <f t="shared" si="30"/>
        <v>1235.4522000000004</v>
      </c>
      <c r="G54" s="363">
        <v>407.74000000000007</v>
      </c>
      <c r="H54" s="436">
        <v>1086.67</v>
      </c>
      <c r="I54" s="436">
        <v>1086.67</v>
      </c>
      <c r="J54" s="438">
        <f t="shared" si="31"/>
        <v>1</v>
      </c>
      <c r="K54" s="436">
        <v>1096.58</v>
      </c>
      <c r="L54" s="438">
        <f t="shared" si="32"/>
        <v>1.0091196039275951</v>
      </c>
      <c r="M54" s="437">
        <v>9.91</v>
      </c>
      <c r="N54" s="438">
        <f t="shared" si="33"/>
        <v>9.1196039275953135E-3</v>
      </c>
      <c r="O54" s="439">
        <f t="shared" si="34"/>
        <v>1106.49</v>
      </c>
      <c r="P54" s="438">
        <f t="shared" si="35"/>
        <v>1.0182392078551905</v>
      </c>
      <c r="Q54" s="436">
        <v>3.0300000000000002</v>
      </c>
      <c r="R54" s="438">
        <f t="shared" si="36"/>
        <v>2.7883350051073463E-3</v>
      </c>
      <c r="S54" s="439">
        <f t="shared" si="37"/>
        <v>19.819999999999936</v>
      </c>
      <c r="T54" s="438">
        <f t="shared" si="38"/>
        <v>1.8239207855190568E-2</v>
      </c>
      <c r="U54" s="362">
        <f t="shared" si="39"/>
        <v>8081.4067999999752</v>
      </c>
      <c r="V54" s="450">
        <f t="shared" si="40"/>
        <v>16.789999999999935</v>
      </c>
      <c r="W54" s="451">
        <f t="shared" si="41"/>
        <v>1.5450872850083222E-2</v>
      </c>
      <c r="X54" s="452">
        <f t="shared" si="42"/>
        <v>6845.9545999999746</v>
      </c>
      <c r="Y54" s="364" t="s">
        <v>395</v>
      </c>
      <c r="Z54" s="364" t="s">
        <v>316</v>
      </c>
      <c r="AA54" s="365" t="s">
        <v>572</v>
      </c>
      <c r="AB54" s="365" t="s">
        <v>597</v>
      </c>
      <c r="AC54" s="365">
        <v>1</v>
      </c>
      <c r="AD54" s="440" t="s">
        <v>436</v>
      </c>
    </row>
    <row r="55" spans="2:39" s="147" customFormat="1" ht="27" customHeight="1">
      <c r="B55" s="875"/>
      <c r="C55" s="876"/>
      <c r="D55" s="360">
        <v>7</v>
      </c>
      <c r="E55" s="434" t="s">
        <v>315</v>
      </c>
      <c r="F55" s="435">
        <f t="shared" si="30"/>
        <v>1203.0288000000003</v>
      </c>
      <c r="G55" s="363">
        <v>147.43000000000004</v>
      </c>
      <c r="H55" s="436">
        <v>3326.3900000000003</v>
      </c>
      <c r="I55" s="436">
        <v>3326.3900000000003</v>
      </c>
      <c r="J55" s="438">
        <f t="shared" si="31"/>
        <v>1</v>
      </c>
      <c r="K55" s="436">
        <v>3377.87</v>
      </c>
      <c r="L55" s="438">
        <f t="shared" si="32"/>
        <v>1.0154762370016743</v>
      </c>
      <c r="M55" s="437">
        <v>51.47999999999999</v>
      </c>
      <c r="N55" s="438">
        <f t="shared" si="33"/>
        <v>1.5476237001674484E-2</v>
      </c>
      <c r="O55" s="439">
        <f t="shared" si="34"/>
        <v>3429.35</v>
      </c>
      <c r="P55" s="438">
        <f t="shared" si="35"/>
        <v>1.0309524740033489</v>
      </c>
      <c r="Q55" s="436">
        <v>8.16</v>
      </c>
      <c r="R55" s="438">
        <f t="shared" si="36"/>
        <v>2.4531098277712471E-3</v>
      </c>
      <c r="S55" s="439">
        <f t="shared" si="37"/>
        <v>102.95999999999958</v>
      </c>
      <c r="T55" s="438">
        <f t="shared" si="38"/>
        <v>3.0952474003348846E-2</v>
      </c>
      <c r="U55" s="362">
        <f t="shared" si="39"/>
        <v>15179.392799999941</v>
      </c>
      <c r="V55" s="450">
        <f t="shared" si="40"/>
        <v>94.799999999999585</v>
      </c>
      <c r="W55" s="451">
        <f t="shared" si="41"/>
        <v>2.84993641755776E-2</v>
      </c>
      <c r="X55" s="452">
        <f t="shared" si="42"/>
        <v>13976.363999999941</v>
      </c>
      <c r="Y55" s="364" t="s">
        <v>395</v>
      </c>
      <c r="Z55" s="364" t="s">
        <v>198</v>
      </c>
      <c r="AA55" s="365" t="s">
        <v>595</v>
      </c>
      <c r="AB55" s="365" t="s">
        <v>629</v>
      </c>
      <c r="AC55" s="365">
        <v>1</v>
      </c>
      <c r="AD55" s="440" t="s">
        <v>319</v>
      </c>
    </row>
    <row r="56" spans="2:39" s="147" customFormat="1" ht="27" customHeight="1">
      <c r="B56" s="875"/>
      <c r="C56" s="876"/>
      <c r="D56" s="360">
        <v>8</v>
      </c>
      <c r="E56" s="434" t="s">
        <v>364</v>
      </c>
      <c r="F56" s="435">
        <f t="shared" si="30"/>
        <v>1034.2256000000002</v>
      </c>
      <c r="G56" s="363">
        <v>127.84000000000002</v>
      </c>
      <c r="H56" s="436">
        <v>2934.47</v>
      </c>
      <c r="I56" s="436">
        <v>2934.47</v>
      </c>
      <c r="J56" s="438">
        <f t="shared" si="31"/>
        <v>1</v>
      </c>
      <c r="K56" s="436">
        <v>2976.39</v>
      </c>
      <c r="L56" s="438">
        <f t="shared" si="32"/>
        <v>1.0142853735086745</v>
      </c>
      <c r="M56" s="437">
        <v>41.92</v>
      </c>
      <c r="N56" s="438">
        <f t="shared" si="33"/>
        <v>1.4285373508674482E-2</v>
      </c>
      <c r="O56" s="439">
        <f t="shared" si="34"/>
        <v>3018.31</v>
      </c>
      <c r="P56" s="438">
        <f t="shared" si="35"/>
        <v>1.0285707470173491</v>
      </c>
      <c r="Q56" s="436">
        <v>8.09</v>
      </c>
      <c r="R56" s="438">
        <f t="shared" si="36"/>
        <v>2.7568862520318833E-3</v>
      </c>
      <c r="S56" s="439">
        <f t="shared" si="37"/>
        <v>83.840000000000146</v>
      </c>
      <c r="T56" s="438">
        <f t="shared" si="38"/>
        <v>2.8570747017349012E-2</v>
      </c>
      <c r="U56" s="362">
        <f t="shared" si="39"/>
        <v>10718.105600000021</v>
      </c>
      <c r="V56" s="450">
        <f t="shared" si="40"/>
        <v>75.750000000000142</v>
      </c>
      <c r="W56" s="451">
        <f t="shared" si="41"/>
        <v>2.5813860765317127E-2</v>
      </c>
      <c r="X56" s="452">
        <f t="shared" si="42"/>
        <v>9683.8800000000192</v>
      </c>
      <c r="Y56" s="364" t="s">
        <v>395</v>
      </c>
      <c r="Z56" s="364" t="s">
        <v>421</v>
      </c>
      <c r="AA56" s="365" t="s">
        <v>570</v>
      </c>
      <c r="AB56" s="365" t="s">
        <v>596</v>
      </c>
      <c r="AC56" s="365">
        <v>1</v>
      </c>
      <c r="AD56" s="440" t="s">
        <v>319</v>
      </c>
    </row>
    <row r="57" spans="2:39" s="147" customFormat="1" ht="27" customHeight="1">
      <c r="B57" s="875"/>
      <c r="C57" s="876"/>
      <c r="D57" s="360">
        <v>9</v>
      </c>
      <c r="E57" s="434" t="s">
        <v>563</v>
      </c>
      <c r="F57" s="435">
        <f t="shared" si="30"/>
        <v>1028.3229000000001</v>
      </c>
      <c r="G57" s="363">
        <v>426.69</v>
      </c>
      <c r="H57" s="436">
        <v>1283.5899999999999</v>
      </c>
      <c r="I57" s="436">
        <v>1283.5899999999999</v>
      </c>
      <c r="J57" s="438">
        <f t="shared" si="31"/>
        <v>1</v>
      </c>
      <c r="K57" s="436">
        <v>1295.1600000000001</v>
      </c>
      <c r="L57" s="438">
        <f t="shared" si="32"/>
        <v>1.0090137816592526</v>
      </c>
      <c r="M57" s="437">
        <v>11.57</v>
      </c>
      <c r="N57" s="438">
        <f t="shared" si="33"/>
        <v>9.013781659252566E-3</v>
      </c>
      <c r="O57" s="439">
        <f t="shared" si="34"/>
        <v>1306.73</v>
      </c>
      <c r="P57" s="438">
        <f t="shared" si="35"/>
        <v>1.0180275633185052</v>
      </c>
      <c r="Q57" s="436">
        <v>2.41</v>
      </c>
      <c r="R57" s="438">
        <f t="shared" si="36"/>
        <v>1.8775465686083565E-3</v>
      </c>
      <c r="S57" s="439">
        <f t="shared" si="37"/>
        <v>23.1400000000001</v>
      </c>
      <c r="T57" s="438">
        <f t="shared" si="38"/>
        <v>1.8027563318505208E-2</v>
      </c>
      <c r="U57" s="362">
        <f t="shared" si="39"/>
        <v>9873.6066000000428</v>
      </c>
      <c r="V57" s="450">
        <f t="shared" si="40"/>
        <v>20.7300000000001</v>
      </c>
      <c r="W57" s="451">
        <f t="shared" si="41"/>
        <v>1.6150016749896853E-2</v>
      </c>
      <c r="X57" s="452">
        <f t="shared" si="42"/>
        <v>8845.2837000000418</v>
      </c>
      <c r="Y57" s="364" t="s">
        <v>395</v>
      </c>
      <c r="Z57" s="364" t="s">
        <v>421</v>
      </c>
      <c r="AA57" s="365" t="s">
        <v>690</v>
      </c>
      <c r="AB57" s="365" t="s">
        <v>430</v>
      </c>
      <c r="AC57" s="365">
        <v>1</v>
      </c>
      <c r="AD57" s="440" t="s">
        <v>336</v>
      </c>
      <c r="AH57" s="367"/>
    </row>
    <row r="58" spans="2:39" s="147" customFormat="1" ht="27" customHeight="1">
      <c r="B58" s="875"/>
      <c r="C58" s="876"/>
      <c r="D58" s="360">
        <v>10</v>
      </c>
      <c r="E58" s="434" t="s">
        <v>660</v>
      </c>
      <c r="F58" s="435">
        <f t="shared" si="30"/>
        <v>908.93360000000007</v>
      </c>
      <c r="G58" s="363">
        <v>48.920000000000009</v>
      </c>
      <c r="H58" s="436">
        <v>3060.7100000000005</v>
      </c>
      <c r="I58" s="436">
        <v>3060.7100000000005</v>
      </c>
      <c r="J58" s="438">
        <f t="shared" si="31"/>
        <v>1</v>
      </c>
      <c r="K58" s="436">
        <v>3109.18</v>
      </c>
      <c r="L58" s="438">
        <f t="shared" si="32"/>
        <v>1.0158361948698176</v>
      </c>
      <c r="M58" s="437">
        <v>48.47</v>
      </c>
      <c r="N58" s="438">
        <f t="shared" si="33"/>
        <v>1.5836194869817785E-2</v>
      </c>
      <c r="O58" s="439">
        <f t="shared" si="34"/>
        <v>3157.6499999999996</v>
      </c>
      <c r="P58" s="438">
        <f t="shared" si="35"/>
        <v>1.0316723897396354</v>
      </c>
      <c r="Q58" s="436">
        <v>18.579999999999998</v>
      </c>
      <c r="R58" s="438">
        <f t="shared" si="36"/>
        <v>6.070486913167205E-3</v>
      </c>
      <c r="S58" s="439">
        <f t="shared" si="37"/>
        <v>96.939999999999145</v>
      </c>
      <c r="T58" s="438">
        <f t="shared" si="38"/>
        <v>3.1672389739635293E-2</v>
      </c>
      <c r="U58" s="362">
        <f t="shared" si="39"/>
        <v>4742.304799999959</v>
      </c>
      <c r="V58" s="450">
        <f t="shared" si="40"/>
        <v>78.359999999999147</v>
      </c>
      <c r="W58" s="451">
        <f t="shared" si="41"/>
        <v>2.5601902826468084E-2</v>
      </c>
      <c r="X58" s="452">
        <f t="shared" si="42"/>
        <v>3833.3711999999591</v>
      </c>
      <c r="Y58" s="364" t="s">
        <v>395</v>
      </c>
      <c r="Z58" s="364" t="s">
        <v>199</v>
      </c>
      <c r="AA58" s="365" t="s">
        <v>569</v>
      </c>
      <c r="AB58" s="365" t="s">
        <v>594</v>
      </c>
      <c r="AC58" s="365">
        <v>1</v>
      </c>
      <c r="AD58" s="440" t="s">
        <v>659</v>
      </c>
      <c r="AH58" s="367"/>
    </row>
    <row r="59" spans="2:39" s="147" customFormat="1" ht="27" customHeight="1">
      <c r="B59" s="875"/>
      <c r="C59" s="876"/>
      <c r="D59" s="360">
        <v>11</v>
      </c>
      <c r="E59" s="434" t="s">
        <v>545</v>
      </c>
      <c r="F59" s="435">
        <f t="shared" si="30"/>
        <v>865.904</v>
      </c>
      <c r="G59" s="363">
        <v>144.79999999999998</v>
      </c>
      <c r="H59" s="436">
        <v>1605.5700000000002</v>
      </c>
      <c r="I59" s="436">
        <v>1605.5700000000002</v>
      </c>
      <c r="J59" s="438">
        <f t="shared" si="31"/>
        <v>1</v>
      </c>
      <c r="K59" s="436">
        <v>1631.0199999999998</v>
      </c>
      <c r="L59" s="438">
        <f t="shared" si="32"/>
        <v>1.0158510684678959</v>
      </c>
      <c r="M59" s="437">
        <v>25.450000000000003</v>
      </c>
      <c r="N59" s="438">
        <f t="shared" si="33"/>
        <v>1.5851068467896138E-2</v>
      </c>
      <c r="O59" s="439">
        <f t="shared" si="34"/>
        <v>1656.4699999999998</v>
      </c>
      <c r="P59" s="438">
        <f t="shared" si="35"/>
        <v>1.0317021369357919</v>
      </c>
      <c r="Q59" s="436">
        <v>5.98</v>
      </c>
      <c r="R59" s="438">
        <f t="shared" si="36"/>
        <v>3.7245339661304082E-3</v>
      </c>
      <c r="S59" s="439">
        <f t="shared" si="37"/>
        <v>50.899999999999636</v>
      </c>
      <c r="T59" s="438">
        <f t="shared" si="38"/>
        <v>3.170213693579204E-2</v>
      </c>
      <c r="U59" s="362">
        <f t="shared" si="39"/>
        <v>7370.319999999946</v>
      </c>
      <c r="V59" s="450">
        <f t="shared" si="40"/>
        <v>44.919999999999632</v>
      </c>
      <c r="W59" s="451">
        <f t="shared" si="41"/>
        <v>2.7977602969661633E-2</v>
      </c>
      <c r="X59" s="452">
        <f t="shared" si="42"/>
        <v>6504.4159999999456</v>
      </c>
      <c r="Y59" s="364" t="s">
        <v>395</v>
      </c>
      <c r="Z59" s="364" t="s">
        <v>421</v>
      </c>
      <c r="AA59" s="365" t="s">
        <v>570</v>
      </c>
      <c r="AB59" s="365" t="s">
        <v>629</v>
      </c>
      <c r="AC59" s="365">
        <v>1</v>
      </c>
      <c r="AD59" s="440" t="s">
        <v>319</v>
      </c>
      <c r="AH59" s="367"/>
    </row>
    <row r="60" spans="2:39" s="147" customFormat="1" ht="26.25" customHeight="1">
      <c r="B60" s="875"/>
      <c r="C60" s="876"/>
      <c r="D60" s="360">
        <v>12</v>
      </c>
      <c r="E60" s="434" t="s">
        <v>525</v>
      </c>
      <c r="F60" s="435">
        <f t="shared" si="30"/>
        <v>799.92000000000007</v>
      </c>
      <c r="G60" s="363">
        <v>24.240000000000002</v>
      </c>
      <c r="H60" s="436">
        <v>20754</v>
      </c>
      <c r="I60" s="436">
        <v>20754</v>
      </c>
      <c r="J60" s="438">
        <f t="shared" si="31"/>
        <v>1</v>
      </c>
      <c r="K60" s="436">
        <v>20787</v>
      </c>
      <c r="L60" s="438">
        <f t="shared" si="32"/>
        <v>1.0015900549291703</v>
      </c>
      <c r="M60" s="437">
        <v>0</v>
      </c>
      <c r="N60" s="438">
        <f t="shared" si="33"/>
        <v>0</v>
      </c>
      <c r="O60" s="439">
        <f t="shared" si="34"/>
        <v>20787</v>
      </c>
      <c r="P60" s="438">
        <f t="shared" si="35"/>
        <v>1.0015900549291703</v>
      </c>
      <c r="Q60" s="436">
        <v>33</v>
      </c>
      <c r="R60" s="438">
        <f t="shared" si="36"/>
        <v>1.5900549291702805E-3</v>
      </c>
      <c r="S60" s="439">
        <f t="shared" si="37"/>
        <v>33</v>
      </c>
      <c r="T60" s="438">
        <f t="shared" si="38"/>
        <v>1.5900549291702805E-3</v>
      </c>
      <c r="U60" s="362">
        <f t="shared" si="39"/>
        <v>799.92000000000007</v>
      </c>
      <c r="V60" s="450">
        <f t="shared" si="40"/>
        <v>0</v>
      </c>
      <c r="W60" s="451">
        <f t="shared" si="41"/>
        <v>0</v>
      </c>
      <c r="X60" s="452">
        <f t="shared" si="42"/>
        <v>0</v>
      </c>
      <c r="Y60" s="364" t="s">
        <v>395</v>
      </c>
      <c r="Z60" s="364" t="s">
        <v>316</v>
      </c>
      <c r="AA60" s="365" t="s">
        <v>630</v>
      </c>
      <c r="AB60" s="365" t="s">
        <v>631</v>
      </c>
      <c r="AC60" s="365">
        <v>1</v>
      </c>
      <c r="AD60" s="440" t="s">
        <v>524</v>
      </c>
      <c r="AH60" s="367"/>
    </row>
    <row r="61" spans="2:39" s="147" customFormat="1" ht="27" customHeight="1">
      <c r="B61" s="875"/>
      <c r="C61" s="876"/>
      <c r="D61" s="360">
        <v>13</v>
      </c>
      <c r="E61" s="434" t="s">
        <v>435</v>
      </c>
      <c r="F61" s="435">
        <f t="shared" ref="F61:F67" si="45">IFERROR(Q61*G61,"-")</f>
        <v>796.03039999999999</v>
      </c>
      <c r="G61" s="363">
        <v>160.49</v>
      </c>
      <c r="H61" s="436">
        <v>640.42999999999995</v>
      </c>
      <c r="I61" s="436">
        <v>640.42999999999995</v>
      </c>
      <c r="J61" s="438">
        <f t="shared" ref="J61:J67" si="46">IFERROR(I61/H61,"-")</f>
        <v>1</v>
      </c>
      <c r="K61" s="436">
        <v>656.09</v>
      </c>
      <c r="L61" s="438">
        <f t="shared" ref="L61:L67" si="47">IFERROR(K61/H61,"-")</f>
        <v>1.0244523210967633</v>
      </c>
      <c r="M61" s="437">
        <v>15.659999999999998</v>
      </c>
      <c r="N61" s="438">
        <f t="shared" ref="N61:N67" si="48">IFERROR(M61/H61,"-")</f>
        <v>2.445232109676311E-2</v>
      </c>
      <c r="O61" s="439">
        <f t="shared" ref="O61:O67" si="49">IFERROR(K61+M61,"-")</f>
        <v>671.75</v>
      </c>
      <c r="P61" s="438">
        <f t="shared" ref="P61:P67" si="50">IFERROR(O61/H61,"-")</f>
        <v>1.0489046421935264</v>
      </c>
      <c r="Q61" s="436">
        <v>4.96</v>
      </c>
      <c r="R61" s="438">
        <f t="shared" ref="R61:R67" si="51">IFERROR(Q61/H61,"-")</f>
        <v>7.7447964648751626E-3</v>
      </c>
      <c r="S61" s="439">
        <f t="shared" ref="S61:S67" si="52">IFERROR(O61-H61,"-")</f>
        <v>31.32000000000005</v>
      </c>
      <c r="T61" s="438">
        <f t="shared" ref="T61:T67" si="53">IFERROR(S61/H61,"-")</f>
        <v>4.8904642193526304E-2</v>
      </c>
      <c r="U61" s="362">
        <f t="shared" ref="U61:U67" si="54">IFERROR(S61*G61,"-")</f>
        <v>5026.5468000000083</v>
      </c>
      <c r="V61" s="450">
        <f t="shared" ref="V61:V67" si="55">S61-Q61</f>
        <v>26.360000000000049</v>
      </c>
      <c r="W61" s="451">
        <f t="shared" ref="W61:W67" si="56">IFERROR(V61/H61,"-")</f>
        <v>4.115984572865114E-2</v>
      </c>
      <c r="X61" s="452">
        <f t="shared" ref="X61:X67" si="57">IFERROR(V61*G61,"-")</f>
        <v>4230.5164000000077</v>
      </c>
      <c r="Y61" s="364" t="s">
        <v>395</v>
      </c>
      <c r="Z61" s="364" t="s">
        <v>421</v>
      </c>
      <c r="AA61" s="376" t="s">
        <v>570</v>
      </c>
      <c r="AB61" s="365" t="s">
        <v>429</v>
      </c>
      <c r="AC61" s="365">
        <v>1</v>
      </c>
      <c r="AD61" s="440" t="s">
        <v>411</v>
      </c>
    </row>
    <row r="62" spans="2:39" s="147" customFormat="1" ht="27" customHeight="1">
      <c r="B62" s="875"/>
      <c r="C62" s="876"/>
      <c r="D62" s="360">
        <v>14</v>
      </c>
      <c r="E62" s="434" t="s">
        <v>589</v>
      </c>
      <c r="F62" s="435">
        <f t="shared" si="45"/>
        <v>779.71920000000011</v>
      </c>
      <c r="G62" s="363">
        <v>52.26</v>
      </c>
      <c r="H62" s="436">
        <v>4800.18</v>
      </c>
      <c r="I62" s="436">
        <v>4800.18</v>
      </c>
      <c r="J62" s="438">
        <f t="shared" si="46"/>
        <v>1</v>
      </c>
      <c r="K62" s="436">
        <v>4877.1499999999996</v>
      </c>
      <c r="L62" s="438">
        <f t="shared" si="47"/>
        <v>1.0160348153610905</v>
      </c>
      <c r="M62" s="437">
        <v>76.97</v>
      </c>
      <c r="N62" s="438">
        <f t="shared" si="48"/>
        <v>1.6034815361090624E-2</v>
      </c>
      <c r="O62" s="439">
        <f t="shared" si="49"/>
        <v>4954.12</v>
      </c>
      <c r="P62" s="438">
        <f t="shared" si="50"/>
        <v>1.0320696307221813</v>
      </c>
      <c r="Q62" s="436">
        <v>14.920000000000002</v>
      </c>
      <c r="R62" s="438">
        <f t="shared" si="51"/>
        <v>3.1082167752042632E-3</v>
      </c>
      <c r="S62" s="439">
        <f t="shared" si="52"/>
        <v>153.9399999999996</v>
      </c>
      <c r="T62" s="438">
        <f t="shared" si="53"/>
        <v>3.2069630722181164E-2</v>
      </c>
      <c r="U62" s="362">
        <f t="shared" si="54"/>
        <v>8044.9043999999785</v>
      </c>
      <c r="V62" s="450">
        <f t="shared" si="55"/>
        <v>139.01999999999958</v>
      </c>
      <c r="W62" s="451">
        <f t="shared" si="56"/>
        <v>2.8961413946976901E-2</v>
      </c>
      <c r="X62" s="452">
        <f>IFERROR(V62*G62,"-")</f>
        <v>7265.1851999999781</v>
      </c>
      <c r="Y62" s="364" t="s">
        <v>395</v>
      </c>
      <c r="Z62" s="364" t="s">
        <v>199</v>
      </c>
      <c r="AA62" s="365" t="s">
        <v>569</v>
      </c>
      <c r="AB62" s="365" t="s">
        <v>594</v>
      </c>
      <c r="AC62" s="365">
        <v>1</v>
      </c>
      <c r="AD62" s="440" t="s">
        <v>578</v>
      </c>
    </row>
    <row r="63" spans="2:39" s="147" customFormat="1" ht="27" customHeight="1">
      <c r="B63" s="875"/>
      <c r="C63" s="876"/>
      <c r="D63" s="360">
        <v>15</v>
      </c>
      <c r="E63" s="434" t="s">
        <v>682</v>
      </c>
      <c r="F63" s="435">
        <f t="shared" si="45"/>
        <v>751.33199999999988</v>
      </c>
      <c r="G63" s="363">
        <v>294.63999999999993</v>
      </c>
      <c r="H63" s="436">
        <v>199.19</v>
      </c>
      <c r="I63" s="436">
        <v>199.19</v>
      </c>
      <c r="J63" s="438">
        <f t="shared" si="46"/>
        <v>1</v>
      </c>
      <c r="K63" s="436">
        <v>204.12</v>
      </c>
      <c r="L63" s="438">
        <f t="shared" si="47"/>
        <v>1.0247502384657865</v>
      </c>
      <c r="M63" s="437">
        <v>4.93</v>
      </c>
      <c r="N63" s="438">
        <f t="shared" si="48"/>
        <v>2.4750238465786435E-2</v>
      </c>
      <c r="O63" s="439">
        <f t="shared" si="49"/>
        <v>209.05</v>
      </c>
      <c r="P63" s="438">
        <f t="shared" si="50"/>
        <v>1.049500476931573</v>
      </c>
      <c r="Q63" s="436">
        <v>2.5500000000000003</v>
      </c>
      <c r="R63" s="438">
        <f t="shared" si="51"/>
        <v>1.2801847482303329E-2</v>
      </c>
      <c r="S63" s="439">
        <f t="shared" si="52"/>
        <v>9.8600000000000136</v>
      </c>
      <c r="T63" s="438">
        <f t="shared" si="53"/>
        <v>4.9500476931572938E-2</v>
      </c>
      <c r="U63" s="362">
        <f t="shared" si="54"/>
        <v>2905.1504000000032</v>
      </c>
      <c r="V63" s="450">
        <f t="shared" si="55"/>
        <v>7.3100000000000129</v>
      </c>
      <c r="W63" s="451">
        <f t="shared" si="56"/>
        <v>3.6698629449269604E-2</v>
      </c>
      <c r="X63" s="452">
        <f t="shared" si="57"/>
        <v>2153.8184000000033</v>
      </c>
      <c r="Y63" s="364" t="s">
        <v>395</v>
      </c>
      <c r="Z63" s="364" t="s">
        <v>421</v>
      </c>
      <c r="AA63" s="365" t="s">
        <v>690</v>
      </c>
      <c r="AB63" s="365" t="s">
        <v>430</v>
      </c>
      <c r="AC63" s="365">
        <v>1</v>
      </c>
      <c r="AD63" s="440" t="s">
        <v>684</v>
      </c>
    </row>
    <row r="64" spans="2:39" s="147" customFormat="1" ht="27" customHeight="1">
      <c r="B64" s="875"/>
      <c r="C64" s="876"/>
      <c r="D64" s="360">
        <v>16</v>
      </c>
      <c r="E64" s="434" t="s">
        <v>531</v>
      </c>
      <c r="F64" s="435">
        <f t="shared" si="45"/>
        <v>748.96</v>
      </c>
      <c r="G64" s="363">
        <v>6.04</v>
      </c>
      <c r="H64" s="436">
        <v>5347</v>
      </c>
      <c r="I64" s="436">
        <v>5347</v>
      </c>
      <c r="J64" s="438">
        <f t="shared" si="46"/>
        <v>1</v>
      </c>
      <c r="K64" s="436">
        <v>5471</v>
      </c>
      <c r="L64" s="438">
        <f t="shared" si="47"/>
        <v>1.023190574153731</v>
      </c>
      <c r="M64" s="437">
        <v>0</v>
      </c>
      <c r="N64" s="438">
        <f t="shared" si="48"/>
        <v>0</v>
      </c>
      <c r="O64" s="439">
        <f t="shared" si="49"/>
        <v>5471</v>
      </c>
      <c r="P64" s="438">
        <f t="shared" si="50"/>
        <v>1.023190574153731</v>
      </c>
      <c r="Q64" s="436">
        <v>124</v>
      </c>
      <c r="R64" s="438">
        <f t="shared" si="51"/>
        <v>2.3190574153731065E-2</v>
      </c>
      <c r="S64" s="439">
        <f t="shared" si="52"/>
        <v>124</v>
      </c>
      <c r="T64" s="438">
        <f t="shared" si="53"/>
        <v>2.3190574153731065E-2</v>
      </c>
      <c r="U64" s="362">
        <f t="shared" si="54"/>
        <v>748.96</v>
      </c>
      <c r="V64" s="450">
        <f t="shared" si="55"/>
        <v>0</v>
      </c>
      <c r="W64" s="451">
        <f t="shared" si="56"/>
        <v>0</v>
      </c>
      <c r="X64" s="452">
        <f t="shared" si="57"/>
        <v>0</v>
      </c>
      <c r="Y64" s="364" t="s">
        <v>395</v>
      </c>
      <c r="Z64" s="364" t="s">
        <v>316</v>
      </c>
      <c r="AA64" s="365" t="s">
        <v>691</v>
      </c>
      <c r="AB64" s="365" t="s">
        <v>430</v>
      </c>
      <c r="AC64" s="365">
        <v>1</v>
      </c>
      <c r="AD64" s="440" t="s">
        <v>471</v>
      </c>
    </row>
    <row r="65" spans="2:39" s="147" customFormat="1" ht="27" customHeight="1">
      <c r="B65" s="875"/>
      <c r="C65" s="876"/>
      <c r="D65" s="360">
        <v>17</v>
      </c>
      <c r="E65" s="434" t="s">
        <v>554</v>
      </c>
      <c r="F65" s="435">
        <f t="shared" si="45"/>
        <v>748.55520000000001</v>
      </c>
      <c r="G65" s="363">
        <v>108.96000000000001</v>
      </c>
      <c r="H65" s="436">
        <v>250.73</v>
      </c>
      <c r="I65" s="436">
        <v>250.73</v>
      </c>
      <c r="J65" s="438">
        <f t="shared" si="46"/>
        <v>1</v>
      </c>
      <c r="K65" s="436">
        <v>260.8</v>
      </c>
      <c r="L65" s="438">
        <f t="shared" si="47"/>
        <v>1.0401627248434573</v>
      </c>
      <c r="M65" s="437">
        <v>10.069999999999999</v>
      </c>
      <c r="N65" s="438">
        <f t="shared" si="48"/>
        <v>4.01627248434571E-2</v>
      </c>
      <c r="O65" s="439">
        <f t="shared" si="49"/>
        <v>270.87</v>
      </c>
      <c r="P65" s="438">
        <f t="shared" si="50"/>
        <v>1.0803254496869144</v>
      </c>
      <c r="Q65" s="436">
        <v>6.8699999999999992</v>
      </c>
      <c r="R65" s="438">
        <f t="shared" si="51"/>
        <v>2.7399992023291984E-2</v>
      </c>
      <c r="S65" s="439">
        <f t="shared" si="52"/>
        <v>20.140000000000015</v>
      </c>
      <c r="T65" s="438">
        <f t="shared" si="53"/>
        <v>8.0325449686914269E-2</v>
      </c>
      <c r="U65" s="362">
        <f t="shared" si="54"/>
        <v>2194.4544000000019</v>
      </c>
      <c r="V65" s="450">
        <f t="shared" si="55"/>
        <v>13.270000000000016</v>
      </c>
      <c r="W65" s="451">
        <f t="shared" si="56"/>
        <v>5.2925457663622284E-2</v>
      </c>
      <c r="X65" s="452">
        <f t="shared" si="57"/>
        <v>1445.8992000000019</v>
      </c>
      <c r="Y65" s="364" t="s">
        <v>395</v>
      </c>
      <c r="Z65" s="364" t="s">
        <v>421</v>
      </c>
      <c r="AA65" s="365" t="s">
        <v>692</v>
      </c>
      <c r="AB65" s="365" t="s">
        <v>693</v>
      </c>
      <c r="AC65" s="365">
        <v>1</v>
      </c>
      <c r="AD65" s="440" t="s">
        <v>549</v>
      </c>
    </row>
    <row r="66" spans="2:39" s="147" customFormat="1" ht="27" customHeight="1">
      <c r="B66" s="875"/>
      <c r="C66" s="876"/>
      <c r="D66" s="360">
        <v>18</v>
      </c>
      <c r="E66" s="434" t="s">
        <v>526</v>
      </c>
      <c r="F66" s="435">
        <f t="shared" si="45"/>
        <v>748.01440000000025</v>
      </c>
      <c r="G66" s="363">
        <v>113.68000000000004</v>
      </c>
      <c r="H66" s="436">
        <v>1015.9</v>
      </c>
      <c r="I66" s="436">
        <v>1015.9</v>
      </c>
      <c r="J66" s="438">
        <f t="shared" si="46"/>
        <v>1</v>
      </c>
      <c r="K66" s="436">
        <v>1041.69</v>
      </c>
      <c r="L66" s="438">
        <f t="shared" si="47"/>
        <v>1.0253863569248942</v>
      </c>
      <c r="M66" s="437">
        <v>25.79</v>
      </c>
      <c r="N66" s="438">
        <f t="shared" si="48"/>
        <v>2.5386356924894181E-2</v>
      </c>
      <c r="O66" s="439">
        <f t="shared" si="49"/>
        <v>1067.48</v>
      </c>
      <c r="P66" s="438">
        <f t="shared" si="50"/>
        <v>1.0507727138497884</v>
      </c>
      <c r="Q66" s="436">
        <v>6.58</v>
      </c>
      <c r="R66" s="438">
        <f t="shared" si="51"/>
        <v>6.4770154542769963E-3</v>
      </c>
      <c r="S66" s="439">
        <f t="shared" si="52"/>
        <v>51.580000000000041</v>
      </c>
      <c r="T66" s="438">
        <f t="shared" si="53"/>
        <v>5.0772713849788403E-2</v>
      </c>
      <c r="U66" s="362">
        <f t="shared" si="54"/>
        <v>5863.6144000000068</v>
      </c>
      <c r="V66" s="450">
        <f t="shared" si="55"/>
        <v>45.000000000000043</v>
      </c>
      <c r="W66" s="451">
        <f t="shared" si="56"/>
        <v>4.429569839551141E-2</v>
      </c>
      <c r="X66" s="452">
        <f t="shared" si="57"/>
        <v>5115.6000000000067</v>
      </c>
      <c r="Y66" s="364" t="s">
        <v>395</v>
      </c>
      <c r="Z66" s="364" t="s">
        <v>421</v>
      </c>
      <c r="AA66" s="365" t="s">
        <v>445</v>
      </c>
      <c r="AB66" s="365" t="s">
        <v>571</v>
      </c>
      <c r="AC66" s="365">
        <v>1</v>
      </c>
      <c r="AD66" s="440" t="s">
        <v>517</v>
      </c>
    </row>
    <row r="67" spans="2:39" s="147" customFormat="1" ht="27" customHeight="1">
      <c r="B67" s="875"/>
      <c r="C67" s="876"/>
      <c r="D67" s="360">
        <v>19</v>
      </c>
      <c r="E67" s="434" t="s">
        <v>683</v>
      </c>
      <c r="F67" s="435">
        <f t="shared" si="45"/>
        <v>747.77000000000021</v>
      </c>
      <c r="G67" s="363">
        <v>40.420000000000009</v>
      </c>
      <c r="H67" s="436">
        <v>1253.7</v>
      </c>
      <c r="I67" s="436">
        <v>1253.7</v>
      </c>
      <c r="J67" s="438">
        <f t="shared" si="46"/>
        <v>1</v>
      </c>
      <c r="K67" s="436">
        <v>1305.08</v>
      </c>
      <c r="L67" s="438">
        <f t="shared" si="47"/>
        <v>1.0409826912339475</v>
      </c>
      <c r="M67" s="437">
        <v>51.38</v>
      </c>
      <c r="N67" s="438">
        <f t="shared" si="48"/>
        <v>4.0982691233947516E-2</v>
      </c>
      <c r="O67" s="439">
        <f t="shared" si="49"/>
        <v>1356.46</v>
      </c>
      <c r="P67" s="438">
        <f t="shared" si="50"/>
        <v>1.081965382467895</v>
      </c>
      <c r="Q67" s="436">
        <v>18.5</v>
      </c>
      <c r="R67" s="438">
        <f t="shared" si="51"/>
        <v>1.4756321288984605E-2</v>
      </c>
      <c r="S67" s="439">
        <f t="shared" si="52"/>
        <v>102.75999999999999</v>
      </c>
      <c r="T67" s="438">
        <f t="shared" si="53"/>
        <v>8.1965382467895018E-2</v>
      </c>
      <c r="U67" s="362">
        <f t="shared" si="54"/>
        <v>4153.5592000000006</v>
      </c>
      <c r="V67" s="450">
        <f t="shared" si="55"/>
        <v>84.259999999999991</v>
      </c>
      <c r="W67" s="451">
        <f t="shared" si="56"/>
        <v>6.7209061178910415E-2</v>
      </c>
      <c r="X67" s="452">
        <f t="shared" si="57"/>
        <v>3405.7892000000002</v>
      </c>
      <c r="Y67" s="364" t="s">
        <v>395</v>
      </c>
      <c r="Z67" s="364" t="s">
        <v>199</v>
      </c>
      <c r="AA67" s="365" t="s">
        <v>569</v>
      </c>
      <c r="AB67" s="365" t="s">
        <v>594</v>
      </c>
      <c r="AC67" s="365">
        <v>1</v>
      </c>
      <c r="AD67" s="440" t="s">
        <v>549</v>
      </c>
    </row>
    <row r="68" spans="2:39" s="147" customFormat="1" ht="27" customHeight="1">
      <c r="B68" s="877"/>
      <c r="C68" s="878"/>
      <c r="D68" s="360">
        <v>20</v>
      </c>
      <c r="E68" s="434" t="s">
        <v>685</v>
      </c>
      <c r="F68" s="435">
        <f t="shared" si="30"/>
        <v>747.7410000000001</v>
      </c>
      <c r="G68" s="363">
        <v>84.3</v>
      </c>
      <c r="H68" s="436">
        <v>1168.82</v>
      </c>
      <c r="I68" s="436">
        <v>1168.82</v>
      </c>
      <c r="J68" s="438">
        <f t="shared" si="31"/>
        <v>1</v>
      </c>
      <c r="K68" s="436">
        <v>1198.23</v>
      </c>
      <c r="L68" s="438">
        <f t="shared" si="32"/>
        <v>1.0251621293270137</v>
      </c>
      <c r="M68" s="437">
        <v>29.410000000000004</v>
      </c>
      <c r="N68" s="438">
        <f t="shared" si="33"/>
        <v>2.5162129327013574E-2</v>
      </c>
      <c r="O68" s="439">
        <f t="shared" si="34"/>
        <v>1227.6400000000001</v>
      </c>
      <c r="P68" s="438">
        <f t="shared" si="35"/>
        <v>1.0503242586540273</v>
      </c>
      <c r="Q68" s="436">
        <v>8.870000000000001</v>
      </c>
      <c r="R68" s="438">
        <f t="shared" si="36"/>
        <v>7.5888502934583612E-3</v>
      </c>
      <c r="S68" s="439">
        <f t="shared" si="37"/>
        <v>58.820000000000164</v>
      </c>
      <c r="T68" s="438">
        <f t="shared" si="38"/>
        <v>5.032425865402728E-2</v>
      </c>
      <c r="U68" s="362">
        <f t="shared" si="39"/>
        <v>4958.5260000000135</v>
      </c>
      <c r="V68" s="450">
        <f t="shared" si="40"/>
        <v>49.950000000000159</v>
      </c>
      <c r="W68" s="451">
        <f t="shared" si="41"/>
        <v>4.2735408360568918E-2</v>
      </c>
      <c r="X68" s="452">
        <f t="shared" si="42"/>
        <v>4210.7850000000135</v>
      </c>
      <c r="Y68" s="364" t="s">
        <v>395</v>
      </c>
      <c r="Z68" s="364" t="s">
        <v>421</v>
      </c>
      <c r="AA68" s="365" t="s">
        <v>445</v>
      </c>
      <c r="AB68" s="365" t="s">
        <v>571</v>
      </c>
      <c r="AC68" s="365">
        <v>1</v>
      </c>
      <c r="AD68" s="440" t="s">
        <v>443</v>
      </c>
    </row>
    <row r="69" spans="2:39" ht="16.5" customHeight="1">
      <c r="B69" s="889" t="s">
        <v>419</v>
      </c>
      <c r="C69" s="890"/>
      <c r="D69" s="893" t="s">
        <v>501</v>
      </c>
      <c r="E69" s="894" t="s">
        <v>502</v>
      </c>
      <c r="F69" s="895" t="s">
        <v>503</v>
      </c>
      <c r="G69" s="862" t="s">
        <v>504</v>
      </c>
      <c r="H69" s="896" t="s">
        <v>505</v>
      </c>
      <c r="I69" s="879" t="s">
        <v>506</v>
      </c>
      <c r="J69" s="880"/>
      <c r="K69" s="879" t="s">
        <v>507</v>
      </c>
      <c r="L69" s="880"/>
      <c r="M69" s="879" t="s">
        <v>508</v>
      </c>
      <c r="N69" s="880"/>
      <c r="O69" s="879" t="s">
        <v>509</v>
      </c>
      <c r="P69" s="880"/>
      <c r="Q69" s="879" t="s">
        <v>396</v>
      </c>
      <c r="R69" s="880"/>
      <c r="S69" s="881" t="s">
        <v>397</v>
      </c>
      <c r="T69" s="882"/>
      <c r="U69" s="883"/>
      <c r="V69" s="884" t="s">
        <v>566</v>
      </c>
      <c r="W69" s="885"/>
      <c r="X69" s="886"/>
      <c r="Y69" s="887" t="s">
        <v>168</v>
      </c>
      <c r="Z69" s="887" t="s">
        <v>228</v>
      </c>
      <c r="AA69" s="887" t="s">
        <v>510</v>
      </c>
      <c r="AB69" s="887" t="s">
        <v>420</v>
      </c>
      <c r="AC69" s="887" t="s">
        <v>229</v>
      </c>
      <c r="AD69" s="862" t="s">
        <v>169</v>
      </c>
      <c r="AF69" s="864" t="s">
        <v>230</v>
      </c>
      <c r="AG69" s="865"/>
      <c r="AH69" s="865"/>
      <c r="AI69" s="865"/>
      <c r="AJ69" s="865"/>
      <c r="AK69" s="865"/>
      <c r="AL69" s="865"/>
      <c r="AM69" s="866"/>
    </row>
    <row r="70" spans="2:39" ht="16.5" customHeight="1">
      <c r="B70" s="891"/>
      <c r="C70" s="892"/>
      <c r="D70" s="893"/>
      <c r="E70" s="893"/>
      <c r="F70" s="895"/>
      <c r="G70" s="863"/>
      <c r="H70" s="863"/>
      <c r="I70" s="433" t="s">
        <v>511</v>
      </c>
      <c r="J70" s="361" t="s">
        <v>512</v>
      </c>
      <c r="K70" s="433" t="s">
        <v>511</v>
      </c>
      <c r="L70" s="361" t="s">
        <v>512</v>
      </c>
      <c r="M70" s="433" t="s">
        <v>511</v>
      </c>
      <c r="N70" s="361" t="s">
        <v>512</v>
      </c>
      <c r="O70" s="433" t="s">
        <v>511</v>
      </c>
      <c r="P70" s="361" t="s">
        <v>512</v>
      </c>
      <c r="Q70" s="433" t="s">
        <v>511</v>
      </c>
      <c r="R70" s="361" t="s">
        <v>512</v>
      </c>
      <c r="S70" s="433" t="s">
        <v>511</v>
      </c>
      <c r="T70" s="361" t="s">
        <v>512</v>
      </c>
      <c r="U70" s="361" t="s">
        <v>513</v>
      </c>
      <c r="V70" s="433" t="s">
        <v>511</v>
      </c>
      <c r="W70" s="361" t="s">
        <v>512</v>
      </c>
      <c r="X70" s="361" t="s">
        <v>513</v>
      </c>
      <c r="Y70" s="888"/>
      <c r="Z70" s="888"/>
      <c r="AA70" s="888"/>
      <c r="AB70" s="888"/>
      <c r="AC70" s="888"/>
      <c r="AD70" s="863"/>
      <c r="AF70" s="867"/>
      <c r="AG70" s="868"/>
      <c r="AH70" s="868"/>
      <c r="AI70" s="868"/>
      <c r="AJ70" s="868"/>
      <c r="AK70" s="868"/>
      <c r="AL70" s="868"/>
      <c r="AM70" s="869"/>
    </row>
    <row r="71" spans="2:39" s="147" customFormat="1" ht="27" customHeight="1">
      <c r="B71" s="873" t="s">
        <v>646</v>
      </c>
      <c r="C71" s="874"/>
      <c r="D71" s="360">
        <v>1</v>
      </c>
      <c r="E71" s="434" t="s">
        <v>364</v>
      </c>
      <c r="F71" s="435">
        <f>IFERROR(Q71*G71,"-")</f>
        <v>1843.4528000000003</v>
      </c>
      <c r="G71" s="363">
        <v>127.84000000000002</v>
      </c>
      <c r="H71" s="436">
        <v>5076.8900000000003</v>
      </c>
      <c r="I71" s="436">
        <v>5076.8900000000003</v>
      </c>
      <c r="J71" s="438">
        <f>IFERROR(I71/H71,"-")</f>
        <v>1</v>
      </c>
      <c r="K71" s="437">
        <v>5138.43</v>
      </c>
      <c r="L71" s="438">
        <f>IFERROR(K71/H71,"-")</f>
        <v>1.0121215941255375</v>
      </c>
      <c r="M71" s="437">
        <v>61.54</v>
      </c>
      <c r="N71" s="438">
        <f>IFERROR(M71/H71,"-")</f>
        <v>1.2121594125537484E-2</v>
      </c>
      <c r="O71" s="439">
        <f>IFERROR(K71+M71,"-")</f>
        <v>5199.97</v>
      </c>
      <c r="P71" s="438">
        <f>IFERROR(O71/H71,"-")</f>
        <v>1.024243188251075</v>
      </c>
      <c r="Q71" s="436">
        <v>14.42</v>
      </c>
      <c r="R71" s="438">
        <f>IFERROR(Q71/H71,"-")</f>
        <v>2.8403215354281851E-3</v>
      </c>
      <c r="S71" s="439">
        <f>IFERROR(O71-H71,"-")</f>
        <v>123.07999999999993</v>
      </c>
      <c r="T71" s="438">
        <f>IFERROR(S71/H71,"-")</f>
        <v>2.4243188251074955E-2</v>
      </c>
      <c r="U71" s="362">
        <f>IFERROR(S71*G71,"-")</f>
        <v>15734.547199999994</v>
      </c>
      <c r="V71" s="450">
        <f>S71-Q71</f>
        <v>108.65999999999993</v>
      </c>
      <c r="W71" s="451">
        <f>IFERROR(V71/H71,"-")</f>
        <v>2.1402866715646767E-2</v>
      </c>
      <c r="X71" s="452">
        <f>IFERROR(V71*G71,"-")</f>
        <v>13891.094399999993</v>
      </c>
      <c r="Y71" s="364" t="s">
        <v>395</v>
      </c>
      <c r="Z71" s="364" t="s">
        <v>421</v>
      </c>
      <c r="AA71" s="365" t="s">
        <v>570</v>
      </c>
      <c r="AB71" s="365" t="s">
        <v>596</v>
      </c>
      <c r="AC71" s="365">
        <v>1</v>
      </c>
      <c r="AD71" s="440" t="s">
        <v>319</v>
      </c>
      <c r="AF71" s="870"/>
      <c r="AG71" s="871"/>
      <c r="AH71" s="871"/>
      <c r="AI71" s="871"/>
      <c r="AJ71" s="871"/>
      <c r="AK71" s="871"/>
      <c r="AL71" s="871"/>
      <c r="AM71" s="872"/>
    </row>
    <row r="72" spans="2:39" s="147" customFormat="1" ht="27" customHeight="1">
      <c r="B72" s="875"/>
      <c r="C72" s="876"/>
      <c r="D72" s="360">
        <v>2</v>
      </c>
      <c r="E72" s="434" t="s">
        <v>314</v>
      </c>
      <c r="F72" s="435">
        <f t="shared" ref="F72:F90" si="58">IFERROR(Q72*G72,"-")</f>
        <v>1807.65</v>
      </c>
      <c r="G72" s="363">
        <v>15.450000000000001</v>
      </c>
      <c r="H72" s="436">
        <v>57590</v>
      </c>
      <c r="I72" s="436">
        <v>57590</v>
      </c>
      <c r="J72" s="438">
        <f t="shared" ref="J72:J90" si="59">IFERROR(I72/H72,"-")</f>
        <v>1</v>
      </c>
      <c r="K72" s="437">
        <v>57707</v>
      </c>
      <c r="L72" s="438">
        <f t="shared" ref="L72:L90" si="60">IFERROR(K72/H72,"-")</f>
        <v>1.0020316027088036</v>
      </c>
      <c r="M72" s="437">
        <v>0</v>
      </c>
      <c r="N72" s="438">
        <f t="shared" ref="N72:N90" si="61">IFERROR(M72/H72,"-")</f>
        <v>0</v>
      </c>
      <c r="O72" s="439">
        <f t="shared" ref="O72:O90" si="62">IFERROR(K72+M72,"-")</f>
        <v>57707</v>
      </c>
      <c r="P72" s="438">
        <f t="shared" ref="P72:P90" si="63">IFERROR(O72/H72,"-")</f>
        <v>1.0020316027088036</v>
      </c>
      <c r="Q72" s="436">
        <v>117</v>
      </c>
      <c r="R72" s="438">
        <f t="shared" ref="R72:R90" si="64">IFERROR(Q72/H72,"-")</f>
        <v>2.0316027088036117E-3</v>
      </c>
      <c r="S72" s="439">
        <f t="shared" ref="S72:S90" si="65">IFERROR(O72-H72,"-")</f>
        <v>117</v>
      </c>
      <c r="T72" s="438">
        <f t="shared" ref="T72:T90" si="66">IFERROR(S72/H72,"-")</f>
        <v>2.0316027088036117E-3</v>
      </c>
      <c r="U72" s="362">
        <f t="shared" ref="U72:U90" si="67">IFERROR(S72*G72,"-")</f>
        <v>1807.65</v>
      </c>
      <c r="V72" s="450">
        <f t="shared" ref="V72:V90" si="68">S72-Q72</f>
        <v>0</v>
      </c>
      <c r="W72" s="451">
        <f t="shared" ref="W72:W90" si="69">IFERROR(V72/H72,"-")</f>
        <v>0</v>
      </c>
      <c r="X72" s="452">
        <f t="shared" ref="X72:X90" si="70">IFERROR(V72*G72,"-")</f>
        <v>0</v>
      </c>
      <c r="Y72" s="364" t="s">
        <v>395</v>
      </c>
      <c r="Z72" s="364" t="s">
        <v>199</v>
      </c>
      <c r="AA72" s="365" t="s">
        <v>437</v>
      </c>
      <c r="AB72" s="365" t="s">
        <v>728</v>
      </c>
      <c r="AC72" s="365">
        <v>1</v>
      </c>
      <c r="AD72" s="440" t="s">
        <v>485</v>
      </c>
      <c r="AF72" s="160" t="s">
        <v>227</v>
      </c>
      <c r="AG72" s="160" t="s">
        <v>421</v>
      </c>
      <c r="AH72" s="155" t="s">
        <v>514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75"/>
      <c r="C73" s="876"/>
      <c r="D73" s="360">
        <v>3</v>
      </c>
      <c r="E73" s="434" t="s">
        <v>423</v>
      </c>
      <c r="F73" s="435">
        <f t="shared" si="58"/>
        <v>1479.7999999999997</v>
      </c>
      <c r="G73" s="363">
        <v>2.4499999999999997</v>
      </c>
      <c r="H73" s="436">
        <v>92396</v>
      </c>
      <c r="I73" s="436">
        <v>92396</v>
      </c>
      <c r="J73" s="438">
        <f t="shared" si="59"/>
        <v>1</v>
      </c>
      <c r="K73" s="437">
        <v>93000</v>
      </c>
      <c r="L73" s="438">
        <f t="shared" si="60"/>
        <v>1.0065370795272524</v>
      </c>
      <c r="M73" s="437">
        <v>0</v>
      </c>
      <c r="N73" s="438">
        <f t="shared" si="61"/>
        <v>0</v>
      </c>
      <c r="O73" s="439">
        <f t="shared" si="62"/>
        <v>93000</v>
      </c>
      <c r="P73" s="438">
        <f t="shared" si="63"/>
        <v>1.0065370795272524</v>
      </c>
      <c r="Q73" s="436">
        <v>604</v>
      </c>
      <c r="R73" s="438">
        <f t="shared" si="64"/>
        <v>6.5370795272522621E-3</v>
      </c>
      <c r="S73" s="439">
        <f t="shared" si="65"/>
        <v>604</v>
      </c>
      <c r="T73" s="438">
        <f t="shared" si="66"/>
        <v>6.5370795272522621E-3</v>
      </c>
      <c r="U73" s="362">
        <f t="shared" si="67"/>
        <v>1479.7999999999997</v>
      </c>
      <c r="V73" s="450">
        <f t="shared" si="68"/>
        <v>0</v>
      </c>
      <c r="W73" s="451">
        <f t="shared" si="69"/>
        <v>0</v>
      </c>
      <c r="X73" s="452">
        <f t="shared" si="70"/>
        <v>0</v>
      </c>
      <c r="Y73" s="364" t="s">
        <v>395</v>
      </c>
      <c r="Z73" s="364" t="s">
        <v>316</v>
      </c>
      <c r="AA73" s="365" t="s">
        <v>438</v>
      </c>
      <c r="AB73" s="365" t="s">
        <v>439</v>
      </c>
      <c r="AC73" s="365">
        <v>1</v>
      </c>
      <c r="AD73" s="440" t="s">
        <v>331</v>
      </c>
      <c r="AF73" s="370">
        <f>SUM(AC71:AC90)</f>
        <v>20</v>
      </c>
      <c r="AG73" s="366">
        <f>SUMIF($Z$71:$Z$90,TRIM(AG72),$AC$71:$AC$90)</f>
        <v>11</v>
      </c>
      <c r="AH73" s="366">
        <f t="shared" ref="AH73:AM73" si="71">SUMIF($Z$71:$Z$90,TRIM(AH72),$AC$71:$AC$90)</f>
        <v>0</v>
      </c>
      <c r="AI73" s="366">
        <f t="shared" si="71"/>
        <v>5</v>
      </c>
      <c r="AJ73" s="366">
        <f t="shared" si="71"/>
        <v>0</v>
      </c>
      <c r="AK73" s="366">
        <f t="shared" si="71"/>
        <v>2</v>
      </c>
      <c r="AL73" s="366">
        <f t="shared" si="71"/>
        <v>2</v>
      </c>
      <c r="AM73" s="366">
        <f t="shared" si="71"/>
        <v>0</v>
      </c>
    </row>
    <row r="74" spans="2:39" s="147" customFormat="1" ht="27" customHeight="1">
      <c r="B74" s="875"/>
      <c r="C74" s="876"/>
      <c r="D74" s="360">
        <v>4</v>
      </c>
      <c r="E74" s="434" t="s">
        <v>422</v>
      </c>
      <c r="F74" s="435">
        <f t="shared" si="58"/>
        <v>1478.8799999999999</v>
      </c>
      <c r="G74" s="363">
        <v>1.17</v>
      </c>
      <c r="H74" s="436">
        <v>197407</v>
      </c>
      <c r="I74" s="436">
        <v>197407</v>
      </c>
      <c r="J74" s="438">
        <f t="shared" si="59"/>
        <v>1</v>
      </c>
      <c r="K74" s="437">
        <v>198671</v>
      </c>
      <c r="L74" s="438">
        <f t="shared" si="60"/>
        <v>1.0064030150906502</v>
      </c>
      <c r="M74" s="437">
        <v>0</v>
      </c>
      <c r="N74" s="438">
        <f t="shared" si="61"/>
        <v>0</v>
      </c>
      <c r="O74" s="439">
        <f t="shared" si="62"/>
        <v>198671</v>
      </c>
      <c r="P74" s="438">
        <f t="shared" si="63"/>
        <v>1.0064030150906502</v>
      </c>
      <c r="Q74" s="436">
        <v>1264</v>
      </c>
      <c r="R74" s="438">
        <f t="shared" si="64"/>
        <v>6.4030150906502813E-3</v>
      </c>
      <c r="S74" s="439">
        <f t="shared" si="65"/>
        <v>1264</v>
      </c>
      <c r="T74" s="438">
        <f t="shared" si="66"/>
        <v>6.4030150906502813E-3</v>
      </c>
      <c r="U74" s="362">
        <f t="shared" si="67"/>
        <v>1478.8799999999999</v>
      </c>
      <c r="V74" s="450">
        <f t="shared" si="68"/>
        <v>0</v>
      </c>
      <c r="W74" s="451">
        <f t="shared" si="69"/>
        <v>0</v>
      </c>
      <c r="X74" s="452">
        <f t="shared" si="70"/>
        <v>0</v>
      </c>
      <c r="Y74" s="364" t="s">
        <v>395</v>
      </c>
      <c r="Z74" s="364" t="s">
        <v>316</v>
      </c>
      <c r="AA74" s="365" t="s">
        <v>440</v>
      </c>
      <c r="AB74" s="365" t="s">
        <v>488</v>
      </c>
      <c r="AC74" s="365">
        <v>1</v>
      </c>
      <c r="AD74" s="440" t="s">
        <v>319</v>
      </c>
      <c r="AF74" s="371" t="s">
        <v>11</v>
      </c>
      <c r="AG74" s="368">
        <f>SUMIF($Z$71:$Z90,TRIM(AG72),$F$71:$F$90)</f>
        <v>10506.902399999999</v>
      </c>
      <c r="AH74" s="368">
        <f>SUMIF($Z$71:$Z90,TRIM(AH72),$F$71:$F$90)</f>
        <v>0</v>
      </c>
      <c r="AI74" s="368">
        <f>SUMIF($Z$71:$Z90,TRIM(AI72),$F$71:$F$90)</f>
        <v>6250.9738000000007</v>
      </c>
      <c r="AJ74" s="368">
        <f>SUMIF($Z$71:$Z90,TRIM(AJ72),$F$71:$F$90)</f>
        <v>0</v>
      </c>
      <c r="AK74" s="368">
        <f>SUMIF($Z$71:$Z90,TRIM(AK72),$F$71:$F$90)</f>
        <v>2236.4571000000005</v>
      </c>
      <c r="AL74" s="368">
        <f>SUMIF($Z$71:$Z90,TRIM(AL72),$F$71:$F$90)</f>
        <v>2887.7237999999998</v>
      </c>
      <c r="AM74" s="368">
        <f>SUMIF($Z$71:$Z90,TRIM(AM72),$F$71:$F$90)</f>
        <v>0</v>
      </c>
    </row>
    <row r="75" spans="2:39" s="147" customFormat="1" ht="27" customHeight="1">
      <c r="B75" s="875"/>
      <c r="C75" s="876"/>
      <c r="D75" s="360">
        <v>5</v>
      </c>
      <c r="E75" s="434" t="s">
        <v>315</v>
      </c>
      <c r="F75" s="435">
        <f t="shared" si="58"/>
        <v>1410.9051000000004</v>
      </c>
      <c r="G75" s="363">
        <v>147.43000000000004</v>
      </c>
      <c r="H75" s="436">
        <v>4374.68</v>
      </c>
      <c r="I75" s="436">
        <v>4374.68</v>
      </c>
      <c r="J75" s="438">
        <f t="shared" si="59"/>
        <v>1</v>
      </c>
      <c r="K75" s="437">
        <v>4441.04</v>
      </c>
      <c r="L75" s="438">
        <f t="shared" si="60"/>
        <v>1.0151691095120099</v>
      </c>
      <c r="M75" s="437">
        <v>66.36</v>
      </c>
      <c r="N75" s="438">
        <f t="shared" si="61"/>
        <v>1.516910951201002E-2</v>
      </c>
      <c r="O75" s="439">
        <f t="shared" si="62"/>
        <v>4507.3999999999996</v>
      </c>
      <c r="P75" s="438">
        <f t="shared" si="63"/>
        <v>1.0303382190240198</v>
      </c>
      <c r="Q75" s="436">
        <v>9.57</v>
      </c>
      <c r="R75" s="438">
        <f t="shared" si="64"/>
        <v>2.1875885779074128E-3</v>
      </c>
      <c r="S75" s="439">
        <f t="shared" si="65"/>
        <v>132.71999999999935</v>
      </c>
      <c r="T75" s="438">
        <f t="shared" si="66"/>
        <v>3.033821902401989E-2</v>
      </c>
      <c r="U75" s="362">
        <f t="shared" si="67"/>
        <v>19566.909599999908</v>
      </c>
      <c r="V75" s="450">
        <f t="shared" si="68"/>
        <v>123.14999999999935</v>
      </c>
      <c r="W75" s="451">
        <f t="shared" si="69"/>
        <v>2.815063044611248E-2</v>
      </c>
      <c r="X75" s="452">
        <f t="shared" si="70"/>
        <v>18156.004499999908</v>
      </c>
      <c r="Y75" s="364" t="s">
        <v>395</v>
      </c>
      <c r="Z75" s="364" t="s">
        <v>198</v>
      </c>
      <c r="AA75" s="365" t="s">
        <v>595</v>
      </c>
      <c r="AB75" s="365" t="s">
        <v>729</v>
      </c>
      <c r="AC75" s="365">
        <v>1</v>
      </c>
      <c r="AD75" s="440" t="s">
        <v>319</v>
      </c>
      <c r="AF75" s="360" t="s">
        <v>515</v>
      </c>
      <c r="AG75" s="441">
        <f>AG73/$AF73</f>
        <v>0.55000000000000004</v>
      </c>
      <c r="AH75" s="441">
        <f t="shared" ref="AH75:AM75" si="72">AH73/$AF73</f>
        <v>0</v>
      </c>
      <c r="AI75" s="441">
        <f t="shared" si="72"/>
        <v>0.25</v>
      </c>
      <c r="AJ75" s="441">
        <f t="shared" si="72"/>
        <v>0</v>
      </c>
      <c r="AK75" s="441">
        <f t="shared" si="72"/>
        <v>0.1</v>
      </c>
      <c r="AL75" s="441">
        <f t="shared" si="72"/>
        <v>0.1</v>
      </c>
      <c r="AM75" s="441">
        <f t="shared" si="72"/>
        <v>0</v>
      </c>
    </row>
    <row r="76" spans="2:39" s="147" customFormat="1" ht="27" customHeight="1">
      <c r="B76" s="875"/>
      <c r="C76" s="876"/>
      <c r="D76" s="360">
        <v>6</v>
      </c>
      <c r="E76" s="434" t="s">
        <v>559</v>
      </c>
      <c r="F76" s="435">
        <f t="shared" si="58"/>
        <v>1377.0679999999998</v>
      </c>
      <c r="G76" s="363">
        <v>625.93999999999994</v>
      </c>
      <c r="H76" s="436">
        <v>1177.17</v>
      </c>
      <c r="I76" s="436">
        <v>1177.17</v>
      </c>
      <c r="J76" s="438">
        <f t="shared" si="59"/>
        <v>1</v>
      </c>
      <c r="K76" s="437">
        <v>1188.6000000000001</v>
      </c>
      <c r="L76" s="438">
        <f t="shared" si="60"/>
        <v>1.0097097275669615</v>
      </c>
      <c r="M76" s="437">
        <v>11.43</v>
      </c>
      <c r="N76" s="438">
        <f t="shared" si="61"/>
        <v>9.7097275669614409E-3</v>
      </c>
      <c r="O76" s="439">
        <f t="shared" si="62"/>
        <v>1200.0300000000002</v>
      </c>
      <c r="P76" s="438">
        <f t="shared" si="63"/>
        <v>1.0194194551339231</v>
      </c>
      <c r="Q76" s="436">
        <v>2.1999999999999997</v>
      </c>
      <c r="R76" s="438">
        <f t="shared" si="64"/>
        <v>1.8688889455218869E-3</v>
      </c>
      <c r="S76" s="439">
        <f t="shared" si="65"/>
        <v>22.860000000000127</v>
      </c>
      <c r="T76" s="438">
        <f t="shared" si="66"/>
        <v>1.9419455133922989E-2</v>
      </c>
      <c r="U76" s="362">
        <f t="shared" si="67"/>
        <v>14308.988400000078</v>
      </c>
      <c r="V76" s="450">
        <f t="shared" si="68"/>
        <v>20.660000000000128</v>
      </c>
      <c r="W76" s="451">
        <f t="shared" si="69"/>
        <v>1.7550566188401104E-2</v>
      </c>
      <c r="X76" s="452">
        <f t="shared" si="70"/>
        <v>12931.920400000079</v>
      </c>
      <c r="Y76" s="364" t="s">
        <v>395</v>
      </c>
      <c r="Z76" s="364" t="s">
        <v>316</v>
      </c>
      <c r="AA76" s="365" t="s">
        <v>572</v>
      </c>
      <c r="AB76" s="365" t="s">
        <v>573</v>
      </c>
      <c r="AC76" s="365">
        <v>1</v>
      </c>
      <c r="AD76" s="440" t="s">
        <v>560</v>
      </c>
    </row>
    <row r="77" spans="2:39" s="147" customFormat="1" ht="27" customHeight="1">
      <c r="B77" s="875"/>
      <c r="C77" s="876"/>
      <c r="D77" s="360">
        <v>7</v>
      </c>
      <c r="E77" s="434" t="s">
        <v>723</v>
      </c>
      <c r="F77" s="435">
        <f t="shared" si="58"/>
        <v>1228.1021999999998</v>
      </c>
      <c r="G77" s="363">
        <v>440.17999999999995</v>
      </c>
      <c r="H77" s="436">
        <v>1319.76</v>
      </c>
      <c r="I77" s="436">
        <v>1319.76</v>
      </c>
      <c r="J77" s="438">
        <f t="shared" si="59"/>
        <v>1</v>
      </c>
      <c r="K77" s="437">
        <v>1341.2800000000002</v>
      </c>
      <c r="L77" s="438">
        <f t="shared" si="60"/>
        <v>1.0163059950293993</v>
      </c>
      <c r="M77" s="437">
        <v>21.520000000000003</v>
      </c>
      <c r="N77" s="438">
        <f t="shared" si="61"/>
        <v>1.6305995029399289E-2</v>
      </c>
      <c r="O77" s="439">
        <f t="shared" si="62"/>
        <v>1362.8000000000002</v>
      </c>
      <c r="P77" s="438">
        <f t="shared" si="63"/>
        <v>1.0326119900587987</v>
      </c>
      <c r="Q77" s="436">
        <v>2.79</v>
      </c>
      <c r="R77" s="438">
        <f t="shared" si="64"/>
        <v>2.1140207310420076E-3</v>
      </c>
      <c r="S77" s="439">
        <f t="shared" si="65"/>
        <v>43.040000000000191</v>
      </c>
      <c r="T77" s="438">
        <f t="shared" si="66"/>
        <v>3.2611990058798716E-2</v>
      </c>
      <c r="U77" s="362">
        <f t="shared" si="67"/>
        <v>18945.34720000008</v>
      </c>
      <c r="V77" s="450">
        <f t="shared" si="68"/>
        <v>40.250000000000192</v>
      </c>
      <c r="W77" s="451">
        <f t="shared" si="69"/>
        <v>3.0497969327756707E-2</v>
      </c>
      <c r="X77" s="452">
        <f t="shared" si="70"/>
        <v>17717.245000000083</v>
      </c>
      <c r="Y77" s="364" t="s">
        <v>395</v>
      </c>
      <c r="Z77" s="364" t="s">
        <v>421</v>
      </c>
      <c r="AA77" s="376" t="s">
        <v>730</v>
      </c>
      <c r="AB77" s="365" t="s">
        <v>731</v>
      </c>
      <c r="AC77" s="365">
        <v>1</v>
      </c>
      <c r="AD77" s="440" t="s">
        <v>720</v>
      </c>
    </row>
    <row r="78" spans="2:39" s="147" customFormat="1" ht="27" customHeight="1">
      <c r="B78" s="875"/>
      <c r="C78" s="876"/>
      <c r="D78" s="360">
        <v>8</v>
      </c>
      <c r="E78" s="434" t="s">
        <v>434</v>
      </c>
      <c r="F78" s="435">
        <f t="shared" si="58"/>
        <v>1088.6658000000002</v>
      </c>
      <c r="G78" s="363">
        <v>407.74000000000007</v>
      </c>
      <c r="H78" s="436">
        <v>1059.74</v>
      </c>
      <c r="I78" s="436">
        <v>1059.74</v>
      </c>
      <c r="J78" s="438">
        <f t="shared" si="59"/>
        <v>1</v>
      </c>
      <c r="K78" s="437">
        <v>1069.97</v>
      </c>
      <c r="L78" s="438">
        <f t="shared" si="60"/>
        <v>1.0096533111895372</v>
      </c>
      <c r="M78" s="437">
        <v>10.23</v>
      </c>
      <c r="N78" s="438">
        <f t="shared" si="61"/>
        <v>9.6533111895370574E-3</v>
      </c>
      <c r="O78" s="439">
        <f t="shared" si="62"/>
        <v>1080.2</v>
      </c>
      <c r="P78" s="438">
        <f t="shared" si="63"/>
        <v>1.0193066223790741</v>
      </c>
      <c r="Q78" s="436">
        <v>2.67</v>
      </c>
      <c r="R78" s="438">
        <f t="shared" si="64"/>
        <v>2.5194859116387039E-3</v>
      </c>
      <c r="S78" s="439">
        <f t="shared" si="65"/>
        <v>20.460000000000036</v>
      </c>
      <c r="T78" s="438">
        <f t="shared" si="66"/>
        <v>1.9306622379074146E-2</v>
      </c>
      <c r="U78" s="362">
        <f t="shared" si="67"/>
        <v>8342.3604000000159</v>
      </c>
      <c r="V78" s="450">
        <f t="shared" si="68"/>
        <v>17.790000000000035</v>
      </c>
      <c r="W78" s="451">
        <f t="shared" si="69"/>
        <v>1.6787136467435442E-2</v>
      </c>
      <c r="X78" s="452">
        <f t="shared" si="70"/>
        <v>7253.6946000000153</v>
      </c>
      <c r="Y78" s="364" t="s">
        <v>395</v>
      </c>
      <c r="Z78" s="364" t="s">
        <v>316</v>
      </c>
      <c r="AA78" s="365" t="s">
        <v>572</v>
      </c>
      <c r="AB78" s="365" t="s">
        <v>597</v>
      </c>
      <c r="AC78" s="365">
        <v>1</v>
      </c>
      <c r="AD78" s="440" t="s">
        <v>436</v>
      </c>
    </row>
    <row r="79" spans="2:39" s="147" customFormat="1" ht="27" customHeight="1">
      <c r="B79" s="875"/>
      <c r="C79" s="876"/>
      <c r="D79" s="360">
        <v>9</v>
      </c>
      <c r="E79" s="434" t="s">
        <v>495</v>
      </c>
      <c r="F79" s="435">
        <f t="shared" si="58"/>
        <v>1080.0737999999997</v>
      </c>
      <c r="G79" s="363">
        <v>39.389999999999993</v>
      </c>
      <c r="H79" s="436">
        <v>23768.100000000002</v>
      </c>
      <c r="I79" s="436">
        <v>23768.100000000002</v>
      </c>
      <c r="J79" s="438">
        <f t="shared" si="59"/>
        <v>1</v>
      </c>
      <c r="K79" s="437">
        <v>23875.760000000002</v>
      </c>
      <c r="L79" s="438">
        <f t="shared" si="60"/>
        <v>1.0045296005991224</v>
      </c>
      <c r="M79" s="437">
        <v>107.66</v>
      </c>
      <c r="N79" s="438">
        <f t="shared" si="61"/>
        <v>4.5296005991223524E-3</v>
      </c>
      <c r="O79" s="439">
        <f t="shared" si="62"/>
        <v>23983.420000000002</v>
      </c>
      <c r="P79" s="438">
        <f t="shared" si="63"/>
        <v>1.0090592011982447</v>
      </c>
      <c r="Q79" s="436">
        <v>27.419999999999998</v>
      </c>
      <c r="R79" s="438">
        <f t="shared" si="64"/>
        <v>1.1536471152511136E-3</v>
      </c>
      <c r="S79" s="439">
        <f t="shared" si="65"/>
        <v>215.31999999999971</v>
      </c>
      <c r="T79" s="438">
        <f t="shared" si="66"/>
        <v>9.0592011982446926E-3</v>
      </c>
      <c r="U79" s="362">
        <f t="shared" si="67"/>
        <v>8481.4547999999868</v>
      </c>
      <c r="V79" s="450">
        <f t="shared" si="68"/>
        <v>187.89999999999972</v>
      </c>
      <c r="W79" s="451">
        <f t="shared" si="69"/>
        <v>7.9055540829935794E-3</v>
      </c>
      <c r="X79" s="452">
        <f t="shared" si="70"/>
        <v>7401.3809999999876</v>
      </c>
      <c r="Y79" s="364" t="s">
        <v>395</v>
      </c>
      <c r="Z79" s="364" t="s">
        <v>199</v>
      </c>
      <c r="AA79" s="365" t="s">
        <v>569</v>
      </c>
      <c r="AB79" s="365" t="s">
        <v>594</v>
      </c>
      <c r="AC79" s="365">
        <v>1</v>
      </c>
      <c r="AD79" s="440" t="s">
        <v>319</v>
      </c>
      <c r="AH79" s="367"/>
    </row>
    <row r="80" spans="2:39" s="147" customFormat="1" ht="27" customHeight="1">
      <c r="B80" s="875"/>
      <c r="C80" s="876"/>
      <c r="D80" s="360">
        <v>10</v>
      </c>
      <c r="E80" s="434" t="s">
        <v>435</v>
      </c>
      <c r="F80" s="435">
        <f t="shared" si="58"/>
        <v>861.83129999999994</v>
      </c>
      <c r="G80" s="363">
        <v>160.49</v>
      </c>
      <c r="H80" s="436">
        <v>596.47</v>
      </c>
      <c r="I80" s="436">
        <v>596.47</v>
      </c>
      <c r="J80" s="438">
        <f t="shared" si="59"/>
        <v>1</v>
      </c>
      <c r="K80" s="437">
        <v>613.25</v>
      </c>
      <c r="L80" s="438">
        <f t="shared" si="60"/>
        <v>1.0281321776451455</v>
      </c>
      <c r="M80" s="437">
        <v>16.78</v>
      </c>
      <c r="N80" s="438">
        <f t="shared" si="61"/>
        <v>2.8132177645145608E-2</v>
      </c>
      <c r="O80" s="439">
        <f t="shared" si="62"/>
        <v>630.03</v>
      </c>
      <c r="P80" s="438">
        <f t="shared" si="63"/>
        <v>1.0562643552902911</v>
      </c>
      <c r="Q80" s="436">
        <v>5.3699999999999992</v>
      </c>
      <c r="R80" s="438">
        <f t="shared" si="64"/>
        <v>9.0029674585477872E-3</v>
      </c>
      <c r="S80" s="439">
        <f t="shared" si="65"/>
        <v>33.559999999999945</v>
      </c>
      <c r="T80" s="438">
        <f t="shared" si="66"/>
        <v>5.626435529029112E-2</v>
      </c>
      <c r="U80" s="362">
        <f t="shared" si="67"/>
        <v>5386.0443999999916</v>
      </c>
      <c r="V80" s="450">
        <f t="shared" si="68"/>
        <v>28.189999999999948</v>
      </c>
      <c r="W80" s="451">
        <f t="shared" si="69"/>
        <v>4.7261387831743336E-2</v>
      </c>
      <c r="X80" s="452">
        <f t="shared" si="70"/>
        <v>4524.2130999999918</v>
      </c>
      <c r="Y80" s="364" t="s">
        <v>395</v>
      </c>
      <c r="Z80" s="364" t="s">
        <v>421</v>
      </c>
      <c r="AA80" s="376" t="s">
        <v>570</v>
      </c>
      <c r="AB80" s="365" t="s">
        <v>429</v>
      </c>
      <c r="AC80" s="365">
        <v>1</v>
      </c>
      <c r="AD80" s="440" t="s">
        <v>411</v>
      </c>
      <c r="AH80" s="367"/>
    </row>
    <row r="81" spans="2:39" s="147" customFormat="1" ht="27" customHeight="1">
      <c r="B81" s="875"/>
      <c r="C81" s="876"/>
      <c r="D81" s="360">
        <v>11</v>
      </c>
      <c r="E81" s="434" t="s">
        <v>724</v>
      </c>
      <c r="F81" s="435">
        <f t="shared" si="58"/>
        <v>826.56000000000017</v>
      </c>
      <c r="G81" s="363">
        <v>1.2300000000000002</v>
      </c>
      <c r="H81" s="436">
        <v>65988</v>
      </c>
      <c r="I81" s="436">
        <v>65988</v>
      </c>
      <c r="J81" s="438">
        <f t="shared" si="59"/>
        <v>1</v>
      </c>
      <c r="K81" s="437">
        <v>66660</v>
      </c>
      <c r="L81" s="438">
        <f t="shared" si="60"/>
        <v>1.0101836697581379</v>
      </c>
      <c r="M81" s="437">
        <v>0</v>
      </c>
      <c r="N81" s="438">
        <f t="shared" si="61"/>
        <v>0</v>
      </c>
      <c r="O81" s="439">
        <f t="shared" si="62"/>
        <v>66660</v>
      </c>
      <c r="P81" s="438">
        <f t="shared" si="63"/>
        <v>1.0101836697581379</v>
      </c>
      <c r="Q81" s="436">
        <v>672</v>
      </c>
      <c r="R81" s="438">
        <f t="shared" si="64"/>
        <v>1.0183669758137844E-2</v>
      </c>
      <c r="S81" s="439">
        <f t="shared" si="65"/>
        <v>672</v>
      </c>
      <c r="T81" s="438">
        <f t="shared" si="66"/>
        <v>1.0183669758137844E-2</v>
      </c>
      <c r="U81" s="362">
        <f t="shared" si="67"/>
        <v>826.56000000000017</v>
      </c>
      <c r="V81" s="450">
        <f t="shared" si="68"/>
        <v>0</v>
      </c>
      <c r="W81" s="451">
        <f t="shared" si="69"/>
        <v>0</v>
      </c>
      <c r="X81" s="452">
        <f t="shared" si="70"/>
        <v>0</v>
      </c>
      <c r="Y81" s="364" t="s">
        <v>395</v>
      </c>
      <c r="Z81" s="364" t="s">
        <v>316</v>
      </c>
      <c r="AA81" s="376" t="s">
        <v>732</v>
      </c>
      <c r="AB81" s="365" t="s">
        <v>733</v>
      </c>
      <c r="AC81" s="365">
        <v>1</v>
      </c>
      <c r="AD81" s="440" t="s">
        <v>720</v>
      </c>
      <c r="AH81" s="367"/>
    </row>
    <row r="82" spans="2:39" s="147" customFormat="1" ht="26.25" customHeight="1">
      <c r="B82" s="875"/>
      <c r="C82" s="876"/>
      <c r="D82" s="360">
        <v>12</v>
      </c>
      <c r="E82" s="434" t="s">
        <v>591</v>
      </c>
      <c r="F82" s="435">
        <f t="shared" si="58"/>
        <v>825.55200000000002</v>
      </c>
      <c r="G82" s="363">
        <v>122.85000000000001</v>
      </c>
      <c r="H82" s="436">
        <v>742.85</v>
      </c>
      <c r="I82" s="436">
        <v>742.85</v>
      </c>
      <c r="J82" s="438">
        <f t="shared" si="59"/>
        <v>1</v>
      </c>
      <c r="K82" s="437">
        <v>765.79</v>
      </c>
      <c r="L82" s="438">
        <f t="shared" si="60"/>
        <v>1.0308810661640977</v>
      </c>
      <c r="M82" s="437">
        <v>22.94</v>
      </c>
      <c r="N82" s="438">
        <f t="shared" si="61"/>
        <v>3.0881066164097734E-2</v>
      </c>
      <c r="O82" s="439">
        <f t="shared" si="62"/>
        <v>788.73</v>
      </c>
      <c r="P82" s="438">
        <f t="shared" si="63"/>
        <v>1.0617621323281954</v>
      </c>
      <c r="Q82" s="436">
        <v>6.72</v>
      </c>
      <c r="R82" s="438">
        <f t="shared" si="64"/>
        <v>9.0462408292387424E-3</v>
      </c>
      <c r="S82" s="439">
        <f t="shared" si="65"/>
        <v>45.879999999999995</v>
      </c>
      <c r="T82" s="438">
        <f t="shared" si="66"/>
        <v>6.1762132328195454E-2</v>
      </c>
      <c r="U82" s="362">
        <f t="shared" si="67"/>
        <v>5636.3580000000002</v>
      </c>
      <c r="V82" s="450">
        <f t="shared" si="68"/>
        <v>39.159999999999997</v>
      </c>
      <c r="W82" s="451">
        <f t="shared" si="69"/>
        <v>5.2715891498956717E-2</v>
      </c>
      <c r="X82" s="452">
        <f t="shared" si="70"/>
        <v>4810.8059999999996</v>
      </c>
      <c r="Y82" s="364" t="s">
        <v>395</v>
      </c>
      <c r="Z82" s="364" t="s">
        <v>198</v>
      </c>
      <c r="AA82" s="365" t="s">
        <v>595</v>
      </c>
      <c r="AB82" s="365" t="s">
        <v>629</v>
      </c>
      <c r="AC82" s="365">
        <v>1</v>
      </c>
      <c r="AD82" s="440" t="s">
        <v>562</v>
      </c>
      <c r="AH82" s="367"/>
    </row>
    <row r="83" spans="2:39" s="147" customFormat="1" ht="27" customHeight="1">
      <c r="B83" s="875"/>
      <c r="C83" s="876"/>
      <c r="D83" s="360">
        <v>13</v>
      </c>
      <c r="E83" s="434" t="s">
        <v>554</v>
      </c>
      <c r="F83" s="435">
        <f t="shared" si="58"/>
        <v>822.64800000000014</v>
      </c>
      <c r="G83" s="363">
        <v>108.96000000000001</v>
      </c>
      <c r="H83" s="436">
        <v>215.28</v>
      </c>
      <c r="I83" s="436">
        <v>215.28</v>
      </c>
      <c r="J83" s="438">
        <f t="shared" si="59"/>
        <v>1</v>
      </c>
      <c r="K83" s="437">
        <v>226.64000000000001</v>
      </c>
      <c r="L83" s="438">
        <f t="shared" si="60"/>
        <v>1.0527684875510963</v>
      </c>
      <c r="M83" s="437">
        <v>11.360000000000001</v>
      </c>
      <c r="N83" s="438">
        <f t="shared" si="61"/>
        <v>5.2768487551096255E-2</v>
      </c>
      <c r="O83" s="439">
        <f t="shared" si="62"/>
        <v>238.00000000000003</v>
      </c>
      <c r="P83" s="438">
        <f t="shared" si="63"/>
        <v>1.1055369751021926</v>
      </c>
      <c r="Q83" s="436">
        <v>7.5500000000000007</v>
      </c>
      <c r="R83" s="438">
        <f t="shared" si="64"/>
        <v>3.5070605722779639E-2</v>
      </c>
      <c r="S83" s="439">
        <f t="shared" si="65"/>
        <v>22.720000000000027</v>
      </c>
      <c r="T83" s="438">
        <f t="shared" si="66"/>
        <v>0.10553697510219262</v>
      </c>
      <c r="U83" s="362">
        <f t="shared" si="67"/>
        <v>2475.571200000003</v>
      </c>
      <c r="V83" s="450">
        <f t="shared" si="68"/>
        <v>15.170000000000027</v>
      </c>
      <c r="W83" s="451">
        <f t="shared" si="69"/>
        <v>7.0466369379412974E-2</v>
      </c>
      <c r="X83" s="452">
        <f t="shared" si="70"/>
        <v>1652.9232000000029</v>
      </c>
      <c r="Y83" s="364" t="s">
        <v>395</v>
      </c>
      <c r="Z83" s="364" t="s">
        <v>421</v>
      </c>
      <c r="AA83" s="365" t="s">
        <v>692</v>
      </c>
      <c r="AB83" s="365" t="s">
        <v>693</v>
      </c>
      <c r="AC83" s="365">
        <v>1</v>
      </c>
      <c r="AD83" s="440" t="s">
        <v>549</v>
      </c>
    </row>
    <row r="84" spans="2:39" s="147" customFormat="1" ht="27" customHeight="1">
      <c r="B84" s="875"/>
      <c r="C84" s="876"/>
      <c r="D84" s="360">
        <v>14</v>
      </c>
      <c r="E84" s="434" t="s">
        <v>661</v>
      </c>
      <c r="F84" s="435">
        <f t="shared" si="58"/>
        <v>822.32280000000014</v>
      </c>
      <c r="G84" s="363">
        <v>351.42</v>
      </c>
      <c r="H84" s="436">
        <v>257.01</v>
      </c>
      <c r="I84" s="436">
        <v>257.01</v>
      </c>
      <c r="J84" s="438">
        <f t="shared" si="59"/>
        <v>1</v>
      </c>
      <c r="K84" s="437">
        <v>265.27</v>
      </c>
      <c r="L84" s="438">
        <f t="shared" si="60"/>
        <v>1.032138827282985</v>
      </c>
      <c r="M84" s="437">
        <v>8.26</v>
      </c>
      <c r="N84" s="438">
        <f t="shared" si="61"/>
        <v>3.2138827282985095E-2</v>
      </c>
      <c r="O84" s="439">
        <f t="shared" si="62"/>
        <v>273.52999999999997</v>
      </c>
      <c r="P84" s="438">
        <f t="shared" si="63"/>
        <v>1.0642776545659702</v>
      </c>
      <c r="Q84" s="436">
        <v>2.3400000000000003</v>
      </c>
      <c r="R84" s="438">
        <f t="shared" si="64"/>
        <v>9.1047040971168457E-3</v>
      </c>
      <c r="S84" s="439">
        <f t="shared" si="65"/>
        <v>16.519999999999982</v>
      </c>
      <c r="T84" s="438">
        <f t="shared" si="66"/>
        <v>6.4277654565970122E-2</v>
      </c>
      <c r="U84" s="362">
        <f t="shared" si="67"/>
        <v>5805.4583999999941</v>
      </c>
      <c r="V84" s="450">
        <f t="shared" si="68"/>
        <v>14.179999999999982</v>
      </c>
      <c r="W84" s="451">
        <f t="shared" si="69"/>
        <v>5.5172950468853281E-2</v>
      </c>
      <c r="X84" s="452">
        <f t="shared" si="70"/>
        <v>4983.1355999999942</v>
      </c>
      <c r="Y84" s="364" t="s">
        <v>395</v>
      </c>
      <c r="Z84" s="364" t="s">
        <v>421</v>
      </c>
      <c r="AA84" s="365" t="s">
        <v>670</v>
      </c>
      <c r="AB84" s="365" t="s">
        <v>629</v>
      </c>
      <c r="AC84" s="365">
        <v>1</v>
      </c>
      <c r="AD84" s="440" t="s">
        <v>552</v>
      </c>
    </row>
    <row r="85" spans="2:39" s="147" customFormat="1" ht="27" customHeight="1">
      <c r="B85" s="875"/>
      <c r="C85" s="876"/>
      <c r="D85" s="360">
        <v>15</v>
      </c>
      <c r="E85" s="434" t="s">
        <v>725</v>
      </c>
      <c r="F85" s="435">
        <f t="shared" si="58"/>
        <v>821.74950000000001</v>
      </c>
      <c r="G85" s="363">
        <v>421.40999999999997</v>
      </c>
      <c r="H85" s="436">
        <v>158.56</v>
      </c>
      <c r="I85" s="436">
        <v>158.56</v>
      </c>
      <c r="J85" s="438">
        <f t="shared" si="59"/>
        <v>1</v>
      </c>
      <c r="K85" s="437">
        <v>164.15</v>
      </c>
      <c r="L85" s="438">
        <f t="shared" si="60"/>
        <v>1.0352547931382443</v>
      </c>
      <c r="M85" s="437">
        <v>5.59</v>
      </c>
      <c r="N85" s="438">
        <f t="shared" si="61"/>
        <v>3.5254793138244193E-2</v>
      </c>
      <c r="O85" s="439">
        <f t="shared" si="62"/>
        <v>169.74</v>
      </c>
      <c r="P85" s="438">
        <f t="shared" si="63"/>
        <v>1.0705095862764884</v>
      </c>
      <c r="Q85" s="436">
        <v>1.9500000000000002</v>
      </c>
      <c r="R85" s="438">
        <f t="shared" si="64"/>
        <v>1.2298183652875884E-2</v>
      </c>
      <c r="S85" s="439">
        <f t="shared" si="65"/>
        <v>11.180000000000007</v>
      </c>
      <c r="T85" s="438">
        <f t="shared" si="66"/>
        <v>7.0509586276488442E-2</v>
      </c>
      <c r="U85" s="362">
        <f t="shared" si="67"/>
        <v>4711.3638000000028</v>
      </c>
      <c r="V85" s="450">
        <f t="shared" si="68"/>
        <v>9.2300000000000075</v>
      </c>
      <c r="W85" s="451">
        <f t="shared" si="69"/>
        <v>5.821140262361256E-2</v>
      </c>
      <c r="X85" s="452">
        <f t="shared" si="70"/>
        <v>3889.6143000000029</v>
      </c>
      <c r="Y85" s="364" t="s">
        <v>395</v>
      </c>
      <c r="Z85" s="364" t="s">
        <v>421</v>
      </c>
      <c r="AA85" s="365" t="s">
        <v>692</v>
      </c>
      <c r="AB85" s="365" t="s">
        <v>693</v>
      </c>
      <c r="AC85" s="365">
        <v>1</v>
      </c>
      <c r="AD85" s="440" t="s">
        <v>417</v>
      </c>
    </row>
    <row r="86" spans="2:39" s="147" customFormat="1" ht="27" customHeight="1">
      <c r="B86" s="875"/>
      <c r="C86" s="876"/>
      <c r="D86" s="360">
        <v>16</v>
      </c>
      <c r="E86" s="434" t="s">
        <v>663</v>
      </c>
      <c r="F86" s="435">
        <f t="shared" si="58"/>
        <v>821.74280000000022</v>
      </c>
      <c r="G86" s="363">
        <v>98.060000000000016</v>
      </c>
      <c r="H86" s="436">
        <v>801.83</v>
      </c>
      <c r="I86" s="436">
        <v>801.83</v>
      </c>
      <c r="J86" s="438">
        <f t="shared" si="59"/>
        <v>1</v>
      </c>
      <c r="K86" s="437">
        <v>821.33999999999992</v>
      </c>
      <c r="L86" s="438">
        <f t="shared" si="60"/>
        <v>1.0243318409139093</v>
      </c>
      <c r="M86" s="437">
        <v>19.510000000000002</v>
      </c>
      <c r="N86" s="438">
        <f t="shared" si="61"/>
        <v>2.4331840913909431E-2</v>
      </c>
      <c r="O86" s="439">
        <f t="shared" si="62"/>
        <v>840.84999999999991</v>
      </c>
      <c r="P86" s="438">
        <f t="shared" si="63"/>
        <v>1.0486636818278188</v>
      </c>
      <c r="Q86" s="436">
        <v>8.3800000000000008</v>
      </c>
      <c r="R86" s="438">
        <f t="shared" si="64"/>
        <v>1.0451093124477758E-2</v>
      </c>
      <c r="S86" s="439">
        <f t="shared" si="65"/>
        <v>39.019999999999868</v>
      </c>
      <c r="T86" s="438">
        <f t="shared" si="66"/>
        <v>4.8663681827818696E-2</v>
      </c>
      <c r="U86" s="362">
        <f t="shared" si="67"/>
        <v>3826.3011999999876</v>
      </c>
      <c r="V86" s="450">
        <f t="shared" si="68"/>
        <v>30.639999999999866</v>
      </c>
      <c r="W86" s="451">
        <f t="shared" si="69"/>
        <v>3.821258870334094E-2</v>
      </c>
      <c r="X86" s="452">
        <f t="shared" si="70"/>
        <v>3004.5583999999872</v>
      </c>
      <c r="Y86" s="364" t="s">
        <v>395</v>
      </c>
      <c r="Z86" s="364" t="s">
        <v>421</v>
      </c>
      <c r="AA86" s="365" t="s">
        <v>445</v>
      </c>
      <c r="AB86" s="365" t="s">
        <v>571</v>
      </c>
      <c r="AC86" s="365">
        <v>1</v>
      </c>
      <c r="AD86" s="440" t="s">
        <v>552</v>
      </c>
    </row>
    <row r="87" spans="2:39" s="147" customFormat="1" ht="27" customHeight="1">
      <c r="B87" s="875"/>
      <c r="C87" s="876"/>
      <c r="D87" s="360">
        <v>17</v>
      </c>
      <c r="E87" s="434" t="s">
        <v>590</v>
      </c>
      <c r="F87" s="435">
        <f t="shared" si="58"/>
        <v>821.5405999999997</v>
      </c>
      <c r="G87" s="363">
        <v>24.789999999999996</v>
      </c>
      <c r="H87" s="436">
        <v>3029.7799999999997</v>
      </c>
      <c r="I87" s="436">
        <v>3029.7799999999997</v>
      </c>
      <c r="J87" s="438">
        <f t="shared" si="59"/>
        <v>1</v>
      </c>
      <c r="K87" s="437">
        <v>3113.0999999999995</v>
      </c>
      <c r="L87" s="438">
        <f t="shared" si="60"/>
        <v>1.027500346559816</v>
      </c>
      <c r="M87" s="437">
        <v>83.32</v>
      </c>
      <c r="N87" s="438">
        <f t="shared" si="61"/>
        <v>2.7500346559816223E-2</v>
      </c>
      <c r="O87" s="439">
        <f t="shared" si="62"/>
        <v>3196.4199999999996</v>
      </c>
      <c r="P87" s="438">
        <f t="shared" si="63"/>
        <v>1.0550006931196325</v>
      </c>
      <c r="Q87" s="436">
        <v>33.139999999999993</v>
      </c>
      <c r="R87" s="438">
        <f t="shared" si="64"/>
        <v>1.0938087913973951E-2</v>
      </c>
      <c r="S87" s="439">
        <f t="shared" si="65"/>
        <v>166.63999999999987</v>
      </c>
      <c r="T87" s="438">
        <f t="shared" si="66"/>
        <v>5.5000693119632411E-2</v>
      </c>
      <c r="U87" s="362">
        <f t="shared" si="67"/>
        <v>4131.0055999999959</v>
      </c>
      <c r="V87" s="450">
        <f t="shared" si="68"/>
        <v>133.49999999999989</v>
      </c>
      <c r="W87" s="451">
        <f t="shared" si="69"/>
        <v>4.406260520565846E-2</v>
      </c>
      <c r="X87" s="452">
        <f t="shared" si="70"/>
        <v>3309.4649999999965</v>
      </c>
      <c r="Y87" s="364" t="s">
        <v>395</v>
      </c>
      <c r="Z87" s="364" t="s">
        <v>421</v>
      </c>
      <c r="AA87" s="365" t="s">
        <v>445</v>
      </c>
      <c r="AB87" s="365" t="s">
        <v>571</v>
      </c>
      <c r="AC87" s="365">
        <v>1</v>
      </c>
      <c r="AD87" s="440" t="s">
        <v>577</v>
      </c>
    </row>
    <row r="88" spans="2:39" s="147" customFormat="1" ht="27" customHeight="1">
      <c r="B88" s="875"/>
      <c r="C88" s="876"/>
      <c r="D88" s="360">
        <v>18</v>
      </c>
      <c r="E88" s="434" t="s">
        <v>726</v>
      </c>
      <c r="F88" s="435">
        <f t="shared" si="58"/>
        <v>821.53200000000004</v>
      </c>
      <c r="G88" s="363">
        <v>184.20000000000002</v>
      </c>
      <c r="H88" s="436">
        <v>396.64</v>
      </c>
      <c r="I88" s="436">
        <v>396.64</v>
      </c>
      <c r="J88" s="438">
        <f t="shared" si="59"/>
        <v>1</v>
      </c>
      <c r="K88" s="437">
        <v>410.65</v>
      </c>
      <c r="L88" s="438">
        <f t="shared" si="60"/>
        <v>1.0353217022993142</v>
      </c>
      <c r="M88" s="437">
        <v>14.010000000000002</v>
      </c>
      <c r="N88" s="438">
        <f t="shared" si="61"/>
        <v>3.5321702299314243E-2</v>
      </c>
      <c r="O88" s="439">
        <f t="shared" si="62"/>
        <v>424.65999999999997</v>
      </c>
      <c r="P88" s="438">
        <f t="shared" si="63"/>
        <v>1.0706434045986284</v>
      </c>
      <c r="Q88" s="436">
        <v>4.46</v>
      </c>
      <c r="R88" s="438">
        <f t="shared" si="64"/>
        <v>1.1244453408632513E-2</v>
      </c>
      <c r="S88" s="439">
        <f t="shared" si="65"/>
        <v>28.019999999999982</v>
      </c>
      <c r="T88" s="438">
        <f t="shared" si="66"/>
        <v>7.0643404598628431E-2</v>
      </c>
      <c r="U88" s="362">
        <f t="shared" si="67"/>
        <v>5161.2839999999969</v>
      </c>
      <c r="V88" s="450">
        <f t="shared" si="68"/>
        <v>23.559999999999981</v>
      </c>
      <c r="W88" s="451">
        <f t="shared" si="69"/>
        <v>5.939895118999592E-2</v>
      </c>
      <c r="X88" s="452">
        <f t="shared" si="70"/>
        <v>4339.7519999999968</v>
      </c>
      <c r="Y88" s="364" t="s">
        <v>395</v>
      </c>
      <c r="Z88" s="364" t="s">
        <v>421</v>
      </c>
      <c r="AA88" s="365" t="s">
        <v>692</v>
      </c>
      <c r="AB88" s="365" t="s">
        <v>693</v>
      </c>
      <c r="AC88" s="365">
        <v>1</v>
      </c>
      <c r="AD88" s="440" t="s">
        <v>719</v>
      </c>
    </row>
    <row r="89" spans="2:39" s="147" customFormat="1" ht="27" customHeight="1">
      <c r="B89" s="875"/>
      <c r="C89" s="876"/>
      <c r="D89" s="360">
        <v>19</v>
      </c>
      <c r="E89" s="434" t="s">
        <v>664</v>
      </c>
      <c r="F89" s="435">
        <f t="shared" si="58"/>
        <v>821.02290000000016</v>
      </c>
      <c r="G89" s="363">
        <v>145.83000000000001</v>
      </c>
      <c r="H89" s="436">
        <v>548.87</v>
      </c>
      <c r="I89" s="436">
        <v>548.87</v>
      </c>
      <c r="J89" s="438">
        <f t="shared" si="59"/>
        <v>1</v>
      </c>
      <c r="K89" s="437">
        <v>566.86999999999989</v>
      </c>
      <c r="L89" s="438">
        <f t="shared" si="60"/>
        <v>1.0327946508280648</v>
      </c>
      <c r="M89" s="437">
        <v>18</v>
      </c>
      <c r="N89" s="438">
        <f t="shared" si="61"/>
        <v>3.2794650828064931E-2</v>
      </c>
      <c r="O89" s="439">
        <f t="shared" si="62"/>
        <v>584.86999999999989</v>
      </c>
      <c r="P89" s="438">
        <f t="shared" si="63"/>
        <v>1.0655893016561298</v>
      </c>
      <c r="Q89" s="436">
        <v>5.6300000000000008</v>
      </c>
      <c r="R89" s="438">
        <f t="shared" si="64"/>
        <v>1.0257438009000312E-2</v>
      </c>
      <c r="S89" s="439">
        <f t="shared" si="65"/>
        <v>35.999999999999886</v>
      </c>
      <c r="T89" s="438">
        <f t="shared" si="66"/>
        <v>6.5589301656129653E-2</v>
      </c>
      <c r="U89" s="362">
        <f t="shared" si="67"/>
        <v>5249.8799999999837</v>
      </c>
      <c r="V89" s="450">
        <f t="shared" si="68"/>
        <v>30.369999999999884</v>
      </c>
      <c r="W89" s="451">
        <f t="shared" si="69"/>
        <v>5.5331863647129345E-2</v>
      </c>
      <c r="X89" s="452">
        <f t="shared" si="70"/>
        <v>4428.8570999999838</v>
      </c>
      <c r="Y89" s="364" t="s">
        <v>395</v>
      </c>
      <c r="Z89" s="364" t="s">
        <v>421</v>
      </c>
      <c r="AA89" s="365" t="s">
        <v>692</v>
      </c>
      <c r="AB89" s="365" t="s">
        <v>693</v>
      </c>
      <c r="AC89" s="365">
        <v>1</v>
      </c>
      <c r="AD89" s="440" t="s">
        <v>659</v>
      </c>
    </row>
    <row r="90" spans="2:39" s="147" customFormat="1" ht="27" customHeight="1">
      <c r="B90" s="877"/>
      <c r="C90" s="878"/>
      <c r="D90" s="360">
        <v>20</v>
      </c>
      <c r="E90" s="434" t="s">
        <v>555</v>
      </c>
      <c r="F90" s="435">
        <f t="shared" si="58"/>
        <v>820.95749999999987</v>
      </c>
      <c r="G90" s="363">
        <v>99.51</v>
      </c>
      <c r="H90" s="436">
        <v>1237.08</v>
      </c>
      <c r="I90" s="436">
        <v>1237.08</v>
      </c>
      <c r="J90" s="438">
        <f t="shared" si="59"/>
        <v>1</v>
      </c>
      <c r="K90" s="437">
        <v>1265.6099999999999</v>
      </c>
      <c r="L90" s="438">
        <f t="shared" si="60"/>
        <v>1.0230623726840624</v>
      </c>
      <c r="M90" s="437">
        <v>28.529999999999998</v>
      </c>
      <c r="N90" s="438">
        <f t="shared" si="61"/>
        <v>2.3062372684062468E-2</v>
      </c>
      <c r="O90" s="439">
        <f t="shared" si="62"/>
        <v>1294.1399999999999</v>
      </c>
      <c r="P90" s="438">
        <f t="shared" si="63"/>
        <v>1.0461247453681248</v>
      </c>
      <c r="Q90" s="436">
        <v>8.2499999999999982</v>
      </c>
      <c r="R90" s="438">
        <f t="shared" si="64"/>
        <v>6.6689300611116487E-3</v>
      </c>
      <c r="S90" s="439">
        <f t="shared" si="65"/>
        <v>57.059999999999945</v>
      </c>
      <c r="T90" s="438">
        <f t="shared" si="66"/>
        <v>4.61247453681249E-2</v>
      </c>
      <c r="U90" s="362">
        <f t="shared" si="67"/>
        <v>5678.0405999999948</v>
      </c>
      <c r="V90" s="450">
        <f t="shared" si="68"/>
        <v>48.809999999999945</v>
      </c>
      <c r="W90" s="451">
        <f t="shared" si="69"/>
        <v>3.9455815307013246E-2</v>
      </c>
      <c r="X90" s="452">
        <f t="shared" si="70"/>
        <v>4857.0830999999944</v>
      </c>
      <c r="Y90" s="364" t="s">
        <v>395</v>
      </c>
      <c r="Z90" s="364" t="s">
        <v>421</v>
      </c>
      <c r="AA90" s="365" t="s">
        <v>445</v>
      </c>
      <c r="AB90" s="365" t="s">
        <v>571</v>
      </c>
      <c r="AC90" s="365">
        <v>1</v>
      </c>
      <c r="AD90" s="440" t="s">
        <v>328</v>
      </c>
    </row>
    <row r="91" spans="2:39" ht="16.5" customHeight="1">
      <c r="B91" s="889" t="s">
        <v>419</v>
      </c>
      <c r="C91" s="890"/>
      <c r="D91" s="893" t="s">
        <v>501</v>
      </c>
      <c r="E91" s="894" t="s">
        <v>502</v>
      </c>
      <c r="F91" s="895" t="s">
        <v>503</v>
      </c>
      <c r="G91" s="862" t="s">
        <v>504</v>
      </c>
      <c r="H91" s="896" t="s">
        <v>505</v>
      </c>
      <c r="I91" s="879" t="s">
        <v>506</v>
      </c>
      <c r="J91" s="880"/>
      <c r="K91" s="879" t="s">
        <v>507</v>
      </c>
      <c r="L91" s="880"/>
      <c r="M91" s="879" t="s">
        <v>508</v>
      </c>
      <c r="N91" s="880"/>
      <c r="O91" s="879" t="s">
        <v>509</v>
      </c>
      <c r="P91" s="880"/>
      <c r="Q91" s="879" t="s">
        <v>396</v>
      </c>
      <c r="R91" s="880"/>
      <c r="S91" s="881" t="s">
        <v>397</v>
      </c>
      <c r="T91" s="882"/>
      <c r="U91" s="883"/>
      <c r="V91" s="884" t="s">
        <v>566</v>
      </c>
      <c r="W91" s="885"/>
      <c r="X91" s="886"/>
      <c r="Y91" s="887" t="s">
        <v>168</v>
      </c>
      <c r="Z91" s="887" t="s">
        <v>228</v>
      </c>
      <c r="AA91" s="887" t="s">
        <v>510</v>
      </c>
      <c r="AB91" s="887" t="s">
        <v>420</v>
      </c>
      <c r="AC91" s="887" t="s">
        <v>229</v>
      </c>
      <c r="AD91" s="862" t="s">
        <v>169</v>
      </c>
      <c r="AF91" s="864" t="s">
        <v>230</v>
      </c>
      <c r="AG91" s="865"/>
      <c r="AH91" s="865"/>
      <c r="AI91" s="865"/>
      <c r="AJ91" s="865"/>
      <c r="AK91" s="865"/>
      <c r="AL91" s="865"/>
      <c r="AM91" s="866"/>
    </row>
    <row r="92" spans="2:39" ht="16.5" customHeight="1">
      <c r="B92" s="891"/>
      <c r="C92" s="892"/>
      <c r="D92" s="893"/>
      <c r="E92" s="893"/>
      <c r="F92" s="895"/>
      <c r="G92" s="863"/>
      <c r="H92" s="863"/>
      <c r="I92" s="433" t="s">
        <v>511</v>
      </c>
      <c r="J92" s="361" t="s">
        <v>512</v>
      </c>
      <c r="K92" s="433" t="s">
        <v>511</v>
      </c>
      <c r="L92" s="361" t="s">
        <v>512</v>
      </c>
      <c r="M92" s="433" t="s">
        <v>511</v>
      </c>
      <c r="N92" s="361" t="s">
        <v>512</v>
      </c>
      <c r="O92" s="433" t="s">
        <v>511</v>
      </c>
      <c r="P92" s="361" t="s">
        <v>512</v>
      </c>
      <c r="Q92" s="433" t="s">
        <v>511</v>
      </c>
      <c r="R92" s="361" t="s">
        <v>512</v>
      </c>
      <c r="S92" s="433" t="s">
        <v>511</v>
      </c>
      <c r="T92" s="361" t="s">
        <v>512</v>
      </c>
      <c r="U92" s="361" t="s">
        <v>513</v>
      </c>
      <c r="V92" s="433" t="s">
        <v>511</v>
      </c>
      <c r="W92" s="361" t="s">
        <v>512</v>
      </c>
      <c r="X92" s="361" t="s">
        <v>513</v>
      </c>
      <c r="Y92" s="888"/>
      <c r="Z92" s="888"/>
      <c r="AA92" s="888"/>
      <c r="AB92" s="888"/>
      <c r="AC92" s="888"/>
      <c r="AD92" s="863"/>
      <c r="AF92" s="867"/>
      <c r="AG92" s="868"/>
      <c r="AH92" s="868"/>
      <c r="AI92" s="868"/>
      <c r="AJ92" s="868"/>
      <c r="AK92" s="868"/>
      <c r="AL92" s="868"/>
      <c r="AM92" s="869"/>
    </row>
    <row r="93" spans="2:39" s="147" customFormat="1" ht="27" customHeight="1">
      <c r="B93" s="873" t="s">
        <v>647</v>
      </c>
      <c r="C93" s="874"/>
      <c r="D93" s="360">
        <v>1</v>
      </c>
      <c r="E93" s="434" t="s">
        <v>423</v>
      </c>
      <c r="F93" s="435">
        <f>IFERROR(Q93*G93,"-")</f>
        <v>1567.9999999999998</v>
      </c>
      <c r="G93" s="363">
        <v>2.4499999999999997</v>
      </c>
      <c r="H93" s="436">
        <v>87560</v>
      </c>
      <c r="I93" s="436">
        <v>87560</v>
      </c>
      <c r="J93" s="438">
        <f>IFERROR(I93/H93,"-")</f>
        <v>1</v>
      </c>
      <c r="K93" s="437">
        <v>88200</v>
      </c>
      <c r="L93" s="438">
        <f>IFERROR(K93/H93,"-")</f>
        <v>1.0073092736409319</v>
      </c>
      <c r="M93" s="437">
        <v>0</v>
      </c>
      <c r="N93" s="438">
        <f>IFERROR(M93/H93,"-")</f>
        <v>0</v>
      </c>
      <c r="O93" s="439">
        <f>IFERROR(K93+M93,"-")</f>
        <v>88200</v>
      </c>
      <c r="P93" s="438">
        <f>IFERROR(O93/H93,"-")</f>
        <v>1.0073092736409319</v>
      </c>
      <c r="Q93" s="436">
        <v>640</v>
      </c>
      <c r="R93" s="438">
        <f>IFERROR(Q93/H93,"-")</f>
        <v>7.3092736409319323E-3</v>
      </c>
      <c r="S93" s="439">
        <f>IFERROR(O93-H93,"-")</f>
        <v>640</v>
      </c>
      <c r="T93" s="438">
        <f>IFERROR(S93/H93,"-")</f>
        <v>7.3092736409319323E-3</v>
      </c>
      <c r="U93" s="362">
        <f>IFERROR(S93*G93,"-")</f>
        <v>1567.9999999999998</v>
      </c>
      <c r="V93" s="450">
        <f>S93-Q93</f>
        <v>0</v>
      </c>
      <c r="W93" s="451">
        <f>IFERROR(V93/H93,"-")</f>
        <v>0</v>
      </c>
      <c r="X93" s="452">
        <f>IFERROR(V93*G93,"-")</f>
        <v>0</v>
      </c>
      <c r="Y93" s="364" t="s">
        <v>395</v>
      </c>
      <c r="Z93" s="364" t="s">
        <v>316</v>
      </c>
      <c r="AA93" s="365"/>
      <c r="AB93" s="365"/>
      <c r="AC93" s="365">
        <v>1</v>
      </c>
      <c r="AD93" s="440" t="s">
        <v>331</v>
      </c>
      <c r="AF93" s="870"/>
      <c r="AG93" s="871"/>
      <c r="AH93" s="871"/>
      <c r="AI93" s="871"/>
      <c r="AJ93" s="871"/>
      <c r="AK93" s="871"/>
      <c r="AL93" s="871"/>
      <c r="AM93" s="872"/>
    </row>
    <row r="94" spans="2:39" s="147" customFormat="1" ht="27" customHeight="1">
      <c r="B94" s="875"/>
      <c r="C94" s="876"/>
      <c r="D94" s="360">
        <v>2</v>
      </c>
      <c r="E94" s="434" t="s">
        <v>364</v>
      </c>
      <c r="F94" s="435">
        <f t="shared" ref="F94:F112" si="73">IFERROR(Q94*G94,"-")</f>
        <v>1349.9904000000001</v>
      </c>
      <c r="G94" s="363">
        <v>127.84000000000002</v>
      </c>
      <c r="H94" s="436">
        <v>3762.76</v>
      </c>
      <c r="I94" s="436">
        <v>3762.76</v>
      </c>
      <c r="J94" s="438">
        <f t="shared" ref="J94:J112" si="74">IFERROR(I94/H94,"-")</f>
        <v>1</v>
      </c>
      <c r="K94" s="437">
        <v>3803.6200000000003</v>
      </c>
      <c r="L94" s="438">
        <f t="shared" ref="L94:L112" si="75">IFERROR(K94/H94,"-")</f>
        <v>1.0108590502716093</v>
      </c>
      <c r="M94" s="437">
        <v>40.86</v>
      </c>
      <c r="N94" s="438">
        <f t="shared" ref="N94:N112" si="76">IFERROR(M94/H94,"-")</f>
        <v>1.0859050271609137E-2</v>
      </c>
      <c r="O94" s="439">
        <f t="shared" ref="O94:O112" si="77">IFERROR(K94+M94,"-")</f>
        <v>3844.4800000000005</v>
      </c>
      <c r="P94" s="438">
        <f t="shared" ref="P94:P112" si="78">IFERROR(O94/H94,"-")</f>
        <v>1.0217181005432183</v>
      </c>
      <c r="Q94" s="436">
        <v>10.559999999999999</v>
      </c>
      <c r="R94" s="438">
        <f t="shared" ref="R94:R112" si="79">IFERROR(Q94/H94,"-")</f>
        <v>2.80645058414568E-3</v>
      </c>
      <c r="S94" s="439">
        <f t="shared" ref="S94:S112" si="80">IFERROR(O94-H94,"-")</f>
        <v>81.720000000000255</v>
      </c>
      <c r="T94" s="438">
        <f t="shared" ref="T94:T112" si="81">IFERROR(S94/H94,"-")</f>
        <v>2.1718100543218342E-2</v>
      </c>
      <c r="U94" s="362">
        <f t="shared" ref="U94:U112" si="82">IFERROR(S94*G94,"-")</f>
        <v>10447.084800000033</v>
      </c>
      <c r="V94" s="450">
        <f t="shared" ref="V94:V112" si="83">S94-Q94</f>
        <v>71.160000000000252</v>
      </c>
      <c r="W94" s="451">
        <f t="shared" ref="W94:W112" si="84">IFERROR(V94/H94,"-")</f>
        <v>1.8911649959072661E-2</v>
      </c>
      <c r="X94" s="452">
        <f t="shared" ref="X94:X112" si="85">IFERROR(V94*G94,"-")</f>
        <v>9097.0944000000327</v>
      </c>
      <c r="Y94" s="364" t="s">
        <v>395</v>
      </c>
      <c r="Z94" s="364" t="s">
        <v>421</v>
      </c>
      <c r="AA94" s="365"/>
      <c r="AB94" s="365"/>
      <c r="AC94" s="365">
        <v>1</v>
      </c>
      <c r="AD94" s="440" t="s">
        <v>319</v>
      </c>
      <c r="AF94" s="160" t="s">
        <v>227</v>
      </c>
      <c r="AG94" s="160" t="s">
        <v>421</v>
      </c>
      <c r="AH94" s="155" t="s">
        <v>514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75"/>
      <c r="C95" s="876"/>
      <c r="D95" s="360">
        <v>3</v>
      </c>
      <c r="E95" s="434" t="s">
        <v>559</v>
      </c>
      <c r="F95" s="435">
        <f t="shared" si="73"/>
        <v>1345.7709999999997</v>
      </c>
      <c r="G95" s="363">
        <v>625.93999999999994</v>
      </c>
      <c r="H95" s="436">
        <v>1312.8799999999999</v>
      </c>
      <c r="I95" s="436">
        <v>1312.8799999999999</v>
      </c>
      <c r="J95" s="438">
        <f t="shared" si="74"/>
        <v>1</v>
      </c>
      <c r="K95" s="437">
        <v>1325.21</v>
      </c>
      <c r="L95" s="438">
        <f t="shared" si="75"/>
        <v>1.0093915666321371</v>
      </c>
      <c r="M95" s="437">
        <v>12.33</v>
      </c>
      <c r="N95" s="438">
        <f t="shared" si="76"/>
        <v>9.3915666321369821E-3</v>
      </c>
      <c r="O95" s="439">
        <f t="shared" si="77"/>
        <v>1337.54</v>
      </c>
      <c r="P95" s="438">
        <f t="shared" si="78"/>
        <v>1.0187831332642741</v>
      </c>
      <c r="Q95" s="436">
        <v>2.15</v>
      </c>
      <c r="R95" s="438">
        <f t="shared" si="79"/>
        <v>1.6376211077935533E-3</v>
      </c>
      <c r="S95" s="439">
        <f t="shared" si="80"/>
        <v>24.660000000000082</v>
      </c>
      <c r="T95" s="438">
        <f t="shared" si="81"/>
        <v>1.8783133264274027E-2</v>
      </c>
      <c r="U95" s="362">
        <f t="shared" si="82"/>
        <v>15435.68040000005</v>
      </c>
      <c r="V95" s="450">
        <f t="shared" si="83"/>
        <v>22.510000000000083</v>
      </c>
      <c r="W95" s="451">
        <f t="shared" si="84"/>
        <v>1.7145512156480476E-2</v>
      </c>
      <c r="X95" s="452">
        <f t="shared" si="85"/>
        <v>14089.909400000051</v>
      </c>
      <c r="Y95" s="364" t="s">
        <v>395</v>
      </c>
      <c r="Z95" s="364" t="s">
        <v>316</v>
      </c>
      <c r="AA95" s="365"/>
      <c r="AB95" s="365"/>
      <c r="AC95" s="365">
        <v>1</v>
      </c>
      <c r="AD95" s="440" t="s">
        <v>560</v>
      </c>
      <c r="AF95" s="370">
        <f>SUM(AC93:AC112)</f>
        <v>20</v>
      </c>
      <c r="AG95" s="366">
        <f>SUMIF($Z$93:$Z$112,TRIM(AG94),$AC$93:$AC$112)</f>
        <v>12</v>
      </c>
      <c r="AH95" s="366">
        <f t="shared" ref="AH95:AM95" si="86">SUMIF($Z$93:$Z$112,TRIM(AH94),$AC$93:$AC$112)</f>
        <v>0</v>
      </c>
      <c r="AI95" s="366">
        <f t="shared" si="86"/>
        <v>4</v>
      </c>
      <c r="AJ95" s="366">
        <f t="shared" si="86"/>
        <v>0</v>
      </c>
      <c r="AK95" s="366">
        <f t="shared" si="86"/>
        <v>2</v>
      </c>
      <c r="AL95" s="366">
        <f t="shared" si="86"/>
        <v>2</v>
      </c>
      <c r="AM95" s="366">
        <f t="shared" si="86"/>
        <v>0</v>
      </c>
    </row>
    <row r="96" spans="2:39" s="147" customFormat="1" ht="27" customHeight="1">
      <c r="B96" s="875"/>
      <c r="C96" s="876"/>
      <c r="D96" s="360">
        <v>4</v>
      </c>
      <c r="E96" s="434" t="s">
        <v>422</v>
      </c>
      <c r="F96" s="435">
        <f t="shared" si="73"/>
        <v>1331.4599999999998</v>
      </c>
      <c r="G96" s="363">
        <v>1.17</v>
      </c>
      <c r="H96" s="436">
        <v>186062</v>
      </c>
      <c r="I96" s="436">
        <v>186062</v>
      </c>
      <c r="J96" s="438">
        <f t="shared" si="74"/>
        <v>1</v>
      </c>
      <c r="K96" s="437">
        <v>187200</v>
      </c>
      <c r="L96" s="438">
        <f t="shared" si="75"/>
        <v>1.0061162408229516</v>
      </c>
      <c r="M96" s="437">
        <v>0</v>
      </c>
      <c r="N96" s="438">
        <f t="shared" si="76"/>
        <v>0</v>
      </c>
      <c r="O96" s="439">
        <f t="shared" si="77"/>
        <v>187200</v>
      </c>
      <c r="P96" s="438">
        <f t="shared" si="78"/>
        <v>1.0061162408229516</v>
      </c>
      <c r="Q96" s="436">
        <v>1138</v>
      </c>
      <c r="R96" s="438">
        <f t="shared" si="79"/>
        <v>6.1162408229514893E-3</v>
      </c>
      <c r="S96" s="439">
        <f t="shared" si="80"/>
        <v>1138</v>
      </c>
      <c r="T96" s="438">
        <f t="shared" si="81"/>
        <v>6.1162408229514893E-3</v>
      </c>
      <c r="U96" s="362">
        <f t="shared" si="82"/>
        <v>1331.4599999999998</v>
      </c>
      <c r="V96" s="450">
        <f t="shared" si="83"/>
        <v>0</v>
      </c>
      <c r="W96" s="451">
        <f t="shared" si="84"/>
        <v>0</v>
      </c>
      <c r="X96" s="452">
        <f t="shared" si="85"/>
        <v>0</v>
      </c>
      <c r="Y96" s="364" t="s">
        <v>395</v>
      </c>
      <c r="Z96" s="364" t="s">
        <v>316</v>
      </c>
      <c r="AA96" s="365"/>
      <c r="AB96" s="365"/>
      <c r="AC96" s="365">
        <v>1</v>
      </c>
      <c r="AD96" s="440" t="s">
        <v>319</v>
      </c>
      <c r="AF96" s="371" t="s">
        <v>11</v>
      </c>
      <c r="AG96" s="368">
        <f>SUMIF($Z$93:$Z112,TRIM(AG94),$F$93:$F$112)</f>
        <v>10395.9064</v>
      </c>
      <c r="AH96" s="368">
        <f>SUMIF($Z$93:$Z112,TRIM(AH94),$F$93:$F$112)</f>
        <v>0</v>
      </c>
      <c r="AI96" s="368">
        <f>SUMIF($Z$93:$Z112,TRIM(AI94),$F$93:$F$112)</f>
        <v>5154.4912000000004</v>
      </c>
      <c r="AJ96" s="368">
        <f>SUMIF($Z$93:$Z112,TRIM(AJ94),$F$93:$F$112)</f>
        <v>0</v>
      </c>
      <c r="AK96" s="368">
        <f>SUMIF($Z$93:$Z112,TRIM(AK94),$F$93:$F$112)</f>
        <v>2084.1171000000004</v>
      </c>
      <c r="AL96" s="368">
        <f>SUMIF($Z$93:$Z112,TRIM(AL94),$F$93:$F$112)</f>
        <v>2281.5441000000001</v>
      </c>
      <c r="AM96" s="368">
        <f>SUMIF($Z$93:$Z112,TRIM(AM94),$F$93:$F$112)</f>
        <v>0</v>
      </c>
    </row>
    <row r="97" spans="2:39" s="147" customFormat="1" ht="27" customHeight="1">
      <c r="B97" s="875"/>
      <c r="C97" s="876"/>
      <c r="D97" s="360">
        <v>5</v>
      </c>
      <c r="E97" s="434" t="s">
        <v>314</v>
      </c>
      <c r="F97" s="435">
        <f t="shared" si="73"/>
        <v>1328.7</v>
      </c>
      <c r="G97" s="363">
        <v>15.450000000000001</v>
      </c>
      <c r="H97" s="436">
        <v>39255</v>
      </c>
      <c r="I97" s="436">
        <v>39255</v>
      </c>
      <c r="J97" s="438">
        <f t="shared" si="74"/>
        <v>1</v>
      </c>
      <c r="K97" s="437">
        <v>39341</v>
      </c>
      <c r="L97" s="438">
        <f t="shared" si="75"/>
        <v>1.0021908037192715</v>
      </c>
      <c r="M97" s="437">
        <v>0</v>
      </c>
      <c r="N97" s="438">
        <f t="shared" si="76"/>
        <v>0</v>
      </c>
      <c r="O97" s="439">
        <f t="shared" si="77"/>
        <v>39341</v>
      </c>
      <c r="P97" s="438">
        <f t="shared" si="78"/>
        <v>1.0021908037192715</v>
      </c>
      <c r="Q97" s="436">
        <v>86</v>
      </c>
      <c r="R97" s="438">
        <f t="shared" si="79"/>
        <v>2.1908037192714305E-3</v>
      </c>
      <c r="S97" s="439">
        <f t="shared" si="80"/>
        <v>86</v>
      </c>
      <c r="T97" s="438">
        <f t="shared" si="81"/>
        <v>2.1908037192714305E-3</v>
      </c>
      <c r="U97" s="362">
        <f t="shared" si="82"/>
        <v>1328.7</v>
      </c>
      <c r="V97" s="450">
        <f t="shared" si="83"/>
        <v>0</v>
      </c>
      <c r="W97" s="451">
        <f t="shared" si="84"/>
        <v>0</v>
      </c>
      <c r="X97" s="452">
        <f t="shared" si="85"/>
        <v>0</v>
      </c>
      <c r="Y97" s="364" t="s">
        <v>395</v>
      </c>
      <c r="Z97" s="364" t="s">
        <v>199</v>
      </c>
      <c r="AA97" s="365"/>
      <c r="AB97" s="365"/>
      <c r="AC97" s="365">
        <v>1</v>
      </c>
      <c r="AD97" s="440" t="s">
        <v>485</v>
      </c>
      <c r="AF97" s="360" t="s">
        <v>515</v>
      </c>
      <c r="AG97" s="441">
        <f>AG95/$AF95</f>
        <v>0.6</v>
      </c>
      <c r="AH97" s="441">
        <f t="shared" ref="AH97:AM97" si="87">AH95/$AF95</f>
        <v>0</v>
      </c>
      <c r="AI97" s="441">
        <f t="shared" si="87"/>
        <v>0.2</v>
      </c>
      <c r="AJ97" s="441">
        <f t="shared" si="87"/>
        <v>0</v>
      </c>
      <c r="AK97" s="441">
        <f t="shared" si="87"/>
        <v>0.1</v>
      </c>
      <c r="AL97" s="441">
        <f t="shared" si="87"/>
        <v>0.1</v>
      </c>
      <c r="AM97" s="441">
        <f t="shared" si="87"/>
        <v>0</v>
      </c>
    </row>
    <row r="98" spans="2:39" s="147" customFormat="1" ht="27" customHeight="1">
      <c r="B98" s="875"/>
      <c r="C98" s="876"/>
      <c r="D98" s="360">
        <v>6</v>
      </c>
      <c r="E98" s="434" t="s">
        <v>315</v>
      </c>
      <c r="F98" s="435">
        <f t="shared" si="73"/>
        <v>1322.4471000000001</v>
      </c>
      <c r="G98" s="363">
        <v>147.43000000000004</v>
      </c>
      <c r="H98" s="436">
        <v>3665.11</v>
      </c>
      <c r="I98" s="436">
        <v>3665.11</v>
      </c>
      <c r="J98" s="438">
        <f t="shared" si="74"/>
        <v>1</v>
      </c>
      <c r="K98" s="437">
        <v>3723.79</v>
      </c>
      <c r="L98" s="438">
        <f t="shared" si="75"/>
        <v>1.0160104335204128</v>
      </c>
      <c r="M98" s="437">
        <v>58.68</v>
      </c>
      <c r="N98" s="438">
        <f t="shared" si="76"/>
        <v>1.6010433520412756E-2</v>
      </c>
      <c r="O98" s="439">
        <f t="shared" si="77"/>
        <v>3782.47</v>
      </c>
      <c r="P98" s="438">
        <f t="shared" si="78"/>
        <v>1.0320208670408255</v>
      </c>
      <c r="Q98" s="436">
        <v>8.9699999999999989</v>
      </c>
      <c r="R98" s="438">
        <f t="shared" si="79"/>
        <v>2.4474026700426451E-3</v>
      </c>
      <c r="S98" s="439">
        <f t="shared" si="80"/>
        <v>117.35999999999967</v>
      </c>
      <c r="T98" s="438">
        <f t="shared" si="81"/>
        <v>3.2020867040825421E-2</v>
      </c>
      <c r="U98" s="362">
        <f t="shared" si="82"/>
        <v>17302.384799999956</v>
      </c>
      <c r="V98" s="450">
        <f t="shared" si="83"/>
        <v>108.38999999999967</v>
      </c>
      <c r="W98" s="451">
        <f t="shared" si="84"/>
        <v>2.957346437078278E-2</v>
      </c>
      <c r="X98" s="452">
        <f t="shared" si="85"/>
        <v>15979.937699999955</v>
      </c>
      <c r="Y98" s="364" t="s">
        <v>395</v>
      </c>
      <c r="Z98" s="364" t="s">
        <v>198</v>
      </c>
      <c r="AA98" s="365"/>
      <c r="AB98" s="365"/>
      <c r="AC98" s="365">
        <v>1</v>
      </c>
      <c r="AD98" s="440" t="s">
        <v>319</v>
      </c>
    </row>
    <row r="99" spans="2:39" s="147" customFormat="1" ht="27" customHeight="1">
      <c r="B99" s="875"/>
      <c r="C99" s="876"/>
      <c r="D99" s="360">
        <v>7</v>
      </c>
      <c r="E99" s="434" t="s">
        <v>563</v>
      </c>
      <c r="F99" s="435">
        <f t="shared" si="73"/>
        <v>1006.9884</v>
      </c>
      <c r="G99" s="363">
        <v>426.69</v>
      </c>
      <c r="H99" s="436">
        <v>968.31</v>
      </c>
      <c r="I99" s="436">
        <v>968.31</v>
      </c>
      <c r="J99" s="438">
        <f t="shared" si="74"/>
        <v>1</v>
      </c>
      <c r="K99" s="437">
        <v>977.45999999999992</v>
      </c>
      <c r="L99" s="438">
        <f t="shared" si="75"/>
        <v>1.0094494531709886</v>
      </c>
      <c r="M99" s="437">
        <v>9.15</v>
      </c>
      <c r="N99" s="438">
        <f t="shared" si="76"/>
        <v>9.4494531709886313E-3</v>
      </c>
      <c r="O99" s="439">
        <f t="shared" si="77"/>
        <v>986.6099999999999</v>
      </c>
      <c r="P99" s="438">
        <f t="shared" si="78"/>
        <v>1.0188989063419771</v>
      </c>
      <c r="Q99" s="436">
        <v>2.36</v>
      </c>
      <c r="R99" s="438">
        <f t="shared" si="79"/>
        <v>2.4372360091293077E-3</v>
      </c>
      <c r="S99" s="439">
        <f t="shared" si="80"/>
        <v>18.299999999999955</v>
      </c>
      <c r="T99" s="438">
        <f t="shared" si="81"/>
        <v>1.8898906341977214E-2</v>
      </c>
      <c r="U99" s="362">
        <f t="shared" si="82"/>
        <v>7808.4269999999806</v>
      </c>
      <c r="V99" s="450">
        <f t="shared" si="83"/>
        <v>15.939999999999955</v>
      </c>
      <c r="W99" s="451">
        <f t="shared" si="84"/>
        <v>1.6461670332847907E-2</v>
      </c>
      <c r="X99" s="452">
        <f t="shared" si="85"/>
        <v>6801.4385999999804</v>
      </c>
      <c r="Y99" s="364" t="s">
        <v>395</v>
      </c>
      <c r="Z99" s="364" t="s">
        <v>421</v>
      </c>
      <c r="AA99" s="365"/>
      <c r="AB99" s="365"/>
      <c r="AC99" s="365">
        <v>1</v>
      </c>
      <c r="AD99" s="440" t="s">
        <v>336</v>
      </c>
    </row>
    <row r="100" spans="2:39" s="147" customFormat="1" ht="27" customHeight="1">
      <c r="B100" s="875"/>
      <c r="C100" s="876"/>
      <c r="D100" s="360">
        <v>8</v>
      </c>
      <c r="E100" s="434" t="s">
        <v>495</v>
      </c>
      <c r="F100" s="435">
        <f t="shared" si="73"/>
        <v>952.84409999999991</v>
      </c>
      <c r="G100" s="363">
        <v>39.389999999999993</v>
      </c>
      <c r="H100" s="436">
        <v>19336.5</v>
      </c>
      <c r="I100" s="436">
        <v>19336.5</v>
      </c>
      <c r="J100" s="438">
        <f t="shared" si="74"/>
        <v>1</v>
      </c>
      <c r="K100" s="437">
        <v>19424.650000000001</v>
      </c>
      <c r="L100" s="438">
        <f t="shared" si="75"/>
        <v>1.0045587360690922</v>
      </c>
      <c r="M100" s="437">
        <v>88.149999999999991</v>
      </c>
      <c r="N100" s="438">
        <f t="shared" si="76"/>
        <v>4.5587360690921312E-3</v>
      </c>
      <c r="O100" s="439">
        <f t="shared" si="77"/>
        <v>19512.800000000003</v>
      </c>
      <c r="P100" s="438">
        <f t="shared" si="78"/>
        <v>1.0091174721381844</v>
      </c>
      <c r="Q100" s="436">
        <v>24.19</v>
      </c>
      <c r="R100" s="438">
        <f t="shared" si="79"/>
        <v>1.2510019910531897E-3</v>
      </c>
      <c r="S100" s="439">
        <f t="shared" si="80"/>
        <v>176.30000000000291</v>
      </c>
      <c r="T100" s="438">
        <f t="shared" si="81"/>
        <v>9.1174721381844133E-3</v>
      </c>
      <c r="U100" s="362">
        <f t="shared" si="82"/>
        <v>6944.4570000001131</v>
      </c>
      <c r="V100" s="450">
        <f t="shared" si="83"/>
        <v>152.11000000000291</v>
      </c>
      <c r="W100" s="451">
        <f t="shared" si="84"/>
        <v>7.8664701471312243E-3</v>
      </c>
      <c r="X100" s="452">
        <f t="shared" si="85"/>
        <v>5991.6129000001138</v>
      </c>
      <c r="Y100" s="364" t="s">
        <v>395</v>
      </c>
      <c r="Z100" s="364" t="s">
        <v>199</v>
      </c>
      <c r="AA100" s="365"/>
      <c r="AB100" s="365"/>
      <c r="AC100" s="365">
        <v>1</v>
      </c>
      <c r="AD100" s="440" t="s">
        <v>319</v>
      </c>
    </row>
    <row r="101" spans="2:39" s="147" customFormat="1" ht="27" customHeight="1">
      <c r="B101" s="875"/>
      <c r="C101" s="876"/>
      <c r="D101" s="360">
        <v>9</v>
      </c>
      <c r="E101" s="434" t="s">
        <v>434</v>
      </c>
      <c r="F101" s="435">
        <f t="shared" si="73"/>
        <v>909.26020000000017</v>
      </c>
      <c r="G101" s="363">
        <v>407.74000000000007</v>
      </c>
      <c r="H101" s="436">
        <v>1010.5899999999999</v>
      </c>
      <c r="I101" s="436">
        <v>1010.5899999999999</v>
      </c>
      <c r="J101" s="438">
        <f t="shared" si="74"/>
        <v>1</v>
      </c>
      <c r="K101" s="437">
        <v>1020.8499999999999</v>
      </c>
      <c r="L101" s="438">
        <f t="shared" si="75"/>
        <v>1.0101524851819235</v>
      </c>
      <c r="M101" s="437">
        <v>10.26</v>
      </c>
      <c r="N101" s="438">
        <f t="shared" si="76"/>
        <v>1.0152485181923432E-2</v>
      </c>
      <c r="O101" s="439">
        <f t="shared" si="77"/>
        <v>1031.1099999999999</v>
      </c>
      <c r="P101" s="438">
        <f t="shared" si="78"/>
        <v>1.0203049703638469</v>
      </c>
      <c r="Q101" s="436">
        <v>2.23</v>
      </c>
      <c r="R101" s="438">
        <f t="shared" si="79"/>
        <v>2.2066317695603561E-3</v>
      </c>
      <c r="S101" s="439">
        <f t="shared" si="80"/>
        <v>20.519999999999982</v>
      </c>
      <c r="T101" s="438">
        <f t="shared" si="81"/>
        <v>2.0304970363846847E-2</v>
      </c>
      <c r="U101" s="362">
        <f t="shared" si="82"/>
        <v>8366.824799999993</v>
      </c>
      <c r="V101" s="450">
        <f t="shared" si="83"/>
        <v>18.289999999999981</v>
      </c>
      <c r="W101" s="451">
        <f t="shared" si="84"/>
        <v>1.809833859428649E-2</v>
      </c>
      <c r="X101" s="452">
        <f t="shared" si="85"/>
        <v>7457.5645999999933</v>
      </c>
      <c r="Y101" s="364" t="s">
        <v>395</v>
      </c>
      <c r="Z101" s="364" t="s">
        <v>316</v>
      </c>
      <c r="AA101" s="365"/>
      <c r="AB101" s="376"/>
      <c r="AC101" s="365">
        <v>1</v>
      </c>
      <c r="AD101" s="440" t="s">
        <v>436</v>
      </c>
      <c r="AH101" s="367"/>
    </row>
    <row r="102" spans="2:39" s="147" customFormat="1" ht="27" customHeight="1">
      <c r="B102" s="875"/>
      <c r="C102" s="876"/>
      <c r="D102" s="360">
        <v>10</v>
      </c>
      <c r="E102" s="434" t="s">
        <v>723</v>
      </c>
      <c r="F102" s="435">
        <f t="shared" si="73"/>
        <v>893.56539999999995</v>
      </c>
      <c r="G102" s="363">
        <v>440.17999999999995</v>
      </c>
      <c r="H102" s="436">
        <v>875.81999999999994</v>
      </c>
      <c r="I102" s="436">
        <v>875.81999999999994</v>
      </c>
      <c r="J102" s="438">
        <f t="shared" si="74"/>
        <v>1</v>
      </c>
      <c r="K102" s="437">
        <v>891.91000000000008</v>
      </c>
      <c r="L102" s="438">
        <f t="shared" si="75"/>
        <v>1.0183713548446029</v>
      </c>
      <c r="M102" s="437">
        <v>16.09</v>
      </c>
      <c r="N102" s="438">
        <f t="shared" si="76"/>
        <v>1.8371354844602773E-2</v>
      </c>
      <c r="O102" s="439">
        <f t="shared" si="77"/>
        <v>908.00000000000011</v>
      </c>
      <c r="P102" s="438">
        <f t="shared" si="78"/>
        <v>1.0367427096892057</v>
      </c>
      <c r="Q102" s="436">
        <v>2.0300000000000002</v>
      </c>
      <c r="R102" s="438">
        <f t="shared" si="79"/>
        <v>2.3178278641730042E-3</v>
      </c>
      <c r="S102" s="439">
        <f t="shared" si="80"/>
        <v>32.180000000000177</v>
      </c>
      <c r="T102" s="438">
        <f t="shared" si="81"/>
        <v>3.6742709689205746E-2</v>
      </c>
      <c r="U102" s="362">
        <f t="shared" si="82"/>
        <v>14164.992400000076</v>
      </c>
      <c r="V102" s="450">
        <f t="shared" si="83"/>
        <v>30.150000000000176</v>
      </c>
      <c r="W102" s="451">
        <f t="shared" si="84"/>
        <v>3.4424881825032748E-2</v>
      </c>
      <c r="X102" s="452">
        <f t="shared" si="85"/>
        <v>13271.427000000076</v>
      </c>
      <c r="Y102" s="364" t="s">
        <v>395</v>
      </c>
      <c r="Z102" s="364" t="s">
        <v>421</v>
      </c>
      <c r="AA102" s="365"/>
      <c r="AB102" s="365"/>
      <c r="AC102" s="365">
        <v>1</v>
      </c>
      <c r="AD102" s="440" t="s">
        <v>720</v>
      </c>
      <c r="AH102" s="367"/>
    </row>
    <row r="103" spans="2:39" s="147" customFormat="1" ht="27" customHeight="1">
      <c r="B103" s="875"/>
      <c r="C103" s="876"/>
      <c r="D103" s="360">
        <v>11</v>
      </c>
      <c r="E103" s="434" t="s">
        <v>764</v>
      </c>
      <c r="F103" s="435">
        <f t="shared" si="73"/>
        <v>868.47839999999997</v>
      </c>
      <c r="G103" s="363">
        <v>603.11</v>
      </c>
      <c r="H103" s="436">
        <v>607.66</v>
      </c>
      <c r="I103" s="436">
        <v>607.66</v>
      </c>
      <c r="J103" s="438">
        <f t="shared" si="74"/>
        <v>1</v>
      </c>
      <c r="K103" s="437">
        <v>615.76</v>
      </c>
      <c r="L103" s="438">
        <f t="shared" si="75"/>
        <v>1.0133298225981635</v>
      </c>
      <c r="M103" s="437">
        <v>8.1000000000000014</v>
      </c>
      <c r="N103" s="438">
        <f t="shared" si="76"/>
        <v>1.3329822598163449E-2</v>
      </c>
      <c r="O103" s="439">
        <f t="shared" si="77"/>
        <v>623.86</v>
      </c>
      <c r="P103" s="438">
        <f t="shared" si="78"/>
        <v>1.026659645196327</v>
      </c>
      <c r="Q103" s="436">
        <v>1.44</v>
      </c>
      <c r="R103" s="438">
        <f t="shared" si="79"/>
        <v>2.3697462396735018E-3</v>
      </c>
      <c r="S103" s="439">
        <f t="shared" si="80"/>
        <v>16.200000000000045</v>
      </c>
      <c r="T103" s="438">
        <f t="shared" si="81"/>
        <v>2.6659645196326971E-2</v>
      </c>
      <c r="U103" s="362">
        <f t="shared" si="82"/>
        <v>9770.3820000000269</v>
      </c>
      <c r="V103" s="450">
        <f t="shared" si="83"/>
        <v>14.760000000000046</v>
      </c>
      <c r="W103" s="451">
        <f t="shared" si="84"/>
        <v>2.4289898956653469E-2</v>
      </c>
      <c r="X103" s="452">
        <f t="shared" si="85"/>
        <v>8901.9036000000287</v>
      </c>
      <c r="Y103" s="364" t="s">
        <v>395</v>
      </c>
      <c r="Z103" s="364" t="s">
        <v>421</v>
      </c>
      <c r="AA103" s="365"/>
      <c r="AB103" s="365"/>
      <c r="AC103" s="365">
        <v>1</v>
      </c>
      <c r="AD103" s="440" t="s">
        <v>768</v>
      </c>
      <c r="AH103" s="367"/>
    </row>
    <row r="104" spans="2:39" s="147" customFormat="1" ht="26.25" customHeight="1">
      <c r="B104" s="875"/>
      <c r="C104" s="876"/>
      <c r="D104" s="360">
        <v>12</v>
      </c>
      <c r="E104" s="434" t="s">
        <v>544</v>
      </c>
      <c r="F104" s="435">
        <f t="shared" si="73"/>
        <v>860.60519999999997</v>
      </c>
      <c r="G104" s="363">
        <v>193.82999999999998</v>
      </c>
      <c r="H104" s="436">
        <v>2001.8300000000002</v>
      </c>
      <c r="I104" s="436">
        <v>2001.8300000000002</v>
      </c>
      <c r="J104" s="438">
        <f t="shared" si="74"/>
        <v>1</v>
      </c>
      <c r="K104" s="437">
        <v>2020.36</v>
      </c>
      <c r="L104" s="438">
        <f t="shared" si="75"/>
        <v>1.0092565302747984</v>
      </c>
      <c r="M104" s="437">
        <v>18.53</v>
      </c>
      <c r="N104" s="438">
        <f t="shared" si="76"/>
        <v>9.2565302747985596E-3</v>
      </c>
      <c r="O104" s="439">
        <f t="shared" si="77"/>
        <v>2038.8899999999999</v>
      </c>
      <c r="P104" s="438">
        <f t="shared" si="78"/>
        <v>1.0185130605495969</v>
      </c>
      <c r="Q104" s="436">
        <v>4.4400000000000004</v>
      </c>
      <c r="R104" s="438">
        <f t="shared" si="79"/>
        <v>2.2179705569403997E-3</v>
      </c>
      <c r="S104" s="439">
        <f t="shared" si="80"/>
        <v>37.059999999999718</v>
      </c>
      <c r="T104" s="438">
        <f t="shared" si="81"/>
        <v>1.8513060549596977E-2</v>
      </c>
      <c r="U104" s="362">
        <f t="shared" si="82"/>
        <v>7183.3397999999452</v>
      </c>
      <c r="V104" s="450">
        <f t="shared" si="83"/>
        <v>32.61999999999972</v>
      </c>
      <c r="W104" s="451">
        <f t="shared" si="84"/>
        <v>1.6295089992656577E-2</v>
      </c>
      <c r="X104" s="452">
        <f t="shared" si="85"/>
        <v>6322.7345999999452</v>
      </c>
      <c r="Y104" s="364" t="s">
        <v>395</v>
      </c>
      <c r="Z104" s="364" t="s">
        <v>421</v>
      </c>
      <c r="AA104" s="365"/>
      <c r="AB104" s="365"/>
      <c r="AC104" s="365">
        <v>1</v>
      </c>
      <c r="AD104" s="440" t="s">
        <v>548</v>
      </c>
      <c r="AH104" s="367"/>
    </row>
    <row r="105" spans="2:39" s="147" customFormat="1" ht="27" customHeight="1">
      <c r="B105" s="875"/>
      <c r="C105" s="876"/>
      <c r="D105" s="360">
        <v>13</v>
      </c>
      <c r="E105" s="434" t="s">
        <v>545</v>
      </c>
      <c r="F105" s="435">
        <f t="shared" si="73"/>
        <v>842.73599999999999</v>
      </c>
      <c r="G105" s="363">
        <v>144.79999999999998</v>
      </c>
      <c r="H105" s="436">
        <v>1416.8100000000002</v>
      </c>
      <c r="I105" s="436">
        <v>1416.8100000000002</v>
      </c>
      <c r="J105" s="438">
        <f t="shared" si="74"/>
        <v>1</v>
      </c>
      <c r="K105" s="437">
        <v>1437.5800000000002</v>
      </c>
      <c r="L105" s="438">
        <f t="shared" si="75"/>
        <v>1.0146596932545648</v>
      </c>
      <c r="M105" s="437">
        <v>20.77</v>
      </c>
      <c r="N105" s="438">
        <f t="shared" si="76"/>
        <v>1.4659693254564831E-2</v>
      </c>
      <c r="O105" s="439">
        <f t="shared" si="77"/>
        <v>1458.3500000000001</v>
      </c>
      <c r="P105" s="438">
        <f t="shared" si="78"/>
        <v>1.0293193865091297</v>
      </c>
      <c r="Q105" s="436">
        <v>5.82</v>
      </c>
      <c r="R105" s="438">
        <f t="shared" si="79"/>
        <v>4.1078196794206703E-3</v>
      </c>
      <c r="S105" s="439">
        <f t="shared" si="80"/>
        <v>41.539999999999964</v>
      </c>
      <c r="T105" s="438">
        <f t="shared" si="81"/>
        <v>2.9319386509129634E-2</v>
      </c>
      <c r="U105" s="362">
        <f t="shared" si="82"/>
        <v>6014.9919999999938</v>
      </c>
      <c r="V105" s="450">
        <f t="shared" si="83"/>
        <v>35.719999999999963</v>
      </c>
      <c r="W105" s="451">
        <f t="shared" si="84"/>
        <v>2.5211566829708966E-2</v>
      </c>
      <c r="X105" s="452">
        <f t="shared" si="85"/>
        <v>5172.2559999999939</v>
      </c>
      <c r="Y105" s="364" t="s">
        <v>395</v>
      </c>
      <c r="Z105" s="364" t="s">
        <v>421</v>
      </c>
      <c r="AA105" s="365"/>
      <c r="AB105" s="365"/>
      <c r="AC105" s="365">
        <v>1</v>
      </c>
      <c r="AD105" s="440" t="s">
        <v>319</v>
      </c>
    </row>
    <row r="106" spans="2:39" s="147" customFormat="1" ht="27" customHeight="1">
      <c r="B106" s="875"/>
      <c r="C106" s="876"/>
      <c r="D106" s="360">
        <v>14</v>
      </c>
      <c r="E106" s="434" t="s">
        <v>765</v>
      </c>
      <c r="F106" s="435">
        <f t="shared" si="73"/>
        <v>764.24160000000006</v>
      </c>
      <c r="G106" s="363">
        <v>225.44000000000003</v>
      </c>
      <c r="H106" s="436">
        <v>129.82999999999998</v>
      </c>
      <c r="I106" s="436">
        <v>129.82999999999998</v>
      </c>
      <c r="J106" s="438">
        <f t="shared" si="74"/>
        <v>1</v>
      </c>
      <c r="K106" s="437">
        <v>136.49</v>
      </c>
      <c r="L106" s="438">
        <f t="shared" si="75"/>
        <v>1.0512978510359703</v>
      </c>
      <c r="M106" s="437">
        <v>6.660000000000001</v>
      </c>
      <c r="N106" s="438">
        <f t="shared" si="76"/>
        <v>5.1297851035970128E-2</v>
      </c>
      <c r="O106" s="439">
        <f t="shared" si="77"/>
        <v>143.15</v>
      </c>
      <c r="P106" s="438">
        <f t="shared" si="78"/>
        <v>1.1025957020719404</v>
      </c>
      <c r="Q106" s="436">
        <v>3.3899999999999997</v>
      </c>
      <c r="R106" s="438">
        <f t="shared" si="79"/>
        <v>2.6111068320110915E-2</v>
      </c>
      <c r="S106" s="439">
        <f t="shared" si="80"/>
        <v>13.320000000000022</v>
      </c>
      <c r="T106" s="438">
        <f t="shared" si="81"/>
        <v>0.10259570207194041</v>
      </c>
      <c r="U106" s="362">
        <f t="shared" si="82"/>
        <v>3002.8608000000054</v>
      </c>
      <c r="V106" s="450">
        <f t="shared" si="83"/>
        <v>9.930000000000021</v>
      </c>
      <c r="W106" s="451">
        <f t="shared" si="84"/>
        <v>7.6484633751829484E-2</v>
      </c>
      <c r="X106" s="452">
        <f t="shared" si="85"/>
        <v>2238.6192000000051</v>
      </c>
      <c r="Y106" s="364" t="s">
        <v>395</v>
      </c>
      <c r="Z106" s="364" t="s">
        <v>421</v>
      </c>
      <c r="AA106" s="364"/>
      <c r="AB106" s="365"/>
      <c r="AC106" s="365">
        <v>1</v>
      </c>
      <c r="AD106" s="440" t="s">
        <v>719</v>
      </c>
      <c r="AF106" s="899" t="s">
        <v>230</v>
      </c>
      <c r="AG106" s="900"/>
      <c r="AH106" s="900"/>
      <c r="AI106" s="900"/>
      <c r="AJ106" s="900"/>
      <c r="AK106" s="900"/>
      <c r="AL106" s="900"/>
      <c r="AM106" s="901"/>
    </row>
    <row r="107" spans="2:39" s="147" customFormat="1" ht="27" customHeight="1">
      <c r="B107" s="875"/>
      <c r="C107" s="876"/>
      <c r="D107" s="360">
        <v>15</v>
      </c>
      <c r="E107" s="434" t="s">
        <v>335</v>
      </c>
      <c r="F107" s="435">
        <f t="shared" si="73"/>
        <v>762.22250000000008</v>
      </c>
      <c r="G107" s="363">
        <v>152.75</v>
      </c>
      <c r="H107" s="436">
        <v>875.23000000000013</v>
      </c>
      <c r="I107" s="436">
        <v>875.23000000000013</v>
      </c>
      <c r="J107" s="438">
        <f t="shared" si="74"/>
        <v>1</v>
      </c>
      <c r="K107" s="437">
        <v>894.34</v>
      </c>
      <c r="L107" s="438">
        <f t="shared" si="75"/>
        <v>1.0218342607086137</v>
      </c>
      <c r="M107" s="437">
        <v>19.11</v>
      </c>
      <c r="N107" s="438">
        <f t="shared" si="76"/>
        <v>2.1834260708613731E-2</v>
      </c>
      <c r="O107" s="439">
        <f t="shared" si="77"/>
        <v>913.45</v>
      </c>
      <c r="P107" s="438">
        <f t="shared" si="78"/>
        <v>1.0436685214172274</v>
      </c>
      <c r="Q107" s="436">
        <v>4.99</v>
      </c>
      <c r="R107" s="438">
        <f t="shared" si="79"/>
        <v>5.7013585000514145E-3</v>
      </c>
      <c r="S107" s="439">
        <f t="shared" si="80"/>
        <v>38.219999999999914</v>
      </c>
      <c r="T107" s="438">
        <f t="shared" si="81"/>
        <v>4.3668521417227366E-2</v>
      </c>
      <c r="U107" s="362">
        <f t="shared" si="82"/>
        <v>5838.1049999999868</v>
      </c>
      <c r="V107" s="450">
        <f t="shared" si="83"/>
        <v>33.229999999999912</v>
      </c>
      <c r="W107" s="451">
        <f t="shared" si="84"/>
        <v>3.7967162917175952E-2</v>
      </c>
      <c r="X107" s="452">
        <f t="shared" si="85"/>
        <v>5075.8824999999861</v>
      </c>
      <c r="Y107" s="364" t="s">
        <v>395</v>
      </c>
      <c r="Z107" s="364" t="s">
        <v>421</v>
      </c>
      <c r="AA107" s="365"/>
      <c r="AB107" s="365"/>
      <c r="AC107" s="365">
        <v>1</v>
      </c>
      <c r="AD107" s="440" t="s">
        <v>336</v>
      </c>
      <c r="AF107" s="902"/>
      <c r="AG107" s="903"/>
      <c r="AH107" s="903"/>
      <c r="AI107" s="903"/>
      <c r="AJ107" s="903"/>
      <c r="AK107" s="903"/>
      <c r="AL107" s="903"/>
      <c r="AM107" s="904"/>
    </row>
    <row r="108" spans="2:39" s="147" customFormat="1" ht="27" customHeight="1">
      <c r="B108" s="875"/>
      <c r="C108" s="876"/>
      <c r="D108" s="360">
        <v>16</v>
      </c>
      <c r="E108" s="434" t="s">
        <v>410</v>
      </c>
      <c r="F108" s="435">
        <f t="shared" si="73"/>
        <v>762.04979999999978</v>
      </c>
      <c r="G108" s="363">
        <v>368.13999999999993</v>
      </c>
      <c r="H108" s="436">
        <v>371.47</v>
      </c>
      <c r="I108" s="436">
        <v>371.47</v>
      </c>
      <c r="J108" s="438">
        <f t="shared" si="74"/>
        <v>1</v>
      </c>
      <c r="K108" s="437">
        <v>380.59000000000003</v>
      </c>
      <c r="L108" s="438">
        <f t="shared" si="75"/>
        <v>1.0245511077610574</v>
      </c>
      <c r="M108" s="437">
        <v>9.120000000000001</v>
      </c>
      <c r="N108" s="438">
        <f t="shared" si="76"/>
        <v>2.4551107761057421E-2</v>
      </c>
      <c r="O108" s="439">
        <f t="shared" si="77"/>
        <v>389.71000000000004</v>
      </c>
      <c r="P108" s="438">
        <f t="shared" si="78"/>
        <v>1.0491022155221148</v>
      </c>
      <c r="Q108" s="436">
        <v>2.0699999999999998</v>
      </c>
      <c r="R108" s="438">
        <f t="shared" si="79"/>
        <v>5.5724553799768482E-3</v>
      </c>
      <c r="S108" s="439">
        <f t="shared" si="80"/>
        <v>18.240000000000009</v>
      </c>
      <c r="T108" s="438">
        <f t="shared" si="81"/>
        <v>4.9102215522114863E-2</v>
      </c>
      <c r="U108" s="362">
        <f t="shared" si="82"/>
        <v>6714.8736000000017</v>
      </c>
      <c r="V108" s="450">
        <f t="shared" si="83"/>
        <v>16.170000000000009</v>
      </c>
      <c r="W108" s="451">
        <f t="shared" si="84"/>
        <v>4.352976014213801E-2</v>
      </c>
      <c r="X108" s="452">
        <f t="shared" si="85"/>
        <v>5952.8238000000019</v>
      </c>
      <c r="Y108" s="364" t="s">
        <v>395</v>
      </c>
      <c r="Z108" s="364" t="s">
        <v>421</v>
      </c>
      <c r="AA108" s="376"/>
      <c r="AB108" s="365"/>
      <c r="AC108" s="365">
        <v>1</v>
      </c>
      <c r="AD108" s="440" t="s">
        <v>411</v>
      </c>
      <c r="AF108" s="905"/>
      <c r="AG108" s="906"/>
      <c r="AH108" s="906"/>
      <c r="AI108" s="906"/>
      <c r="AJ108" s="906"/>
      <c r="AK108" s="906"/>
      <c r="AL108" s="906"/>
      <c r="AM108" s="907"/>
    </row>
    <row r="109" spans="2:39" s="147" customFormat="1" ht="27" customHeight="1">
      <c r="B109" s="875"/>
      <c r="C109" s="876"/>
      <c r="D109" s="360">
        <v>17</v>
      </c>
      <c r="E109" s="434" t="s">
        <v>546</v>
      </c>
      <c r="F109" s="435">
        <f t="shared" si="73"/>
        <v>761.75239999999997</v>
      </c>
      <c r="G109" s="363">
        <v>212.78</v>
      </c>
      <c r="H109" s="436">
        <v>423.78</v>
      </c>
      <c r="I109" s="436">
        <v>423.78</v>
      </c>
      <c r="J109" s="438">
        <f t="shared" si="74"/>
        <v>1</v>
      </c>
      <c r="K109" s="437">
        <v>436.77000000000004</v>
      </c>
      <c r="L109" s="438">
        <f t="shared" si="75"/>
        <v>1.0306526971541838</v>
      </c>
      <c r="M109" s="437">
        <v>12.989999999999998</v>
      </c>
      <c r="N109" s="438">
        <f t="shared" si="76"/>
        <v>3.0652697154183773E-2</v>
      </c>
      <c r="O109" s="439">
        <f t="shared" si="77"/>
        <v>449.76000000000005</v>
      </c>
      <c r="P109" s="438">
        <f t="shared" si="78"/>
        <v>1.0613053943083677</v>
      </c>
      <c r="Q109" s="436">
        <v>3.5799999999999996</v>
      </c>
      <c r="R109" s="438">
        <f t="shared" si="79"/>
        <v>8.4477795082354042E-3</v>
      </c>
      <c r="S109" s="439">
        <f t="shared" si="80"/>
        <v>25.980000000000075</v>
      </c>
      <c r="T109" s="438">
        <f t="shared" si="81"/>
        <v>6.1305394308367733E-2</v>
      </c>
      <c r="U109" s="362">
        <f t="shared" si="82"/>
        <v>5528.0244000000157</v>
      </c>
      <c r="V109" s="450">
        <f t="shared" si="83"/>
        <v>22.400000000000077</v>
      </c>
      <c r="W109" s="451">
        <f t="shared" si="84"/>
        <v>5.2857614800132326E-2</v>
      </c>
      <c r="X109" s="452">
        <f t="shared" si="85"/>
        <v>4766.2720000000163</v>
      </c>
      <c r="Y109" s="364" t="s">
        <v>395</v>
      </c>
      <c r="Z109" s="364" t="s">
        <v>421</v>
      </c>
      <c r="AA109" s="365"/>
      <c r="AB109" s="365"/>
      <c r="AC109" s="365">
        <v>1</v>
      </c>
      <c r="AD109" s="440" t="s">
        <v>542</v>
      </c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75"/>
      <c r="C110" s="876"/>
      <c r="D110" s="360">
        <v>18</v>
      </c>
      <c r="E110" s="434" t="s">
        <v>591</v>
      </c>
      <c r="F110" s="435">
        <f t="shared" si="73"/>
        <v>761.67000000000007</v>
      </c>
      <c r="G110" s="363">
        <v>122.85000000000001</v>
      </c>
      <c r="H110" s="436">
        <v>674.69</v>
      </c>
      <c r="I110" s="436">
        <v>674.69</v>
      </c>
      <c r="J110" s="438">
        <f t="shared" si="74"/>
        <v>1</v>
      </c>
      <c r="K110" s="437">
        <v>696.15000000000009</v>
      </c>
      <c r="L110" s="438">
        <f t="shared" si="75"/>
        <v>1.0318072003438616</v>
      </c>
      <c r="M110" s="437">
        <v>21.46</v>
      </c>
      <c r="N110" s="438">
        <f t="shared" si="76"/>
        <v>3.1807200343861627E-2</v>
      </c>
      <c r="O110" s="439">
        <f t="shared" si="77"/>
        <v>717.61000000000013</v>
      </c>
      <c r="P110" s="438">
        <f t="shared" si="78"/>
        <v>1.0636144006877233</v>
      </c>
      <c r="Q110" s="436">
        <v>6.2</v>
      </c>
      <c r="R110" s="438">
        <f t="shared" si="79"/>
        <v>9.1894055047503295E-3</v>
      </c>
      <c r="S110" s="439">
        <f t="shared" si="80"/>
        <v>42.920000000000073</v>
      </c>
      <c r="T110" s="438">
        <f t="shared" si="81"/>
        <v>6.3614400687723352E-2</v>
      </c>
      <c r="U110" s="362">
        <f t="shared" si="82"/>
        <v>5272.7220000000098</v>
      </c>
      <c r="V110" s="450">
        <f t="shared" si="83"/>
        <v>36.72000000000007</v>
      </c>
      <c r="W110" s="451">
        <f t="shared" si="84"/>
        <v>5.4424995182973022E-2</v>
      </c>
      <c r="X110" s="452">
        <f t="shared" si="85"/>
        <v>4511.0520000000088</v>
      </c>
      <c r="Y110" s="364" t="s">
        <v>395</v>
      </c>
      <c r="Z110" s="364" t="s">
        <v>198</v>
      </c>
      <c r="AA110" s="376"/>
      <c r="AB110" s="365"/>
      <c r="AC110" s="365">
        <v>1</v>
      </c>
      <c r="AD110" s="440" t="s">
        <v>562</v>
      </c>
      <c r="AE110" s="447" t="s">
        <v>532</v>
      </c>
      <c r="AF110" s="370">
        <f>AF29+AF51+AF73+AF95</f>
        <v>80</v>
      </c>
      <c r="AG110" s="370">
        <f>AG29+AG51+AG73+AG95</f>
        <v>42</v>
      </c>
      <c r="AH110" s="370">
        <f>AH29+AH51+AH73+AH95</f>
        <v>0</v>
      </c>
      <c r="AI110" s="370">
        <f>AI29+AI51+AI73+AI95</f>
        <v>19</v>
      </c>
      <c r="AJ110" s="370">
        <f>AJ29+AJ51+AJ73+AJ95</f>
        <v>0</v>
      </c>
      <c r="AK110" s="370">
        <f>AK29+AK51+AK73+AK95</f>
        <v>6</v>
      </c>
      <c r="AL110" s="370">
        <f>AL29+AL51+AL73+AL95</f>
        <v>13</v>
      </c>
      <c r="AM110" s="370">
        <f>AM29+AM51+AM73+AM95</f>
        <v>0</v>
      </c>
    </row>
    <row r="111" spans="2:39" s="147" customFormat="1" ht="27" customHeight="1">
      <c r="B111" s="875"/>
      <c r="C111" s="876"/>
      <c r="D111" s="360">
        <v>19</v>
      </c>
      <c r="E111" s="434" t="s">
        <v>766</v>
      </c>
      <c r="F111" s="435">
        <f t="shared" si="73"/>
        <v>761.64140000000032</v>
      </c>
      <c r="G111" s="363">
        <v>51.220000000000013</v>
      </c>
      <c r="H111" s="436">
        <v>1373.95</v>
      </c>
      <c r="I111" s="436">
        <v>1373.95</v>
      </c>
      <c r="J111" s="438">
        <f t="shared" si="74"/>
        <v>1</v>
      </c>
      <c r="K111" s="437">
        <v>1407.9099999999999</v>
      </c>
      <c r="L111" s="438">
        <f t="shared" si="75"/>
        <v>1.0247170566614505</v>
      </c>
      <c r="M111" s="437">
        <v>33.96</v>
      </c>
      <c r="N111" s="438">
        <f t="shared" si="76"/>
        <v>2.4717056661450562E-2</v>
      </c>
      <c r="O111" s="439">
        <f t="shared" si="77"/>
        <v>1441.87</v>
      </c>
      <c r="P111" s="438">
        <f t="shared" si="78"/>
        <v>1.049434113322901</v>
      </c>
      <c r="Q111" s="436">
        <v>14.870000000000003</v>
      </c>
      <c r="R111" s="438">
        <f t="shared" si="79"/>
        <v>1.0822810145929621E-2</v>
      </c>
      <c r="S111" s="439">
        <f t="shared" si="80"/>
        <v>67.919999999999845</v>
      </c>
      <c r="T111" s="438">
        <f t="shared" si="81"/>
        <v>4.9434113322901013E-2</v>
      </c>
      <c r="U111" s="362">
        <f t="shared" si="82"/>
        <v>3478.8623999999932</v>
      </c>
      <c r="V111" s="450">
        <f t="shared" si="83"/>
        <v>53.049999999999841</v>
      </c>
      <c r="W111" s="451">
        <f t="shared" si="84"/>
        <v>3.8611303176971389E-2</v>
      </c>
      <c r="X111" s="452">
        <f t="shared" si="85"/>
        <v>2717.2209999999927</v>
      </c>
      <c r="Y111" s="364" t="s">
        <v>395</v>
      </c>
      <c r="Z111" s="364" t="s">
        <v>421</v>
      </c>
      <c r="AA111" s="365"/>
      <c r="AB111" s="365"/>
      <c r="AC111" s="365">
        <v>1</v>
      </c>
      <c r="AD111" s="440" t="s">
        <v>560</v>
      </c>
      <c r="AF111" s="371"/>
      <c r="AG111" s="370">
        <f>AG30+AG52+AG74+AG96</f>
        <v>37111.747499999998</v>
      </c>
      <c r="AH111" s="370">
        <f t="shared" ref="AH111:AM111" si="88">AH30+AH52+AH74+AH96</f>
        <v>0</v>
      </c>
      <c r="AI111" s="370">
        <f t="shared" si="88"/>
        <v>24567.7032</v>
      </c>
      <c r="AJ111" s="370">
        <f t="shared" si="88"/>
        <v>0</v>
      </c>
      <c r="AK111" s="370">
        <f t="shared" si="88"/>
        <v>6818.0384000000022</v>
      </c>
      <c r="AL111" s="370">
        <f t="shared" si="88"/>
        <v>15600.452700000002</v>
      </c>
      <c r="AM111" s="370">
        <f t="shared" si="88"/>
        <v>0</v>
      </c>
    </row>
    <row r="112" spans="2:39" s="147" customFormat="1" ht="27" customHeight="1">
      <c r="B112" s="877"/>
      <c r="C112" s="878"/>
      <c r="D112" s="360">
        <v>20</v>
      </c>
      <c r="E112" s="434" t="s">
        <v>550</v>
      </c>
      <c r="F112" s="435">
        <f t="shared" si="73"/>
        <v>761.63490000000002</v>
      </c>
      <c r="G112" s="363">
        <v>31.59</v>
      </c>
      <c r="H112" s="436">
        <v>2002.78</v>
      </c>
      <c r="I112" s="436">
        <v>2002.78</v>
      </c>
      <c r="J112" s="438">
        <f t="shared" si="74"/>
        <v>1</v>
      </c>
      <c r="K112" s="437">
        <v>2052.5100000000002</v>
      </c>
      <c r="L112" s="438">
        <f t="shared" si="75"/>
        <v>1.0248304856249815</v>
      </c>
      <c r="M112" s="437">
        <v>49.730000000000004</v>
      </c>
      <c r="N112" s="438">
        <f t="shared" si="76"/>
        <v>2.4830485624981278E-2</v>
      </c>
      <c r="O112" s="439">
        <f t="shared" si="77"/>
        <v>2102.2400000000002</v>
      </c>
      <c r="P112" s="438">
        <f t="shared" si="78"/>
        <v>1.0496609712499627</v>
      </c>
      <c r="Q112" s="436">
        <v>24.11</v>
      </c>
      <c r="R112" s="438">
        <f t="shared" si="79"/>
        <v>1.2038266809135301E-2</v>
      </c>
      <c r="S112" s="439">
        <f t="shared" si="80"/>
        <v>99.460000000000264</v>
      </c>
      <c r="T112" s="438">
        <f t="shared" si="81"/>
        <v>4.9660971249962688E-2</v>
      </c>
      <c r="U112" s="362">
        <f t="shared" si="82"/>
        <v>3141.9414000000083</v>
      </c>
      <c r="V112" s="450">
        <f t="shared" si="83"/>
        <v>75.350000000000264</v>
      </c>
      <c r="W112" s="451">
        <f t="shared" si="84"/>
        <v>3.7622704440827381E-2</v>
      </c>
      <c r="X112" s="452">
        <f t="shared" si="85"/>
        <v>2380.3065000000083</v>
      </c>
      <c r="Y112" s="364" t="s">
        <v>395</v>
      </c>
      <c r="Z112" s="364" t="s">
        <v>421</v>
      </c>
      <c r="AA112" s="365"/>
      <c r="AB112" s="365"/>
      <c r="AC112" s="365">
        <v>1</v>
      </c>
      <c r="AD112" s="440" t="s">
        <v>549</v>
      </c>
      <c r="AF112" s="360"/>
      <c r="AG112" s="441">
        <f>AG110/$AF110</f>
        <v>0.52500000000000002</v>
      </c>
      <c r="AH112" s="441">
        <f t="shared" ref="AH112:AM112" si="89">AH110/$AF110</f>
        <v>0</v>
      </c>
      <c r="AI112" s="441">
        <f t="shared" si="89"/>
        <v>0.23749999999999999</v>
      </c>
      <c r="AJ112" s="441">
        <f t="shared" si="89"/>
        <v>0</v>
      </c>
      <c r="AK112" s="441">
        <f t="shared" si="89"/>
        <v>7.4999999999999997E-2</v>
      </c>
      <c r="AL112" s="441">
        <f t="shared" si="89"/>
        <v>0.16250000000000001</v>
      </c>
      <c r="AM112" s="441">
        <f t="shared" si="89"/>
        <v>0</v>
      </c>
    </row>
    <row r="113" spans="2:39" ht="16.5" customHeight="1">
      <c r="B113" s="889" t="s">
        <v>419</v>
      </c>
      <c r="C113" s="890"/>
      <c r="D113" s="893" t="s">
        <v>501</v>
      </c>
      <c r="E113" s="894" t="s">
        <v>502</v>
      </c>
      <c r="F113" s="895" t="s">
        <v>503</v>
      </c>
      <c r="G113" s="862" t="s">
        <v>504</v>
      </c>
      <c r="H113" s="896" t="s">
        <v>505</v>
      </c>
      <c r="I113" s="879" t="s">
        <v>506</v>
      </c>
      <c r="J113" s="880"/>
      <c r="K113" s="879" t="s">
        <v>507</v>
      </c>
      <c r="L113" s="880"/>
      <c r="M113" s="879" t="s">
        <v>508</v>
      </c>
      <c r="N113" s="880"/>
      <c r="O113" s="879" t="s">
        <v>509</v>
      </c>
      <c r="P113" s="880"/>
      <c r="Q113" s="879" t="s">
        <v>396</v>
      </c>
      <c r="R113" s="880"/>
      <c r="S113" s="881" t="s">
        <v>397</v>
      </c>
      <c r="T113" s="882"/>
      <c r="U113" s="883"/>
      <c r="V113" s="884" t="s">
        <v>566</v>
      </c>
      <c r="W113" s="885"/>
      <c r="X113" s="886"/>
      <c r="Y113" s="887" t="s">
        <v>168</v>
      </c>
      <c r="Z113" s="887" t="s">
        <v>228</v>
      </c>
      <c r="AA113" s="887" t="s">
        <v>510</v>
      </c>
      <c r="AB113" s="887" t="s">
        <v>420</v>
      </c>
      <c r="AC113" s="887" t="s">
        <v>229</v>
      </c>
      <c r="AD113" s="862" t="s">
        <v>169</v>
      </c>
      <c r="AF113" s="864" t="s">
        <v>230</v>
      </c>
      <c r="AG113" s="865"/>
      <c r="AH113" s="865"/>
      <c r="AI113" s="865"/>
      <c r="AJ113" s="865"/>
      <c r="AK113" s="865"/>
      <c r="AL113" s="865"/>
      <c r="AM113" s="866"/>
    </row>
    <row r="114" spans="2:39" ht="16.5" customHeight="1">
      <c r="B114" s="891"/>
      <c r="C114" s="892"/>
      <c r="D114" s="893"/>
      <c r="E114" s="893"/>
      <c r="F114" s="895"/>
      <c r="G114" s="863"/>
      <c r="H114" s="863"/>
      <c r="I114" s="433" t="s">
        <v>511</v>
      </c>
      <c r="J114" s="361" t="s">
        <v>512</v>
      </c>
      <c r="K114" s="433" t="s">
        <v>511</v>
      </c>
      <c r="L114" s="361" t="s">
        <v>512</v>
      </c>
      <c r="M114" s="433" t="s">
        <v>511</v>
      </c>
      <c r="N114" s="361" t="s">
        <v>512</v>
      </c>
      <c r="O114" s="433" t="s">
        <v>511</v>
      </c>
      <c r="P114" s="361" t="s">
        <v>512</v>
      </c>
      <c r="Q114" s="433" t="s">
        <v>511</v>
      </c>
      <c r="R114" s="361" t="s">
        <v>512</v>
      </c>
      <c r="S114" s="433" t="s">
        <v>511</v>
      </c>
      <c r="T114" s="361" t="s">
        <v>512</v>
      </c>
      <c r="U114" s="361" t="s">
        <v>513</v>
      </c>
      <c r="V114" s="433" t="s">
        <v>511</v>
      </c>
      <c r="W114" s="361" t="s">
        <v>512</v>
      </c>
      <c r="X114" s="361" t="s">
        <v>513</v>
      </c>
      <c r="Y114" s="888"/>
      <c r="Z114" s="888"/>
      <c r="AA114" s="888"/>
      <c r="AB114" s="888"/>
      <c r="AC114" s="888"/>
      <c r="AD114" s="863"/>
      <c r="AF114" s="867"/>
      <c r="AG114" s="868"/>
      <c r="AH114" s="868"/>
      <c r="AI114" s="868"/>
      <c r="AJ114" s="868"/>
      <c r="AK114" s="868"/>
      <c r="AL114" s="868"/>
      <c r="AM114" s="869"/>
    </row>
    <row r="115" spans="2:39" s="147" customFormat="1" ht="27" customHeight="1">
      <c r="B115" s="873" t="s">
        <v>767</v>
      </c>
      <c r="C115" s="874"/>
      <c r="D115" s="360">
        <v>1</v>
      </c>
      <c r="E115" s="434"/>
      <c r="F115" s="435">
        <f>IFERROR(Q115*G115,"-")</f>
        <v>0</v>
      </c>
      <c r="G115" s="363"/>
      <c r="H115" s="436"/>
      <c r="I115" s="436"/>
      <c r="J115" s="438" t="str">
        <f>IFERROR(I115/H115,"-")</f>
        <v>-</v>
      </c>
      <c r="K115" s="437"/>
      <c r="L115" s="438" t="str">
        <f>IFERROR(K115/H115,"-")</f>
        <v>-</v>
      </c>
      <c r="M115" s="437"/>
      <c r="N115" s="438" t="str">
        <f>IFERROR(M115/H115,"-")</f>
        <v>-</v>
      </c>
      <c r="O115" s="439">
        <f>IFERROR(K115+M115,"-")</f>
        <v>0</v>
      </c>
      <c r="P115" s="438" t="str">
        <f>IFERROR(O115/H115,"-")</f>
        <v>-</v>
      </c>
      <c r="Q115" s="436"/>
      <c r="R115" s="438" t="str">
        <f>IFERROR(Q115/H115,"-")</f>
        <v>-</v>
      </c>
      <c r="S115" s="439">
        <f>IFERROR(O115-H115,"-")</f>
        <v>0</v>
      </c>
      <c r="T115" s="438" t="str">
        <f>IFERROR(S115/H115,"-")</f>
        <v>-</v>
      </c>
      <c r="U115" s="362">
        <f>IFERROR(S115*G115,"-")</f>
        <v>0</v>
      </c>
      <c r="V115" s="450">
        <f>S115-Q115</f>
        <v>0</v>
      </c>
      <c r="W115" s="451" t="str">
        <f>IFERROR(V115/H115,"-")</f>
        <v>-</v>
      </c>
      <c r="X115" s="452">
        <f>IFERROR(V115*G115,"-")</f>
        <v>0</v>
      </c>
      <c r="Y115" s="364" t="s">
        <v>395</v>
      </c>
      <c r="Z115" s="364" t="s">
        <v>199</v>
      </c>
      <c r="AA115" s="365"/>
      <c r="AB115" s="365"/>
      <c r="AC115" s="365">
        <v>1</v>
      </c>
      <c r="AD115" s="440"/>
      <c r="AF115" s="870"/>
      <c r="AG115" s="871"/>
      <c r="AH115" s="871"/>
      <c r="AI115" s="871"/>
      <c r="AJ115" s="871"/>
      <c r="AK115" s="871"/>
      <c r="AL115" s="871"/>
      <c r="AM115" s="872"/>
    </row>
    <row r="116" spans="2:39" s="147" customFormat="1" ht="27" customHeight="1">
      <c r="B116" s="875"/>
      <c r="C116" s="876"/>
      <c r="D116" s="360">
        <v>2</v>
      </c>
      <c r="E116" s="434"/>
      <c r="F116" s="435">
        <f t="shared" ref="F116:F134" si="90">IFERROR(Q116*G116,"-")</f>
        <v>0</v>
      </c>
      <c r="G116" s="363"/>
      <c r="H116" s="436"/>
      <c r="I116" s="436"/>
      <c r="J116" s="438" t="str">
        <f t="shared" ref="J116:J134" si="91">IFERROR(I116/H116,"-")</f>
        <v>-</v>
      </c>
      <c r="K116" s="437"/>
      <c r="L116" s="438" t="str">
        <f t="shared" ref="L116:L134" si="92">IFERROR(K116/H116,"-")</f>
        <v>-</v>
      </c>
      <c r="M116" s="437"/>
      <c r="N116" s="438" t="str">
        <f t="shared" ref="N116:N134" si="93">IFERROR(M116/H116,"-")</f>
        <v>-</v>
      </c>
      <c r="O116" s="439">
        <f t="shared" ref="O116:O134" si="94">IFERROR(K116+M116,"-")</f>
        <v>0</v>
      </c>
      <c r="P116" s="438" t="str">
        <f t="shared" ref="P116:P134" si="95">IFERROR(O116/H116,"-")</f>
        <v>-</v>
      </c>
      <c r="Q116" s="436"/>
      <c r="R116" s="438" t="str">
        <f t="shared" ref="R116:R134" si="96">IFERROR(Q116/H116,"-")</f>
        <v>-</v>
      </c>
      <c r="S116" s="439">
        <f t="shared" ref="S116:S134" si="97">IFERROR(O116-H116,"-")</f>
        <v>0</v>
      </c>
      <c r="T116" s="438" t="str">
        <f t="shared" ref="T116:T134" si="98">IFERROR(S116/H116,"-")</f>
        <v>-</v>
      </c>
      <c r="U116" s="362">
        <f t="shared" ref="U116:U134" si="99">IFERROR(S116*G116,"-")</f>
        <v>0</v>
      </c>
      <c r="V116" s="450">
        <f t="shared" ref="V116:V134" si="100">S116-Q116</f>
        <v>0</v>
      </c>
      <c r="W116" s="451" t="str">
        <f t="shared" ref="W116:W134" si="101">IFERROR(V116/H116,"-")</f>
        <v>-</v>
      </c>
      <c r="X116" s="452">
        <f t="shared" ref="X116:X134" si="102">IFERROR(V116*G116,"-")</f>
        <v>0</v>
      </c>
      <c r="Y116" s="364" t="s">
        <v>395</v>
      </c>
      <c r="Z116" s="364" t="s">
        <v>316</v>
      </c>
      <c r="AA116" s="365"/>
      <c r="AB116" s="365"/>
      <c r="AC116" s="365">
        <v>1</v>
      </c>
      <c r="AD116" s="440"/>
      <c r="AF116" s="160" t="s">
        <v>227</v>
      </c>
      <c r="AG116" s="160" t="s">
        <v>421</v>
      </c>
      <c r="AH116" s="155" t="s">
        <v>514</v>
      </c>
      <c r="AI116" s="155" t="s">
        <v>316</v>
      </c>
      <c r="AJ116" s="155" t="s">
        <v>406</v>
      </c>
      <c r="AK116" s="155" t="s">
        <v>198</v>
      </c>
      <c r="AL116" s="155" t="s">
        <v>199</v>
      </c>
      <c r="AM116" s="155" t="s">
        <v>362</v>
      </c>
    </row>
    <row r="117" spans="2:39" s="147" customFormat="1" ht="27" customHeight="1">
      <c r="B117" s="875"/>
      <c r="C117" s="876"/>
      <c r="D117" s="360">
        <v>3</v>
      </c>
      <c r="E117" s="434"/>
      <c r="F117" s="435">
        <f t="shared" si="90"/>
        <v>0</v>
      </c>
      <c r="G117" s="363"/>
      <c r="H117" s="436"/>
      <c r="I117" s="436"/>
      <c r="J117" s="438" t="str">
        <f t="shared" si="91"/>
        <v>-</v>
      </c>
      <c r="K117" s="437"/>
      <c r="L117" s="438" t="str">
        <f t="shared" si="92"/>
        <v>-</v>
      </c>
      <c r="M117" s="437"/>
      <c r="N117" s="438" t="str">
        <f t="shared" si="93"/>
        <v>-</v>
      </c>
      <c r="O117" s="439">
        <f t="shared" si="94"/>
        <v>0</v>
      </c>
      <c r="P117" s="438" t="str">
        <f t="shared" si="95"/>
        <v>-</v>
      </c>
      <c r="Q117" s="436"/>
      <c r="R117" s="438" t="str">
        <f t="shared" si="96"/>
        <v>-</v>
      </c>
      <c r="S117" s="439">
        <f t="shared" si="97"/>
        <v>0</v>
      </c>
      <c r="T117" s="438" t="str">
        <f t="shared" si="98"/>
        <v>-</v>
      </c>
      <c r="U117" s="362">
        <f t="shared" si="99"/>
        <v>0</v>
      </c>
      <c r="V117" s="450">
        <f t="shared" si="100"/>
        <v>0</v>
      </c>
      <c r="W117" s="451" t="str">
        <f t="shared" si="101"/>
        <v>-</v>
      </c>
      <c r="X117" s="452">
        <f t="shared" si="102"/>
        <v>0</v>
      </c>
      <c r="Y117" s="364" t="s">
        <v>395</v>
      </c>
      <c r="Z117" s="364" t="s">
        <v>316</v>
      </c>
      <c r="AA117" s="365"/>
      <c r="AB117" s="365"/>
      <c r="AC117" s="365">
        <v>1</v>
      </c>
      <c r="AD117" s="440"/>
      <c r="AF117" s="370">
        <f>SUM(AC115:AC134)</f>
        <v>20</v>
      </c>
      <c r="AG117" s="366">
        <f>SUMIF($Z$93:$Z$112,TRIM(AG116),$AC$93:$AC$112)</f>
        <v>12</v>
      </c>
      <c r="AH117" s="366">
        <f t="shared" ref="AH117:AM117" si="103">SUMIF($Z$93:$Z$112,TRIM(AH116),$AC$93:$AC$112)</f>
        <v>0</v>
      </c>
      <c r="AI117" s="366">
        <f t="shared" si="103"/>
        <v>4</v>
      </c>
      <c r="AJ117" s="366">
        <f t="shared" si="103"/>
        <v>0</v>
      </c>
      <c r="AK117" s="366">
        <f t="shared" si="103"/>
        <v>2</v>
      </c>
      <c r="AL117" s="366">
        <f t="shared" si="103"/>
        <v>2</v>
      </c>
      <c r="AM117" s="366">
        <f t="shared" si="103"/>
        <v>0</v>
      </c>
    </row>
    <row r="118" spans="2:39" s="147" customFormat="1" ht="27" customHeight="1">
      <c r="B118" s="875"/>
      <c r="C118" s="876"/>
      <c r="D118" s="360">
        <v>4</v>
      </c>
      <c r="E118" s="434"/>
      <c r="F118" s="435">
        <f t="shared" si="90"/>
        <v>0</v>
      </c>
      <c r="G118" s="363"/>
      <c r="H118" s="436"/>
      <c r="I118" s="436"/>
      <c r="J118" s="438" t="str">
        <f t="shared" si="91"/>
        <v>-</v>
      </c>
      <c r="K118" s="437"/>
      <c r="L118" s="438" t="str">
        <f t="shared" si="92"/>
        <v>-</v>
      </c>
      <c r="M118" s="437"/>
      <c r="N118" s="438" t="str">
        <f t="shared" si="93"/>
        <v>-</v>
      </c>
      <c r="O118" s="439">
        <f t="shared" si="94"/>
        <v>0</v>
      </c>
      <c r="P118" s="438" t="str">
        <f t="shared" si="95"/>
        <v>-</v>
      </c>
      <c r="Q118" s="436"/>
      <c r="R118" s="438" t="str">
        <f t="shared" si="96"/>
        <v>-</v>
      </c>
      <c r="S118" s="439">
        <f t="shared" si="97"/>
        <v>0</v>
      </c>
      <c r="T118" s="438" t="str">
        <f t="shared" si="98"/>
        <v>-</v>
      </c>
      <c r="U118" s="362">
        <f t="shared" si="99"/>
        <v>0</v>
      </c>
      <c r="V118" s="450">
        <f t="shared" si="100"/>
        <v>0</v>
      </c>
      <c r="W118" s="451" t="str">
        <f t="shared" si="101"/>
        <v>-</v>
      </c>
      <c r="X118" s="452">
        <f t="shared" si="102"/>
        <v>0</v>
      </c>
      <c r="Y118" s="364" t="s">
        <v>395</v>
      </c>
      <c r="Z118" s="364" t="s">
        <v>198</v>
      </c>
      <c r="AA118" s="365"/>
      <c r="AB118" s="365"/>
      <c r="AC118" s="365">
        <v>1</v>
      </c>
      <c r="AD118" s="440"/>
      <c r="AF118" s="371" t="s">
        <v>11</v>
      </c>
      <c r="AG118" s="368">
        <f ca="1">SUMIF($Z$93:$Z134,TRIM(AG116),$F$93:$F$112)</f>
        <v>10395.9064</v>
      </c>
      <c r="AH118" s="368">
        <f ca="1">SUMIF($Z$93:$Z134,TRIM(AH116),$F$93:$F$112)</f>
        <v>0</v>
      </c>
      <c r="AI118" s="368">
        <f ca="1">SUMIF($Z$93:$Z134,TRIM(AI116),$F$93:$F$112)</f>
        <v>5154.4912000000004</v>
      </c>
      <c r="AJ118" s="368">
        <f ca="1">SUMIF($Z$93:$Z134,TRIM(AJ116),$F$93:$F$112)</f>
        <v>0</v>
      </c>
      <c r="AK118" s="368">
        <f ca="1">SUMIF($Z$93:$Z134,TRIM(AK116),$F$93:$F$112)</f>
        <v>2084.1171000000004</v>
      </c>
      <c r="AL118" s="368">
        <f ca="1">SUMIF($Z$93:$Z134,TRIM(AL116),$F$93:$F$112)</f>
        <v>2281.5441000000001</v>
      </c>
      <c r="AM118" s="368">
        <f ca="1">SUMIF($Z$93:$Z134,TRIM(AM116),$F$93:$F$112)</f>
        <v>0</v>
      </c>
    </row>
    <row r="119" spans="2:39" s="147" customFormat="1" ht="27" customHeight="1">
      <c r="B119" s="875"/>
      <c r="C119" s="876"/>
      <c r="D119" s="360">
        <v>5</v>
      </c>
      <c r="E119" s="434"/>
      <c r="F119" s="435">
        <f t="shared" si="90"/>
        <v>0</v>
      </c>
      <c r="G119" s="363"/>
      <c r="H119" s="436"/>
      <c r="I119" s="436"/>
      <c r="J119" s="438" t="str">
        <f t="shared" si="91"/>
        <v>-</v>
      </c>
      <c r="K119" s="437"/>
      <c r="L119" s="438" t="str">
        <f t="shared" si="92"/>
        <v>-</v>
      </c>
      <c r="M119" s="437"/>
      <c r="N119" s="438" t="str">
        <f t="shared" si="93"/>
        <v>-</v>
      </c>
      <c r="O119" s="439">
        <f t="shared" si="94"/>
        <v>0</v>
      </c>
      <c r="P119" s="438" t="str">
        <f t="shared" si="95"/>
        <v>-</v>
      </c>
      <c r="Q119" s="436"/>
      <c r="R119" s="438" t="str">
        <f t="shared" si="96"/>
        <v>-</v>
      </c>
      <c r="S119" s="439">
        <f t="shared" si="97"/>
        <v>0</v>
      </c>
      <c r="T119" s="438" t="str">
        <f t="shared" si="98"/>
        <v>-</v>
      </c>
      <c r="U119" s="362">
        <f t="shared" si="99"/>
        <v>0</v>
      </c>
      <c r="V119" s="450">
        <f t="shared" si="100"/>
        <v>0</v>
      </c>
      <c r="W119" s="451" t="str">
        <f t="shared" si="101"/>
        <v>-</v>
      </c>
      <c r="X119" s="452">
        <f t="shared" si="102"/>
        <v>0</v>
      </c>
      <c r="Y119" s="364" t="s">
        <v>395</v>
      </c>
      <c r="Z119" s="364" t="s">
        <v>316</v>
      </c>
      <c r="AA119" s="365"/>
      <c r="AB119" s="365"/>
      <c r="AC119" s="365">
        <v>1</v>
      </c>
      <c r="AD119" s="440"/>
      <c r="AF119" s="360" t="s">
        <v>515</v>
      </c>
      <c r="AG119" s="441">
        <f>AG117/$AF117</f>
        <v>0.6</v>
      </c>
      <c r="AH119" s="441">
        <f t="shared" ref="AH119:AM119" si="104">AH117/$AF117</f>
        <v>0</v>
      </c>
      <c r="AI119" s="441">
        <f t="shared" si="104"/>
        <v>0.2</v>
      </c>
      <c r="AJ119" s="441">
        <f t="shared" si="104"/>
        <v>0</v>
      </c>
      <c r="AK119" s="441">
        <f t="shared" si="104"/>
        <v>0.1</v>
      </c>
      <c r="AL119" s="441">
        <f t="shared" si="104"/>
        <v>0.1</v>
      </c>
      <c r="AM119" s="441">
        <f t="shared" si="104"/>
        <v>0</v>
      </c>
    </row>
    <row r="120" spans="2:39" s="147" customFormat="1" ht="27" customHeight="1">
      <c r="B120" s="875"/>
      <c r="C120" s="876"/>
      <c r="D120" s="360">
        <v>6</v>
      </c>
      <c r="E120" s="434"/>
      <c r="F120" s="435">
        <f t="shared" si="90"/>
        <v>0</v>
      </c>
      <c r="G120" s="363"/>
      <c r="H120" s="436"/>
      <c r="I120" s="436"/>
      <c r="J120" s="438" t="str">
        <f t="shared" si="91"/>
        <v>-</v>
      </c>
      <c r="K120" s="437"/>
      <c r="L120" s="438" t="str">
        <f t="shared" si="92"/>
        <v>-</v>
      </c>
      <c r="M120" s="437"/>
      <c r="N120" s="438" t="str">
        <f t="shared" si="93"/>
        <v>-</v>
      </c>
      <c r="O120" s="439">
        <f t="shared" si="94"/>
        <v>0</v>
      </c>
      <c r="P120" s="438" t="str">
        <f t="shared" si="95"/>
        <v>-</v>
      </c>
      <c r="Q120" s="436"/>
      <c r="R120" s="438" t="str">
        <f t="shared" si="96"/>
        <v>-</v>
      </c>
      <c r="S120" s="439">
        <f t="shared" si="97"/>
        <v>0</v>
      </c>
      <c r="T120" s="438" t="str">
        <f t="shared" si="98"/>
        <v>-</v>
      </c>
      <c r="U120" s="362">
        <f t="shared" si="99"/>
        <v>0</v>
      </c>
      <c r="V120" s="450">
        <f t="shared" si="100"/>
        <v>0</v>
      </c>
      <c r="W120" s="451" t="str">
        <f t="shared" si="101"/>
        <v>-</v>
      </c>
      <c r="X120" s="452">
        <f t="shared" si="102"/>
        <v>0</v>
      </c>
      <c r="Y120" s="364" t="s">
        <v>395</v>
      </c>
      <c r="Z120" s="364" t="s">
        <v>316</v>
      </c>
      <c r="AA120" s="365"/>
      <c r="AB120" s="365"/>
      <c r="AC120" s="365">
        <v>1</v>
      </c>
      <c r="AD120" s="440"/>
    </row>
    <row r="121" spans="2:39" s="147" customFormat="1" ht="27" customHeight="1">
      <c r="B121" s="875"/>
      <c r="C121" s="876"/>
      <c r="D121" s="360">
        <v>7</v>
      </c>
      <c r="E121" s="434"/>
      <c r="F121" s="435">
        <f t="shared" si="90"/>
        <v>0</v>
      </c>
      <c r="G121" s="363"/>
      <c r="H121" s="436"/>
      <c r="I121" s="436"/>
      <c r="J121" s="438" t="str">
        <f t="shared" si="91"/>
        <v>-</v>
      </c>
      <c r="K121" s="437"/>
      <c r="L121" s="438" t="str">
        <f t="shared" si="92"/>
        <v>-</v>
      </c>
      <c r="M121" s="437"/>
      <c r="N121" s="438" t="str">
        <f t="shared" si="93"/>
        <v>-</v>
      </c>
      <c r="O121" s="439">
        <f t="shared" si="94"/>
        <v>0</v>
      </c>
      <c r="P121" s="438" t="str">
        <f t="shared" si="95"/>
        <v>-</v>
      </c>
      <c r="Q121" s="436"/>
      <c r="R121" s="438" t="str">
        <f t="shared" si="96"/>
        <v>-</v>
      </c>
      <c r="S121" s="439">
        <f t="shared" si="97"/>
        <v>0</v>
      </c>
      <c r="T121" s="438" t="str">
        <f t="shared" si="98"/>
        <v>-</v>
      </c>
      <c r="U121" s="362">
        <f t="shared" si="99"/>
        <v>0</v>
      </c>
      <c r="V121" s="450">
        <f t="shared" si="100"/>
        <v>0</v>
      </c>
      <c r="W121" s="451" t="str">
        <f t="shared" si="101"/>
        <v>-</v>
      </c>
      <c r="X121" s="452">
        <f t="shared" si="102"/>
        <v>0</v>
      </c>
      <c r="Y121" s="364" t="s">
        <v>395</v>
      </c>
      <c r="Z121" s="364" t="s">
        <v>421</v>
      </c>
      <c r="AA121" s="365"/>
      <c r="AB121" s="365"/>
      <c r="AC121" s="365">
        <v>1</v>
      </c>
      <c r="AD121" s="440"/>
    </row>
    <row r="122" spans="2:39" s="147" customFormat="1" ht="27" customHeight="1">
      <c r="B122" s="875"/>
      <c r="C122" s="876"/>
      <c r="D122" s="360">
        <v>8</v>
      </c>
      <c r="E122" s="434"/>
      <c r="F122" s="435">
        <f t="shared" si="90"/>
        <v>0</v>
      </c>
      <c r="G122" s="363"/>
      <c r="H122" s="436"/>
      <c r="I122" s="436"/>
      <c r="J122" s="438" t="str">
        <f t="shared" si="91"/>
        <v>-</v>
      </c>
      <c r="K122" s="437"/>
      <c r="L122" s="438" t="str">
        <f t="shared" si="92"/>
        <v>-</v>
      </c>
      <c r="M122" s="437"/>
      <c r="N122" s="438" t="str">
        <f t="shared" si="93"/>
        <v>-</v>
      </c>
      <c r="O122" s="439">
        <f t="shared" si="94"/>
        <v>0</v>
      </c>
      <c r="P122" s="438" t="str">
        <f t="shared" si="95"/>
        <v>-</v>
      </c>
      <c r="Q122" s="436"/>
      <c r="R122" s="438" t="str">
        <f t="shared" si="96"/>
        <v>-</v>
      </c>
      <c r="S122" s="439">
        <f t="shared" si="97"/>
        <v>0</v>
      </c>
      <c r="T122" s="438" t="str">
        <f t="shared" si="98"/>
        <v>-</v>
      </c>
      <c r="U122" s="362">
        <f t="shared" si="99"/>
        <v>0</v>
      </c>
      <c r="V122" s="450">
        <f t="shared" si="100"/>
        <v>0</v>
      </c>
      <c r="W122" s="451" t="str">
        <f t="shared" si="101"/>
        <v>-</v>
      </c>
      <c r="X122" s="452">
        <f t="shared" si="102"/>
        <v>0</v>
      </c>
      <c r="Y122" s="364" t="s">
        <v>395</v>
      </c>
      <c r="Z122" s="364" t="s">
        <v>199</v>
      </c>
      <c r="AA122" s="365"/>
      <c r="AB122" s="365"/>
      <c r="AC122" s="365">
        <v>1</v>
      </c>
      <c r="AD122" s="440"/>
    </row>
    <row r="123" spans="2:39" s="147" customFormat="1" ht="27" customHeight="1">
      <c r="B123" s="875"/>
      <c r="C123" s="876"/>
      <c r="D123" s="360">
        <v>9</v>
      </c>
      <c r="E123" s="434"/>
      <c r="F123" s="435">
        <f t="shared" si="90"/>
        <v>0</v>
      </c>
      <c r="G123" s="363"/>
      <c r="H123" s="436"/>
      <c r="I123" s="436"/>
      <c r="J123" s="438" t="str">
        <f t="shared" si="91"/>
        <v>-</v>
      </c>
      <c r="K123" s="437"/>
      <c r="L123" s="438" t="str">
        <f t="shared" si="92"/>
        <v>-</v>
      </c>
      <c r="M123" s="437"/>
      <c r="N123" s="438" t="str">
        <f t="shared" si="93"/>
        <v>-</v>
      </c>
      <c r="O123" s="439">
        <f t="shared" si="94"/>
        <v>0</v>
      </c>
      <c r="P123" s="438" t="str">
        <f t="shared" si="95"/>
        <v>-</v>
      </c>
      <c r="Q123" s="436"/>
      <c r="R123" s="438" t="str">
        <f t="shared" si="96"/>
        <v>-</v>
      </c>
      <c r="S123" s="439">
        <f t="shared" si="97"/>
        <v>0</v>
      </c>
      <c r="T123" s="438" t="str">
        <f t="shared" si="98"/>
        <v>-</v>
      </c>
      <c r="U123" s="362">
        <f t="shared" si="99"/>
        <v>0</v>
      </c>
      <c r="V123" s="450">
        <f t="shared" si="100"/>
        <v>0</v>
      </c>
      <c r="W123" s="451" t="str">
        <f t="shared" si="101"/>
        <v>-</v>
      </c>
      <c r="X123" s="452">
        <f t="shared" si="102"/>
        <v>0</v>
      </c>
      <c r="Y123" s="364" t="s">
        <v>395</v>
      </c>
      <c r="Z123" s="364" t="s">
        <v>421</v>
      </c>
      <c r="AA123" s="365"/>
      <c r="AB123" s="376"/>
      <c r="AC123" s="365">
        <v>1</v>
      </c>
      <c r="AD123" s="440"/>
      <c r="AH123" s="367"/>
    </row>
    <row r="124" spans="2:39" s="147" customFormat="1" ht="27" customHeight="1">
      <c r="B124" s="875"/>
      <c r="C124" s="876"/>
      <c r="D124" s="360">
        <v>10</v>
      </c>
      <c r="E124" s="434"/>
      <c r="F124" s="435">
        <f t="shared" si="90"/>
        <v>0</v>
      </c>
      <c r="G124" s="363"/>
      <c r="H124" s="436"/>
      <c r="I124" s="436"/>
      <c r="J124" s="438" t="str">
        <f t="shared" si="91"/>
        <v>-</v>
      </c>
      <c r="K124" s="437"/>
      <c r="L124" s="438" t="str">
        <f t="shared" si="92"/>
        <v>-</v>
      </c>
      <c r="M124" s="437"/>
      <c r="N124" s="438" t="str">
        <f t="shared" si="93"/>
        <v>-</v>
      </c>
      <c r="O124" s="439">
        <f t="shared" si="94"/>
        <v>0</v>
      </c>
      <c r="P124" s="438" t="str">
        <f t="shared" si="95"/>
        <v>-</v>
      </c>
      <c r="Q124" s="436"/>
      <c r="R124" s="438" t="str">
        <f t="shared" si="96"/>
        <v>-</v>
      </c>
      <c r="S124" s="439">
        <f t="shared" si="97"/>
        <v>0</v>
      </c>
      <c r="T124" s="438" t="str">
        <f t="shared" si="98"/>
        <v>-</v>
      </c>
      <c r="U124" s="362">
        <f t="shared" si="99"/>
        <v>0</v>
      </c>
      <c r="V124" s="450">
        <f t="shared" si="100"/>
        <v>0</v>
      </c>
      <c r="W124" s="451" t="str">
        <f t="shared" si="101"/>
        <v>-</v>
      </c>
      <c r="X124" s="452">
        <f t="shared" si="102"/>
        <v>0</v>
      </c>
      <c r="Y124" s="364" t="s">
        <v>395</v>
      </c>
      <c r="Z124" s="364" t="s">
        <v>199</v>
      </c>
      <c r="AA124" s="365"/>
      <c r="AB124" s="365"/>
      <c r="AC124" s="365">
        <v>1</v>
      </c>
      <c r="AD124" s="440"/>
      <c r="AH124" s="367"/>
    </row>
    <row r="125" spans="2:39" s="147" customFormat="1" ht="27" customHeight="1">
      <c r="B125" s="875"/>
      <c r="C125" s="876"/>
      <c r="D125" s="360">
        <v>11</v>
      </c>
      <c r="E125" s="434"/>
      <c r="F125" s="435">
        <f t="shared" si="90"/>
        <v>0</v>
      </c>
      <c r="G125" s="363"/>
      <c r="H125" s="436"/>
      <c r="I125" s="436"/>
      <c r="J125" s="438" t="str">
        <f t="shared" si="91"/>
        <v>-</v>
      </c>
      <c r="K125" s="437"/>
      <c r="L125" s="438" t="str">
        <f t="shared" si="92"/>
        <v>-</v>
      </c>
      <c r="M125" s="437"/>
      <c r="N125" s="438" t="str">
        <f t="shared" si="93"/>
        <v>-</v>
      </c>
      <c r="O125" s="439">
        <f t="shared" si="94"/>
        <v>0</v>
      </c>
      <c r="P125" s="438" t="str">
        <f t="shared" si="95"/>
        <v>-</v>
      </c>
      <c r="Q125" s="436"/>
      <c r="R125" s="438" t="str">
        <f t="shared" si="96"/>
        <v>-</v>
      </c>
      <c r="S125" s="439">
        <f t="shared" si="97"/>
        <v>0</v>
      </c>
      <c r="T125" s="438" t="str">
        <f t="shared" si="98"/>
        <v>-</v>
      </c>
      <c r="U125" s="362">
        <f t="shared" si="99"/>
        <v>0</v>
      </c>
      <c r="V125" s="450">
        <f t="shared" si="100"/>
        <v>0</v>
      </c>
      <c r="W125" s="451" t="str">
        <f t="shared" si="101"/>
        <v>-</v>
      </c>
      <c r="X125" s="452">
        <f t="shared" si="102"/>
        <v>0</v>
      </c>
      <c r="Y125" s="364" t="s">
        <v>395</v>
      </c>
      <c r="Z125" s="364" t="s">
        <v>199</v>
      </c>
      <c r="AA125" s="365"/>
      <c r="AB125" s="365"/>
      <c r="AC125" s="365">
        <v>1</v>
      </c>
      <c r="AD125" s="440"/>
    </row>
    <row r="126" spans="2:39" s="147" customFormat="1" ht="26.25" customHeight="1">
      <c r="B126" s="875"/>
      <c r="C126" s="876"/>
      <c r="D126" s="360">
        <v>12</v>
      </c>
      <c r="E126" s="434"/>
      <c r="F126" s="435">
        <f t="shared" si="90"/>
        <v>0</v>
      </c>
      <c r="G126" s="363"/>
      <c r="H126" s="436"/>
      <c r="I126" s="436"/>
      <c r="J126" s="438" t="str">
        <f t="shared" si="91"/>
        <v>-</v>
      </c>
      <c r="K126" s="437"/>
      <c r="L126" s="438" t="str">
        <f t="shared" si="92"/>
        <v>-</v>
      </c>
      <c r="M126" s="437"/>
      <c r="N126" s="438" t="str">
        <f t="shared" si="93"/>
        <v>-</v>
      </c>
      <c r="O126" s="439">
        <f t="shared" si="94"/>
        <v>0</v>
      </c>
      <c r="P126" s="438" t="str">
        <f t="shared" si="95"/>
        <v>-</v>
      </c>
      <c r="Q126" s="436"/>
      <c r="R126" s="438" t="str">
        <f t="shared" si="96"/>
        <v>-</v>
      </c>
      <c r="S126" s="439">
        <f t="shared" si="97"/>
        <v>0</v>
      </c>
      <c r="T126" s="438" t="str">
        <f t="shared" si="98"/>
        <v>-</v>
      </c>
      <c r="U126" s="362">
        <f t="shared" si="99"/>
        <v>0</v>
      </c>
      <c r="V126" s="450">
        <f t="shared" si="100"/>
        <v>0</v>
      </c>
      <c r="W126" s="451" t="str">
        <f t="shared" si="101"/>
        <v>-</v>
      </c>
      <c r="X126" s="452">
        <f t="shared" si="102"/>
        <v>0</v>
      </c>
      <c r="Y126" s="364" t="s">
        <v>395</v>
      </c>
      <c r="Z126" s="364" t="s">
        <v>316</v>
      </c>
      <c r="AA126" s="365"/>
      <c r="AB126" s="365"/>
      <c r="AC126" s="365">
        <v>1</v>
      </c>
      <c r="AD126" s="440"/>
    </row>
    <row r="127" spans="2:39" s="147" customFormat="1" ht="27" customHeight="1">
      <c r="B127" s="875"/>
      <c r="C127" s="876"/>
      <c r="D127" s="360">
        <v>13</v>
      </c>
      <c r="E127" s="434"/>
      <c r="F127" s="435">
        <f t="shared" si="90"/>
        <v>0</v>
      </c>
      <c r="G127" s="363"/>
      <c r="H127" s="436"/>
      <c r="I127" s="436"/>
      <c r="J127" s="438" t="str">
        <f t="shared" si="91"/>
        <v>-</v>
      </c>
      <c r="K127" s="437"/>
      <c r="L127" s="438" t="str">
        <f t="shared" si="92"/>
        <v>-</v>
      </c>
      <c r="M127" s="437"/>
      <c r="N127" s="438" t="str">
        <f t="shared" si="93"/>
        <v>-</v>
      </c>
      <c r="O127" s="439">
        <f t="shared" si="94"/>
        <v>0</v>
      </c>
      <c r="P127" s="438" t="str">
        <f t="shared" si="95"/>
        <v>-</v>
      </c>
      <c r="Q127" s="436"/>
      <c r="R127" s="438" t="str">
        <f t="shared" si="96"/>
        <v>-</v>
      </c>
      <c r="S127" s="439">
        <f t="shared" si="97"/>
        <v>0</v>
      </c>
      <c r="T127" s="438" t="str">
        <f t="shared" si="98"/>
        <v>-</v>
      </c>
      <c r="U127" s="362">
        <f t="shared" si="99"/>
        <v>0</v>
      </c>
      <c r="V127" s="450">
        <f t="shared" si="100"/>
        <v>0</v>
      </c>
      <c r="W127" s="451" t="str">
        <f t="shared" si="101"/>
        <v>-</v>
      </c>
      <c r="X127" s="452">
        <f t="shared" si="102"/>
        <v>0</v>
      </c>
      <c r="Y127" s="364" t="s">
        <v>395</v>
      </c>
      <c r="Z127" s="364" t="s">
        <v>199</v>
      </c>
      <c r="AA127" s="365"/>
      <c r="AB127" s="365"/>
      <c r="AC127" s="365">
        <v>1</v>
      </c>
      <c r="AD127" s="440"/>
    </row>
    <row r="128" spans="2:39" s="147" customFormat="1" ht="27" customHeight="1">
      <c r="B128" s="875"/>
      <c r="C128" s="876"/>
      <c r="D128" s="360">
        <v>14</v>
      </c>
      <c r="E128" s="434"/>
      <c r="F128" s="435">
        <f t="shared" si="90"/>
        <v>0</v>
      </c>
      <c r="G128" s="363"/>
      <c r="H128" s="436"/>
      <c r="I128" s="436"/>
      <c r="J128" s="438" t="str">
        <f t="shared" si="91"/>
        <v>-</v>
      </c>
      <c r="K128" s="437"/>
      <c r="L128" s="438" t="str">
        <f t="shared" si="92"/>
        <v>-</v>
      </c>
      <c r="M128" s="437"/>
      <c r="N128" s="438" t="str">
        <f t="shared" si="93"/>
        <v>-</v>
      </c>
      <c r="O128" s="439">
        <f t="shared" si="94"/>
        <v>0</v>
      </c>
      <c r="P128" s="438" t="str">
        <f t="shared" si="95"/>
        <v>-</v>
      </c>
      <c r="Q128" s="436"/>
      <c r="R128" s="438" t="str">
        <f t="shared" si="96"/>
        <v>-</v>
      </c>
      <c r="S128" s="439">
        <f t="shared" si="97"/>
        <v>0</v>
      </c>
      <c r="T128" s="438" t="str">
        <f t="shared" si="98"/>
        <v>-</v>
      </c>
      <c r="U128" s="362">
        <f t="shared" si="99"/>
        <v>0</v>
      </c>
      <c r="V128" s="450">
        <f t="shared" si="100"/>
        <v>0</v>
      </c>
      <c r="W128" s="451" t="str">
        <f t="shared" si="101"/>
        <v>-</v>
      </c>
      <c r="X128" s="452">
        <f t="shared" si="102"/>
        <v>0</v>
      </c>
      <c r="Y128" s="364" t="s">
        <v>395</v>
      </c>
      <c r="Z128" s="364" t="s">
        <v>421</v>
      </c>
      <c r="AA128" s="364"/>
      <c r="AB128" s="365"/>
      <c r="AC128" s="365">
        <v>1</v>
      </c>
      <c r="AD128" s="440"/>
    </row>
    <row r="129" spans="2:30" s="147" customFormat="1" ht="27" customHeight="1">
      <c r="B129" s="875"/>
      <c r="C129" s="876"/>
      <c r="D129" s="360">
        <v>15</v>
      </c>
      <c r="E129" s="434"/>
      <c r="F129" s="435">
        <f t="shared" si="90"/>
        <v>0</v>
      </c>
      <c r="G129" s="363"/>
      <c r="H129" s="436"/>
      <c r="I129" s="436"/>
      <c r="J129" s="438" t="str">
        <f t="shared" si="91"/>
        <v>-</v>
      </c>
      <c r="K129" s="437"/>
      <c r="L129" s="438" t="str">
        <f t="shared" si="92"/>
        <v>-</v>
      </c>
      <c r="M129" s="437"/>
      <c r="N129" s="438" t="str">
        <f t="shared" si="93"/>
        <v>-</v>
      </c>
      <c r="O129" s="439">
        <f t="shared" si="94"/>
        <v>0</v>
      </c>
      <c r="P129" s="438" t="str">
        <f t="shared" si="95"/>
        <v>-</v>
      </c>
      <c r="Q129" s="436"/>
      <c r="R129" s="438" t="str">
        <f t="shared" si="96"/>
        <v>-</v>
      </c>
      <c r="S129" s="439">
        <f t="shared" si="97"/>
        <v>0</v>
      </c>
      <c r="T129" s="438" t="str">
        <f t="shared" si="98"/>
        <v>-</v>
      </c>
      <c r="U129" s="362">
        <f t="shared" si="99"/>
        <v>0</v>
      </c>
      <c r="V129" s="450">
        <f t="shared" si="100"/>
        <v>0</v>
      </c>
      <c r="W129" s="451" t="str">
        <f t="shared" si="101"/>
        <v>-</v>
      </c>
      <c r="X129" s="452">
        <f t="shared" si="102"/>
        <v>0</v>
      </c>
      <c r="Y129" s="364" t="s">
        <v>395</v>
      </c>
      <c r="Z129" s="364" t="s">
        <v>421</v>
      </c>
      <c r="AA129" s="365"/>
      <c r="AB129" s="365"/>
      <c r="AC129" s="365">
        <v>1</v>
      </c>
      <c r="AD129" s="440"/>
    </row>
    <row r="130" spans="2:30" s="147" customFormat="1" ht="27" customHeight="1">
      <c r="B130" s="875"/>
      <c r="C130" s="876"/>
      <c r="D130" s="360">
        <v>16</v>
      </c>
      <c r="E130" s="434"/>
      <c r="F130" s="435">
        <f t="shared" si="90"/>
        <v>0</v>
      </c>
      <c r="G130" s="363"/>
      <c r="H130" s="436"/>
      <c r="I130" s="436"/>
      <c r="J130" s="438" t="str">
        <f t="shared" si="91"/>
        <v>-</v>
      </c>
      <c r="K130" s="437"/>
      <c r="L130" s="438" t="str">
        <f t="shared" si="92"/>
        <v>-</v>
      </c>
      <c r="M130" s="437"/>
      <c r="N130" s="438" t="str">
        <f t="shared" si="93"/>
        <v>-</v>
      </c>
      <c r="O130" s="439">
        <f t="shared" si="94"/>
        <v>0</v>
      </c>
      <c r="P130" s="438" t="str">
        <f t="shared" si="95"/>
        <v>-</v>
      </c>
      <c r="Q130" s="436"/>
      <c r="R130" s="438" t="str">
        <f t="shared" si="96"/>
        <v>-</v>
      </c>
      <c r="S130" s="439">
        <f t="shared" si="97"/>
        <v>0</v>
      </c>
      <c r="T130" s="438" t="str">
        <f t="shared" si="98"/>
        <v>-</v>
      </c>
      <c r="U130" s="362">
        <f t="shared" si="99"/>
        <v>0</v>
      </c>
      <c r="V130" s="450">
        <f t="shared" si="100"/>
        <v>0</v>
      </c>
      <c r="W130" s="451" t="str">
        <f t="shared" si="101"/>
        <v>-</v>
      </c>
      <c r="X130" s="452">
        <f t="shared" si="102"/>
        <v>0</v>
      </c>
      <c r="Y130" s="364" t="s">
        <v>395</v>
      </c>
      <c r="Z130" s="364" t="s">
        <v>316</v>
      </c>
      <c r="AA130" s="376"/>
      <c r="AB130" s="365"/>
      <c r="AC130" s="365">
        <v>1</v>
      </c>
      <c r="AD130" s="440"/>
    </row>
    <row r="131" spans="2:30" s="147" customFormat="1" ht="27" customHeight="1">
      <c r="B131" s="875"/>
      <c r="C131" s="876"/>
      <c r="D131" s="360">
        <v>17</v>
      </c>
      <c r="E131" s="434"/>
      <c r="F131" s="435">
        <f t="shared" si="90"/>
        <v>0</v>
      </c>
      <c r="G131" s="363"/>
      <c r="H131" s="436"/>
      <c r="I131" s="436"/>
      <c r="J131" s="438" t="str">
        <f t="shared" si="91"/>
        <v>-</v>
      </c>
      <c r="K131" s="437"/>
      <c r="L131" s="438" t="str">
        <f t="shared" si="92"/>
        <v>-</v>
      </c>
      <c r="M131" s="437"/>
      <c r="N131" s="438" t="str">
        <f t="shared" si="93"/>
        <v>-</v>
      </c>
      <c r="O131" s="439">
        <f t="shared" si="94"/>
        <v>0</v>
      </c>
      <c r="P131" s="438" t="str">
        <f t="shared" si="95"/>
        <v>-</v>
      </c>
      <c r="Q131" s="436"/>
      <c r="R131" s="438" t="str">
        <f t="shared" si="96"/>
        <v>-</v>
      </c>
      <c r="S131" s="439">
        <f t="shared" si="97"/>
        <v>0</v>
      </c>
      <c r="T131" s="438" t="str">
        <f t="shared" si="98"/>
        <v>-</v>
      </c>
      <c r="U131" s="362">
        <f t="shared" si="99"/>
        <v>0</v>
      </c>
      <c r="V131" s="450">
        <f t="shared" si="100"/>
        <v>0</v>
      </c>
      <c r="W131" s="451" t="str">
        <f t="shared" si="101"/>
        <v>-</v>
      </c>
      <c r="X131" s="452">
        <f t="shared" si="102"/>
        <v>0</v>
      </c>
      <c r="Y131" s="364" t="s">
        <v>395</v>
      </c>
      <c r="Z131" s="364" t="s">
        <v>421</v>
      </c>
      <c r="AA131" s="365"/>
      <c r="AB131" s="365"/>
      <c r="AC131" s="365">
        <v>1</v>
      </c>
      <c r="AD131" s="440"/>
    </row>
    <row r="132" spans="2:30" s="147" customFormat="1" ht="27" customHeight="1">
      <c r="B132" s="875"/>
      <c r="C132" s="876"/>
      <c r="D132" s="360">
        <v>18</v>
      </c>
      <c r="E132" s="434"/>
      <c r="F132" s="435">
        <f t="shared" si="90"/>
        <v>0</v>
      </c>
      <c r="G132" s="363"/>
      <c r="H132" s="436"/>
      <c r="I132" s="436"/>
      <c r="J132" s="438" t="str">
        <f t="shared" si="91"/>
        <v>-</v>
      </c>
      <c r="K132" s="437"/>
      <c r="L132" s="438" t="str">
        <f t="shared" si="92"/>
        <v>-</v>
      </c>
      <c r="M132" s="437"/>
      <c r="N132" s="438" t="str">
        <f t="shared" si="93"/>
        <v>-</v>
      </c>
      <c r="O132" s="439">
        <f t="shared" si="94"/>
        <v>0</v>
      </c>
      <c r="P132" s="438" t="str">
        <f t="shared" si="95"/>
        <v>-</v>
      </c>
      <c r="Q132" s="436"/>
      <c r="R132" s="438" t="str">
        <f t="shared" si="96"/>
        <v>-</v>
      </c>
      <c r="S132" s="439">
        <f t="shared" si="97"/>
        <v>0</v>
      </c>
      <c r="T132" s="438" t="str">
        <f t="shared" si="98"/>
        <v>-</v>
      </c>
      <c r="U132" s="362">
        <f t="shared" si="99"/>
        <v>0</v>
      </c>
      <c r="V132" s="450">
        <f t="shared" si="100"/>
        <v>0</v>
      </c>
      <c r="W132" s="451" t="str">
        <f t="shared" si="101"/>
        <v>-</v>
      </c>
      <c r="X132" s="452">
        <f t="shared" si="102"/>
        <v>0</v>
      </c>
      <c r="Y132" s="364" t="s">
        <v>395</v>
      </c>
      <c r="Z132" s="364" t="s">
        <v>421</v>
      </c>
      <c r="AA132" s="376"/>
      <c r="AB132" s="365"/>
      <c r="AC132" s="365">
        <v>1</v>
      </c>
      <c r="AD132" s="440"/>
    </row>
    <row r="133" spans="2:30" s="147" customFormat="1" ht="27" customHeight="1">
      <c r="B133" s="875"/>
      <c r="C133" s="876"/>
      <c r="D133" s="360">
        <v>19</v>
      </c>
      <c r="E133" s="434"/>
      <c r="F133" s="435">
        <f t="shared" si="90"/>
        <v>0</v>
      </c>
      <c r="G133" s="363"/>
      <c r="H133" s="436"/>
      <c r="I133" s="436"/>
      <c r="J133" s="438" t="str">
        <f t="shared" si="91"/>
        <v>-</v>
      </c>
      <c r="K133" s="437"/>
      <c r="L133" s="438" t="str">
        <f t="shared" si="92"/>
        <v>-</v>
      </c>
      <c r="M133" s="437"/>
      <c r="N133" s="438" t="str">
        <f t="shared" si="93"/>
        <v>-</v>
      </c>
      <c r="O133" s="439">
        <f t="shared" si="94"/>
        <v>0</v>
      </c>
      <c r="P133" s="438" t="str">
        <f t="shared" si="95"/>
        <v>-</v>
      </c>
      <c r="Q133" s="436"/>
      <c r="R133" s="438" t="str">
        <f t="shared" si="96"/>
        <v>-</v>
      </c>
      <c r="S133" s="439">
        <f t="shared" si="97"/>
        <v>0</v>
      </c>
      <c r="T133" s="438" t="str">
        <f t="shared" si="98"/>
        <v>-</v>
      </c>
      <c r="U133" s="362">
        <f t="shared" si="99"/>
        <v>0</v>
      </c>
      <c r="V133" s="450">
        <f t="shared" si="100"/>
        <v>0</v>
      </c>
      <c r="W133" s="451" t="str">
        <f t="shared" si="101"/>
        <v>-</v>
      </c>
      <c r="X133" s="452">
        <f t="shared" si="102"/>
        <v>0</v>
      </c>
      <c r="Y133" s="364" t="s">
        <v>395</v>
      </c>
      <c r="Z133" s="364" t="s">
        <v>421</v>
      </c>
      <c r="AA133" s="365"/>
      <c r="AB133" s="365"/>
      <c r="AC133" s="365">
        <v>1</v>
      </c>
      <c r="AD133" s="440"/>
    </row>
    <row r="134" spans="2:30" s="147" customFormat="1" ht="27" customHeight="1">
      <c r="B134" s="877"/>
      <c r="C134" s="878"/>
      <c r="D134" s="360">
        <v>20</v>
      </c>
      <c r="E134" s="434"/>
      <c r="F134" s="435">
        <f t="shared" si="90"/>
        <v>0</v>
      </c>
      <c r="G134" s="363"/>
      <c r="H134" s="436"/>
      <c r="I134" s="436"/>
      <c r="J134" s="438" t="str">
        <f t="shared" si="91"/>
        <v>-</v>
      </c>
      <c r="K134" s="437"/>
      <c r="L134" s="438" t="str">
        <f t="shared" si="92"/>
        <v>-</v>
      </c>
      <c r="M134" s="437"/>
      <c r="N134" s="438" t="str">
        <f t="shared" si="93"/>
        <v>-</v>
      </c>
      <c r="O134" s="439">
        <f t="shared" si="94"/>
        <v>0</v>
      </c>
      <c r="P134" s="438" t="str">
        <f t="shared" si="95"/>
        <v>-</v>
      </c>
      <c r="Q134" s="436"/>
      <c r="R134" s="438" t="str">
        <f t="shared" si="96"/>
        <v>-</v>
      </c>
      <c r="S134" s="439">
        <f t="shared" si="97"/>
        <v>0</v>
      </c>
      <c r="T134" s="438" t="str">
        <f t="shared" si="98"/>
        <v>-</v>
      </c>
      <c r="U134" s="362">
        <f t="shared" si="99"/>
        <v>0</v>
      </c>
      <c r="V134" s="450">
        <f t="shared" si="100"/>
        <v>0</v>
      </c>
      <c r="W134" s="451" t="str">
        <f t="shared" si="101"/>
        <v>-</v>
      </c>
      <c r="X134" s="452">
        <f t="shared" si="102"/>
        <v>0</v>
      </c>
      <c r="Y134" s="364" t="s">
        <v>395</v>
      </c>
      <c r="Z134" s="364" t="s">
        <v>421</v>
      </c>
      <c r="AA134" s="365"/>
      <c r="AB134" s="365"/>
      <c r="AC134" s="365">
        <v>1</v>
      </c>
      <c r="AD134" s="440"/>
    </row>
  </sheetData>
  <mergeCells count="128">
    <mergeCell ref="AD91:AD92"/>
    <mergeCell ref="AF91:AM93"/>
    <mergeCell ref="B93:C112"/>
    <mergeCell ref="O91:P91"/>
    <mergeCell ref="Q91:R91"/>
    <mergeCell ref="S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M3:N3"/>
    <mergeCell ref="AD3:AD4"/>
    <mergeCell ref="B5:C24"/>
    <mergeCell ref="O3:P3"/>
    <mergeCell ref="Q3:R3"/>
    <mergeCell ref="S3:U3"/>
    <mergeCell ref="Y3:Y4"/>
    <mergeCell ref="Z3:Z4"/>
    <mergeCell ref="AA3:AA4"/>
    <mergeCell ref="AB3:AB4"/>
    <mergeCell ref="AC3:AC4"/>
    <mergeCell ref="B3:C4"/>
    <mergeCell ref="D3:D4"/>
    <mergeCell ref="E3:E4"/>
    <mergeCell ref="F3:F4"/>
    <mergeCell ref="G3:G4"/>
    <mergeCell ref="H3:H4"/>
    <mergeCell ref="I3:J3"/>
    <mergeCell ref="V3:X3"/>
    <mergeCell ref="AF3:AM5"/>
    <mergeCell ref="B2:AD2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O25:P25"/>
    <mergeCell ref="Q25:R25"/>
    <mergeCell ref="S25:U25"/>
    <mergeCell ref="V25:X25"/>
    <mergeCell ref="Y25:Y26"/>
    <mergeCell ref="Z25:Z26"/>
    <mergeCell ref="AA25:AA26"/>
    <mergeCell ref="AB25:AB26"/>
    <mergeCell ref="AC25:AC26"/>
    <mergeCell ref="AD25:AD26"/>
    <mergeCell ref="AF25:AM27"/>
    <mergeCell ref="B27:C46"/>
    <mergeCell ref="K3:L3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R47"/>
    <mergeCell ref="S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R69"/>
    <mergeCell ref="S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AD113:AD114"/>
    <mergeCell ref="AF113:AM115"/>
    <mergeCell ref="B115:C134"/>
    <mergeCell ref="O113:P113"/>
    <mergeCell ref="Q113:R113"/>
    <mergeCell ref="S113:U113"/>
    <mergeCell ref="V113:X113"/>
    <mergeCell ref="Y113:Y114"/>
    <mergeCell ref="Z113:Z114"/>
    <mergeCell ref="AA113:AA114"/>
    <mergeCell ref="AB113:AB114"/>
    <mergeCell ref="AC113:AC114"/>
    <mergeCell ref="B113:C114"/>
    <mergeCell ref="D113:D114"/>
    <mergeCell ref="E113:E114"/>
    <mergeCell ref="F113:F114"/>
    <mergeCell ref="G113:G114"/>
    <mergeCell ref="H113:H114"/>
    <mergeCell ref="I113:J113"/>
    <mergeCell ref="K113:L113"/>
    <mergeCell ref="M113:N113"/>
  </mergeCells>
  <phoneticPr fontId="13" type="noConversion"/>
  <dataValidations count="1">
    <dataValidation type="list" allowBlank="1" showInputMessage="1" showErrorMessage="1" sqref="Y1:Z3 Y93:Y112 Y27:Y46 Y25:Z25 Y47:Z47 Y91:Z91 Y49:Y68 Y69:Z69 Y5:Y24 Y71:Y90 Y135:Z1048576 Y115:Y134 Y113:Z113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E90-1640-482A-AF46-3B43A43683D4}">
  <sheetPr>
    <tabColor rgb="FF92D050"/>
    <pageSetUpPr fitToPage="1"/>
  </sheetPr>
  <dimension ref="B2:AN134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4" sqref="A4"/>
      <selection pane="bottomRight" activeCell="E93" sqref="E93:N112"/>
    </sheetView>
  </sheetViews>
  <sheetFormatPr defaultColWidth="8.85546875" defaultRowHeight="16.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897" t="s">
        <v>424</v>
      </c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8"/>
      <c r="T2" s="898"/>
      <c r="U2" s="898"/>
      <c r="V2" s="898"/>
      <c r="W2" s="898"/>
      <c r="X2" s="898"/>
      <c r="Y2" s="898"/>
      <c r="Z2" s="898"/>
      <c r="AA2" s="898"/>
      <c r="AB2" s="898"/>
      <c r="AD2" s="146"/>
      <c r="AE2" s="146"/>
      <c r="AF2" s="146"/>
      <c r="AG2" s="146"/>
    </row>
    <row r="3" spans="2:39" ht="17.100000000000001" customHeight="1">
      <c r="B3" s="889" t="s">
        <v>419</v>
      </c>
      <c r="C3" s="890"/>
      <c r="D3" s="893" t="s">
        <v>501</v>
      </c>
      <c r="E3" s="894" t="s">
        <v>502</v>
      </c>
      <c r="F3" s="909" t="s">
        <v>518</v>
      </c>
      <c r="G3" s="862" t="s">
        <v>504</v>
      </c>
      <c r="H3" s="896" t="s">
        <v>505</v>
      </c>
      <c r="I3" s="879" t="s">
        <v>506</v>
      </c>
      <c r="J3" s="880"/>
      <c r="K3" s="879" t="s">
        <v>507</v>
      </c>
      <c r="L3" s="880"/>
      <c r="M3" s="879" t="s">
        <v>508</v>
      </c>
      <c r="N3" s="880"/>
      <c r="O3" s="879" t="s">
        <v>509</v>
      </c>
      <c r="P3" s="880"/>
      <c r="Q3" s="879" t="s">
        <v>396</v>
      </c>
      <c r="R3" s="908"/>
      <c r="S3" s="880"/>
      <c r="T3" s="881" t="s">
        <v>567</v>
      </c>
      <c r="U3" s="882"/>
      <c r="V3" s="884" t="s">
        <v>566</v>
      </c>
      <c r="W3" s="885"/>
      <c r="X3" s="886"/>
      <c r="Y3" s="887" t="s">
        <v>168</v>
      </c>
      <c r="Z3" s="887" t="s">
        <v>228</v>
      </c>
      <c r="AA3" s="887" t="s">
        <v>510</v>
      </c>
      <c r="AB3" s="887" t="s">
        <v>420</v>
      </c>
      <c r="AC3" s="887" t="s">
        <v>229</v>
      </c>
      <c r="AD3" s="862" t="s">
        <v>169</v>
      </c>
      <c r="AF3" s="864" t="s">
        <v>230</v>
      </c>
      <c r="AG3" s="865"/>
      <c r="AH3" s="865"/>
      <c r="AI3" s="865"/>
      <c r="AJ3" s="865"/>
      <c r="AK3" s="865"/>
      <c r="AL3" s="865"/>
      <c r="AM3" s="866"/>
    </row>
    <row r="4" spans="2:39" ht="16.5" customHeight="1">
      <c r="B4" s="891"/>
      <c r="C4" s="892"/>
      <c r="D4" s="893"/>
      <c r="E4" s="893"/>
      <c r="F4" s="895"/>
      <c r="G4" s="863"/>
      <c r="H4" s="863"/>
      <c r="I4" s="433" t="s">
        <v>511</v>
      </c>
      <c r="J4" s="361" t="s">
        <v>512</v>
      </c>
      <c r="K4" s="433" t="s">
        <v>511</v>
      </c>
      <c r="L4" s="361" t="s">
        <v>512</v>
      </c>
      <c r="M4" s="433" t="s">
        <v>511</v>
      </c>
      <c r="N4" s="361" t="s">
        <v>512</v>
      </c>
      <c r="O4" s="433" t="s">
        <v>511</v>
      </c>
      <c r="P4" s="361" t="s">
        <v>512</v>
      </c>
      <c r="Q4" s="433" t="s">
        <v>511</v>
      </c>
      <c r="R4" s="361" t="s">
        <v>512</v>
      </c>
      <c r="S4" s="361" t="s">
        <v>513</v>
      </c>
      <c r="T4" s="433" t="s">
        <v>511</v>
      </c>
      <c r="U4" s="361" t="s">
        <v>512</v>
      </c>
      <c r="V4" s="433" t="s">
        <v>511</v>
      </c>
      <c r="W4" s="361" t="s">
        <v>512</v>
      </c>
      <c r="X4" s="361" t="s">
        <v>513</v>
      </c>
      <c r="Y4" s="888"/>
      <c r="Z4" s="888"/>
      <c r="AA4" s="888"/>
      <c r="AB4" s="888"/>
      <c r="AC4" s="888"/>
      <c r="AD4" s="863"/>
      <c r="AF4" s="867"/>
      <c r="AG4" s="868"/>
      <c r="AH4" s="868"/>
      <c r="AI4" s="868"/>
      <c r="AJ4" s="868"/>
      <c r="AK4" s="868"/>
      <c r="AL4" s="868"/>
      <c r="AM4" s="869"/>
    </row>
    <row r="5" spans="2:39" s="147" customFormat="1" ht="27" customHeight="1">
      <c r="B5" s="873" t="s">
        <v>612</v>
      </c>
      <c r="C5" s="874"/>
      <c r="D5" s="360">
        <v>1</v>
      </c>
      <c r="E5" s="434" t="s">
        <v>315</v>
      </c>
      <c r="F5" s="362">
        <f>IFERROR(T5*G5,"-")</f>
        <v>9664.0365000000293</v>
      </c>
      <c r="G5" s="363">
        <v>147.43000000000004</v>
      </c>
      <c r="H5" s="436">
        <v>3953.68</v>
      </c>
      <c r="I5" s="436">
        <v>3953.68</v>
      </c>
      <c r="J5" s="438">
        <f>IFERROR(I5/H5,"-")</f>
        <v>1</v>
      </c>
      <c r="K5" s="437">
        <v>3953.68</v>
      </c>
      <c r="L5" s="438">
        <f>IFERROR(K5/H5,"-")</f>
        <v>1</v>
      </c>
      <c r="M5" s="437">
        <v>65.55</v>
      </c>
      <c r="N5" s="438">
        <f>IFERROR(M5/H5,"-")</f>
        <v>1.6579490499989882E-2</v>
      </c>
      <c r="O5" s="439">
        <f>IFERROR(K5+M5,"-")</f>
        <v>4019.23</v>
      </c>
      <c r="P5" s="438">
        <f>IFERROR(O5/H5,"-")</f>
        <v>1.0165794904999899</v>
      </c>
      <c r="Q5" s="436">
        <v>10.24</v>
      </c>
      <c r="R5" s="438">
        <f>IFERROR(Q5/H5,"-")</f>
        <v>2.5899921086177942E-3</v>
      </c>
      <c r="S5" s="446">
        <f>IFERROR(Q5*G5,"-")</f>
        <v>1509.6832000000004</v>
      </c>
      <c r="T5" s="439">
        <f>IFERROR(O5-H5,"-")</f>
        <v>65.550000000000182</v>
      </c>
      <c r="U5" s="438">
        <f>IFERROR(T5/H5,"-")</f>
        <v>1.657949049998993E-2</v>
      </c>
      <c r="V5" s="450">
        <f>T5-Q5</f>
        <v>55.31000000000018</v>
      </c>
      <c r="W5" s="451">
        <f>IFERROR(V5/H5,"-")</f>
        <v>1.3989498391372136E-2</v>
      </c>
      <c r="X5" s="452">
        <f>IFERROR(V5*G5,"-")</f>
        <v>8154.3533000000289</v>
      </c>
      <c r="Y5" s="364" t="s">
        <v>170</v>
      </c>
      <c r="Z5" s="364" t="s">
        <v>198</v>
      </c>
      <c r="AA5" s="365" t="s">
        <v>444</v>
      </c>
      <c r="AB5" s="365" t="s">
        <v>486</v>
      </c>
      <c r="AC5" s="365">
        <v>1</v>
      </c>
      <c r="AD5" s="440" t="s">
        <v>319</v>
      </c>
      <c r="AF5" s="870"/>
      <c r="AG5" s="871"/>
      <c r="AH5" s="871"/>
      <c r="AI5" s="871"/>
      <c r="AJ5" s="871"/>
      <c r="AK5" s="871"/>
      <c r="AL5" s="871"/>
      <c r="AM5" s="872"/>
    </row>
    <row r="6" spans="2:39" s="147" customFormat="1" ht="27" customHeight="1">
      <c r="B6" s="875"/>
      <c r="C6" s="876"/>
      <c r="D6" s="360">
        <v>2</v>
      </c>
      <c r="E6" s="434" t="s">
        <v>559</v>
      </c>
      <c r="F6" s="362">
        <f t="shared" ref="F6:F24" si="0">IFERROR(T6*G6,"-")</f>
        <v>6847.7836000000334</v>
      </c>
      <c r="G6" s="363">
        <v>625.93999999999994</v>
      </c>
      <c r="H6" s="436">
        <v>1254.52</v>
      </c>
      <c r="I6" s="436">
        <v>1254.52</v>
      </c>
      <c r="J6" s="438">
        <f t="shared" ref="J6:J24" si="1">IFERROR(I6/H6,"-")</f>
        <v>1</v>
      </c>
      <c r="K6" s="437">
        <v>1254.52</v>
      </c>
      <c r="L6" s="438">
        <f t="shared" ref="L6:L24" si="2">IFERROR(K6/H6,"-")</f>
        <v>1</v>
      </c>
      <c r="M6" s="437">
        <v>10.940000000000001</v>
      </c>
      <c r="N6" s="438">
        <f t="shared" ref="N6:N24" si="3">IFERROR(M6/H6,"-")</f>
        <v>8.7204667920798406E-3</v>
      </c>
      <c r="O6" s="439">
        <f t="shared" ref="O6:O24" si="4">IFERROR(K6+M6,"-")</f>
        <v>1265.46</v>
      </c>
      <c r="P6" s="438">
        <f t="shared" ref="P6:P24" si="5">IFERROR(O6/H6,"-")</f>
        <v>1.0087204667920799</v>
      </c>
      <c r="Q6" s="436">
        <v>2.31</v>
      </c>
      <c r="R6" s="438">
        <f t="shared" ref="R6:R24" si="6">IFERROR(Q6/H6,"-")</f>
        <v>1.841341708382489E-3</v>
      </c>
      <c r="S6" s="446">
        <f t="shared" ref="S6:S24" si="7">IFERROR(Q6*G6,"-")</f>
        <v>1445.9213999999999</v>
      </c>
      <c r="T6" s="439">
        <f t="shared" ref="T6:T24" si="8">IFERROR(O6-H6,"-")</f>
        <v>10.940000000000055</v>
      </c>
      <c r="U6" s="438">
        <f t="shared" ref="U6:U24" si="9">IFERROR(T6/H6,"-")</f>
        <v>8.7204667920798822E-3</v>
      </c>
      <c r="V6" s="450">
        <f t="shared" ref="V6:V24" si="10">T6-Q6</f>
        <v>8.6300000000000541</v>
      </c>
      <c r="W6" s="451">
        <f t="shared" ref="W6:W24" si="11">IFERROR(V6/H6,"-")</f>
        <v>6.8791250836973935E-3</v>
      </c>
      <c r="X6" s="452">
        <f t="shared" ref="X6:X24" si="12">IFERROR(V6*G6,"-")</f>
        <v>5401.8622000000332</v>
      </c>
      <c r="Y6" s="364" t="s">
        <v>170</v>
      </c>
      <c r="Z6" s="364" t="s">
        <v>199</v>
      </c>
      <c r="AA6" s="365" t="s">
        <v>616</v>
      </c>
      <c r="AB6" s="365" t="s">
        <v>617</v>
      </c>
      <c r="AC6" s="365">
        <v>1</v>
      </c>
      <c r="AD6" s="440" t="s">
        <v>560</v>
      </c>
      <c r="AF6" s="160" t="s">
        <v>227</v>
      </c>
      <c r="AG6" s="160" t="s">
        <v>421</v>
      </c>
      <c r="AH6" s="155" t="s">
        <v>514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75"/>
      <c r="C7" s="876"/>
      <c r="D7" s="360">
        <v>3</v>
      </c>
      <c r="E7" s="434" t="s">
        <v>364</v>
      </c>
      <c r="F7" s="362">
        <f t="shared" si="0"/>
        <v>6379.2160000000122</v>
      </c>
      <c r="G7" s="363">
        <v>127.84000000000002</v>
      </c>
      <c r="H7" s="436">
        <v>3677.04</v>
      </c>
      <c r="I7" s="436">
        <v>3677.04</v>
      </c>
      <c r="J7" s="438">
        <f t="shared" si="1"/>
        <v>1</v>
      </c>
      <c r="K7" s="437">
        <v>3677.04</v>
      </c>
      <c r="L7" s="438">
        <f t="shared" si="2"/>
        <v>1</v>
      </c>
      <c r="M7" s="437">
        <v>49.9</v>
      </c>
      <c r="N7" s="438">
        <f t="shared" si="3"/>
        <v>1.357069817026739E-2</v>
      </c>
      <c r="O7" s="439">
        <f t="shared" si="4"/>
        <v>3726.94</v>
      </c>
      <c r="P7" s="438">
        <f t="shared" si="5"/>
        <v>1.0135706981702675</v>
      </c>
      <c r="Q7" s="436">
        <v>9.27</v>
      </c>
      <c r="R7" s="438">
        <f t="shared" si="6"/>
        <v>2.5210495398472685E-3</v>
      </c>
      <c r="S7" s="446">
        <f t="shared" si="7"/>
        <v>1185.0768</v>
      </c>
      <c r="T7" s="439">
        <f t="shared" si="8"/>
        <v>49.900000000000091</v>
      </c>
      <c r="U7" s="438">
        <f t="shared" si="9"/>
        <v>1.3570698170267414E-2</v>
      </c>
      <c r="V7" s="450">
        <f t="shared" si="10"/>
        <v>40.630000000000095</v>
      </c>
      <c r="W7" s="451">
        <f t="shared" si="11"/>
        <v>1.1049648630420147E-2</v>
      </c>
      <c r="X7" s="452">
        <f t="shared" si="12"/>
        <v>5194.1392000000133</v>
      </c>
      <c r="Y7" s="364" t="s">
        <v>170</v>
      </c>
      <c r="Z7" s="364" t="s">
        <v>406</v>
      </c>
      <c r="AA7" s="365" t="s">
        <v>575</v>
      </c>
      <c r="AB7" s="365" t="s">
        <v>599</v>
      </c>
      <c r="AC7" s="365">
        <v>1</v>
      </c>
      <c r="AD7" s="440" t="s">
        <v>319</v>
      </c>
      <c r="AF7" s="370">
        <f>SUM(AC5:AC24)</f>
        <v>20</v>
      </c>
      <c r="AG7" s="366">
        <f>SUMIF($Z$5:$Z$24,TRIM(AG6),$AC$5:$AC$24)</f>
        <v>0</v>
      </c>
      <c r="AH7" s="366">
        <f t="shared" ref="AH7:AM7" si="13">SUMIF($Z$5:$Z$24,TRIM(AH6),$AC$5:$AC$24)</f>
        <v>0</v>
      </c>
      <c r="AI7" s="366">
        <f t="shared" si="13"/>
        <v>0</v>
      </c>
      <c r="AJ7" s="366">
        <f t="shared" si="13"/>
        <v>13</v>
      </c>
      <c r="AK7" s="366">
        <f t="shared" si="13"/>
        <v>1</v>
      </c>
      <c r="AL7" s="366">
        <f t="shared" si="13"/>
        <v>6</v>
      </c>
      <c r="AM7" s="366">
        <f t="shared" si="13"/>
        <v>0</v>
      </c>
    </row>
    <row r="8" spans="2:39" s="147" customFormat="1" ht="27" customHeight="1">
      <c r="B8" s="875"/>
      <c r="C8" s="876"/>
      <c r="D8" s="360">
        <v>4</v>
      </c>
      <c r="E8" s="434" t="s">
        <v>495</v>
      </c>
      <c r="F8" s="362">
        <f t="shared" si="0"/>
        <v>5476.3916999999528</v>
      </c>
      <c r="G8" s="363">
        <v>39.389999999999993</v>
      </c>
      <c r="H8" s="436">
        <v>25178.400000000001</v>
      </c>
      <c r="I8" s="436">
        <v>25178.400000000001</v>
      </c>
      <c r="J8" s="438">
        <f t="shared" si="1"/>
        <v>1</v>
      </c>
      <c r="K8" s="437">
        <v>25178.400000000001</v>
      </c>
      <c r="L8" s="438">
        <f t="shared" si="2"/>
        <v>1</v>
      </c>
      <c r="M8" s="437">
        <v>139.03</v>
      </c>
      <c r="N8" s="438">
        <f t="shared" si="3"/>
        <v>5.5217964604581705E-3</v>
      </c>
      <c r="O8" s="439">
        <f t="shared" si="4"/>
        <v>25317.43</v>
      </c>
      <c r="P8" s="438">
        <f t="shared" si="5"/>
        <v>1.0055217964604581</v>
      </c>
      <c r="Q8" s="436">
        <v>28.92</v>
      </c>
      <c r="R8" s="438">
        <f t="shared" si="6"/>
        <v>1.1486035649604424E-3</v>
      </c>
      <c r="S8" s="446">
        <f t="shared" si="7"/>
        <v>1139.1587999999999</v>
      </c>
      <c r="T8" s="439">
        <f t="shared" si="8"/>
        <v>139.02999999999884</v>
      </c>
      <c r="U8" s="438">
        <f t="shared" si="9"/>
        <v>5.5217964604581237E-3</v>
      </c>
      <c r="V8" s="450">
        <f t="shared" si="10"/>
        <v>110.10999999999883</v>
      </c>
      <c r="W8" s="451">
        <f t="shared" si="11"/>
        <v>4.3731928954976818E-3</v>
      </c>
      <c r="X8" s="452">
        <f t="shared" si="12"/>
        <v>4337.2328999999536</v>
      </c>
      <c r="Y8" s="364" t="s">
        <v>170</v>
      </c>
      <c r="Z8" s="364" t="s">
        <v>199</v>
      </c>
      <c r="AA8" s="365" t="s">
        <v>574</v>
      </c>
      <c r="AB8" s="365" t="s">
        <v>601</v>
      </c>
      <c r="AC8" s="365">
        <v>1</v>
      </c>
      <c r="AD8" s="440" t="s">
        <v>319</v>
      </c>
      <c r="AF8" s="371" t="s">
        <v>11</v>
      </c>
      <c r="AG8" s="368">
        <f t="shared" ref="AG8:AM8" si="14">SUMIF($Z$5:$Z$24,TRIM(AG6),$F$5:$F$24)</f>
        <v>0</v>
      </c>
      <c r="AH8" s="368">
        <f t="shared" si="14"/>
        <v>0</v>
      </c>
      <c r="AI8" s="368">
        <f t="shared" si="14"/>
        <v>0</v>
      </c>
      <c r="AJ8" s="368">
        <f t="shared" si="14"/>
        <v>51502.644800000031</v>
      </c>
      <c r="AK8" s="368">
        <f t="shared" si="14"/>
        <v>9664.0365000000293</v>
      </c>
      <c r="AL8" s="368">
        <f t="shared" si="14"/>
        <v>28695.622699999996</v>
      </c>
      <c r="AM8" s="368">
        <f t="shared" si="14"/>
        <v>0</v>
      </c>
    </row>
    <row r="9" spans="2:39" s="147" customFormat="1" ht="27" customHeight="1">
      <c r="B9" s="875"/>
      <c r="C9" s="876"/>
      <c r="D9" s="360">
        <v>5</v>
      </c>
      <c r="E9" s="434" t="s">
        <v>434</v>
      </c>
      <c r="F9" s="362">
        <f t="shared" si="0"/>
        <v>5153.8336000000418</v>
      </c>
      <c r="G9" s="363">
        <v>407.74000000000007</v>
      </c>
      <c r="H9" s="436">
        <v>1055.45</v>
      </c>
      <c r="I9" s="436">
        <v>1055.45</v>
      </c>
      <c r="J9" s="438">
        <f t="shared" si="1"/>
        <v>1</v>
      </c>
      <c r="K9" s="437">
        <v>1055.45</v>
      </c>
      <c r="L9" s="438">
        <f t="shared" si="2"/>
        <v>1</v>
      </c>
      <c r="M9" s="437">
        <v>12.64</v>
      </c>
      <c r="N9" s="438">
        <f t="shared" si="3"/>
        <v>1.1975934435548818E-2</v>
      </c>
      <c r="O9" s="439">
        <f t="shared" si="4"/>
        <v>1068.0900000000001</v>
      </c>
      <c r="P9" s="438">
        <f t="shared" si="5"/>
        <v>1.011975934435549</v>
      </c>
      <c r="Q9" s="436">
        <v>2.98</v>
      </c>
      <c r="R9" s="438">
        <f t="shared" si="6"/>
        <v>2.8234402387607182E-3</v>
      </c>
      <c r="S9" s="446">
        <f t="shared" si="7"/>
        <v>1215.0652000000002</v>
      </c>
      <c r="T9" s="439">
        <f t="shared" si="8"/>
        <v>12.6400000000001</v>
      </c>
      <c r="U9" s="438">
        <f t="shared" si="9"/>
        <v>1.1975934435548912E-2</v>
      </c>
      <c r="V9" s="450">
        <f t="shared" si="10"/>
        <v>9.6600000000000996</v>
      </c>
      <c r="W9" s="451">
        <f t="shared" si="11"/>
        <v>9.152494196788194E-3</v>
      </c>
      <c r="X9" s="452">
        <f t="shared" si="12"/>
        <v>3938.7684000000413</v>
      </c>
      <c r="Y9" s="364" t="s">
        <v>170</v>
      </c>
      <c r="Z9" s="364" t="s">
        <v>199</v>
      </c>
      <c r="AA9" s="365" t="s">
        <v>446</v>
      </c>
      <c r="AB9" s="365" t="s">
        <v>600</v>
      </c>
      <c r="AC9" s="365">
        <v>1</v>
      </c>
      <c r="AD9" s="440" t="s">
        <v>436</v>
      </c>
      <c r="AF9" s="360" t="s">
        <v>515</v>
      </c>
      <c r="AG9" s="369">
        <f t="shared" ref="AG9:AM9" si="15">AG7/$AF7</f>
        <v>0</v>
      </c>
      <c r="AH9" s="369">
        <f t="shared" si="15"/>
        <v>0</v>
      </c>
      <c r="AI9" s="369">
        <f t="shared" si="15"/>
        <v>0</v>
      </c>
      <c r="AJ9" s="369">
        <f t="shared" si="15"/>
        <v>0.65</v>
      </c>
      <c r="AK9" s="369">
        <f t="shared" si="15"/>
        <v>0.05</v>
      </c>
      <c r="AL9" s="369">
        <f t="shared" si="15"/>
        <v>0.3</v>
      </c>
      <c r="AM9" s="369">
        <f t="shared" si="15"/>
        <v>0</v>
      </c>
    </row>
    <row r="10" spans="2:39" s="147" customFormat="1" ht="27" customHeight="1">
      <c r="B10" s="875"/>
      <c r="C10" s="876"/>
      <c r="D10" s="360">
        <v>6</v>
      </c>
      <c r="E10" s="434" t="s">
        <v>545</v>
      </c>
      <c r="F10" s="362">
        <f t="shared" si="0"/>
        <v>4425.0879999999916</v>
      </c>
      <c r="G10" s="363">
        <v>144.79999999999998</v>
      </c>
      <c r="H10" s="436">
        <v>1788.5900000000001</v>
      </c>
      <c r="I10" s="436">
        <v>1788.5900000000001</v>
      </c>
      <c r="J10" s="438">
        <f t="shared" si="1"/>
        <v>1</v>
      </c>
      <c r="K10" s="437">
        <v>1788.5900000000001</v>
      </c>
      <c r="L10" s="438">
        <f t="shared" si="2"/>
        <v>1</v>
      </c>
      <c r="M10" s="437">
        <v>30.560000000000002</v>
      </c>
      <c r="N10" s="438">
        <f t="shared" si="3"/>
        <v>1.7086084569409424E-2</v>
      </c>
      <c r="O10" s="439">
        <f t="shared" si="4"/>
        <v>1819.15</v>
      </c>
      <c r="P10" s="438">
        <f t="shared" si="5"/>
        <v>1.0170860845694094</v>
      </c>
      <c r="Q10" s="436">
        <v>5.85</v>
      </c>
      <c r="R10" s="438">
        <f t="shared" si="6"/>
        <v>3.2707328118797485E-3</v>
      </c>
      <c r="S10" s="446">
        <f t="shared" si="7"/>
        <v>847.07999999999981</v>
      </c>
      <c r="T10" s="439">
        <f t="shared" si="8"/>
        <v>30.559999999999945</v>
      </c>
      <c r="U10" s="438">
        <f t="shared" si="9"/>
        <v>1.7086084569409393E-2</v>
      </c>
      <c r="V10" s="450">
        <f t="shared" si="10"/>
        <v>24.709999999999944</v>
      </c>
      <c r="W10" s="451">
        <f t="shared" si="11"/>
        <v>1.3815351757529641E-2</v>
      </c>
      <c r="X10" s="452">
        <f t="shared" si="12"/>
        <v>3578.0079999999916</v>
      </c>
      <c r="Y10" s="364" t="s">
        <v>170</v>
      </c>
      <c r="Z10" s="364" t="s">
        <v>406</v>
      </c>
      <c r="AA10" s="365" t="s">
        <v>447</v>
      </c>
      <c r="AB10" s="365" t="s">
        <v>487</v>
      </c>
      <c r="AC10" s="365">
        <v>1</v>
      </c>
      <c r="AD10" s="440" t="s">
        <v>319</v>
      </c>
    </row>
    <row r="11" spans="2:39" s="147" customFormat="1" ht="27" customHeight="1">
      <c r="B11" s="875"/>
      <c r="C11" s="876"/>
      <c r="D11" s="360">
        <v>7</v>
      </c>
      <c r="E11" s="434" t="s">
        <v>589</v>
      </c>
      <c r="F11" s="362">
        <f t="shared" si="0"/>
        <v>4284.7973999999886</v>
      </c>
      <c r="G11" s="363">
        <v>52.26</v>
      </c>
      <c r="H11" s="436">
        <v>4942.3499999999995</v>
      </c>
      <c r="I11" s="436">
        <v>4942.3499999999995</v>
      </c>
      <c r="J11" s="438">
        <f t="shared" si="1"/>
        <v>1</v>
      </c>
      <c r="K11" s="437">
        <v>4942.3499999999995</v>
      </c>
      <c r="L11" s="438">
        <f t="shared" si="2"/>
        <v>1</v>
      </c>
      <c r="M11" s="437">
        <v>81.990000000000009</v>
      </c>
      <c r="N11" s="438">
        <f t="shared" si="3"/>
        <v>1.6589274333060188E-2</v>
      </c>
      <c r="O11" s="439">
        <f t="shared" si="4"/>
        <v>5024.3399999999992</v>
      </c>
      <c r="P11" s="438">
        <f t="shared" si="5"/>
        <v>1.0165892743330602</v>
      </c>
      <c r="Q11" s="436">
        <v>17.259999999999998</v>
      </c>
      <c r="R11" s="438">
        <f t="shared" si="6"/>
        <v>3.4922658249618098E-3</v>
      </c>
      <c r="S11" s="446">
        <f t="shared" si="7"/>
        <v>902.00759999999991</v>
      </c>
      <c r="T11" s="439">
        <f t="shared" si="8"/>
        <v>81.989999999999782</v>
      </c>
      <c r="U11" s="438">
        <f t="shared" si="9"/>
        <v>1.6589274333060143E-2</v>
      </c>
      <c r="V11" s="450">
        <f t="shared" si="10"/>
        <v>64.729999999999791</v>
      </c>
      <c r="W11" s="451">
        <f t="shared" si="11"/>
        <v>1.3097008508098333E-2</v>
      </c>
      <c r="X11" s="452">
        <f t="shared" si="12"/>
        <v>3382.7897999999891</v>
      </c>
      <c r="Y11" s="364" t="s">
        <v>170</v>
      </c>
      <c r="Z11" s="364" t="s">
        <v>199</v>
      </c>
      <c r="AA11" s="365" t="s">
        <v>574</v>
      </c>
      <c r="AB11" s="365" t="s">
        <v>601</v>
      </c>
      <c r="AC11" s="365">
        <v>1</v>
      </c>
      <c r="AD11" s="440" t="s">
        <v>578</v>
      </c>
    </row>
    <row r="12" spans="2:39" s="147" customFormat="1" ht="27" customHeight="1">
      <c r="B12" s="875"/>
      <c r="C12" s="876"/>
      <c r="D12" s="360">
        <v>8</v>
      </c>
      <c r="E12" s="434" t="s">
        <v>398</v>
      </c>
      <c r="F12" s="362">
        <f t="shared" si="0"/>
        <v>4230.9159999999938</v>
      </c>
      <c r="G12" s="363">
        <v>157.87000000000003</v>
      </c>
      <c r="H12" s="436">
        <v>1547.94</v>
      </c>
      <c r="I12" s="436">
        <v>1547.94</v>
      </c>
      <c r="J12" s="438">
        <f t="shared" si="1"/>
        <v>1</v>
      </c>
      <c r="K12" s="437">
        <v>1547.94</v>
      </c>
      <c r="L12" s="438">
        <f t="shared" si="2"/>
        <v>1</v>
      </c>
      <c r="M12" s="437">
        <v>26.799999999999997</v>
      </c>
      <c r="N12" s="438">
        <f t="shared" si="3"/>
        <v>1.7313332558109486E-2</v>
      </c>
      <c r="O12" s="439">
        <f t="shared" si="4"/>
        <v>1574.74</v>
      </c>
      <c r="P12" s="438">
        <f t="shared" si="5"/>
        <v>1.0173133325581094</v>
      </c>
      <c r="Q12" s="436">
        <v>4.53</v>
      </c>
      <c r="R12" s="438">
        <f t="shared" si="6"/>
        <v>2.9264700182177602E-3</v>
      </c>
      <c r="S12" s="446">
        <f t="shared" si="7"/>
        <v>715.15110000000016</v>
      </c>
      <c r="T12" s="439">
        <f t="shared" si="8"/>
        <v>26.799999999999955</v>
      </c>
      <c r="U12" s="438">
        <f t="shared" si="9"/>
        <v>1.7313332558109459E-2</v>
      </c>
      <c r="V12" s="450">
        <f t="shared" si="10"/>
        <v>22.269999999999953</v>
      </c>
      <c r="W12" s="451">
        <f t="shared" si="11"/>
        <v>1.4386862539891696E-2</v>
      </c>
      <c r="X12" s="452">
        <f t="shared" si="12"/>
        <v>3515.7648999999933</v>
      </c>
      <c r="Y12" s="364" t="s">
        <v>170</v>
      </c>
      <c r="Z12" s="364" t="s">
        <v>406</v>
      </c>
      <c r="AA12" s="365" t="s">
        <v>497</v>
      </c>
      <c r="AB12" s="365" t="s">
        <v>576</v>
      </c>
      <c r="AC12" s="365">
        <v>1</v>
      </c>
      <c r="AD12" s="440" t="s">
        <v>319</v>
      </c>
    </row>
    <row r="13" spans="2:39" s="147" customFormat="1" ht="27" customHeight="1">
      <c r="B13" s="875"/>
      <c r="C13" s="876"/>
      <c r="D13" s="360">
        <v>9</v>
      </c>
      <c r="E13" s="434" t="s">
        <v>563</v>
      </c>
      <c r="F13" s="362">
        <f t="shared" si="0"/>
        <v>4190.095800000021</v>
      </c>
      <c r="G13" s="363">
        <v>426.69</v>
      </c>
      <c r="H13" s="436">
        <v>905.77</v>
      </c>
      <c r="I13" s="436">
        <v>905.77</v>
      </c>
      <c r="J13" s="438">
        <f t="shared" si="1"/>
        <v>1</v>
      </c>
      <c r="K13" s="437">
        <v>905.77</v>
      </c>
      <c r="L13" s="438">
        <f t="shared" si="2"/>
        <v>1</v>
      </c>
      <c r="M13" s="437">
        <v>9.82</v>
      </c>
      <c r="N13" s="438">
        <f t="shared" si="3"/>
        <v>1.0841604380803074E-2</v>
      </c>
      <c r="O13" s="439">
        <f t="shared" si="4"/>
        <v>915.59</v>
      </c>
      <c r="P13" s="438">
        <f t="shared" si="5"/>
        <v>1.0108416043808031</v>
      </c>
      <c r="Q13" s="436">
        <v>2.4</v>
      </c>
      <c r="R13" s="438">
        <f t="shared" si="6"/>
        <v>2.6496792784040098E-3</v>
      </c>
      <c r="S13" s="446">
        <f t="shared" si="7"/>
        <v>1024.056</v>
      </c>
      <c r="T13" s="439">
        <f t="shared" si="8"/>
        <v>9.82000000000005</v>
      </c>
      <c r="U13" s="438">
        <f t="shared" si="9"/>
        <v>1.084160438080313E-2</v>
      </c>
      <c r="V13" s="450">
        <f t="shared" si="10"/>
        <v>7.4200000000000497</v>
      </c>
      <c r="W13" s="451">
        <f t="shared" si="11"/>
        <v>8.1919251023991196E-3</v>
      </c>
      <c r="X13" s="452">
        <f t="shared" si="12"/>
        <v>3166.0398000000214</v>
      </c>
      <c r="Y13" s="364" t="s">
        <v>170</v>
      </c>
      <c r="Z13" s="364" t="s">
        <v>406</v>
      </c>
      <c r="AA13" s="365" t="s">
        <v>447</v>
      </c>
      <c r="AB13" s="365" t="s">
        <v>487</v>
      </c>
      <c r="AC13" s="365">
        <v>1</v>
      </c>
      <c r="AD13" s="440" t="s">
        <v>336</v>
      </c>
      <c r="AH13" s="367"/>
    </row>
    <row r="14" spans="2:39" s="147" customFormat="1" ht="27" customHeight="1">
      <c r="B14" s="875"/>
      <c r="C14" s="876"/>
      <c r="D14" s="360">
        <v>10</v>
      </c>
      <c r="E14" s="434" t="s">
        <v>441</v>
      </c>
      <c r="F14" s="362">
        <f t="shared" si="0"/>
        <v>4106.0376000000188</v>
      </c>
      <c r="G14" s="363">
        <v>266.27999999999997</v>
      </c>
      <c r="H14" s="436">
        <v>1054.8400000000001</v>
      </c>
      <c r="I14" s="436">
        <v>1054.8400000000001</v>
      </c>
      <c r="J14" s="438">
        <f t="shared" si="1"/>
        <v>1</v>
      </c>
      <c r="K14" s="437">
        <v>1054.8400000000001</v>
      </c>
      <c r="L14" s="438">
        <f t="shared" si="2"/>
        <v>1</v>
      </c>
      <c r="M14" s="437">
        <v>15.42</v>
      </c>
      <c r="N14" s="438">
        <f t="shared" si="3"/>
        <v>1.4618330742103065E-2</v>
      </c>
      <c r="O14" s="439">
        <f t="shared" si="4"/>
        <v>1070.2600000000002</v>
      </c>
      <c r="P14" s="438">
        <f t="shared" si="5"/>
        <v>1.0146183307421031</v>
      </c>
      <c r="Q14" s="436">
        <v>2.6</v>
      </c>
      <c r="R14" s="438">
        <f t="shared" si="6"/>
        <v>2.4648287892002577E-3</v>
      </c>
      <c r="S14" s="446">
        <f t="shared" si="7"/>
        <v>692.32799999999997</v>
      </c>
      <c r="T14" s="439">
        <f t="shared" si="8"/>
        <v>15.420000000000073</v>
      </c>
      <c r="U14" s="438">
        <f t="shared" si="9"/>
        <v>1.4618330742103135E-2</v>
      </c>
      <c r="V14" s="450">
        <f t="shared" si="10"/>
        <v>12.820000000000073</v>
      </c>
      <c r="W14" s="451">
        <f t="shared" si="11"/>
        <v>1.2153501952902877E-2</v>
      </c>
      <c r="X14" s="452">
        <f t="shared" si="12"/>
        <v>3413.7096000000192</v>
      </c>
      <c r="Y14" s="364" t="s">
        <v>170</v>
      </c>
      <c r="Z14" s="364" t="s">
        <v>406</v>
      </c>
      <c r="AA14" s="365" t="s">
        <v>446</v>
      </c>
      <c r="AB14" s="365" t="s">
        <v>487</v>
      </c>
      <c r="AC14" s="365">
        <v>1</v>
      </c>
      <c r="AD14" s="440" t="s">
        <v>442</v>
      </c>
      <c r="AH14" s="367"/>
    </row>
    <row r="15" spans="2:39" s="147" customFormat="1" ht="27" customHeight="1">
      <c r="B15" s="875"/>
      <c r="C15" s="876"/>
      <c r="D15" s="360">
        <v>11</v>
      </c>
      <c r="E15" s="434" t="s">
        <v>614</v>
      </c>
      <c r="F15" s="362">
        <f t="shared" si="0"/>
        <v>4088.7999999999965</v>
      </c>
      <c r="G15" s="363">
        <v>760</v>
      </c>
      <c r="H15" s="436">
        <v>250</v>
      </c>
      <c r="I15" s="436">
        <v>250</v>
      </c>
      <c r="J15" s="438">
        <f t="shared" si="1"/>
        <v>1</v>
      </c>
      <c r="K15" s="437">
        <v>250</v>
      </c>
      <c r="L15" s="438">
        <f t="shared" si="2"/>
        <v>1</v>
      </c>
      <c r="M15" s="437">
        <v>5.3800000000000008</v>
      </c>
      <c r="N15" s="438">
        <f t="shared" si="3"/>
        <v>2.1520000000000004E-2</v>
      </c>
      <c r="O15" s="439">
        <f t="shared" si="4"/>
        <v>255.38</v>
      </c>
      <c r="P15" s="438">
        <f t="shared" si="5"/>
        <v>1.02152</v>
      </c>
      <c r="Q15" s="436">
        <v>0.94000000000000006</v>
      </c>
      <c r="R15" s="438">
        <f t="shared" si="6"/>
        <v>3.7600000000000003E-3</v>
      </c>
      <c r="S15" s="446">
        <f t="shared" si="7"/>
        <v>714.40000000000009</v>
      </c>
      <c r="T15" s="439">
        <f t="shared" si="8"/>
        <v>5.3799999999999955</v>
      </c>
      <c r="U15" s="438">
        <f t="shared" si="9"/>
        <v>2.151999999999998E-2</v>
      </c>
      <c r="V15" s="450">
        <f t="shared" si="10"/>
        <v>4.4399999999999951</v>
      </c>
      <c r="W15" s="451">
        <f t="shared" si="11"/>
        <v>1.7759999999999981E-2</v>
      </c>
      <c r="X15" s="452">
        <f t="shared" si="12"/>
        <v>3374.3999999999965</v>
      </c>
      <c r="Y15" s="364" t="s">
        <v>170</v>
      </c>
      <c r="Z15" s="364" t="s">
        <v>406</v>
      </c>
      <c r="AA15" s="365" t="s">
        <v>447</v>
      </c>
      <c r="AB15" s="365" t="s">
        <v>487</v>
      </c>
      <c r="AC15" s="365">
        <v>1</v>
      </c>
      <c r="AD15" s="440" t="s">
        <v>608</v>
      </c>
      <c r="AH15" s="367"/>
    </row>
    <row r="16" spans="2:39" s="147" customFormat="1" ht="27" customHeight="1">
      <c r="B16" s="875"/>
      <c r="C16" s="876"/>
      <c r="D16" s="360">
        <v>12</v>
      </c>
      <c r="E16" s="434" t="s">
        <v>498</v>
      </c>
      <c r="F16" s="362">
        <f t="shared" si="0"/>
        <v>3758.2859999999887</v>
      </c>
      <c r="G16" s="363">
        <v>62.43</v>
      </c>
      <c r="H16" s="436">
        <v>3651.6099999999997</v>
      </c>
      <c r="I16" s="436">
        <v>3651.6099999999997</v>
      </c>
      <c r="J16" s="438">
        <f t="shared" si="1"/>
        <v>1</v>
      </c>
      <c r="K16" s="437">
        <v>3651.6099999999997</v>
      </c>
      <c r="L16" s="438">
        <f t="shared" si="2"/>
        <v>1</v>
      </c>
      <c r="M16" s="437">
        <v>60.2</v>
      </c>
      <c r="N16" s="438">
        <f t="shared" si="3"/>
        <v>1.6485878831529108E-2</v>
      </c>
      <c r="O16" s="439">
        <f t="shared" si="4"/>
        <v>3711.8099999999995</v>
      </c>
      <c r="P16" s="438">
        <f t="shared" si="5"/>
        <v>1.016485878831529</v>
      </c>
      <c r="Q16" s="436">
        <v>16.23</v>
      </c>
      <c r="R16" s="438">
        <f t="shared" si="6"/>
        <v>4.4446148411248741E-3</v>
      </c>
      <c r="S16" s="446">
        <f t="shared" si="7"/>
        <v>1013.2389000000001</v>
      </c>
      <c r="T16" s="439">
        <f t="shared" si="8"/>
        <v>60.199999999999818</v>
      </c>
      <c r="U16" s="438">
        <f t="shared" si="9"/>
        <v>1.6485878831529056E-2</v>
      </c>
      <c r="V16" s="450">
        <f t="shared" si="10"/>
        <v>43.969999999999814</v>
      </c>
      <c r="W16" s="451">
        <f t="shared" si="11"/>
        <v>1.2041263990404182E-2</v>
      </c>
      <c r="X16" s="452">
        <f t="shared" si="12"/>
        <v>2745.0470999999884</v>
      </c>
      <c r="Y16" s="364" t="s">
        <v>170</v>
      </c>
      <c r="Z16" s="364" t="s">
        <v>199</v>
      </c>
      <c r="AA16" s="365" t="s">
        <v>574</v>
      </c>
      <c r="AB16" s="365" t="s">
        <v>601</v>
      </c>
      <c r="AC16" s="365">
        <v>1</v>
      </c>
      <c r="AD16" s="440" t="s">
        <v>610</v>
      </c>
      <c r="AH16" s="367"/>
    </row>
    <row r="17" spans="2:39" s="147" customFormat="1" ht="27" customHeight="1">
      <c r="B17" s="875"/>
      <c r="C17" s="876"/>
      <c r="D17" s="360">
        <v>13</v>
      </c>
      <c r="E17" s="434" t="s">
        <v>628</v>
      </c>
      <c r="F17" s="362">
        <f t="shared" si="0"/>
        <v>3713.1876000000011</v>
      </c>
      <c r="G17" s="363">
        <v>126.99</v>
      </c>
      <c r="H17" s="436">
        <v>1043.52</v>
      </c>
      <c r="I17" s="436">
        <v>1043.52</v>
      </c>
      <c r="J17" s="438">
        <f t="shared" si="1"/>
        <v>1</v>
      </c>
      <c r="K17" s="437">
        <v>1043.52</v>
      </c>
      <c r="L17" s="438">
        <f t="shared" si="2"/>
        <v>1</v>
      </c>
      <c r="M17" s="437">
        <v>29.24</v>
      </c>
      <c r="N17" s="438">
        <f t="shared" si="3"/>
        <v>2.8020545844832871E-2</v>
      </c>
      <c r="O17" s="439">
        <f t="shared" si="4"/>
        <v>1072.76</v>
      </c>
      <c r="P17" s="438">
        <f t="shared" si="5"/>
        <v>1.0280205458448328</v>
      </c>
      <c r="Q17" s="436">
        <v>6.66</v>
      </c>
      <c r="R17" s="438">
        <f t="shared" si="6"/>
        <v>6.3822447102115914E-3</v>
      </c>
      <c r="S17" s="446">
        <f t="shared" si="7"/>
        <v>845.75339999999994</v>
      </c>
      <c r="T17" s="439">
        <f t="shared" si="8"/>
        <v>29.240000000000009</v>
      </c>
      <c r="U17" s="438">
        <f t="shared" si="9"/>
        <v>2.8020545844832882E-2</v>
      </c>
      <c r="V17" s="450">
        <f t="shared" si="10"/>
        <v>22.580000000000009</v>
      </c>
      <c r="W17" s="451">
        <f t="shared" si="11"/>
        <v>2.1638301134621292E-2</v>
      </c>
      <c r="X17" s="452">
        <f t="shared" si="12"/>
        <v>2867.4342000000011</v>
      </c>
      <c r="Y17" s="364" t="s">
        <v>170</v>
      </c>
      <c r="Z17" s="364" t="s">
        <v>406</v>
      </c>
      <c r="AA17" s="365" t="s">
        <v>497</v>
      </c>
      <c r="AB17" s="365" t="s">
        <v>576</v>
      </c>
      <c r="AC17" s="365">
        <v>1</v>
      </c>
      <c r="AD17" s="440" t="s">
        <v>319</v>
      </c>
    </row>
    <row r="18" spans="2:39" s="147" customFormat="1" ht="27" customHeight="1">
      <c r="B18" s="875"/>
      <c r="C18" s="876"/>
      <c r="D18" s="360">
        <v>14</v>
      </c>
      <c r="E18" s="434" t="s">
        <v>410</v>
      </c>
      <c r="F18" s="362">
        <f t="shared" si="0"/>
        <v>3651.9488000000051</v>
      </c>
      <c r="G18" s="363">
        <v>368.13999999999993</v>
      </c>
      <c r="H18" s="436">
        <v>395.5</v>
      </c>
      <c r="I18" s="436">
        <v>395.5</v>
      </c>
      <c r="J18" s="438">
        <f t="shared" si="1"/>
        <v>1</v>
      </c>
      <c r="K18" s="437">
        <v>395.5</v>
      </c>
      <c r="L18" s="438">
        <f t="shared" si="2"/>
        <v>1</v>
      </c>
      <c r="M18" s="437">
        <v>9.9200000000000017</v>
      </c>
      <c r="N18" s="438">
        <f t="shared" si="3"/>
        <v>2.5082174462705442E-2</v>
      </c>
      <c r="O18" s="439">
        <f t="shared" si="4"/>
        <v>405.42</v>
      </c>
      <c r="P18" s="438">
        <f t="shared" si="5"/>
        <v>1.0250821744627054</v>
      </c>
      <c r="Q18" s="436">
        <v>2.37</v>
      </c>
      <c r="R18" s="438">
        <f t="shared" si="6"/>
        <v>5.992414664981037E-3</v>
      </c>
      <c r="S18" s="446">
        <f t="shared" si="7"/>
        <v>872.4917999999999</v>
      </c>
      <c r="T18" s="439">
        <f t="shared" si="8"/>
        <v>9.9200000000000159</v>
      </c>
      <c r="U18" s="438">
        <f t="shared" si="9"/>
        <v>2.5082174462705477E-2</v>
      </c>
      <c r="V18" s="450">
        <f t="shared" si="10"/>
        <v>7.5500000000000158</v>
      </c>
      <c r="W18" s="451">
        <f t="shared" si="11"/>
        <v>1.908975979772444E-2</v>
      </c>
      <c r="X18" s="452">
        <f t="shared" si="12"/>
        <v>2779.4570000000053</v>
      </c>
      <c r="Y18" s="364" t="s">
        <v>170</v>
      </c>
      <c r="Z18" s="364" t="s">
        <v>406</v>
      </c>
      <c r="AA18" s="365" t="s">
        <v>632</v>
      </c>
      <c r="AB18" s="365" t="s">
        <v>487</v>
      </c>
      <c r="AC18" s="365">
        <v>1</v>
      </c>
      <c r="AD18" s="440" t="s">
        <v>411</v>
      </c>
    </row>
    <row r="19" spans="2:39" s="147" customFormat="1" ht="27" customHeight="1">
      <c r="B19" s="875"/>
      <c r="C19" s="876"/>
      <c r="D19" s="360">
        <v>15</v>
      </c>
      <c r="E19" s="434" t="s">
        <v>613</v>
      </c>
      <c r="F19" s="362">
        <f t="shared" si="0"/>
        <v>3571.354799999991</v>
      </c>
      <c r="G19" s="363">
        <v>339.16</v>
      </c>
      <c r="H19" s="436">
        <v>612.54</v>
      </c>
      <c r="I19" s="436">
        <v>612.54</v>
      </c>
      <c r="J19" s="438">
        <f t="shared" si="1"/>
        <v>1</v>
      </c>
      <c r="K19" s="437">
        <v>612.54</v>
      </c>
      <c r="L19" s="438">
        <f t="shared" si="2"/>
        <v>1</v>
      </c>
      <c r="M19" s="437">
        <v>10.53</v>
      </c>
      <c r="N19" s="438">
        <f t="shared" si="3"/>
        <v>1.7190714075815457E-2</v>
      </c>
      <c r="O19" s="439">
        <f t="shared" si="4"/>
        <v>623.06999999999994</v>
      </c>
      <c r="P19" s="438">
        <f t="shared" si="5"/>
        <v>1.0171907140758154</v>
      </c>
      <c r="Q19" s="436">
        <v>1.51</v>
      </c>
      <c r="R19" s="438">
        <f t="shared" si="6"/>
        <v>2.465145133379045E-3</v>
      </c>
      <c r="S19" s="446">
        <f t="shared" si="7"/>
        <v>512.13160000000005</v>
      </c>
      <c r="T19" s="439">
        <f t="shared" si="8"/>
        <v>10.529999999999973</v>
      </c>
      <c r="U19" s="438">
        <f t="shared" si="9"/>
        <v>1.7190714075815412E-2</v>
      </c>
      <c r="V19" s="450">
        <f t="shared" si="10"/>
        <v>9.0199999999999729</v>
      </c>
      <c r="W19" s="451">
        <f t="shared" si="11"/>
        <v>1.4725568942436368E-2</v>
      </c>
      <c r="X19" s="452">
        <f t="shared" si="12"/>
        <v>3059.2231999999913</v>
      </c>
      <c r="Y19" s="364" t="s">
        <v>170</v>
      </c>
      <c r="Z19" s="364" t="s">
        <v>406</v>
      </c>
      <c r="AA19" s="365" t="s">
        <v>447</v>
      </c>
      <c r="AB19" s="365" t="s">
        <v>487</v>
      </c>
      <c r="AC19" s="365">
        <v>1</v>
      </c>
      <c r="AD19" s="440" t="s">
        <v>615</v>
      </c>
    </row>
    <row r="20" spans="2:39" s="147" customFormat="1" ht="27" customHeight="1">
      <c r="B20" s="875"/>
      <c r="C20" s="876"/>
      <c r="D20" s="360">
        <v>16</v>
      </c>
      <c r="E20" s="434" t="s">
        <v>553</v>
      </c>
      <c r="F20" s="362">
        <f t="shared" si="0"/>
        <v>3461.2120000000032</v>
      </c>
      <c r="G20" s="363">
        <v>127.72000000000001</v>
      </c>
      <c r="H20" s="436">
        <v>813</v>
      </c>
      <c r="I20" s="436">
        <v>813</v>
      </c>
      <c r="J20" s="438">
        <f t="shared" si="1"/>
        <v>1</v>
      </c>
      <c r="K20" s="437">
        <v>813</v>
      </c>
      <c r="L20" s="438">
        <f t="shared" si="2"/>
        <v>1</v>
      </c>
      <c r="M20" s="437">
        <v>27.1</v>
      </c>
      <c r="N20" s="438">
        <f t="shared" si="3"/>
        <v>3.3333333333333333E-2</v>
      </c>
      <c r="O20" s="439">
        <f t="shared" si="4"/>
        <v>840.1</v>
      </c>
      <c r="P20" s="438">
        <f t="shared" si="5"/>
        <v>1.0333333333333334</v>
      </c>
      <c r="Q20" s="436">
        <v>6.65</v>
      </c>
      <c r="R20" s="438">
        <f t="shared" si="6"/>
        <v>8.1795817958179584E-3</v>
      </c>
      <c r="S20" s="446">
        <f t="shared" si="7"/>
        <v>849.33800000000008</v>
      </c>
      <c r="T20" s="439">
        <f t="shared" si="8"/>
        <v>27.100000000000023</v>
      </c>
      <c r="U20" s="438">
        <f t="shared" si="9"/>
        <v>3.3333333333333361E-2</v>
      </c>
      <c r="V20" s="450">
        <f t="shared" si="10"/>
        <v>20.450000000000024</v>
      </c>
      <c r="W20" s="451">
        <f t="shared" si="11"/>
        <v>2.5153751537515406E-2</v>
      </c>
      <c r="X20" s="452">
        <f t="shared" si="12"/>
        <v>2611.8740000000034</v>
      </c>
      <c r="Y20" s="364" t="s">
        <v>170</v>
      </c>
      <c r="Z20" s="364" t="s">
        <v>406</v>
      </c>
      <c r="AA20" s="365" t="s">
        <v>447</v>
      </c>
      <c r="AB20" s="365" t="s">
        <v>487</v>
      </c>
      <c r="AC20" s="365">
        <v>1</v>
      </c>
      <c r="AD20" s="440" t="s">
        <v>524</v>
      </c>
    </row>
    <row r="21" spans="2:39" s="147" customFormat="1" ht="27" customHeight="1">
      <c r="B21" s="875"/>
      <c r="C21" s="876"/>
      <c r="D21" s="360">
        <v>17</v>
      </c>
      <c r="E21" s="434" t="s">
        <v>539</v>
      </c>
      <c r="F21" s="362">
        <f t="shared" si="0"/>
        <v>3299.3607999999936</v>
      </c>
      <c r="G21" s="363">
        <v>95.439999999999984</v>
      </c>
      <c r="H21" s="436">
        <v>1379.25</v>
      </c>
      <c r="I21" s="436">
        <v>1379.25</v>
      </c>
      <c r="J21" s="438">
        <f t="shared" si="1"/>
        <v>1</v>
      </c>
      <c r="K21" s="437">
        <v>1379.25</v>
      </c>
      <c r="L21" s="438">
        <f t="shared" si="2"/>
        <v>1</v>
      </c>
      <c r="M21" s="437">
        <v>34.57</v>
      </c>
      <c r="N21" s="438">
        <f t="shared" si="3"/>
        <v>2.5064346565162227E-2</v>
      </c>
      <c r="O21" s="439">
        <f t="shared" si="4"/>
        <v>1413.82</v>
      </c>
      <c r="P21" s="438">
        <f t="shared" si="5"/>
        <v>1.0250643465651621</v>
      </c>
      <c r="Q21" s="436">
        <v>8.9</v>
      </c>
      <c r="R21" s="438">
        <f t="shared" si="6"/>
        <v>6.4527823092260291E-3</v>
      </c>
      <c r="S21" s="446">
        <f t="shared" si="7"/>
        <v>849.41599999999994</v>
      </c>
      <c r="T21" s="439">
        <f t="shared" si="8"/>
        <v>34.569999999999936</v>
      </c>
      <c r="U21" s="438">
        <f t="shared" si="9"/>
        <v>2.5064346565162179E-2</v>
      </c>
      <c r="V21" s="450">
        <f t="shared" si="10"/>
        <v>25.669999999999938</v>
      </c>
      <c r="W21" s="451">
        <f t="shared" si="11"/>
        <v>1.8611564255936151E-2</v>
      </c>
      <c r="X21" s="452">
        <f t="shared" si="12"/>
        <v>2449.9447999999938</v>
      </c>
      <c r="Y21" s="364" t="s">
        <v>170</v>
      </c>
      <c r="Z21" s="364" t="s">
        <v>406</v>
      </c>
      <c r="AA21" s="365" t="s">
        <v>447</v>
      </c>
      <c r="AB21" s="365" t="s">
        <v>487</v>
      </c>
      <c r="AC21" s="365">
        <v>1</v>
      </c>
      <c r="AD21" s="440" t="s">
        <v>319</v>
      </c>
    </row>
    <row r="22" spans="2:39" s="147" customFormat="1" ht="27" customHeight="1">
      <c r="B22" s="875"/>
      <c r="C22" s="876"/>
      <c r="D22" s="360">
        <v>18</v>
      </c>
      <c r="E22" s="434" t="s">
        <v>499</v>
      </c>
      <c r="F22" s="362">
        <f t="shared" si="0"/>
        <v>3255.5799000000011</v>
      </c>
      <c r="G22" s="363">
        <v>66.13</v>
      </c>
      <c r="H22" s="436">
        <v>1930.46</v>
      </c>
      <c r="I22" s="436">
        <v>1930.46</v>
      </c>
      <c r="J22" s="438">
        <f t="shared" si="1"/>
        <v>1</v>
      </c>
      <c r="K22" s="437">
        <v>1930.46</v>
      </c>
      <c r="L22" s="438">
        <f t="shared" si="2"/>
        <v>1</v>
      </c>
      <c r="M22" s="437">
        <v>49.230000000000004</v>
      </c>
      <c r="N22" s="438">
        <f t="shared" si="3"/>
        <v>2.5501693896791439E-2</v>
      </c>
      <c r="O22" s="439">
        <f t="shared" si="4"/>
        <v>1979.69</v>
      </c>
      <c r="P22" s="438">
        <f t="shared" si="5"/>
        <v>1.0255016938967914</v>
      </c>
      <c r="Q22" s="436">
        <v>12.86</v>
      </c>
      <c r="R22" s="438">
        <f t="shared" si="6"/>
        <v>6.6616246904882773E-3</v>
      </c>
      <c r="S22" s="446">
        <f t="shared" si="7"/>
        <v>850.43179999999995</v>
      </c>
      <c r="T22" s="439">
        <f t="shared" si="8"/>
        <v>49.230000000000018</v>
      </c>
      <c r="U22" s="438">
        <f t="shared" si="9"/>
        <v>2.5501693896791446E-2</v>
      </c>
      <c r="V22" s="450">
        <f t="shared" si="10"/>
        <v>36.370000000000019</v>
      </c>
      <c r="W22" s="451">
        <f t="shared" si="11"/>
        <v>1.884006920630317E-2</v>
      </c>
      <c r="X22" s="452">
        <f t="shared" si="12"/>
        <v>2405.1481000000013</v>
      </c>
      <c r="Y22" s="364" t="s">
        <v>170</v>
      </c>
      <c r="Z22" s="364" t="s">
        <v>406</v>
      </c>
      <c r="AA22" s="365" t="s">
        <v>445</v>
      </c>
      <c r="AB22" s="365" t="s">
        <v>618</v>
      </c>
      <c r="AC22" s="365">
        <v>1</v>
      </c>
      <c r="AD22" s="440" t="s">
        <v>320</v>
      </c>
    </row>
    <row r="23" spans="2:39" s="147" customFormat="1" ht="27" customHeight="1">
      <c r="B23" s="875"/>
      <c r="C23" s="876"/>
      <c r="D23" s="360">
        <v>19</v>
      </c>
      <c r="E23" s="434" t="s">
        <v>547</v>
      </c>
      <c r="F23" s="362">
        <f t="shared" si="0"/>
        <v>3174.5303999999901</v>
      </c>
      <c r="G23" s="363">
        <v>49.82</v>
      </c>
      <c r="H23" s="436">
        <v>2538.25</v>
      </c>
      <c r="I23" s="436">
        <v>2538.25</v>
      </c>
      <c r="J23" s="438">
        <f t="shared" si="1"/>
        <v>1</v>
      </c>
      <c r="K23" s="437">
        <v>2538.25</v>
      </c>
      <c r="L23" s="438">
        <f t="shared" si="2"/>
        <v>1</v>
      </c>
      <c r="M23" s="437">
        <v>63.72</v>
      </c>
      <c r="N23" s="438">
        <f t="shared" si="3"/>
        <v>2.5103910174332708E-2</v>
      </c>
      <c r="O23" s="439">
        <f t="shared" si="4"/>
        <v>2601.9699999999998</v>
      </c>
      <c r="P23" s="438">
        <f t="shared" si="5"/>
        <v>1.0251039101743327</v>
      </c>
      <c r="Q23" s="436">
        <v>17.059999999999999</v>
      </c>
      <c r="R23" s="438">
        <f t="shared" si="6"/>
        <v>6.7211661577858753E-3</v>
      </c>
      <c r="S23" s="446">
        <f t="shared" si="7"/>
        <v>849.92919999999992</v>
      </c>
      <c r="T23" s="439">
        <f t="shared" si="8"/>
        <v>63.7199999999998</v>
      </c>
      <c r="U23" s="438">
        <f t="shared" si="9"/>
        <v>2.5103910174332632E-2</v>
      </c>
      <c r="V23" s="450">
        <f t="shared" si="10"/>
        <v>46.659999999999798</v>
      </c>
      <c r="W23" s="451">
        <f t="shared" si="11"/>
        <v>1.8382744016546753E-2</v>
      </c>
      <c r="X23" s="452">
        <f t="shared" si="12"/>
        <v>2324.6011999999901</v>
      </c>
      <c r="Y23" s="364" t="s">
        <v>170</v>
      </c>
      <c r="Z23" s="364" t="s">
        <v>199</v>
      </c>
      <c r="AA23" s="365" t="s">
        <v>497</v>
      </c>
      <c r="AB23" s="365" t="s">
        <v>576</v>
      </c>
      <c r="AC23" s="365">
        <v>1</v>
      </c>
      <c r="AD23" s="440" t="s">
        <v>537</v>
      </c>
    </row>
    <row r="24" spans="2:39" s="147" customFormat="1" ht="27" customHeight="1">
      <c r="B24" s="877"/>
      <c r="C24" s="878"/>
      <c r="D24" s="360">
        <v>20</v>
      </c>
      <c r="E24" s="434" t="s">
        <v>335</v>
      </c>
      <c r="F24" s="362">
        <f t="shared" si="0"/>
        <v>3129.8475000000012</v>
      </c>
      <c r="G24" s="363">
        <v>152.75</v>
      </c>
      <c r="H24" s="436">
        <v>1086.05</v>
      </c>
      <c r="I24" s="436">
        <v>1086.05</v>
      </c>
      <c r="J24" s="438">
        <f t="shared" si="1"/>
        <v>1</v>
      </c>
      <c r="K24" s="437">
        <v>1086.05</v>
      </c>
      <c r="L24" s="438">
        <f t="shared" si="2"/>
        <v>1</v>
      </c>
      <c r="M24" s="437">
        <v>20.490000000000002</v>
      </c>
      <c r="N24" s="438">
        <f t="shared" si="3"/>
        <v>1.8866534689931404E-2</v>
      </c>
      <c r="O24" s="439">
        <f t="shared" si="4"/>
        <v>1106.54</v>
      </c>
      <c r="P24" s="438">
        <f t="shared" si="5"/>
        <v>1.0188665346899315</v>
      </c>
      <c r="Q24" s="436">
        <v>5.5600000000000005</v>
      </c>
      <c r="R24" s="438">
        <f t="shared" si="6"/>
        <v>5.1194696376778244E-3</v>
      </c>
      <c r="S24" s="446">
        <f t="shared" si="7"/>
        <v>849.29000000000008</v>
      </c>
      <c r="T24" s="439">
        <f t="shared" si="8"/>
        <v>20.490000000000009</v>
      </c>
      <c r="U24" s="438">
        <f t="shared" si="9"/>
        <v>1.8866534689931411E-2</v>
      </c>
      <c r="V24" s="450">
        <f t="shared" si="10"/>
        <v>14.930000000000009</v>
      </c>
      <c r="W24" s="451">
        <f t="shared" si="11"/>
        <v>1.3747065052253588E-2</v>
      </c>
      <c r="X24" s="452">
        <f t="shared" si="12"/>
        <v>2280.5575000000013</v>
      </c>
      <c r="Y24" s="364" t="s">
        <v>170</v>
      </c>
      <c r="Z24" s="364" t="s">
        <v>406</v>
      </c>
      <c r="AA24" s="365" t="s">
        <v>447</v>
      </c>
      <c r="AB24" s="365" t="s">
        <v>487</v>
      </c>
      <c r="AC24" s="365">
        <v>1</v>
      </c>
      <c r="AD24" s="440" t="s">
        <v>336</v>
      </c>
    </row>
    <row r="25" spans="2:39" ht="17.100000000000001" customHeight="1">
      <c r="B25" s="889" t="s">
        <v>419</v>
      </c>
      <c r="C25" s="890"/>
      <c r="D25" s="893" t="s">
        <v>501</v>
      </c>
      <c r="E25" s="894" t="s">
        <v>502</v>
      </c>
      <c r="F25" s="909" t="s">
        <v>518</v>
      </c>
      <c r="G25" s="862" t="s">
        <v>504</v>
      </c>
      <c r="H25" s="896" t="s">
        <v>505</v>
      </c>
      <c r="I25" s="879" t="s">
        <v>506</v>
      </c>
      <c r="J25" s="880"/>
      <c r="K25" s="879" t="s">
        <v>507</v>
      </c>
      <c r="L25" s="880"/>
      <c r="M25" s="879" t="s">
        <v>508</v>
      </c>
      <c r="N25" s="880"/>
      <c r="O25" s="879" t="s">
        <v>509</v>
      </c>
      <c r="P25" s="880"/>
      <c r="Q25" s="879" t="s">
        <v>396</v>
      </c>
      <c r="R25" s="908"/>
      <c r="S25" s="880"/>
      <c r="T25" s="881" t="s">
        <v>567</v>
      </c>
      <c r="U25" s="882"/>
      <c r="V25" s="884" t="s">
        <v>566</v>
      </c>
      <c r="W25" s="885"/>
      <c r="X25" s="886"/>
      <c r="Y25" s="887" t="s">
        <v>168</v>
      </c>
      <c r="Z25" s="887" t="s">
        <v>228</v>
      </c>
      <c r="AA25" s="887" t="s">
        <v>510</v>
      </c>
      <c r="AB25" s="887" t="s">
        <v>420</v>
      </c>
      <c r="AC25" s="887" t="s">
        <v>229</v>
      </c>
      <c r="AD25" s="862" t="s">
        <v>169</v>
      </c>
      <c r="AF25" s="864" t="s">
        <v>230</v>
      </c>
      <c r="AG25" s="865"/>
      <c r="AH25" s="865"/>
      <c r="AI25" s="865"/>
      <c r="AJ25" s="865"/>
      <c r="AK25" s="865"/>
      <c r="AL25" s="865"/>
      <c r="AM25" s="866"/>
    </row>
    <row r="26" spans="2:39" ht="16.5" customHeight="1">
      <c r="B26" s="891"/>
      <c r="C26" s="892"/>
      <c r="D26" s="893"/>
      <c r="E26" s="893"/>
      <c r="F26" s="895"/>
      <c r="G26" s="863"/>
      <c r="H26" s="863"/>
      <c r="I26" s="433" t="s">
        <v>511</v>
      </c>
      <c r="J26" s="361" t="s">
        <v>512</v>
      </c>
      <c r="K26" s="433" t="s">
        <v>511</v>
      </c>
      <c r="L26" s="361" t="s">
        <v>512</v>
      </c>
      <c r="M26" s="433" t="s">
        <v>511</v>
      </c>
      <c r="N26" s="361" t="s">
        <v>512</v>
      </c>
      <c r="O26" s="433" t="s">
        <v>511</v>
      </c>
      <c r="P26" s="361" t="s">
        <v>512</v>
      </c>
      <c r="Q26" s="433" t="s">
        <v>511</v>
      </c>
      <c r="R26" s="361" t="s">
        <v>512</v>
      </c>
      <c r="S26" s="361" t="s">
        <v>513</v>
      </c>
      <c r="T26" s="433" t="s">
        <v>511</v>
      </c>
      <c r="U26" s="361" t="s">
        <v>512</v>
      </c>
      <c r="V26" s="433" t="s">
        <v>511</v>
      </c>
      <c r="W26" s="361" t="s">
        <v>512</v>
      </c>
      <c r="X26" s="361" t="s">
        <v>513</v>
      </c>
      <c r="Y26" s="888"/>
      <c r="Z26" s="888"/>
      <c r="AA26" s="888"/>
      <c r="AB26" s="888"/>
      <c r="AC26" s="888"/>
      <c r="AD26" s="863"/>
      <c r="AF26" s="867"/>
      <c r="AG26" s="868"/>
      <c r="AH26" s="868"/>
      <c r="AI26" s="868"/>
      <c r="AJ26" s="868"/>
      <c r="AK26" s="868"/>
      <c r="AL26" s="868"/>
      <c r="AM26" s="869"/>
    </row>
    <row r="27" spans="2:39" s="147" customFormat="1" ht="27" customHeight="1">
      <c r="B27" s="873" t="s">
        <v>644</v>
      </c>
      <c r="C27" s="874"/>
      <c r="D27" s="360">
        <v>1</v>
      </c>
      <c r="E27" s="434" t="s">
        <v>315</v>
      </c>
      <c r="F27" s="362">
        <f>IFERROR(T27*G27,"-")</f>
        <v>8752.9190999999864</v>
      </c>
      <c r="G27" s="363">
        <v>147.43000000000004</v>
      </c>
      <c r="H27" s="436">
        <v>3543.6600000000003</v>
      </c>
      <c r="I27" s="436">
        <v>3543.6600000000003</v>
      </c>
      <c r="J27" s="438">
        <f>IFERROR(I27/H27,"-")</f>
        <v>1</v>
      </c>
      <c r="K27" s="437">
        <v>3543.6600000000003</v>
      </c>
      <c r="L27" s="438">
        <f>IFERROR(K27/H27,"-")</f>
        <v>1</v>
      </c>
      <c r="M27" s="437">
        <v>59.37</v>
      </c>
      <c r="N27" s="438">
        <f>IFERROR(M27/H27,"-")</f>
        <v>1.675386464841435E-2</v>
      </c>
      <c r="O27" s="439">
        <f>IFERROR(K27+M27,"-")</f>
        <v>3603.03</v>
      </c>
      <c r="P27" s="438">
        <f>IFERROR(O27/H27,"-")</f>
        <v>1.0167538646484142</v>
      </c>
      <c r="Q27" s="436">
        <v>8.7800000000000011</v>
      </c>
      <c r="R27" s="438">
        <f>IFERROR(Q27/H27,"-")</f>
        <v>2.4776643357432714E-3</v>
      </c>
      <c r="S27" s="446">
        <f>IFERROR(Q27*G27,"-")</f>
        <v>1294.4354000000005</v>
      </c>
      <c r="T27" s="439">
        <f>IFERROR(O27-H27,"-")</f>
        <v>59.369999999999891</v>
      </c>
      <c r="U27" s="438">
        <f>IFERROR(T27/H27,"-")</f>
        <v>1.6753864648414319E-2</v>
      </c>
      <c r="V27" s="450">
        <f>T27-Q27</f>
        <v>50.58999999999989</v>
      </c>
      <c r="W27" s="451">
        <f>IFERROR(V27/H27,"-")</f>
        <v>1.4276200312671048E-2</v>
      </c>
      <c r="X27" s="452">
        <f>IFERROR(V27*G27,"-")</f>
        <v>7458.4836999999852</v>
      </c>
      <c r="Y27" s="364" t="s">
        <v>170</v>
      </c>
      <c r="Z27" s="364" t="s">
        <v>198</v>
      </c>
      <c r="AA27" s="365" t="s">
        <v>444</v>
      </c>
      <c r="AB27" s="365" t="s">
        <v>486</v>
      </c>
      <c r="AC27" s="365">
        <v>1</v>
      </c>
      <c r="AD27" s="440" t="s">
        <v>319</v>
      </c>
      <c r="AF27" s="870"/>
      <c r="AG27" s="871"/>
      <c r="AH27" s="871"/>
      <c r="AI27" s="871"/>
      <c r="AJ27" s="871"/>
      <c r="AK27" s="871"/>
      <c r="AL27" s="871"/>
      <c r="AM27" s="872"/>
    </row>
    <row r="28" spans="2:39" s="147" customFormat="1" ht="27" customHeight="1">
      <c r="B28" s="875"/>
      <c r="C28" s="876"/>
      <c r="D28" s="360">
        <v>2</v>
      </c>
      <c r="E28" s="434" t="s">
        <v>559</v>
      </c>
      <c r="F28" s="362">
        <f t="shared" ref="F28:F46" si="16">IFERROR(T28*G28,"-")</f>
        <v>6697.5580000000282</v>
      </c>
      <c r="G28" s="363">
        <v>625.93999999999994</v>
      </c>
      <c r="H28" s="436">
        <v>1221.19</v>
      </c>
      <c r="I28" s="436">
        <v>1221.19</v>
      </c>
      <c r="J28" s="438">
        <f t="shared" ref="J28:J46" si="17">IFERROR(I28/H28,"-")</f>
        <v>1</v>
      </c>
      <c r="K28" s="437">
        <v>1221.19</v>
      </c>
      <c r="L28" s="438">
        <f t="shared" ref="L28:L46" si="18">IFERROR(K28/H28,"-")</f>
        <v>1</v>
      </c>
      <c r="M28" s="437">
        <v>10.7</v>
      </c>
      <c r="N28" s="438">
        <f t="shared" ref="N28:N46" si="19">IFERROR(M28/H28,"-")</f>
        <v>8.7619453156347494E-3</v>
      </c>
      <c r="O28" s="439">
        <f t="shared" ref="O28:O46" si="20">IFERROR(K28+M28,"-")</f>
        <v>1231.8900000000001</v>
      </c>
      <c r="P28" s="438">
        <f t="shared" ref="P28:P46" si="21">IFERROR(O28/H28,"-")</f>
        <v>1.0087619453156347</v>
      </c>
      <c r="Q28" s="436">
        <v>1.96</v>
      </c>
      <c r="R28" s="438">
        <f t="shared" ref="R28:R46" si="22">IFERROR(Q28/H28,"-")</f>
        <v>1.6049918522097297E-3</v>
      </c>
      <c r="S28" s="446">
        <f t="shared" ref="S28:S46" si="23">IFERROR(Q28*G28,"-")</f>
        <v>1226.8423999999998</v>
      </c>
      <c r="T28" s="439">
        <f t="shared" ref="T28:T46" si="24">IFERROR(O28-H28,"-")</f>
        <v>10.700000000000045</v>
      </c>
      <c r="U28" s="438">
        <f t="shared" ref="U28:U46" si="25">IFERROR(T28/H28,"-")</f>
        <v>8.7619453156347858E-3</v>
      </c>
      <c r="V28" s="450">
        <f t="shared" ref="V28:V46" si="26">T28-Q28</f>
        <v>8.7400000000000446</v>
      </c>
      <c r="W28" s="451">
        <f t="shared" ref="W28:W46" si="27">IFERROR(V28/H28,"-")</f>
        <v>7.1569534634250559E-3</v>
      </c>
      <c r="X28" s="452">
        <f t="shared" ref="X28:X46" si="28">IFERROR(V28*G28,"-")</f>
        <v>5470.7156000000277</v>
      </c>
      <c r="Y28" s="364" t="s">
        <v>170</v>
      </c>
      <c r="Z28" s="364" t="s">
        <v>406</v>
      </c>
      <c r="AA28" s="365" t="s">
        <v>616</v>
      </c>
      <c r="AB28" s="365" t="s">
        <v>617</v>
      </c>
      <c r="AC28" s="365">
        <v>1</v>
      </c>
      <c r="AD28" s="440" t="s">
        <v>560</v>
      </c>
      <c r="AF28" s="160" t="s">
        <v>227</v>
      </c>
      <c r="AG28" s="160" t="s">
        <v>421</v>
      </c>
      <c r="AH28" s="155" t="s">
        <v>514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75"/>
      <c r="C29" s="876"/>
      <c r="D29" s="360">
        <v>3</v>
      </c>
      <c r="E29" s="434" t="s">
        <v>364</v>
      </c>
      <c r="F29" s="362">
        <f t="shared" si="16"/>
        <v>5336.0415999999732</v>
      </c>
      <c r="G29" s="363">
        <v>127.84000000000002</v>
      </c>
      <c r="H29" s="436">
        <v>3184.1</v>
      </c>
      <c r="I29" s="436">
        <v>3184.1</v>
      </c>
      <c r="J29" s="438">
        <f t="shared" si="17"/>
        <v>1</v>
      </c>
      <c r="K29" s="437">
        <v>3184.1</v>
      </c>
      <c r="L29" s="438">
        <f t="shared" si="18"/>
        <v>1</v>
      </c>
      <c r="M29" s="437">
        <v>41.74</v>
      </c>
      <c r="N29" s="438">
        <f t="shared" si="19"/>
        <v>1.3108884771206936E-2</v>
      </c>
      <c r="O29" s="439">
        <f t="shared" si="20"/>
        <v>3225.8399999999997</v>
      </c>
      <c r="P29" s="438">
        <f t="shared" si="21"/>
        <v>1.0131088847712069</v>
      </c>
      <c r="Q29" s="436">
        <v>7.9499999999999993</v>
      </c>
      <c r="R29" s="438">
        <f t="shared" si="22"/>
        <v>2.4967808799974873E-3</v>
      </c>
      <c r="S29" s="446">
        <f t="shared" si="23"/>
        <v>1016.3280000000001</v>
      </c>
      <c r="T29" s="439">
        <f t="shared" si="24"/>
        <v>41.739999999999782</v>
      </c>
      <c r="U29" s="438">
        <f t="shared" si="25"/>
        <v>1.3108884771206867E-2</v>
      </c>
      <c r="V29" s="450">
        <f t="shared" si="26"/>
        <v>33.789999999999779</v>
      </c>
      <c r="W29" s="451">
        <f t="shared" si="27"/>
        <v>1.0612103891209378E-2</v>
      </c>
      <c r="X29" s="452">
        <f t="shared" si="28"/>
        <v>4319.7135999999728</v>
      </c>
      <c r="Y29" s="364" t="s">
        <v>170</v>
      </c>
      <c r="Z29" s="364" t="s">
        <v>406</v>
      </c>
      <c r="AA29" s="365" t="s">
        <v>575</v>
      </c>
      <c r="AB29" s="365" t="s">
        <v>671</v>
      </c>
      <c r="AC29" s="365">
        <v>1</v>
      </c>
      <c r="AD29" s="440" t="s">
        <v>319</v>
      </c>
      <c r="AF29" s="370">
        <f>SUM(AC27:AC46)</f>
        <v>20</v>
      </c>
      <c r="AG29" s="366">
        <f>SUMIF($Z$27:$Z$46,TRIM(AG28),$AC$27:$AC$46)</f>
        <v>0</v>
      </c>
      <c r="AH29" s="366">
        <f t="shared" ref="AH29:AM29" si="29">SUMIF($Z$27:$Z$46,TRIM(AH28),$AC$27:$AC$46)</f>
        <v>0</v>
      </c>
      <c r="AI29" s="366">
        <f t="shared" si="29"/>
        <v>0</v>
      </c>
      <c r="AJ29" s="366">
        <f t="shared" si="29"/>
        <v>18</v>
      </c>
      <c r="AK29" s="366">
        <f t="shared" si="29"/>
        <v>1</v>
      </c>
      <c r="AL29" s="366">
        <f t="shared" si="29"/>
        <v>1</v>
      </c>
      <c r="AM29" s="366">
        <f t="shared" si="29"/>
        <v>0</v>
      </c>
    </row>
    <row r="30" spans="2:39" s="147" customFormat="1" ht="27" customHeight="1">
      <c r="B30" s="875"/>
      <c r="C30" s="876"/>
      <c r="D30" s="360">
        <v>4</v>
      </c>
      <c r="E30" s="434" t="s">
        <v>495</v>
      </c>
      <c r="F30" s="362">
        <f t="shared" si="16"/>
        <v>4941.4755000000278</v>
      </c>
      <c r="G30" s="363">
        <v>39.389999999999993</v>
      </c>
      <c r="H30" s="436">
        <v>26239.200000000001</v>
      </c>
      <c r="I30" s="436">
        <v>26239.200000000001</v>
      </c>
      <c r="J30" s="438">
        <f t="shared" si="17"/>
        <v>1</v>
      </c>
      <c r="K30" s="437">
        <v>26239.200000000001</v>
      </c>
      <c r="L30" s="438">
        <f t="shared" si="18"/>
        <v>1</v>
      </c>
      <c r="M30" s="437">
        <v>125.45</v>
      </c>
      <c r="N30" s="438">
        <f t="shared" si="19"/>
        <v>4.7810146650812523E-3</v>
      </c>
      <c r="O30" s="439">
        <f t="shared" si="20"/>
        <v>26364.65</v>
      </c>
      <c r="P30" s="438">
        <f t="shared" si="21"/>
        <v>1.0047810146650813</v>
      </c>
      <c r="Q30" s="436">
        <v>27.18</v>
      </c>
      <c r="R30" s="438">
        <f t="shared" si="22"/>
        <v>1.0358547516692582E-3</v>
      </c>
      <c r="S30" s="446">
        <f t="shared" si="23"/>
        <v>1070.6201999999998</v>
      </c>
      <c r="T30" s="439">
        <f t="shared" si="24"/>
        <v>125.45000000000073</v>
      </c>
      <c r="U30" s="438">
        <f t="shared" si="25"/>
        <v>4.7810146650812801E-3</v>
      </c>
      <c r="V30" s="450">
        <f t="shared" si="26"/>
        <v>98.270000000000721</v>
      </c>
      <c r="W30" s="451">
        <f t="shared" si="27"/>
        <v>3.7451599134120214E-3</v>
      </c>
      <c r="X30" s="452">
        <f t="shared" si="28"/>
        <v>3870.8553000000279</v>
      </c>
      <c r="Y30" s="364" t="s">
        <v>170</v>
      </c>
      <c r="Z30" s="364" t="s">
        <v>406</v>
      </c>
      <c r="AA30" s="365" t="s">
        <v>574</v>
      </c>
      <c r="AB30" s="365" t="s">
        <v>601</v>
      </c>
      <c r="AC30" s="365">
        <v>1</v>
      </c>
      <c r="AD30" s="440" t="s">
        <v>319</v>
      </c>
      <c r="AF30" s="371" t="s">
        <v>11</v>
      </c>
      <c r="AG30" s="368">
        <f>SUMIF($Z$27:$Z$46,TRIM(AG28),$F$27:$F$46)</f>
        <v>0</v>
      </c>
      <c r="AH30" s="368">
        <f t="shared" ref="AH30:AM30" si="30">SUMIF($Z$27:$Z$46,TRIM(AH28),$F$27:$F$46)</f>
        <v>0</v>
      </c>
      <c r="AI30" s="368">
        <f t="shared" si="30"/>
        <v>0</v>
      </c>
      <c r="AJ30" s="368">
        <f t="shared" si="30"/>
        <v>69862.741700000028</v>
      </c>
      <c r="AK30" s="368">
        <f t="shared" si="30"/>
        <v>8752.9190999999864</v>
      </c>
      <c r="AL30" s="368">
        <f t="shared" si="30"/>
        <v>4089.6321999999896</v>
      </c>
      <c r="AM30" s="368">
        <f t="shared" si="30"/>
        <v>0</v>
      </c>
    </row>
    <row r="31" spans="2:39" s="147" customFormat="1" ht="27" customHeight="1">
      <c r="B31" s="875"/>
      <c r="C31" s="876"/>
      <c r="D31" s="360">
        <v>5</v>
      </c>
      <c r="E31" s="434" t="s">
        <v>589</v>
      </c>
      <c r="F31" s="362">
        <f t="shared" si="16"/>
        <v>4313.0177999999869</v>
      </c>
      <c r="G31" s="363">
        <v>52.26</v>
      </c>
      <c r="H31" s="436">
        <v>5274.57</v>
      </c>
      <c r="I31" s="436">
        <v>5274.57</v>
      </c>
      <c r="J31" s="438">
        <f t="shared" si="17"/>
        <v>1</v>
      </c>
      <c r="K31" s="437">
        <v>5274.57</v>
      </c>
      <c r="L31" s="438">
        <f t="shared" si="18"/>
        <v>1</v>
      </c>
      <c r="M31" s="437">
        <v>82.53</v>
      </c>
      <c r="N31" s="438">
        <f t="shared" si="19"/>
        <v>1.5646773101883189E-2</v>
      </c>
      <c r="O31" s="439">
        <f t="shared" si="20"/>
        <v>5357.0999999999995</v>
      </c>
      <c r="P31" s="438">
        <f t="shared" si="21"/>
        <v>1.0156467731018832</v>
      </c>
      <c r="Q31" s="436">
        <v>18.66</v>
      </c>
      <c r="R31" s="438">
        <f t="shared" si="22"/>
        <v>3.5377291419016149E-3</v>
      </c>
      <c r="S31" s="446">
        <f t="shared" si="23"/>
        <v>975.17160000000001</v>
      </c>
      <c r="T31" s="439">
        <f t="shared" si="24"/>
        <v>82.529999999999745</v>
      </c>
      <c r="U31" s="438">
        <f t="shared" si="25"/>
        <v>1.564677310188314E-2</v>
      </c>
      <c r="V31" s="450">
        <f t="shared" si="26"/>
        <v>63.869999999999749</v>
      </c>
      <c r="W31" s="451">
        <f t="shared" si="27"/>
        <v>1.2109043959981525E-2</v>
      </c>
      <c r="X31" s="452">
        <f t="shared" si="28"/>
        <v>3337.8461999999868</v>
      </c>
      <c r="Y31" s="364" t="s">
        <v>170</v>
      </c>
      <c r="Z31" s="364" t="s">
        <v>406</v>
      </c>
      <c r="AA31" s="365" t="s">
        <v>574</v>
      </c>
      <c r="AB31" s="365" t="s">
        <v>601</v>
      </c>
      <c r="AC31" s="365">
        <v>1</v>
      </c>
      <c r="AD31" s="440" t="s">
        <v>578</v>
      </c>
      <c r="AF31" s="360" t="s">
        <v>515</v>
      </c>
      <c r="AG31" s="369">
        <f t="shared" ref="AG31:AM31" si="31">AG29/$AF29</f>
        <v>0</v>
      </c>
      <c r="AH31" s="369">
        <f t="shared" si="31"/>
        <v>0</v>
      </c>
      <c r="AI31" s="369">
        <f t="shared" si="31"/>
        <v>0</v>
      </c>
      <c r="AJ31" s="369">
        <f t="shared" si="31"/>
        <v>0.9</v>
      </c>
      <c r="AK31" s="369">
        <f t="shared" si="31"/>
        <v>0.05</v>
      </c>
      <c r="AL31" s="369">
        <f t="shared" si="31"/>
        <v>0.05</v>
      </c>
      <c r="AM31" s="369">
        <f t="shared" si="31"/>
        <v>0</v>
      </c>
    </row>
    <row r="32" spans="2:39" s="147" customFormat="1" ht="27" customHeight="1">
      <c r="B32" s="875"/>
      <c r="C32" s="876"/>
      <c r="D32" s="360">
        <v>6</v>
      </c>
      <c r="E32" s="434" t="s">
        <v>434</v>
      </c>
      <c r="F32" s="362">
        <f t="shared" si="16"/>
        <v>4089.6321999999896</v>
      </c>
      <c r="G32" s="363">
        <v>407.74000000000007</v>
      </c>
      <c r="H32" s="436">
        <v>1091.8000000000002</v>
      </c>
      <c r="I32" s="436">
        <v>1091.8000000000002</v>
      </c>
      <c r="J32" s="438">
        <f t="shared" si="17"/>
        <v>1</v>
      </c>
      <c r="K32" s="437">
        <v>1091.8000000000002</v>
      </c>
      <c r="L32" s="438">
        <f t="shared" si="18"/>
        <v>1</v>
      </c>
      <c r="M32" s="437">
        <v>10.029999999999999</v>
      </c>
      <c r="N32" s="438">
        <f t="shared" si="19"/>
        <v>9.186664224216887E-3</v>
      </c>
      <c r="O32" s="439">
        <f t="shared" si="20"/>
        <v>1101.8300000000002</v>
      </c>
      <c r="P32" s="438">
        <f t="shared" si="21"/>
        <v>1.0091866642242169</v>
      </c>
      <c r="Q32" s="436">
        <v>2.5599999999999996</v>
      </c>
      <c r="R32" s="438">
        <f t="shared" si="22"/>
        <v>2.3447517860413986E-3</v>
      </c>
      <c r="S32" s="446">
        <f t="shared" si="23"/>
        <v>1043.8144</v>
      </c>
      <c r="T32" s="439">
        <f t="shared" si="24"/>
        <v>10.029999999999973</v>
      </c>
      <c r="U32" s="438">
        <f t="shared" si="25"/>
        <v>9.1866642242168627E-3</v>
      </c>
      <c r="V32" s="450">
        <f t="shared" si="26"/>
        <v>7.4699999999999731</v>
      </c>
      <c r="W32" s="451">
        <f t="shared" si="27"/>
        <v>6.8419124381754641E-3</v>
      </c>
      <c r="X32" s="452">
        <f t="shared" si="28"/>
        <v>3045.8177999999893</v>
      </c>
      <c r="Y32" s="364" t="s">
        <v>170</v>
      </c>
      <c r="Z32" s="364" t="s">
        <v>199</v>
      </c>
      <c r="AA32" s="365" t="s">
        <v>446</v>
      </c>
      <c r="AB32" s="365" t="s">
        <v>600</v>
      </c>
      <c r="AC32" s="365">
        <v>1</v>
      </c>
      <c r="AD32" s="440" t="s">
        <v>436</v>
      </c>
    </row>
    <row r="33" spans="2:39" s="147" customFormat="1" ht="27" customHeight="1">
      <c r="B33" s="875"/>
      <c r="C33" s="876"/>
      <c r="D33" s="360">
        <v>7</v>
      </c>
      <c r="E33" s="434" t="s">
        <v>545</v>
      </c>
      <c r="F33" s="362">
        <f t="shared" si="16"/>
        <v>4041.3680000000113</v>
      </c>
      <c r="G33" s="363">
        <v>144.79999999999998</v>
      </c>
      <c r="H33" s="436">
        <v>1791.18</v>
      </c>
      <c r="I33" s="436">
        <v>1791.18</v>
      </c>
      <c r="J33" s="438">
        <f t="shared" si="17"/>
        <v>1</v>
      </c>
      <c r="K33" s="437">
        <v>1791.18</v>
      </c>
      <c r="L33" s="438">
        <f t="shared" si="18"/>
        <v>1</v>
      </c>
      <c r="M33" s="437">
        <v>27.91</v>
      </c>
      <c r="N33" s="438">
        <f t="shared" si="19"/>
        <v>1.5581906899362431E-2</v>
      </c>
      <c r="O33" s="439">
        <f t="shared" si="20"/>
        <v>1819.0900000000001</v>
      </c>
      <c r="P33" s="438">
        <f t="shared" si="21"/>
        <v>1.0155819068993626</v>
      </c>
      <c r="Q33" s="436">
        <v>6.07</v>
      </c>
      <c r="R33" s="438">
        <f t="shared" si="22"/>
        <v>3.3888274768588307E-3</v>
      </c>
      <c r="S33" s="446">
        <f t="shared" si="23"/>
        <v>878.93599999999992</v>
      </c>
      <c r="T33" s="439">
        <f t="shared" si="24"/>
        <v>27.910000000000082</v>
      </c>
      <c r="U33" s="438">
        <f t="shared" si="25"/>
        <v>1.5581906899362476E-2</v>
      </c>
      <c r="V33" s="450">
        <f t="shared" si="26"/>
        <v>21.840000000000082</v>
      </c>
      <c r="W33" s="451">
        <f t="shared" si="27"/>
        <v>1.2193079422503646E-2</v>
      </c>
      <c r="X33" s="452">
        <f t="shared" si="28"/>
        <v>3162.4320000000116</v>
      </c>
      <c r="Y33" s="364" t="s">
        <v>170</v>
      </c>
      <c r="Z33" s="364" t="s">
        <v>406</v>
      </c>
      <c r="AA33" s="365" t="s">
        <v>447</v>
      </c>
      <c r="AB33" s="365" t="s">
        <v>487</v>
      </c>
      <c r="AC33" s="365">
        <v>1</v>
      </c>
      <c r="AD33" s="440" t="s">
        <v>319</v>
      </c>
    </row>
    <row r="34" spans="2:39" s="147" customFormat="1" ht="27" customHeight="1">
      <c r="B34" s="875"/>
      <c r="C34" s="876"/>
      <c r="D34" s="360">
        <v>8</v>
      </c>
      <c r="E34" s="434" t="s">
        <v>563</v>
      </c>
      <c r="F34" s="362">
        <f t="shared" si="16"/>
        <v>3614.0643000000118</v>
      </c>
      <c r="G34" s="363">
        <v>426.69</v>
      </c>
      <c r="H34" s="436">
        <v>835.94</v>
      </c>
      <c r="I34" s="436">
        <v>835.94</v>
      </c>
      <c r="J34" s="438">
        <f t="shared" si="17"/>
        <v>1</v>
      </c>
      <c r="K34" s="437">
        <v>835.94</v>
      </c>
      <c r="L34" s="438">
        <f t="shared" si="18"/>
        <v>1</v>
      </c>
      <c r="M34" s="437">
        <v>8.4700000000000006</v>
      </c>
      <c r="N34" s="438">
        <f t="shared" si="19"/>
        <v>1.0132306146374143E-2</v>
      </c>
      <c r="O34" s="439">
        <f t="shared" si="20"/>
        <v>844.41000000000008</v>
      </c>
      <c r="P34" s="438">
        <f t="shared" si="21"/>
        <v>1.0101323061463743</v>
      </c>
      <c r="Q34" s="436">
        <v>1.6300000000000001</v>
      </c>
      <c r="R34" s="438">
        <f t="shared" si="22"/>
        <v>1.9499007105773141E-3</v>
      </c>
      <c r="S34" s="446">
        <f t="shared" si="23"/>
        <v>695.50470000000007</v>
      </c>
      <c r="T34" s="439">
        <f t="shared" si="24"/>
        <v>8.4700000000000273</v>
      </c>
      <c r="U34" s="438">
        <f t="shared" si="25"/>
        <v>1.0132306146374174E-2</v>
      </c>
      <c r="V34" s="450">
        <f t="shared" si="26"/>
        <v>6.8400000000000274</v>
      </c>
      <c r="W34" s="451">
        <f t="shared" si="27"/>
        <v>8.1824054357968589E-3</v>
      </c>
      <c r="X34" s="452">
        <f t="shared" si="28"/>
        <v>2918.5596000000119</v>
      </c>
      <c r="Y34" s="364" t="s">
        <v>170</v>
      </c>
      <c r="Z34" s="364" t="s">
        <v>406</v>
      </c>
      <c r="AA34" s="365" t="s">
        <v>447</v>
      </c>
      <c r="AB34" s="365" t="s">
        <v>487</v>
      </c>
      <c r="AC34" s="365">
        <v>1</v>
      </c>
      <c r="AD34" s="440" t="s">
        <v>336</v>
      </c>
    </row>
    <row r="35" spans="2:39" s="147" customFormat="1" ht="27" customHeight="1">
      <c r="B35" s="875"/>
      <c r="C35" s="876"/>
      <c r="D35" s="360">
        <v>9</v>
      </c>
      <c r="E35" s="434" t="s">
        <v>660</v>
      </c>
      <c r="F35" s="362">
        <f t="shared" si="16"/>
        <v>3602.4688000000165</v>
      </c>
      <c r="G35" s="363">
        <v>48.920000000000009</v>
      </c>
      <c r="H35" s="436">
        <v>4978.1900000000005</v>
      </c>
      <c r="I35" s="436">
        <v>4978.1900000000005</v>
      </c>
      <c r="J35" s="438">
        <f t="shared" si="17"/>
        <v>1</v>
      </c>
      <c r="K35" s="437">
        <v>4978.1900000000005</v>
      </c>
      <c r="L35" s="438">
        <f t="shared" si="18"/>
        <v>1</v>
      </c>
      <c r="M35" s="437">
        <v>73.639999999999986</v>
      </c>
      <c r="N35" s="438">
        <f t="shared" si="19"/>
        <v>1.4792524994023929E-2</v>
      </c>
      <c r="O35" s="439">
        <f t="shared" si="20"/>
        <v>5051.8300000000008</v>
      </c>
      <c r="P35" s="438">
        <f t="shared" si="21"/>
        <v>1.0147925249940239</v>
      </c>
      <c r="Q35" s="436">
        <v>20.439999999999998</v>
      </c>
      <c r="R35" s="438">
        <f t="shared" si="22"/>
        <v>4.1059099793298356E-3</v>
      </c>
      <c r="S35" s="446">
        <f t="shared" si="23"/>
        <v>999.92480000000012</v>
      </c>
      <c r="T35" s="439">
        <f t="shared" si="24"/>
        <v>73.640000000000327</v>
      </c>
      <c r="U35" s="438">
        <f t="shared" si="25"/>
        <v>1.4792524994023996E-2</v>
      </c>
      <c r="V35" s="450">
        <f t="shared" si="26"/>
        <v>53.20000000000033</v>
      </c>
      <c r="W35" s="451">
        <f t="shared" si="27"/>
        <v>1.0686615014694161E-2</v>
      </c>
      <c r="X35" s="452">
        <f t="shared" si="28"/>
        <v>2602.5440000000167</v>
      </c>
      <c r="Y35" s="364" t="s">
        <v>170</v>
      </c>
      <c r="Z35" s="364" t="s">
        <v>406</v>
      </c>
      <c r="AA35" s="365" t="s">
        <v>574</v>
      </c>
      <c r="AB35" s="365" t="s">
        <v>601</v>
      </c>
      <c r="AC35" s="365">
        <v>1</v>
      </c>
      <c r="AD35" s="440" t="s">
        <v>659</v>
      </c>
      <c r="AH35" s="367"/>
    </row>
    <row r="36" spans="2:39" s="147" customFormat="1" ht="27" customHeight="1">
      <c r="B36" s="875"/>
      <c r="C36" s="876"/>
      <c r="D36" s="360">
        <v>10</v>
      </c>
      <c r="E36" s="434" t="s">
        <v>544</v>
      </c>
      <c r="F36" s="362">
        <f t="shared" si="16"/>
        <v>3599.4231000000314</v>
      </c>
      <c r="G36" s="363">
        <v>193.82999999999998</v>
      </c>
      <c r="H36" s="436">
        <v>2274.2999999999997</v>
      </c>
      <c r="I36" s="436">
        <v>2274.2999999999997</v>
      </c>
      <c r="J36" s="438">
        <f t="shared" si="17"/>
        <v>1</v>
      </c>
      <c r="K36" s="437">
        <v>2274.2999999999997</v>
      </c>
      <c r="L36" s="438">
        <f t="shared" si="18"/>
        <v>1</v>
      </c>
      <c r="M36" s="437">
        <v>18.569999999999997</v>
      </c>
      <c r="N36" s="438">
        <f t="shared" si="19"/>
        <v>8.1651497163962531E-3</v>
      </c>
      <c r="O36" s="439">
        <f t="shared" si="20"/>
        <v>2292.87</v>
      </c>
      <c r="P36" s="438">
        <f t="shared" si="21"/>
        <v>1.0081651497163964</v>
      </c>
      <c r="Q36" s="436">
        <v>2.04</v>
      </c>
      <c r="R36" s="438">
        <f t="shared" si="22"/>
        <v>8.9697929033109099E-4</v>
      </c>
      <c r="S36" s="446">
        <f t="shared" si="23"/>
        <v>395.41319999999996</v>
      </c>
      <c r="T36" s="439">
        <f t="shared" si="24"/>
        <v>18.570000000000164</v>
      </c>
      <c r="U36" s="438">
        <f t="shared" si="25"/>
        <v>8.165149716396326E-3</v>
      </c>
      <c r="V36" s="450">
        <f t="shared" si="26"/>
        <v>16.530000000000165</v>
      </c>
      <c r="W36" s="451">
        <f t="shared" si="27"/>
        <v>7.2681704260652361E-3</v>
      </c>
      <c r="X36" s="452">
        <f t="shared" si="28"/>
        <v>3204.0099000000318</v>
      </c>
      <c r="Y36" s="364" t="s">
        <v>170</v>
      </c>
      <c r="Z36" s="364" t="s">
        <v>406</v>
      </c>
      <c r="AA36" s="365" t="s">
        <v>447</v>
      </c>
      <c r="AB36" s="365" t="s">
        <v>487</v>
      </c>
      <c r="AC36" s="365">
        <v>1</v>
      </c>
      <c r="AD36" s="440" t="s">
        <v>548</v>
      </c>
      <c r="AH36" s="367"/>
    </row>
    <row r="37" spans="2:39" s="147" customFormat="1" ht="27" customHeight="1">
      <c r="B37" s="875"/>
      <c r="C37" s="876"/>
      <c r="D37" s="360">
        <v>11</v>
      </c>
      <c r="E37" s="434" t="s">
        <v>410</v>
      </c>
      <c r="F37" s="362">
        <f t="shared" si="16"/>
        <v>3596.7277999999928</v>
      </c>
      <c r="G37" s="363">
        <v>368.13999999999993</v>
      </c>
      <c r="H37" s="436">
        <v>408.74</v>
      </c>
      <c r="I37" s="436">
        <v>408.74</v>
      </c>
      <c r="J37" s="438">
        <f t="shared" si="17"/>
        <v>1</v>
      </c>
      <c r="K37" s="437">
        <v>408.74</v>
      </c>
      <c r="L37" s="438">
        <f t="shared" si="18"/>
        <v>1</v>
      </c>
      <c r="M37" s="437">
        <v>9.77</v>
      </c>
      <c r="N37" s="438">
        <f t="shared" si="19"/>
        <v>2.3902725448940645E-2</v>
      </c>
      <c r="O37" s="439">
        <f t="shared" si="20"/>
        <v>418.51</v>
      </c>
      <c r="P37" s="438">
        <f t="shared" si="21"/>
        <v>1.0239027254489406</v>
      </c>
      <c r="Q37" s="436">
        <v>2.2800000000000002</v>
      </c>
      <c r="R37" s="438">
        <f t="shared" si="22"/>
        <v>5.5781181190977152E-3</v>
      </c>
      <c r="S37" s="446">
        <f t="shared" si="23"/>
        <v>839.35919999999999</v>
      </c>
      <c r="T37" s="439">
        <f t="shared" si="24"/>
        <v>9.7699999999999818</v>
      </c>
      <c r="U37" s="438">
        <f t="shared" si="25"/>
        <v>2.3902725448940603E-2</v>
      </c>
      <c r="V37" s="450">
        <f t="shared" si="26"/>
        <v>7.4899999999999816</v>
      </c>
      <c r="W37" s="451">
        <f t="shared" si="27"/>
        <v>1.8324607329842885E-2</v>
      </c>
      <c r="X37" s="452">
        <f t="shared" si="28"/>
        <v>2757.3685999999925</v>
      </c>
      <c r="Y37" s="364" t="s">
        <v>170</v>
      </c>
      <c r="Z37" s="364" t="s">
        <v>406</v>
      </c>
      <c r="AA37" s="365" t="s">
        <v>632</v>
      </c>
      <c r="AB37" s="365" t="s">
        <v>487</v>
      </c>
      <c r="AC37" s="365">
        <v>1</v>
      </c>
      <c r="AD37" s="440" t="s">
        <v>411</v>
      </c>
      <c r="AH37" s="367"/>
    </row>
    <row r="38" spans="2:39" s="147" customFormat="1" ht="27" customHeight="1">
      <c r="B38" s="875"/>
      <c r="C38" s="876"/>
      <c r="D38" s="360">
        <v>12</v>
      </c>
      <c r="E38" s="434" t="s">
        <v>664</v>
      </c>
      <c r="F38" s="362">
        <f t="shared" si="16"/>
        <v>3575.7515999999978</v>
      </c>
      <c r="G38" s="363">
        <v>145.83000000000001</v>
      </c>
      <c r="H38" s="436">
        <v>1100.4399999999998</v>
      </c>
      <c r="I38" s="436">
        <v>1100.4399999999998</v>
      </c>
      <c r="J38" s="438">
        <f t="shared" si="17"/>
        <v>1</v>
      </c>
      <c r="K38" s="437">
        <v>1100.4399999999998</v>
      </c>
      <c r="L38" s="438">
        <f t="shared" si="18"/>
        <v>1</v>
      </c>
      <c r="M38" s="437">
        <v>24.52</v>
      </c>
      <c r="N38" s="438">
        <f t="shared" si="19"/>
        <v>2.2281996292392137E-2</v>
      </c>
      <c r="O38" s="439">
        <f t="shared" si="20"/>
        <v>1124.9599999999998</v>
      </c>
      <c r="P38" s="438">
        <f t="shared" si="21"/>
        <v>1.0222819962923921</v>
      </c>
      <c r="Q38" s="436">
        <v>5.66</v>
      </c>
      <c r="R38" s="438">
        <f t="shared" si="22"/>
        <v>5.1433971865799148E-3</v>
      </c>
      <c r="S38" s="446">
        <f t="shared" si="23"/>
        <v>825.39780000000007</v>
      </c>
      <c r="T38" s="439">
        <f t="shared" si="24"/>
        <v>24.519999999999982</v>
      </c>
      <c r="U38" s="438">
        <f t="shared" si="25"/>
        <v>2.2281996292392119E-2</v>
      </c>
      <c r="V38" s="450">
        <f t="shared" si="26"/>
        <v>18.859999999999982</v>
      </c>
      <c r="W38" s="451">
        <f t="shared" si="27"/>
        <v>1.7138599105812207E-2</v>
      </c>
      <c r="X38" s="452">
        <f t="shared" si="28"/>
        <v>2750.3537999999976</v>
      </c>
      <c r="Y38" s="364" t="s">
        <v>170</v>
      </c>
      <c r="Z38" s="364" t="s">
        <v>406</v>
      </c>
      <c r="AA38" s="365" t="s">
        <v>672</v>
      </c>
      <c r="AB38" s="365" t="s">
        <v>673</v>
      </c>
      <c r="AC38" s="365">
        <v>1</v>
      </c>
      <c r="AD38" s="440" t="s">
        <v>659</v>
      </c>
      <c r="AH38" s="367"/>
    </row>
    <row r="39" spans="2:39" s="147" customFormat="1" ht="27" customHeight="1">
      <c r="B39" s="875"/>
      <c r="C39" s="876"/>
      <c r="D39" s="360">
        <v>13</v>
      </c>
      <c r="E39" s="434" t="s">
        <v>665</v>
      </c>
      <c r="F39" s="362">
        <f t="shared" si="16"/>
        <v>3489.7499999999918</v>
      </c>
      <c r="G39" s="363">
        <v>705</v>
      </c>
      <c r="H39" s="436">
        <v>217.35</v>
      </c>
      <c r="I39" s="436">
        <v>217.35</v>
      </c>
      <c r="J39" s="438">
        <f t="shared" si="17"/>
        <v>1</v>
      </c>
      <c r="K39" s="437">
        <v>217.35</v>
      </c>
      <c r="L39" s="438">
        <f t="shared" si="18"/>
        <v>1</v>
      </c>
      <c r="M39" s="437">
        <v>4.95</v>
      </c>
      <c r="N39" s="438">
        <f t="shared" si="19"/>
        <v>2.2774327122153212E-2</v>
      </c>
      <c r="O39" s="439">
        <f t="shared" si="20"/>
        <v>222.29999999999998</v>
      </c>
      <c r="P39" s="438">
        <f t="shared" si="21"/>
        <v>1.0227743271221532</v>
      </c>
      <c r="Q39" s="436">
        <v>1.19</v>
      </c>
      <c r="R39" s="438">
        <f t="shared" si="22"/>
        <v>5.475040257648953E-3</v>
      </c>
      <c r="S39" s="446">
        <f t="shared" si="23"/>
        <v>838.94999999999993</v>
      </c>
      <c r="T39" s="439">
        <f t="shared" si="24"/>
        <v>4.9499999999999886</v>
      </c>
      <c r="U39" s="438">
        <f t="shared" si="25"/>
        <v>2.2774327122153156E-2</v>
      </c>
      <c r="V39" s="450">
        <f t="shared" si="26"/>
        <v>3.7599999999999887</v>
      </c>
      <c r="W39" s="451">
        <f t="shared" si="27"/>
        <v>1.7299286864504205E-2</v>
      </c>
      <c r="X39" s="452">
        <f t="shared" si="28"/>
        <v>2650.799999999992</v>
      </c>
      <c r="Y39" s="364" t="s">
        <v>170</v>
      </c>
      <c r="Z39" s="364" t="s">
        <v>406</v>
      </c>
      <c r="AA39" s="365" t="s">
        <v>447</v>
      </c>
      <c r="AB39" s="365" t="s">
        <v>487</v>
      </c>
      <c r="AC39" s="365">
        <v>1</v>
      </c>
      <c r="AD39" s="440" t="s">
        <v>319</v>
      </c>
    </row>
    <row r="40" spans="2:39" s="147" customFormat="1" ht="27" customHeight="1">
      <c r="B40" s="875"/>
      <c r="C40" s="876"/>
      <c r="D40" s="360">
        <v>14</v>
      </c>
      <c r="E40" s="434" t="s">
        <v>666</v>
      </c>
      <c r="F40" s="362">
        <f t="shared" si="16"/>
        <v>3489.225599999967</v>
      </c>
      <c r="G40" s="363">
        <v>153.44000000000003</v>
      </c>
      <c r="H40" s="436">
        <v>2052.0700000000002</v>
      </c>
      <c r="I40" s="436">
        <v>2052.0700000000002</v>
      </c>
      <c r="J40" s="438">
        <f t="shared" si="17"/>
        <v>1</v>
      </c>
      <c r="K40" s="437">
        <v>2052.0700000000002</v>
      </c>
      <c r="L40" s="438">
        <f t="shared" si="18"/>
        <v>1</v>
      </c>
      <c r="M40" s="437">
        <v>22.74</v>
      </c>
      <c r="N40" s="438">
        <f t="shared" si="19"/>
        <v>1.1081493321377924E-2</v>
      </c>
      <c r="O40" s="439">
        <f t="shared" si="20"/>
        <v>2074.81</v>
      </c>
      <c r="P40" s="438">
        <f t="shared" si="21"/>
        <v>1.0110814933213779</v>
      </c>
      <c r="Q40" s="436">
        <v>5.47</v>
      </c>
      <c r="R40" s="438">
        <f t="shared" si="22"/>
        <v>2.6656010759866862E-3</v>
      </c>
      <c r="S40" s="446">
        <f t="shared" si="23"/>
        <v>839.31680000000006</v>
      </c>
      <c r="T40" s="439">
        <f t="shared" si="24"/>
        <v>22.739999999999782</v>
      </c>
      <c r="U40" s="438">
        <f t="shared" si="25"/>
        <v>1.1081493321377818E-2</v>
      </c>
      <c r="V40" s="450">
        <f t="shared" si="26"/>
        <v>17.269999999999783</v>
      </c>
      <c r="W40" s="451">
        <f t="shared" si="27"/>
        <v>8.4158922453911322E-3</v>
      </c>
      <c r="X40" s="452">
        <f t="shared" si="28"/>
        <v>2649.908799999967</v>
      </c>
      <c r="Y40" s="364" t="s">
        <v>170</v>
      </c>
      <c r="Z40" s="364" t="s">
        <v>406</v>
      </c>
      <c r="AA40" s="365" t="s">
        <v>447</v>
      </c>
      <c r="AB40" s="365" t="s">
        <v>487</v>
      </c>
      <c r="AC40" s="365">
        <v>1</v>
      </c>
      <c r="AD40" s="440" t="s">
        <v>667</v>
      </c>
    </row>
    <row r="41" spans="2:39" s="147" customFormat="1" ht="27" customHeight="1">
      <c r="B41" s="875"/>
      <c r="C41" s="876"/>
      <c r="D41" s="360">
        <v>15</v>
      </c>
      <c r="E41" s="434" t="s">
        <v>613</v>
      </c>
      <c r="F41" s="362">
        <f t="shared" si="16"/>
        <v>3340.7260000000078</v>
      </c>
      <c r="G41" s="363">
        <v>339.16</v>
      </c>
      <c r="H41" s="436">
        <v>625.37000000000012</v>
      </c>
      <c r="I41" s="436">
        <v>625.37000000000012</v>
      </c>
      <c r="J41" s="438">
        <f t="shared" si="17"/>
        <v>1</v>
      </c>
      <c r="K41" s="437">
        <v>625.37000000000012</v>
      </c>
      <c r="L41" s="438">
        <f t="shared" si="18"/>
        <v>1</v>
      </c>
      <c r="M41" s="437">
        <v>9.85</v>
      </c>
      <c r="N41" s="438">
        <f t="shared" si="19"/>
        <v>1.575067560004477E-2</v>
      </c>
      <c r="O41" s="439">
        <f t="shared" si="20"/>
        <v>635.22000000000014</v>
      </c>
      <c r="P41" s="438">
        <f t="shared" si="21"/>
        <v>1.0157506756000447</v>
      </c>
      <c r="Q41" s="436">
        <v>0.83000000000000007</v>
      </c>
      <c r="R41" s="438">
        <f t="shared" si="22"/>
        <v>1.3272142891408284E-3</v>
      </c>
      <c r="S41" s="446">
        <f t="shared" si="23"/>
        <v>281.50280000000004</v>
      </c>
      <c r="T41" s="439">
        <f t="shared" si="24"/>
        <v>9.8500000000000227</v>
      </c>
      <c r="U41" s="438">
        <f t="shared" si="25"/>
        <v>1.5750675600044808E-2</v>
      </c>
      <c r="V41" s="450">
        <f t="shared" si="26"/>
        <v>9.0200000000000227</v>
      </c>
      <c r="W41" s="451">
        <f t="shared" si="27"/>
        <v>1.4423461310903978E-2</v>
      </c>
      <c r="X41" s="452">
        <f t="shared" si="28"/>
        <v>3059.2232000000081</v>
      </c>
      <c r="Y41" s="364" t="s">
        <v>170</v>
      </c>
      <c r="Z41" s="364" t="s">
        <v>406</v>
      </c>
      <c r="AA41" s="365" t="s">
        <v>447</v>
      </c>
      <c r="AB41" s="365" t="s">
        <v>487</v>
      </c>
      <c r="AC41" s="365">
        <v>1</v>
      </c>
      <c r="AD41" s="440" t="s">
        <v>615</v>
      </c>
    </row>
    <row r="42" spans="2:39" s="147" customFormat="1" ht="27" customHeight="1">
      <c r="B42" s="875"/>
      <c r="C42" s="876"/>
      <c r="D42" s="360">
        <v>16</v>
      </c>
      <c r="E42" s="434" t="s">
        <v>499</v>
      </c>
      <c r="F42" s="362">
        <f t="shared" si="16"/>
        <v>3313.1129999999939</v>
      </c>
      <c r="G42" s="363">
        <v>66.13</v>
      </c>
      <c r="H42" s="436">
        <v>1949.4999999999998</v>
      </c>
      <c r="I42" s="436">
        <v>1949.4999999999998</v>
      </c>
      <c r="J42" s="438">
        <f t="shared" si="17"/>
        <v>1</v>
      </c>
      <c r="K42" s="437">
        <v>1949.4999999999998</v>
      </c>
      <c r="L42" s="438">
        <f t="shared" si="18"/>
        <v>1</v>
      </c>
      <c r="M42" s="437">
        <v>50.1</v>
      </c>
      <c r="N42" s="438">
        <f t="shared" si="19"/>
        <v>2.5698897153116188E-2</v>
      </c>
      <c r="O42" s="439">
        <f t="shared" si="20"/>
        <v>1999.5999999999997</v>
      </c>
      <c r="P42" s="438">
        <f t="shared" si="21"/>
        <v>1.0256988971531162</v>
      </c>
      <c r="Q42" s="436">
        <v>12.69</v>
      </c>
      <c r="R42" s="438">
        <f t="shared" si="22"/>
        <v>6.5093613747114649E-3</v>
      </c>
      <c r="S42" s="446">
        <f t="shared" si="23"/>
        <v>839.1896999999999</v>
      </c>
      <c r="T42" s="439">
        <f t="shared" si="24"/>
        <v>50.099999999999909</v>
      </c>
      <c r="U42" s="438">
        <f t="shared" si="25"/>
        <v>2.569889715311614E-2</v>
      </c>
      <c r="V42" s="450">
        <f t="shared" si="26"/>
        <v>37.409999999999911</v>
      </c>
      <c r="W42" s="451">
        <f t="shared" si="27"/>
        <v>1.9189535778404675E-2</v>
      </c>
      <c r="X42" s="452">
        <f t="shared" si="28"/>
        <v>2473.923299999994</v>
      </c>
      <c r="Y42" s="364" t="s">
        <v>170</v>
      </c>
      <c r="Z42" s="364" t="s">
        <v>406</v>
      </c>
      <c r="AA42" s="365" t="s">
        <v>445</v>
      </c>
      <c r="AB42" s="365" t="s">
        <v>618</v>
      </c>
      <c r="AC42" s="365">
        <v>1</v>
      </c>
      <c r="AD42" s="440" t="s">
        <v>320</v>
      </c>
    </row>
    <row r="43" spans="2:39" s="147" customFormat="1" ht="27" customHeight="1">
      <c r="B43" s="875"/>
      <c r="C43" s="876"/>
      <c r="D43" s="360">
        <v>17</v>
      </c>
      <c r="E43" s="434" t="s">
        <v>547</v>
      </c>
      <c r="F43" s="362">
        <f t="shared" si="16"/>
        <v>3252.2496000000101</v>
      </c>
      <c r="G43" s="363">
        <v>49.82</v>
      </c>
      <c r="H43" s="436">
        <v>2532.5</v>
      </c>
      <c r="I43" s="436">
        <v>2532.5</v>
      </c>
      <c r="J43" s="438">
        <f t="shared" si="17"/>
        <v>1</v>
      </c>
      <c r="K43" s="437">
        <v>2532.5</v>
      </c>
      <c r="L43" s="438">
        <f t="shared" si="18"/>
        <v>1</v>
      </c>
      <c r="M43" s="437">
        <v>65.28</v>
      </c>
      <c r="N43" s="438">
        <f t="shared" si="19"/>
        <v>2.5776900296150051E-2</v>
      </c>
      <c r="O43" s="439">
        <f t="shared" si="20"/>
        <v>2597.7800000000002</v>
      </c>
      <c r="P43" s="438">
        <f t="shared" si="21"/>
        <v>1.0257769002961501</v>
      </c>
      <c r="Q43" s="436">
        <v>16.899999999999999</v>
      </c>
      <c r="R43" s="438">
        <f t="shared" si="22"/>
        <v>6.6732477788746291E-3</v>
      </c>
      <c r="S43" s="446">
        <f t="shared" si="23"/>
        <v>841.95799999999997</v>
      </c>
      <c r="T43" s="439">
        <f t="shared" si="24"/>
        <v>65.2800000000002</v>
      </c>
      <c r="U43" s="438">
        <f t="shared" si="25"/>
        <v>2.5776900296150127E-2</v>
      </c>
      <c r="V43" s="450">
        <f t="shared" si="26"/>
        <v>48.380000000000202</v>
      </c>
      <c r="W43" s="451">
        <f t="shared" si="27"/>
        <v>1.9103652517275499E-2</v>
      </c>
      <c r="X43" s="452">
        <f t="shared" si="28"/>
        <v>2410.29160000001</v>
      </c>
      <c r="Y43" s="364" t="s">
        <v>170</v>
      </c>
      <c r="Z43" s="364" t="s">
        <v>406</v>
      </c>
      <c r="AA43" s="365" t="s">
        <v>497</v>
      </c>
      <c r="AB43" s="365" t="s">
        <v>576</v>
      </c>
      <c r="AC43" s="365">
        <v>1</v>
      </c>
      <c r="AD43" s="440" t="s">
        <v>537</v>
      </c>
    </row>
    <row r="44" spans="2:39" s="147" customFormat="1" ht="27" customHeight="1">
      <c r="B44" s="875"/>
      <c r="C44" s="876"/>
      <c r="D44" s="360">
        <v>18</v>
      </c>
      <c r="E44" s="434" t="s">
        <v>539</v>
      </c>
      <c r="F44" s="362">
        <f t="shared" si="16"/>
        <v>3228.7351999999923</v>
      </c>
      <c r="G44" s="363">
        <v>95.439999999999984</v>
      </c>
      <c r="H44" s="436">
        <v>1438.5</v>
      </c>
      <c r="I44" s="436">
        <v>1438.5</v>
      </c>
      <c r="J44" s="438">
        <f t="shared" si="17"/>
        <v>1</v>
      </c>
      <c r="K44" s="437">
        <v>1438.5</v>
      </c>
      <c r="L44" s="438">
        <f t="shared" si="18"/>
        <v>1</v>
      </c>
      <c r="M44" s="437">
        <v>33.830000000000005</v>
      </c>
      <c r="N44" s="438">
        <f t="shared" si="19"/>
        <v>2.3517553006604106E-2</v>
      </c>
      <c r="O44" s="439">
        <f t="shared" si="20"/>
        <v>1472.33</v>
      </c>
      <c r="P44" s="438">
        <f t="shared" si="21"/>
        <v>1.0235175530066041</v>
      </c>
      <c r="Q44" s="436">
        <v>8.64</v>
      </c>
      <c r="R44" s="438">
        <f t="shared" si="22"/>
        <v>6.0062565172054223E-3</v>
      </c>
      <c r="S44" s="446">
        <f t="shared" si="23"/>
        <v>824.60159999999996</v>
      </c>
      <c r="T44" s="439">
        <f t="shared" si="24"/>
        <v>33.829999999999927</v>
      </c>
      <c r="U44" s="438">
        <f t="shared" si="25"/>
        <v>2.3517553006604051E-2</v>
      </c>
      <c r="V44" s="450">
        <f t="shared" si="26"/>
        <v>25.189999999999927</v>
      </c>
      <c r="W44" s="451">
        <f t="shared" si="27"/>
        <v>1.7511296489398628E-2</v>
      </c>
      <c r="X44" s="452">
        <f t="shared" si="28"/>
        <v>2404.1335999999924</v>
      </c>
      <c r="Y44" s="364" t="s">
        <v>170</v>
      </c>
      <c r="Z44" s="364" t="s">
        <v>406</v>
      </c>
      <c r="AA44" s="365" t="s">
        <v>447</v>
      </c>
      <c r="AB44" s="365" t="s">
        <v>487</v>
      </c>
      <c r="AC44" s="365">
        <v>1</v>
      </c>
      <c r="AD44" s="440" t="s">
        <v>319</v>
      </c>
    </row>
    <row r="45" spans="2:39" s="147" customFormat="1" ht="27" customHeight="1">
      <c r="B45" s="875"/>
      <c r="C45" s="876"/>
      <c r="D45" s="360">
        <v>19</v>
      </c>
      <c r="E45" s="434" t="s">
        <v>335</v>
      </c>
      <c r="F45" s="362">
        <f t="shared" si="16"/>
        <v>3219.9699999999889</v>
      </c>
      <c r="G45" s="363">
        <v>152.75</v>
      </c>
      <c r="H45" s="436">
        <v>1110.19</v>
      </c>
      <c r="I45" s="436">
        <v>1110.19</v>
      </c>
      <c r="J45" s="438">
        <f t="shared" si="17"/>
        <v>1</v>
      </c>
      <c r="K45" s="437">
        <v>1110.19</v>
      </c>
      <c r="L45" s="438">
        <f t="shared" si="18"/>
        <v>1</v>
      </c>
      <c r="M45" s="437">
        <v>21.08</v>
      </c>
      <c r="N45" s="438">
        <f t="shared" si="19"/>
        <v>1.8987740837153998E-2</v>
      </c>
      <c r="O45" s="439">
        <f t="shared" si="20"/>
        <v>1131.27</v>
      </c>
      <c r="P45" s="438">
        <f t="shared" si="21"/>
        <v>1.0189877408371539</v>
      </c>
      <c r="Q45" s="436">
        <v>4.7300000000000004</v>
      </c>
      <c r="R45" s="438">
        <f t="shared" si="22"/>
        <v>4.260531981012259E-3</v>
      </c>
      <c r="S45" s="446">
        <f t="shared" si="23"/>
        <v>722.50750000000005</v>
      </c>
      <c r="T45" s="439">
        <f t="shared" si="24"/>
        <v>21.079999999999927</v>
      </c>
      <c r="U45" s="438">
        <f t="shared" si="25"/>
        <v>1.8987740837153932E-2</v>
      </c>
      <c r="V45" s="450">
        <f t="shared" si="26"/>
        <v>16.349999999999927</v>
      </c>
      <c r="W45" s="451">
        <f t="shared" si="27"/>
        <v>1.4727208856141675E-2</v>
      </c>
      <c r="X45" s="452">
        <f t="shared" si="28"/>
        <v>2497.4624999999887</v>
      </c>
      <c r="Y45" s="364" t="s">
        <v>170</v>
      </c>
      <c r="Z45" s="364" t="s">
        <v>406</v>
      </c>
      <c r="AA45" s="365" t="s">
        <v>447</v>
      </c>
      <c r="AB45" s="365" t="s">
        <v>487</v>
      </c>
      <c r="AC45" s="365">
        <v>1</v>
      </c>
      <c r="AD45" s="440" t="s">
        <v>336</v>
      </c>
    </row>
    <row r="46" spans="2:39" s="147" customFormat="1" ht="27" customHeight="1">
      <c r="B46" s="877"/>
      <c r="C46" s="878"/>
      <c r="D46" s="360">
        <v>20</v>
      </c>
      <c r="E46" s="434" t="s">
        <v>398</v>
      </c>
      <c r="F46" s="362">
        <f t="shared" si="16"/>
        <v>3211.0757999999878</v>
      </c>
      <c r="G46" s="363">
        <v>157.87000000000003</v>
      </c>
      <c r="H46" s="436">
        <v>1105.1399999999999</v>
      </c>
      <c r="I46" s="436">
        <v>1105.1399999999999</v>
      </c>
      <c r="J46" s="438">
        <f t="shared" si="17"/>
        <v>1</v>
      </c>
      <c r="K46" s="437">
        <v>1105.1399999999999</v>
      </c>
      <c r="L46" s="438">
        <f t="shared" si="18"/>
        <v>1</v>
      </c>
      <c r="M46" s="437">
        <v>20.340000000000003</v>
      </c>
      <c r="N46" s="438">
        <f t="shared" si="19"/>
        <v>1.8404907975460127E-2</v>
      </c>
      <c r="O46" s="439">
        <f t="shared" si="20"/>
        <v>1125.4799999999998</v>
      </c>
      <c r="P46" s="438">
        <f t="shared" si="21"/>
        <v>1.01840490797546</v>
      </c>
      <c r="Q46" s="436">
        <v>4.2200000000000006</v>
      </c>
      <c r="R46" s="438">
        <f t="shared" si="22"/>
        <v>3.8185207304051987E-3</v>
      </c>
      <c r="S46" s="446">
        <f t="shared" si="23"/>
        <v>666.21140000000025</v>
      </c>
      <c r="T46" s="439">
        <f t="shared" si="24"/>
        <v>20.339999999999918</v>
      </c>
      <c r="U46" s="438">
        <f t="shared" si="25"/>
        <v>1.8404907975460051E-2</v>
      </c>
      <c r="V46" s="450">
        <f t="shared" si="26"/>
        <v>16.119999999999919</v>
      </c>
      <c r="W46" s="451">
        <f t="shared" si="27"/>
        <v>1.4586387245054854E-2</v>
      </c>
      <c r="X46" s="452">
        <f t="shared" si="28"/>
        <v>2544.8643999999877</v>
      </c>
      <c r="Y46" s="364" t="s">
        <v>170</v>
      </c>
      <c r="Z46" s="364" t="s">
        <v>406</v>
      </c>
      <c r="AA46" s="365" t="s">
        <v>497</v>
      </c>
      <c r="AB46" s="365" t="s">
        <v>576</v>
      </c>
      <c r="AC46" s="365">
        <v>1</v>
      </c>
      <c r="AD46" s="440" t="s">
        <v>319</v>
      </c>
    </row>
    <row r="47" spans="2:39" ht="17.100000000000001" customHeight="1">
      <c r="B47" s="889" t="s">
        <v>419</v>
      </c>
      <c r="C47" s="890"/>
      <c r="D47" s="893" t="s">
        <v>501</v>
      </c>
      <c r="E47" s="894" t="s">
        <v>502</v>
      </c>
      <c r="F47" s="909" t="s">
        <v>518</v>
      </c>
      <c r="G47" s="862" t="s">
        <v>504</v>
      </c>
      <c r="H47" s="896" t="s">
        <v>505</v>
      </c>
      <c r="I47" s="879" t="s">
        <v>506</v>
      </c>
      <c r="J47" s="880"/>
      <c r="K47" s="879" t="s">
        <v>507</v>
      </c>
      <c r="L47" s="880"/>
      <c r="M47" s="879" t="s">
        <v>508</v>
      </c>
      <c r="N47" s="880"/>
      <c r="O47" s="879" t="s">
        <v>509</v>
      </c>
      <c r="P47" s="880"/>
      <c r="Q47" s="879" t="s">
        <v>396</v>
      </c>
      <c r="R47" s="908"/>
      <c r="S47" s="880"/>
      <c r="T47" s="881" t="s">
        <v>567</v>
      </c>
      <c r="U47" s="882"/>
      <c r="V47" s="884" t="s">
        <v>566</v>
      </c>
      <c r="W47" s="885"/>
      <c r="X47" s="886"/>
      <c r="Y47" s="887" t="s">
        <v>168</v>
      </c>
      <c r="Z47" s="887" t="s">
        <v>228</v>
      </c>
      <c r="AA47" s="887" t="s">
        <v>510</v>
      </c>
      <c r="AB47" s="887" t="s">
        <v>420</v>
      </c>
      <c r="AC47" s="887" t="s">
        <v>229</v>
      </c>
      <c r="AD47" s="862" t="s">
        <v>169</v>
      </c>
      <c r="AF47" s="864" t="s">
        <v>230</v>
      </c>
      <c r="AG47" s="865"/>
      <c r="AH47" s="865"/>
      <c r="AI47" s="865"/>
      <c r="AJ47" s="865"/>
      <c r="AK47" s="865"/>
      <c r="AL47" s="865"/>
      <c r="AM47" s="866"/>
    </row>
    <row r="48" spans="2:39" ht="16.5" customHeight="1">
      <c r="B48" s="891"/>
      <c r="C48" s="892"/>
      <c r="D48" s="893"/>
      <c r="E48" s="893"/>
      <c r="F48" s="895"/>
      <c r="G48" s="863"/>
      <c r="H48" s="863"/>
      <c r="I48" s="433" t="s">
        <v>511</v>
      </c>
      <c r="J48" s="361" t="s">
        <v>512</v>
      </c>
      <c r="K48" s="433" t="s">
        <v>511</v>
      </c>
      <c r="L48" s="361" t="s">
        <v>512</v>
      </c>
      <c r="M48" s="433" t="s">
        <v>511</v>
      </c>
      <c r="N48" s="361" t="s">
        <v>512</v>
      </c>
      <c r="O48" s="433" t="s">
        <v>511</v>
      </c>
      <c r="P48" s="361" t="s">
        <v>512</v>
      </c>
      <c r="Q48" s="433" t="s">
        <v>511</v>
      </c>
      <c r="R48" s="361" t="s">
        <v>512</v>
      </c>
      <c r="S48" s="361" t="s">
        <v>513</v>
      </c>
      <c r="T48" s="433" t="s">
        <v>511</v>
      </c>
      <c r="U48" s="361" t="s">
        <v>512</v>
      </c>
      <c r="V48" s="433" t="s">
        <v>511</v>
      </c>
      <c r="W48" s="361" t="s">
        <v>512</v>
      </c>
      <c r="X48" s="361" t="s">
        <v>513</v>
      </c>
      <c r="Y48" s="888"/>
      <c r="Z48" s="888"/>
      <c r="AA48" s="888"/>
      <c r="AB48" s="888"/>
      <c r="AC48" s="888"/>
      <c r="AD48" s="863"/>
      <c r="AF48" s="867"/>
      <c r="AG48" s="868"/>
      <c r="AH48" s="868"/>
      <c r="AI48" s="868"/>
      <c r="AJ48" s="868"/>
      <c r="AK48" s="868"/>
      <c r="AL48" s="868"/>
      <c r="AM48" s="869"/>
    </row>
    <row r="49" spans="2:39" s="147" customFormat="1" ht="27" customHeight="1">
      <c r="B49" s="873" t="s">
        <v>645</v>
      </c>
      <c r="C49" s="874"/>
      <c r="D49" s="360">
        <v>1</v>
      </c>
      <c r="E49" s="434" t="s">
        <v>315</v>
      </c>
      <c r="F49" s="362">
        <f>IFERROR(T49*G49,"-")</f>
        <v>7589.6964000000044</v>
      </c>
      <c r="G49" s="363">
        <v>147.43000000000004</v>
      </c>
      <c r="H49" s="436">
        <v>3326.3900000000003</v>
      </c>
      <c r="I49" s="436">
        <v>3326.3900000000003</v>
      </c>
      <c r="J49" s="438">
        <f>IFERROR(I49/H49,"-")</f>
        <v>1</v>
      </c>
      <c r="K49" s="437">
        <v>3326.3900000000003</v>
      </c>
      <c r="L49" s="438">
        <f>IFERROR(K49/H49,"-")</f>
        <v>1</v>
      </c>
      <c r="M49" s="437">
        <v>51.47999999999999</v>
      </c>
      <c r="N49" s="438">
        <f>IFERROR(M49/H49,"-")</f>
        <v>1.5476237001674484E-2</v>
      </c>
      <c r="O49" s="439">
        <f>IFERROR(K49+M49,"-")</f>
        <v>3377.8700000000003</v>
      </c>
      <c r="P49" s="438">
        <f>IFERROR(O49/H49,"-")</f>
        <v>1.0154762370016746</v>
      </c>
      <c r="Q49" s="436">
        <v>8.16</v>
      </c>
      <c r="R49" s="438">
        <f>IFERROR(Q49/H49,"-")</f>
        <v>2.4531098277712471E-3</v>
      </c>
      <c r="S49" s="446">
        <f>IFERROR(Q49*G49,"-")</f>
        <v>1203.0288000000003</v>
      </c>
      <c r="T49" s="439">
        <f>IFERROR(O49-H49,"-")</f>
        <v>51.480000000000018</v>
      </c>
      <c r="U49" s="438">
        <f>IFERROR(T49/H49,"-")</f>
        <v>1.5476237001674492E-2</v>
      </c>
      <c r="V49" s="450">
        <f>T49-Q49</f>
        <v>43.320000000000022</v>
      </c>
      <c r="W49" s="451">
        <f>IFERROR(V49/H49,"-")</f>
        <v>1.3023127173903245E-2</v>
      </c>
      <c r="X49" s="452">
        <f>IFERROR(V49*G49,"-")</f>
        <v>6386.6676000000043</v>
      </c>
      <c r="Y49" s="364" t="s">
        <v>170</v>
      </c>
      <c r="Z49" s="364" t="s">
        <v>198</v>
      </c>
      <c r="AA49" s="365" t="s">
        <v>444</v>
      </c>
      <c r="AB49" s="365" t="s">
        <v>486</v>
      </c>
      <c r="AC49" s="365">
        <v>1</v>
      </c>
      <c r="AD49" s="440" t="s">
        <v>319</v>
      </c>
      <c r="AF49" s="870"/>
      <c r="AG49" s="871"/>
      <c r="AH49" s="871"/>
      <c r="AI49" s="871"/>
      <c r="AJ49" s="871"/>
      <c r="AK49" s="871"/>
      <c r="AL49" s="871"/>
      <c r="AM49" s="872"/>
    </row>
    <row r="50" spans="2:39" s="147" customFormat="1" ht="27" customHeight="1">
      <c r="B50" s="875"/>
      <c r="C50" s="876"/>
      <c r="D50" s="360">
        <v>2</v>
      </c>
      <c r="E50" s="434" t="s">
        <v>559</v>
      </c>
      <c r="F50" s="362">
        <f t="shared" ref="F50:F68" si="32">IFERROR(T50*G50,"-")</f>
        <v>6278.1781999999821</v>
      </c>
      <c r="G50" s="363">
        <v>625.93999999999994</v>
      </c>
      <c r="H50" s="436">
        <v>1230.1400000000001</v>
      </c>
      <c r="I50" s="436">
        <v>1230.1400000000001</v>
      </c>
      <c r="J50" s="438">
        <f t="shared" ref="J50:J68" si="33">IFERROR(I50/H50,"-")</f>
        <v>1</v>
      </c>
      <c r="K50" s="437">
        <v>1230.1400000000001</v>
      </c>
      <c r="L50" s="438">
        <f t="shared" ref="L50:L68" si="34">IFERROR(K50/H50,"-")</f>
        <v>1</v>
      </c>
      <c r="M50" s="437">
        <v>10.029999999999999</v>
      </c>
      <c r="N50" s="438">
        <f t="shared" ref="N50:N68" si="35">IFERROR(M50/H50,"-")</f>
        <v>8.1535434991139213E-3</v>
      </c>
      <c r="O50" s="439">
        <f t="shared" ref="O50:O68" si="36">IFERROR(K50+M50,"-")</f>
        <v>1240.17</v>
      </c>
      <c r="P50" s="438">
        <f t="shared" ref="P50:P68" si="37">IFERROR(O50/H50,"-")</f>
        <v>1.0081535434991138</v>
      </c>
      <c r="Q50" s="436">
        <v>2.1800000000000002</v>
      </c>
      <c r="R50" s="438">
        <f t="shared" ref="R50:R68" si="38">IFERROR(Q50/H50,"-")</f>
        <v>1.7721560147625473E-3</v>
      </c>
      <c r="S50" s="446">
        <f t="shared" ref="S50:S68" si="39">IFERROR(Q50*G50,"-")</f>
        <v>1364.5491999999999</v>
      </c>
      <c r="T50" s="439">
        <f t="shared" ref="T50:T68" si="40">IFERROR(O50-H50,"-")</f>
        <v>10.029999999999973</v>
      </c>
      <c r="U50" s="438">
        <f t="shared" ref="U50:U68" si="41">IFERROR(T50/H50,"-")</f>
        <v>8.1535434991138987E-3</v>
      </c>
      <c r="V50" s="450">
        <f t="shared" ref="V50:V68" si="42">T50-Q50</f>
        <v>7.849999999999973</v>
      </c>
      <c r="W50" s="451">
        <f t="shared" ref="W50:W68" si="43">IFERROR(V50/H50,"-")</f>
        <v>6.3813874843513521E-3</v>
      </c>
      <c r="X50" s="452">
        <f t="shared" ref="X50:X68" si="44">IFERROR(V50*G50,"-")</f>
        <v>4913.6289999999826</v>
      </c>
      <c r="Y50" s="364" t="s">
        <v>170</v>
      </c>
      <c r="Z50" s="364" t="s">
        <v>406</v>
      </c>
      <c r="AA50" s="365" t="s">
        <v>616</v>
      </c>
      <c r="AB50" s="365" t="s">
        <v>617</v>
      </c>
      <c r="AC50" s="365">
        <v>1</v>
      </c>
      <c r="AD50" s="440" t="s">
        <v>560</v>
      </c>
      <c r="AF50" s="160" t="s">
        <v>227</v>
      </c>
      <c r="AG50" s="160" t="s">
        <v>421</v>
      </c>
      <c r="AH50" s="155" t="s">
        <v>514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75"/>
      <c r="C51" s="876"/>
      <c r="D51" s="360">
        <v>3</v>
      </c>
      <c r="E51" s="434" t="s">
        <v>364</v>
      </c>
      <c r="F51" s="362">
        <f t="shared" si="32"/>
        <v>5359.0528000000104</v>
      </c>
      <c r="G51" s="363">
        <v>127.84000000000002</v>
      </c>
      <c r="H51" s="436">
        <v>2934.47</v>
      </c>
      <c r="I51" s="436">
        <v>2934.47</v>
      </c>
      <c r="J51" s="438">
        <f t="shared" si="33"/>
        <v>1</v>
      </c>
      <c r="K51" s="437">
        <v>2934.47</v>
      </c>
      <c r="L51" s="438">
        <f t="shared" si="34"/>
        <v>1</v>
      </c>
      <c r="M51" s="437">
        <v>41.92</v>
      </c>
      <c r="N51" s="438">
        <f t="shared" si="35"/>
        <v>1.4285373508674482E-2</v>
      </c>
      <c r="O51" s="439">
        <f t="shared" si="36"/>
        <v>2976.39</v>
      </c>
      <c r="P51" s="438">
        <f t="shared" si="37"/>
        <v>1.0142853735086745</v>
      </c>
      <c r="Q51" s="436">
        <v>8.09</v>
      </c>
      <c r="R51" s="438">
        <f t="shared" si="38"/>
        <v>2.7568862520318833E-3</v>
      </c>
      <c r="S51" s="446">
        <f t="shared" si="39"/>
        <v>1034.2256000000002</v>
      </c>
      <c r="T51" s="439">
        <f t="shared" si="40"/>
        <v>41.920000000000073</v>
      </c>
      <c r="U51" s="438">
        <f t="shared" si="41"/>
        <v>1.4285373508674506E-2</v>
      </c>
      <c r="V51" s="450">
        <f t="shared" si="42"/>
        <v>33.830000000000069</v>
      </c>
      <c r="W51" s="451">
        <f t="shared" si="43"/>
        <v>1.1528487256642621E-2</v>
      </c>
      <c r="X51" s="452">
        <f t="shared" si="44"/>
        <v>4324.8272000000097</v>
      </c>
      <c r="Y51" s="364" t="s">
        <v>170</v>
      </c>
      <c r="Z51" s="364" t="s">
        <v>406</v>
      </c>
      <c r="AA51" s="365" t="s">
        <v>575</v>
      </c>
      <c r="AB51" s="365" t="s">
        <v>671</v>
      </c>
      <c r="AC51" s="365">
        <v>1</v>
      </c>
      <c r="AD51" s="440" t="s">
        <v>319</v>
      </c>
      <c r="AF51" s="370">
        <f>SUM(AC49:AC68)</f>
        <v>20</v>
      </c>
      <c r="AG51" s="366">
        <f>SUMIF($Z$49:$Z$68,TRIM(AG50),$AC$49:$AC$68)</f>
        <v>0</v>
      </c>
      <c r="AH51" s="366">
        <f t="shared" ref="AH51:AM51" si="45">SUMIF($Z$49:$Z$68,TRIM(AH50),$AC$49:$AC$68)</f>
        <v>0</v>
      </c>
      <c r="AI51" s="366">
        <f t="shared" si="45"/>
        <v>0</v>
      </c>
      <c r="AJ51" s="366">
        <f t="shared" si="45"/>
        <v>18</v>
      </c>
      <c r="AK51" s="366">
        <f t="shared" si="45"/>
        <v>1</v>
      </c>
      <c r="AL51" s="366">
        <f t="shared" si="45"/>
        <v>1</v>
      </c>
      <c r="AM51" s="366">
        <f t="shared" si="45"/>
        <v>0</v>
      </c>
    </row>
    <row r="52" spans="2:39" s="147" customFormat="1" ht="27" customHeight="1">
      <c r="B52" s="875"/>
      <c r="C52" s="876"/>
      <c r="D52" s="360">
        <v>4</v>
      </c>
      <c r="E52" s="434" t="s">
        <v>563</v>
      </c>
      <c r="F52" s="362">
        <f t="shared" si="32"/>
        <v>4936.8032999999732</v>
      </c>
      <c r="G52" s="363">
        <v>426.69</v>
      </c>
      <c r="H52" s="436">
        <v>1283.5899999999999</v>
      </c>
      <c r="I52" s="436">
        <v>1283.5899999999999</v>
      </c>
      <c r="J52" s="438">
        <f t="shared" si="33"/>
        <v>1</v>
      </c>
      <c r="K52" s="437">
        <v>1283.5899999999999</v>
      </c>
      <c r="L52" s="438">
        <f t="shared" si="34"/>
        <v>1</v>
      </c>
      <c r="M52" s="437">
        <v>11.57</v>
      </c>
      <c r="N52" s="438">
        <f t="shared" si="35"/>
        <v>9.013781659252566E-3</v>
      </c>
      <c r="O52" s="439">
        <f t="shared" si="36"/>
        <v>1295.1599999999999</v>
      </c>
      <c r="P52" s="438">
        <f t="shared" si="37"/>
        <v>1.0090137816592526</v>
      </c>
      <c r="Q52" s="436">
        <v>2.41</v>
      </c>
      <c r="R52" s="438">
        <f t="shared" si="38"/>
        <v>1.8775465686083565E-3</v>
      </c>
      <c r="S52" s="446">
        <f t="shared" si="39"/>
        <v>1028.3229000000001</v>
      </c>
      <c r="T52" s="439">
        <f t="shared" si="40"/>
        <v>11.569999999999936</v>
      </c>
      <c r="U52" s="438">
        <f t="shared" si="41"/>
        <v>9.0137816592525156E-3</v>
      </c>
      <c r="V52" s="450">
        <f t="shared" si="42"/>
        <v>9.1599999999999362</v>
      </c>
      <c r="W52" s="451">
        <f t="shared" si="43"/>
        <v>7.1362350906441592E-3</v>
      </c>
      <c r="X52" s="452">
        <f t="shared" si="44"/>
        <v>3908.4803999999726</v>
      </c>
      <c r="Y52" s="364" t="s">
        <v>170</v>
      </c>
      <c r="Z52" s="364" t="s">
        <v>406</v>
      </c>
      <c r="AA52" s="365" t="s">
        <v>447</v>
      </c>
      <c r="AB52" s="365" t="s">
        <v>487</v>
      </c>
      <c r="AC52" s="365">
        <v>1</v>
      </c>
      <c r="AD52" s="440" t="s">
        <v>336</v>
      </c>
      <c r="AF52" s="371" t="s">
        <v>11</v>
      </c>
      <c r="AG52" s="368">
        <f>SUMIF($Z$49:$Z$68,TRIM(AG50),$F$49:$F$68)</f>
        <v>0</v>
      </c>
      <c r="AH52" s="368">
        <f t="shared" ref="AH52:AM52" si="46">SUMIF($Z$49:$Z$68,TRIM(AH50),$F$49:$F$68)</f>
        <v>0</v>
      </c>
      <c r="AI52" s="368">
        <f t="shared" si="46"/>
        <v>0</v>
      </c>
      <c r="AJ52" s="368">
        <f t="shared" si="46"/>
        <v>68609.218599999964</v>
      </c>
      <c r="AK52" s="368">
        <f t="shared" si="46"/>
        <v>7589.6964000000044</v>
      </c>
      <c r="AL52" s="368">
        <f t="shared" si="46"/>
        <v>4040.703400000034</v>
      </c>
      <c r="AM52" s="368">
        <f t="shared" si="46"/>
        <v>0</v>
      </c>
    </row>
    <row r="53" spans="2:39" s="147" customFormat="1" ht="27" customHeight="1">
      <c r="B53" s="875"/>
      <c r="C53" s="876"/>
      <c r="D53" s="360">
        <v>5</v>
      </c>
      <c r="E53" s="434" t="s">
        <v>495</v>
      </c>
      <c r="F53" s="362">
        <f t="shared" si="32"/>
        <v>4451.4638999999361</v>
      </c>
      <c r="G53" s="363">
        <v>39.389999999999993</v>
      </c>
      <c r="H53" s="436">
        <v>23524.2</v>
      </c>
      <c r="I53" s="436">
        <v>23524.2</v>
      </c>
      <c r="J53" s="438">
        <f t="shared" si="33"/>
        <v>1</v>
      </c>
      <c r="K53" s="437">
        <v>23524.2</v>
      </c>
      <c r="L53" s="438">
        <f t="shared" si="34"/>
        <v>1</v>
      </c>
      <c r="M53" s="437">
        <v>113.00999999999999</v>
      </c>
      <c r="N53" s="438">
        <f t="shared" si="35"/>
        <v>4.8039890835820127E-3</v>
      </c>
      <c r="O53" s="439">
        <f t="shared" si="36"/>
        <v>23637.21</v>
      </c>
      <c r="P53" s="438">
        <f t="shared" si="37"/>
        <v>1.004803989083582</v>
      </c>
      <c r="Q53" s="436">
        <v>33.86</v>
      </c>
      <c r="R53" s="438">
        <f t="shared" si="38"/>
        <v>1.4393688201936729E-3</v>
      </c>
      <c r="S53" s="446">
        <f t="shared" si="39"/>
        <v>1333.7453999999998</v>
      </c>
      <c r="T53" s="439">
        <f t="shared" si="40"/>
        <v>113.0099999999984</v>
      </c>
      <c r="U53" s="438">
        <f t="shared" si="41"/>
        <v>4.803989083581945E-3</v>
      </c>
      <c r="V53" s="450">
        <f t="shared" si="42"/>
        <v>79.1499999999984</v>
      </c>
      <c r="W53" s="451">
        <f t="shared" si="43"/>
        <v>3.3646202633882726E-3</v>
      </c>
      <c r="X53" s="452">
        <f t="shared" si="44"/>
        <v>3117.7184999999363</v>
      </c>
      <c r="Y53" s="364" t="s">
        <v>170</v>
      </c>
      <c r="Z53" s="364" t="s">
        <v>406</v>
      </c>
      <c r="AA53" s="365" t="s">
        <v>574</v>
      </c>
      <c r="AB53" s="365" t="s">
        <v>601</v>
      </c>
      <c r="AC53" s="365">
        <v>1</v>
      </c>
      <c r="AD53" s="440" t="s">
        <v>319</v>
      </c>
      <c r="AF53" s="360" t="s">
        <v>515</v>
      </c>
      <c r="AG53" s="369">
        <f t="shared" ref="AG53:AM53" si="47">AG51/$AF51</f>
        <v>0</v>
      </c>
      <c r="AH53" s="369">
        <f t="shared" si="47"/>
        <v>0</v>
      </c>
      <c r="AI53" s="369">
        <f t="shared" si="47"/>
        <v>0</v>
      </c>
      <c r="AJ53" s="369">
        <f t="shared" si="47"/>
        <v>0.9</v>
      </c>
      <c r="AK53" s="369">
        <f t="shared" si="47"/>
        <v>0.05</v>
      </c>
      <c r="AL53" s="369">
        <f t="shared" si="47"/>
        <v>0.05</v>
      </c>
      <c r="AM53" s="369">
        <f t="shared" si="47"/>
        <v>0</v>
      </c>
    </row>
    <row r="54" spans="2:39" s="147" customFormat="1" ht="27" customHeight="1">
      <c r="B54" s="875"/>
      <c r="C54" s="876"/>
      <c r="D54" s="360">
        <v>6</v>
      </c>
      <c r="E54" s="434" t="s">
        <v>434</v>
      </c>
      <c r="F54" s="362">
        <f t="shared" si="32"/>
        <v>4040.703400000034</v>
      </c>
      <c r="G54" s="363">
        <v>407.74000000000007</v>
      </c>
      <c r="H54" s="436">
        <v>1086.67</v>
      </c>
      <c r="I54" s="436">
        <v>1086.67</v>
      </c>
      <c r="J54" s="438">
        <f t="shared" si="33"/>
        <v>1</v>
      </c>
      <c r="K54" s="437">
        <v>1086.67</v>
      </c>
      <c r="L54" s="438">
        <f t="shared" si="34"/>
        <v>1</v>
      </c>
      <c r="M54" s="437">
        <v>9.91</v>
      </c>
      <c r="N54" s="438">
        <f t="shared" si="35"/>
        <v>9.1196039275953135E-3</v>
      </c>
      <c r="O54" s="439">
        <f t="shared" si="36"/>
        <v>1096.5800000000002</v>
      </c>
      <c r="P54" s="438">
        <f t="shared" si="37"/>
        <v>1.0091196039275954</v>
      </c>
      <c r="Q54" s="436">
        <v>3.0300000000000002</v>
      </c>
      <c r="R54" s="438">
        <f t="shared" si="38"/>
        <v>2.7883350051073463E-3</v>
      </c>
      <c r="S54" s="446">
        <f t="shared" si="39"/>
        <v>1235.4522000000004</v>
      </c>
      <c r="T54" s="439">
        <f t="shared" si="40"/>
        <v>9.9100000000000819</v>
      </c>
      <c r="U54" s="438">
        <f t="shared" si="41"/>
        <v>9.1196039275953881E-3</v>
      </c>
      <c r="V54" s="450">
        <f t="shared" si="42"/>
        <v>6.8800000000000816</v>
      </c>
      <c r="W54" s="451">
        <f t="shared" si="43"/>
        <v>6.3312689224880427E-3</v>
      </c>
      <c r="X54" s="452">
        <f t="shared" si="44"/>
        <v>2805.2512000000338</v>
      </c>
      <c r="Y54" s="364" t="s">
        <v>170</v>
      </c>
      <c r="Z54" s="364" t="s">
        <v>199</v>
      </c>
      <c r="AA54" s="365" t="s">
        <v>446</v>
      </c>
      <c r="AB54" s="365" t="s">
        <v>600</v>
      </c>
      <c r="AC54" s="365">
        <v>1</v>
      </c>
      <c r="AD54" s="440" t="s">
        <v>436</v>
      </c>
    </row>
    <row r="55" spans="2:39" s="147" customFormat="1" ht="27" customHeight="1">
      <c r="B55" s="875"/>
      <c r="C55" s="876"/>
      <c r="D55" s="360">
        <v>7</v>
      </c>
      <c r="E55" s="434" t="s">
        <v>589</v>
      </c>
      <c r="F55" s="362">
        <f t="shared" si="32"/>
        <v>4022.4522000000134</v>
      </c>
      <c r="G55" s="363">
        <v>52.26</v>
      </c>
      <c r="H55" s="436">
        <v>4800.18</v>
      </c>
      <c r="I55" s="436">
        <v>4800.18</v>
      </c>
      <c r="J55" s="438">
        <f t="shared" si="33"/>
        <v>1</v>
      </c>
      <c r="K55" s="437">
        <v>4800.18</v>
      </c>
      <c r="L55" s="438">
        <f t="shared" si="34"/>
        <v>1</v>
      </c>
      <c r="M55" s="437">
        <v>76.97</v>
      </c>
      <c r="N55" s="438">
        <f t="shared" si="35"/>
        <v>1.6034815361090624E-2</v>
      </c>
      <c r="O55" s="439">
        <f t="shared" si="36"/>
        <v>4877.1500000000005</v>
      </c>
      <c r="P55" s="438">
        <f t="shared" si="37"/>
        <v>1.0160348153610907</v>
      </c>
      <c r="Q55" s="436">
        <v>14.920000000000002</v>
      </c>
      <c r="R55" s="438">
        <f t="shared" si="38"/>
        <v>3.1082167752042632E-3</v>
      </c>
      <c r="S55" s="446">
        <f t="shared" si="39"/>
        <v>779.71920000000011</v>
      </c>
      <c r="T55" s="439">
        <f t="shared" si="40"/>
        <v>76.970000000000255</v>
      </c>
      <c r="U55" s="438">
        <f t="shared" si="41"/>
        <v>1.6034815361090679E-2</v>
      </c>
      <c r="V55" s="450">
        <f t="shared" si="42"/>
        <v>62.050000000000253</v>
      </c>
      <c r="W55" s="451">
        <f t="shared" si="43"/>
        <v>1.2926598585886415E-2</v>
      </c>
      <c r="X55" s="452">
        <f t="shared" si="44"/>
        <v>3242.7330000000129</v>
      </c>
      <c r="Y55" s="364" t="s">
        <v>170</v>
      </c>
      <c r="Z55" s="364" t="s">
        <v>406</v>
      </c>
      <c r="AA55" s="365" t="s">
        <v>574</v>
      </c>
      <c r="AB55" s="365" t="s">
        <v>601</v>
      </c>
      <c r="AC55" s="365">
        <v>1</v>
      </c>
      <c r="AD55" s="440" t="s">
        <v>578</v>
      </c>
    </row>
    <row r="56" spans="2:39" s="147" customFormat="1" ht="27" customHeight="1">
      <c r="B56" s="875"/>
      <c r="C56" s="876"/>
      <c r="D56" s="360">
        <v>8</v>
      </c>
      <c r="E56" s="434" t="s">
        <v>545</v>
      </c>
      <c r="F56" s="362">
        <f t="shared" si="32"/>
        <v>3685.1600000000062</v>
      </c>
      <c r="G56" s="363">
        <v>144.79999999999998</v>
      </c>
      <c r="H56" s="436">
        <v>1605.5700000000002</v>
      </c>
      <c r="I56" s="436">
        <v>1605.5700000000002</v>
      </c>
      <c r="J56" s="438">
        <f t="shared" si="33"/>
        <v>1</v>
      </c>
      <c r="K56" s="437">
        <v>1605.5700000000002</v>
      </c>
      <c r="L56" s="438">
        <f t="shared" si="34"/>
        <v>1</v>
      </c>
      <c r="M56" s="437">
        <v>25.450000000000003</v>
      </c>
      <c r="N56" s="438">
        <f t="shared" si="35"/>
        <v>1.5851068467896138E-2</v>
      </c>
      <c r="O56" s="439">
        <f t="shared" si="36"/>
        <v>1631.0200000000002</v>
      </c>
      <c r="P56" s="438">
        <f t="shared" si="37"/>
        <v>1.0158510684678961</v>
      </c>
      <c r="Q56" s="436">
        <v>5.98</v>
      </c>
      <c r="R56" s="438">
        <f t="shared" si="38"/>
        <v>3.7245339661304082E-3</v>
      </c>
      <c r="S56" s="446">
        <f t="shared" si="39"/>
        <v>865.904</v>
      </c>
      <c r="T56" s="439">
        <f t="shared" si="40"/>
        <v>25.450000000000045</v>
      </c>
      <c r="U56" s="438">
        <f t="shared" si="41"/>
        <v>1.5851068467896162E-2</v>
      </c>
      <c r="V56" s="450">
        <f t="shared" si="42"/>
        <v>19.470000000000045</v>
      </c>
      <c r="W56" s="451">
        <f t="shared" si="43"/>
        <v>1.2126534501765755E-2</v>
      </c>
      <c r="X56" s="452">
        <f t="shared" si="44"/>
        <v>2819.2560000000062</v>
      </c>
      <c r="Y56" s="364" t="s">
        <v>170</v>
      </c>
      <c r="Z56" s="364" t="s">
        <v>406</v>
      </c>
      <c r="AA56" s="365" t="s">
        <v>447</v>
      </c>
      <c r="AB56" s="365" t="s">
        <v>487</v>
      </c>
      <c r="AC56" s="365">
        <v>1</v>
      </c>
      <c r="AD56" s="440" t="s">
        <v>319</v>
      </c>
    </row>
    <row r="57" spans="2:39" s="147" customFormat="1" ht="27" customHeight="1">
      <c r="B57" s="875"/>
      <c r="C57" s="876"/>
      <c r="D57" s="360">
        <v>9</v>
      </c>
      <c r="E57" s="434" t="s">
        <v>410</v>
      </c>
      <c r="F57" s="362">
        <f t="shared" si="32"/>
        <v>3626.1790000000078</v>
      </c>
      <c r="G57" s="363">
        <v>368.13999999999993</v>
      </c>
      <c r="H57" s="436">
        <v>402.56</v>
      </c>
      <c r="I57" s="436">
        <v>402.56</v>
      </c>
      <c r="J57" s="438">
        <f t="shared" si="33"/>
        <v>1</v>
      </c>
      <c r="K57" s="437">
        <v>402.56</v>
      </c>
      <c r="L57" s="438">
        <f t="shared" si="34"/>
        <v>1</v>
      </c>
      <c r="M57" s="437">
        <v>9.85</v>
      </c>
      <c r="N57" s="438">
        <f t="shared" si="35"/>
        <v>2.4468402225755165E-2</v>
      </c>
      <c r="O57" s="439">
        <f t="shared" si="36"/>
        <v>412.41</v>
      </c>
      <c r="P57" s="438">
        <f t="shared" si="37"/>
        <v>1.0244684022257553</v>
      </c>
      <c r="Q57" s="436">
        <v>2.02</v>
      </c>
      <c r="R57" s="438">
        <f t="shared" si="38"/>
        <v>5.0178855325914151E-3</v>
      </c>
      <c r="S57" s="446">
        <f t="shared" si="39"/>
        <v>743.64279999999985</v>
      </c>
      <c r="T57" s="439">
        <f t="shared" si="40"/>
        <v>9.8500000000000227</v>
      </c>
      <c r="U57" s="438">
        <f t="shared" si="41"/>
        <v>2.4468402225755224E-2</v>
      </c>
      <c r="V57" s="450">
        <f t="shared" si="42"/>
        <v>7.8300000000000232</v>
      </c>
      <c r="W57" s="451">
        <f t="shared" si="43"/>
        <v>1.9450516693163809E-2</v>
      </c>
      <c r="X57" s="452">
        <f t="shared" si="44"/>
        <v>2882.5362000000082</v>
      </c>
      <c r="Y57" s="364" t="s">
        <v>170</v>
      </c>
      <c r="Z57" s="364" t="s">
        <v>406</v>
      </c>
      <c r="AA57" s="365" t="s">
        <v>632</v>
      </c>
      <c r="AB57" s="365" t="s">
        <v>487</v>
      </c>
      <c r="AC57" s="365">
        <v>1</v>
      </c>
      <c r="AD57" s="440" t="s">
        <v>411</v>
      </c>
      <c r="AH57" s="367"/>
    </row>
    <row r="58" spans="2:39" s="147" customFormat="1" ht="27" customHeight="1">
      <c r="B58" s="875"/>
      <c r="C58" s="876"/>
      <c r="D58" s="360">
        <v>10</v>
      </c>
      <c r="E58" s="434" t="s">
        <v>613</v>
      </c>
      <c r="F58" s="362">
        <f t="shared" si="32"/>
        <v>3584.9212000000171</v>
      </c>
      <c r="G58" s="363">
        <v>339.16</v>
      </c>
      <c r="H58" s="436">
        <v>621.78</v>
      </c>
      <c r="I58" s="436">
        <v>621.78</v>
      </c>
      <c r="J58" s="438">
        <f t="shared" si="33"/>
        <v>1</v>
      </c>
      <c r="K58" s="437">
        <v>621.78</v>
      </c>
      <c r="L58" s="438">
        <f t="shared" si="34"/>
        <v>1</v>
      </c>
      <c r="M58" s="437">
        <v>10.569999999999999</v>
      </c>
      <c r="N58" s="438">
        <f t="shared" si="35"/>
        <v>1.6999581845668885E-2</v>
      </c>
      <c r="O58" s="439">
        <f t="shared" si="36"/>
        <v>632.35</v>
      </c>
      <c r="P58" s="438">
        <f t="shared" si="37"/>
        <v>1.016999581845669</v>
      </c>
      <c r="Q58" s="436">
        <v>1.7100000000000002</v>
      </c>
      <c r="R58" s="438">
        <f t="shared" si="38"/>
        <v>2.750168870018335E-3</v>
      </c>
      <c r="S58" s="446">
        <f t="shared" si="39"/>
        <v>579.96360000000016</v>
      </c>
      <c r="T58" s="439">
        <f t="shared" si="40"/>
        <v>10.57000000000005</v>
      </c>
      <c r="U58" s="438">
        <f t="shared" si="41"/>
        <v>1.6999581845668969E-2</v>
      </c>
      <c r="V58" s="450">
        <f t="shared" si="42"/>
        <v>8.8600000000000492</v>
      </c>
      <c r="W58" s="451">
        <f t="shared" si="43"/>
        <v>1.4249412975650631E-2</v>
      </c>
      <c r="X58" s="452">
        <f t="shared" si="44"/>
        <v>3004.957600000017</v>
      </c>
      <c r="Y58" s="364" t="s">
        <v>170</v>
      </c>
      <c r="Z58" s="364" t="s">
        <v>406</v>
      </c>
      <c r="AA58" s="365" t="s">
        <v>447</v>
      </c>
      <c r="AB58" s="365" t="s">
        <v>487</v>
      </c>
      <c r="AC58" s="365">
        <v>1</v>
      </c>
      <c r="AD58" s="440" t="s">
        <v>615</v>
      </c>
      <c r="AH58" s="367"/>
    </row>
    <row r="59" spans="2:39" s="147" customFormat="1" ht="27" customHeight="1">
      <c r="B59" s="875"/>
      <c r="C59" s="876"/>
      <c r="D59" s="360">
        <v>11</v>
      </c>
      <c r="E59" s="434" t="s">
        <v>335</v>
      </c>
      <c r="F59" s="362">
        <f t="shared" si="32"/>
        <v>3551.4375</v>
      </c>
      <c r="G59" s="363">
        <v>152.75</v>
      </c>
      <c r="H59" s="436">
        <v>1109.06</v>
      </c>
      <c r="I59" s="436">
        <v>1109.06</v>
      </c>
      <c r="J59" s="438">
        <f t="shared" si="33"/>
        <v>1</v>
      </c>
      <c r="K59" s="437">
        <v>1109.06</v>
      </c>
      <c r="L59" s="438">
        <f t="shared" si="34"/>
        <v>1</v>
      </c>
      <c r="M59" s="437">
        <v>23.250000000000004</v>
      </c>
      <c r="N59" s="438">
        <f t="shared" si="35"/>
        <v>2.0963698988332467E-2</v>
      </c>
      <c r="O59" s="439">
        <f t="shared" si="36"/>
        <v>1132.31</v>
      </c>
      <c r="P59" s="438">
        <f t="shared" si="37"/>
        <v>1.0209636989883324</v>
      </c>
      <c r="Q59" s="436">
        <v>4.78</v>
      </c>
      <c r="R59" s="438">
        <f t="shared" si="38"/>
        <v>4.3099561791066316E-3</v>
      </c>
      <c r="S59" s="446">
        <f t="shared" si="39"/>
        <v>730.14499999999998</v>
      </c>
      <c r="T59" s="439">
        <f t="shared" si="40"/>
        <v>23.25</v>
      </c>
      <c r="U59" s="438">
        <f t="shared" si="41"/>
        <v>2.0963698988332464E-2</v>
      </c>
      <c r="V59" s="450">
        <f t="shared" si="42"/>
        <v>18.47</v>
      </c>
      <c r="W59" s="451">
        <f t="shared" si="43"/>
        <v>1.6653742809225831E-2</v>
      </c>
      <c r="X59" s="452">
        <f t="shared" si="44"/>
        <v>2821.2925</v>
      </c>
      <c r="Y59" s="364" t="s">
        <v>170</v>
      </c>
      <c r="Z59" s="364" t="s">
        <v>406</v>
      </c>
      <c r="AA59" s="365" t="s">
        <v>447</v>
      </c>
      <c r="AB59" s="365" t="s">
        <v>487</v>
      </c>
      <c r="AC59" s="365">
        <v>1</v>
      </c>
      <c r="AD59" s="440" t="s">
        <v>336</v>
      </c>
      <c r="AH59" s="367"/>
    </row>
    <row r="60" spans="2:39" s="147" customFormat="1" ht="27" customHeight="1">
      <c r="B60" s="875"/>
      <c r="C60" s="876"/>
      <c r="D60" s="360">
        <v>12</v>
      </c>
      <c r="E60" s="434" t="s">
        <v>628</v>
      </c>
      <c r="F60" s="362">
        <f t="shared" si="32"/>
        <v>3421.1106000000068</v>
      </c>
      <c r="G60" s="363">
        <v>126.99</v>
      </c>
      <c r="H60" s="436">
        <v>1070.1500000000001</v>
      </c>
      <c r="I60" s="436">
        <v>1070.1500000000001</v>
      </c>
      <c r="J60" s="438">
        <f t="shared" si="33"/>
        <v>1</v>
      </c>
      <c r="K60" s="437">
        <v>1070.1500000000001</v>
      </c>
      <c r="L60" s="438">
        <f t="shared" si="34"/>
        <v>1</v>
      </c>
      <c r="M60" s="437">
        <v>26.94</v>
      </c>
      <c r="N60" s="438">
        <f t="shared" si="35"/>
        <v>2.5174041022286594E-2</v>
      </c>
      <c r="O60" s="439">
        <f t="shared" si="36"/>
        <v>1097.0900000000001</v>
      </c>
      <c r="P60" s="438">
        <f t="shared" si="37"/>
        <v>1.0251740410222867</v>
      </c>
      <c r="Q60" s="436">
        <v>5.5600000000000005</v>
      </c>
      <c r="R60" s="438">
        <f t="shared" si="38"/>
        <v>5.1955333364481614E-3</v>
      </c>
      <c r="S60" s="446">
        <f t="shared" si="39"/>
        <v>706.06440000000009</v>
      </c>
      <c r="T60" s="439">
        <f t="shared" si="40"/>
        <v>26.940000000000055</v>
      </c>
      <c r="U60" s="438">
        <f t="shared" si="41"/>
        <v>2.5174041022286646E-2</v>
      </c>
      <c r="V60" s="450">
        <f t="shared" si="42"/>
        <v>21.380000000000052</v>
      </c>
      <c r="W60" s="451">
        <f t="shared" si="43"/>
        <v>1.9978507685838483E-2</v>
      </c>
      <c r="X60" s="452">
        <f t="shared" si="44"/>
        <v>2715.0462000000066</v>
      </c>
      <c r="Y60" s="364" t="s">
        <v>170</v>
      </c>
      <c r="Z60" s="364" t="s">
        <v>406</v>
      </c>
      <c r="AA60" s="365" t="s">
        <v>497</v>
      </c>
      <c r="AB60" s="365" t="s">
        <v>576</v>
      </c>
      <c r="AC60" s="365">
        <v>1</v>
      </c>
      <c r="AD60" s="440" t="s">
        <v>319</v>
      </c>
      <c r="AH60" s="367"/>
    </row>
    <row r="61" spans="2:39" s="147" customFormat="1" ht="27" customHeight="1">
      <c r="B61" s="875"/>
      <c r="C61" s="876"/>
      <c r="D61" s="360">
        <v>13</v>
      </c>
      <c r="E61" s="434" t="s">
        <v>499</v>
      </c>
      <c r="F61" s="362">
        <f t="shared" si="32"/>
        <v>3323.0324999999998</v>
      </c>
      <c r="G61" s="363">
        <v>66.13</v>
      </c>
      <c r="H61" s="436">
        <v>1995.14</v>
      </c>
      <c r="I61" s="436">
        <v>1995.14</v>
      </c>
      <c r="J61" s="438">
        <f t="shared" si="33"/>
        <v>1</v>
      </c>
      <c r="K61" s="437">
        <v>1995.14</v>
      </c>
      <c r="L61" s="438">
        <f t="shared" si="34"/>
        <v>1</v>
      </c>
      <c r="M61" s="437">
        <v>50.25</v>
      </c>
      <c r="N61" s="438">
        <f t="shared" si="35"/>
        <v>2.5186202472006976E-2</v>
      </c>
      <c r="O61" s="439">
        <f t="shared" si="36"/>
        <v>2045.39</v>
      </c>
      <c r="P61" s="438">
        <f t="shared" si="37"/>
        <v>1.0251862024720069</v>
      </c>
      <c r="Q61" s="436">
        <v>9.73</v>
      </c>
      <c r="R61" s="438">
        <f t="shared" si="38"/>
        <v>4.8768507473159776E-3</v>
      </c>
      <c r="S61" s="446">
        <f t="shared" si="39"/>
        <v>643.44489999999996</v>
      </c>
      <c r="T61" s="439">
        <f t="shared" si="40"/>
        <v>50.25</v>
      </c>
      <c r="U61" s="438">
        <f t="shared" si="41"/>
        <v>2.5186202472006976E-2</v>
      </c>
      <c r="V61" s="450">
        <f t="shared" si="42"/>
        <v>40.519999999999996</v>
      </c>
      <c r="W61" s="451">
        <f t="shared" si="43"/>
        <v>2.0309351724690995E-2</v>
      </c>
      <c r="X61" s="452">
        <f t="shared" si="44"/>
        <v>2679.5875999999994</v>
      </c>
      <c r="Y61" s="364" t="s">
        <v>170</v>
      </c>
      <c r="Z61" s="364" t="s">
        <v>406</v>
      </c>
      <c r="AA61" s="365" t="s">
        <v>445</v>
      </c>
      <c r="AB61" s="365" t="s">
        <v>618</v>
      </c>
      <c r="AC61" s="365">
        <v>1</v>
      </c>
      <c r="AD61" s="440" t="s">
        <v>320</v>
      </c>
    </row>
    <row r="62" spans="2:39" s="147" customFormat="1" ht="27" customHeight="1">
      <c r="B62" s="875"/>
      <c r="C62" s="876"/>
      <c r="D62" s="360">
        <v>14</v>
      </c>
      <c r="E62" s="434" t="s">
        <v>544</v>
      </c>
      <c r="F62" s="362">
        <f t="shared" si="32"/>
        <v>3318.3695999999786</v>
      </c>
      <c r="G62" s="363">
        <v>193.82999999999998</v>
      </c>
      <c r="H62" s="436">
        <v>2260.2399999999998</v>
      </c>
      <c r="I62" s="436">
        <v>2260.2399999999998</v>
      </c>
      <c r="J62" s="438">
        <f t="shared" si="33"/>
        <v>1</v>
      </c>
      <c r="K62" s="437">
        <v>2260.2399999999998</v>
      </c>
      <c r="L62" s="438">
        <f t="shared" si="34"/>
        <v>1</v>
      </c>
      <c r="M62" s="437">
        <v>17.12</v>
      </c>
      <c r="N62" s="438">
        <f t="shared" si="35"/>
        <v>7.5744168760839567E-3</v>
      </c>
      <c r="O62" s="439">
        <f t="shared" si="36"/>
        <v>2277.3599999999997</v>
      </c>
      <c r="P62" s="438">
        <f t="shared" si="37"/>
        <v>1.0075744168760838</v>
      </c>
      <c r="Q62" s="436">
        <v>3.25</v>
      </c>
      <c r="R62" s="438">
        <f t="shared" si="38"/>
        <v>1.4379003999575267E-3</v>
      </c>
      <c r="S62" s="446">
        <f t="shared" si="39"/>
        <v>629.94749999999999</v>
      </c>
      <c r="T62" s="439">
        <f t="shared" si="40"/>
        <v>17.119999999999891</v>
      </c>
      <c r="U62" s="438">
        <f t="shared" si="41"/>
        <v>7.5744168760839082E-3</v>
      </c>
      <c r="V62" s="450">
        <f t="shared" si="42"/>
        <v>13.869999999999891</v>
      </c>
      <c r="W62" s="451">
        <f t="shared" si="43"/>
        <v>6.1365164761263812E-3</v>
      </c>
      <c r="X62" s="452">
        <f t="shared" si="44"/>
        <v>2688.4220999999784</v>
      </c>
      <c r="Y62" s="364" t="s">
        <v>170</v>
      </c>
      <c r="Z62" s="364" t="s">
        <v>406</v>
      </c>
      <c r="AA62" s="365" t="s">
        <v>447</v>
      </c>
      <c r="AB62" s="365" t="s">
        <v>487</v>
      </c>
      <c r="AC62" s="365">
        <v>1</v>
      </c>
      <c r="AD62" s="440" t="s">
        <v>548</v>
      </c>
    </row>
    <row r="63" spans="2:39" s="147" customFormat="1" ht="27" customHeight="1">
      <c r="B63" s="875"/>
      <c r="C63" s="876"/>
      <c r="D63" s="360">
        <v>15</v>
      </c>
      <c r="E63" s="434" t="s">
        <v>441</v>
      </c>
      <c r="F63" s="362">
        <f t="shared" si="32"/>
        <v>3304.5348000000213</v>
      </c>
      <c r="G63" s="363">
        <v>266.27999999999997</v>
      </c>
      <c r="H63" s="436">
        <v>1082.21</v>
      </c>
      <c r="I63" s="436">
        <v>1082.21</v>
      </c>
      <c r="J63" s="438">
        <f t="shared" si="33"/>
        <v>1</v>
      </c>
      <c r="K63" s="437">
        <v>1082.21</v>
      </c>
      <c r="L63" s="438">
        <f t="shared" si="34"/>
        <v>1</v>
      </c>
      <c r="M63" s="437">
        <v>12.41</v>
      </c>
      <c r="N63" s="438">
        <f t="shared" si="35"/>
        <v>1.1467275297770304E-2</v>
      </c>
      <c r="O63" s="439">
        <f t="shared" si="36"/>
        <v>1094.6200000000001</v>
      </c>
      <c r="P63" s="438">
        <f t="shared" si="37"/>
        <v>1.0114672752977705</v>
      </c>
      <c r="Q63" s="436">
        <v>2.4400000000000004</v>
      </c>
      <c r="R63" s="438">
        <f t="shared" si="38"/>
        <v>2.2546455863464579E-3</v>
      </c>
      <c r="S63" s="446">
        <f t="shared" si="39"/>
        <v>649.72320000000002</v>
      </c>
      <c r="T63" s="439">
        <f t="shared" si="40"/>
        <v>12.410000000000082</v>
      </c>
      <c r="U63" s="438">
        <f t="shared" si="41"/>
        <v>1.1467275297770379E-2</v>
      </c>
      <c r="V63" s="450">
        <f t="shared" si="42"/>
        <v>9.9700000000000806</v>
      </c>
      <c r="W63" s="451">
        <f t="shared" si="43"/>
        <v>9.2126297114239197E-3</v>
      </c>
      <c r="X63" s="452">
        <f t="shared" si="44"/>
        <v>2654.8116000000214</v>
      </c>
      <c r="Y63" s="364" t="s">
        <v>170</v>
      </c>
      <c r="Z63" s="364" t="s">
        <v>406</v>
      </c>
      <c r="AA63" s="365" t="s">
        <v>447</v>
      </c>
      <c r="AB63" s="365" t="s">
        <v>487</v>
      </c>
      <c r="AC63" s="365">
        <v>1</v>
      </c>
      <c r="AD63" s="440" t="s">
        <v>442</v>
      </c>
    </row>
    <row r="64" spans="2:39" s="147" customFormat="1" ht="27" customHeight="1">
      <c r="B64" s="875"/>
      <c r="C64" s="876"/>
      <c r="D64" s="360">
        <v>16</v>
      </c>
      <c r="E64" s="434" t="s">
        <v>686</v>
      </c>
      <c r="F64" s="362">
        <f t="shared" si="32"/>
        <v>3289.9574000000066</v>
      </c>
      <c r="G64" s="363">
        <v>655.37</v>
      </c>
      <c r="H64" s="436">
        <v>214.91</v>
      </c>
      <c r="I64" s="436">
        <v>214.91</v>
      </c>
      <c r="J64" s="438">
        <f t="shared" si="33"/>
        <v>1</v>
      </c>
      <c r="K64" s="437">
        <v>214.91</v>
      </c>
      <c r="L64" s="438">
        <f t="shared" si="34"/>
        <v>1</v>
      </c>
      <c r="M64" s="437">
        <v>5.0200000000000005</v>
      </c>
      <c r="N64" s="438">
        <f t="shared" si="35"/>
        <v>2.3358615234284123E-2</v>
      </c>
      <c r="O64" s="439">
        <f t="shared" si="36"/>
        <v>219.93</v>
      </c>
      <c r="P64" s="438">
        <f t="shared" si="37"/>
        <v>1.0233586152342842</v>
      </c>
      <c r="Q64" s="436">
        <v>1.1300000000000001</v>
      </c>
      <c r="R64" s="438">
        <f t="shared" si="38"/>
        <v>5.2580149830161469E-3</v>
      </c>
      <c r="S64" s="446">
        <f t="shared" si="39"/>
        <v>740.56810000000007</v>
      </c>
      <c r="T64" s="439">
        <f t="shared" si="40"/>
        <v>5.0200000000000102</v>
      </c>
      <c r="U64" s="438">
        <f t="shared" si="41"/>
        <v>2.3358615234284168E-2</v>
      </c>
      <c r="V64" s="450">
        <f t="shared" si="42"/>
        <v>3.8900000000000103</v>
      </c>
      <c r="W64" s="451">
        <f t="shared" si="43"/>
        <v>1.8100600251268022E-2</v>
      </c>
      <c r="X64" s="452">
        <f t="shared" si="44"/>
        <v>2549.3893000000066</v>
      </c>
      <c r="Y64" s="364" t="s">
        <v>170</v>
      </c>
      <c r="Z64" s="364" t="s">
        <v>406</v>
      </c>
      <c r="AA64" s="365" t="s">
        <v>574</v>
      </c>
      <c r="AB64" s="365" t="s">
        <v>601</v>
      </c>
      <c r="AC64" s="365">
        <v>1</v>
      </c>
      <c r="AD64" s="440" t="s">
        <v>549</v>
      </c>
    </row>
    <row r="65" spans="2:39" s="147" customFormat="1" ht="27" customHeight="1">
      <c r="B65" s="875"/>
      <c r="C65" s="876"/>
      <c r="D65" s="360">
        <v>17</v>
      </c>
      <c r="E65" s="434" t="s">
        <v>687</v>
      </c>
      <c r="F65" s="362">
        <f t="shared" si="32"/>
        <v>3187.2858000000078</v>
      </c>
      <c r="G65" s="363">
        <v>70.220000000000013</v>
      </c>
      <c r="H65" s="436">
        <v>1743.98</v>
      </c>
      <c r="I65" s="436">
        <v>1743.98</v>
      </c>
      <c r="J65" s="438">
        <f t="shared" si="33"/>
        <v>1</v>
      </c>
      <c r="K65" s="437">
        <v>1743.98</v>
      </c>
      <c r="L65" s="438">
        <f t="shared" si="34"/>
        <v>1</v>
      </c>
      <c r="M65" s="437">
        <v>45.39</v>
      </c>
      <c r="N65" s="438">
        <f t="shared" si="35"/>
        <v>2.6026674617828188E-2</v>
      </c>
      <c r="O65" s="439">
        <f t="shared" si="36"/>
        <v>1789.3700000000001</v>
      </c>
      <c r="P65" s="438">
        <f t="shared" si="37"/>
        <v>1.0260266746178281</v>
      </c>
      <c r="Q65" s="436">
        <v>10.540000000000001</v>
      </c>
      <c r="R65" s="438">
        <f t="shared" si="38"/>
        <v>6.0436472895331371E-3</v>
      </c>
      <c r="S65" s="446">
        <f t="shared" si="39"/>
        <v>740.11880000000019</v>
      </c>
      <c r="T65" s="439">
        <f t="shared" si="40"/>
        <v>45.3900000000001</v>
      </c>
      <c r="U65" s="438">
        <f t="shared" si="41"/>
        <v>2.6026674617828243E-2</v>
      </c>
      <c r="V65" s="450">
        <f t="shared" si="42"/>
        <v>34.850000000000101</v>
      </c>
      <c r="W65" s="451">
        <f t="shared" si="43"/>
        <v>1.9983027328295107E-2</v>
      </c>
      <c r="X65" s="452">
        <f t="shared" si="44"/>
        <v>2447.1670000000076</v>
      </c>
      <c r="Y65" s="364" t="s">
        <v>170</v>
      </c>
      <c r="Z65" s="364" t="s">
        <v>406</v>
      </c>
      <c r="AA65" s="365" t="s">
        <v>694</v>
      </c>
      <c r="AB65" s="365" t="s">
        <v>618</v>
      </c>
      <c r="AC65" s="365">
        <v>1</v>
      </c>
      <c r="AD65" s="440" t="s">
        <v>322</v>
      </c>
    </row>
    <row r="66" spans="2:39" s="147" customFormat="1" ht="27" customHeight="1">
      <c r="B66" s="875"/>
      <c r="C66" s="876"/>
      <c r="D66" s="360">
        <v>18</v>
      </c>
      <c r="E66" s="434" t="s">
        <v>555</v>
      </c>
      <c r="F66" s="362">
        <f t="shared" si="32"/>
        <v>3117.648299999993</v>
      </c>
      <c r="G66" s="363">
        <v>99.51</v>
      </c>
      <c r="H66" s="436">
        <v>1226.04</v>
      </c>
      <c r="I66" s="436">
        <v>1226.04</v>
      </c>
      <c r="J66" s="438">
        <f t="shared" si="33"/>
        <v>1</v>
      </c>
      <c r="K66" s="437">
        <v>1226.04</v>
      </c>
      <c r="L66" s="438">
        <f t="shared" si="34"/>
        <v>1</v>
      </c>
      <c r="M66" s="437">
        <v>31.330000000000002</v>
      </c>
      <c r="N66" s="438">
        <f t="shared" si="35"/>
        <v>2.5553815536197844E-2</v>
      </c>
      <c r="O66" s="439">
        <f t="shared" si="36"/>
        <v>1257.3699999999999</v>
      </c>
      <c r="P66" s="438">
        <f t="shared" si="37"/>
        <v>1.0255538155361978</v>
      </c>
      <c r="Q66" s="436">
        <v>7.41</v>
      </c>
      <c r="R66" s="438">
        <f t="shared" si="38"/>
        <v>6.043848487814427E-3</v>
      </c>
      <c r="S66" s="446">
        <f t="shared" si="39"/>
        <v>737.3691</v>
      </c>
      <c r="T66" s="439">
        <f t="shared" si="40"/>
        <v>31.329999999999927</v>
      </c>
      <c r="U66" s="438">
        <f t="shared" si="41"/>
        <v>2.5553815536197781E-2</v>
      </c>
      <c r="V66" s="450">
        <f t="shared" si="42"/>
        <v>23.919999999999927</v>
      </c>
      <c r="W66" s="451">
        <f t="shared" si="43"/>
        <v>1.9509967048383356E-2</v>
      </c>
      <c r="X66" s="452">
        <f t="shared" si="44"/>
        <v>2380.2791999999927</v>
      </c>
      <c r="Y66" s="364" t="s">
        <v>170</v>
      </c>
      <c r="Z66" s="364" t="s">
        <v>406</v>
      </c>
      <c r="AA66" s="365" t="s">
        <v>694</v>
      </c>
      <c r="AB66" s="365" t="s">
        <v>618</v>
      </c>
      <c r="AC66" s="365">
        <v>1</v>
      </c>
      <c r="AD66" s="440" t="s">
        <v>328</v>
      </c>
    </row>
    <row r="67" spans="2:39" s="147" customFormat="1" ht="27" customHeight="1">
      <c r="B67" s="875"/>
      <c r="C67" s="876"/>
      <c r="D67" s="360">
        <v>19</v>
      </c>
      <c r="E67" s="434" t="s">
        <v>553</v>
      </c>
      <c r="F67" s="362">
        <f t="shared" si="32"/>
        <v>3080.606400000001</v>
      </c>
      <c r="G67" s="363">
        <v>127.72000000000001</v>
      </c>
      <c r="H67" s="436">
        <v>830.16</v>
      </c>
      <c r="I67" s="436">
        <v>830.16</v>
      </c>
      <c r="J67" s="438">
        <f t="shared" si="33"/>
        <v>1</v>
      </c>
      <c r="K67" s="437">
        <v>830.16</v>
      </c>
      <c r="L67" s="438">
        <f t="shared" si="34"/>
        <v>1</v>
      </c>
      <c r="M67" s="437">
        <v>24.12</v>
      </c>
      <c r="N67" s="438">
        <f t="shared" si="35"/>
        <v>2.9054640069384217E-2</v>
      </c>
      <c r="O67" s="439">
        <f t="shared" si="36"/>
        <v>854.28</v>
      </c>
      <c r="P67" s="438">
        <f t="shared" si="37"/>
        <v>1.0290546400693843</v>
      </c>
      <c r="Q67" s="436">
        <v>5.61</v>
      </c>
      <c r="R67" s="438">
        <f t="shared" si="38"/>
        <v>6.7577334489736926E-3</v>
      </c>
      <c r="S67" s="446">
        <f t="shared" si="39"/>
        <v>716.50920000000008</v>
      </c>
      <c r="T67" s="439">
        <f t="shared" si="40"/>
        <v>24.120000000000005</v>
      </c>
      <c r="U67" s="438">
        <f t="shared" si="41"/>
        <v>2.905464006938422E-2</v>
      </c>
      <c r="V67" s="450">
        <f t="shared" si="42"/>
        <v>18.510000000000005</v>
      </c>
      <c r="W67" s="451">
        <f t="shared" si="43"/>
        <v>2.229690662041053E-2</v>
      </c>
      <c r="X67" s="452">
        <f t="shared" si="44"/>
        <v>2364.0972000000011</v>
      </c>
      <c r="Y67" s="364" t="s">
        <v>170</v>
      </c>
      <c r="Z67" s="364" t="s">
        <v>406</v>
      </c>
      <c r="AA67" s="365" t="s">
        <v>447</v>
      </c>
      <c r="AB67" s="365" t="s">
        <v>487</v>
      </c>
      <c r="AC67" s="365">
        <v>1</v>
      </c>
      <c r="AD67" s="440" t="s">
        <v>524</v>
      </c>
    </row>
    <row r="68" spans="2:39" s="147" customFormat="1" ht="27" customHeight="1">
      <c r="B68" s="877"/>
      <c r="C68" s="878"/>
      <c r="D68" s="360">
        <v>20</v>
      </c>
      <c r="E68" s="434" t="s">
        <v>688</v>
      </c>
      <c r="F68" s="362">
        <f t="shared" si="32"/>
        <v>3071.0251000000044</v>
      </c>
      <c r="G68" s="363">
        <v>181.60999999999999</v>
      </c>
      <c r="H68" s="436">
        <v>476.41</v>
      </c>
      <c r="I68" s="436">
        <v>476.41</v>
      </c>
      <c r="J68" s="438">
        <f t="shared" si="33"/>
        <v>1</v>
      </c>
      <c r="K68" s="437">
        <v>476.41</v>
      </c>
      <c r="L68" s="438">
        <f t="shared" si="34"/>
        <v>1</v>
      </c>
      <c r="M68" s="437">
        <v>16.91</v>
      </c>
      <c r="N68" s="438">
        <f t="shared" si="35"/>
        <v>3.5494636972355741E-2</v>
      </c>
      <c r="O68" s="439">
        <f t="shared" si="36"/>
        <v>493.32000000000005</v>
      </c>
      <c r="P68" s="438">
        <f t="shared" si="37"/>
        <v>1.0354946369723559</v>
      </c>
      <c r="Q68" s="436">
        <v>4.08</v>
      </c>
      <c r="R68" s="438">
        <f t="shared" si="38"/>
        <v>8.5640519720408884E-3</v>
      </c>
      <c r="S68" s="446">
        <f t="shared" si="39"/>
        <v>740.96879999999999</v>
      </c>
      <c r="T68" s="439">
        <f t="shared" si="40"/>
        <v>16.910000000000025</v>
      </c>
      <c r="U68" s="438">
        <f t="shared" si="41"/>
        <v>3.5494636972355796E-2</v>
      </c>
      <c r="V68" s="450">
        <f t="shared" si="42"/>
        <v>12.830000000000025</v>
      </c>
      <c r="W68" s="451">
        <f t="shared" si="43"/>
        <v>2.6930585000314904E-2</v>
      </c>
      <c r="X68" s="452">
        <f t="shared" si="44"/>
        <v>2330.0563000000043</v>
      </c>
      <c r="Y68" s="364" t="s">
        <v>170</v>
      </c>
      <c r="Z68" s="364" t="s">
        <v>406</v>
      </c>
      <c r="AA68" s="365" t="s">
        <v>497</v>
      </c>
      <c r="AB68" s="365" t="s">
        <v>576</v>
      </c>
      <c r="AC68" s="365">
        <v>1</v>
      </c>
      <c r="AD68" s="440" t="s">
        <v>415</v>
      </c>
    </row>
    <row r="69" spans="2:39" ht="17.100000000000001" customHeight="1">
      <c r="B69" s="889" t="s">
        <v>419</v>
      </c>
      <c r="C69" s="890"/>
      <c r="D69" s="893" t="s">
        <v>501</v>
      </c>
      <c r="E69" s="894" t="s">
        <v>502</v>
      </c>
      <c r="F69" s="909" t="s">
        <v>518</v>
      </c>
      <c r="G69" s="862" t="s">
        <v>504</v>
      </c>
      <c r="H69" s="896" t="s">
        <v>505</v>
      </c>
      <c r="I69" s="879" t="s">
        <v>506</v>
      </c>
      <c r="J69" s="880"/>
      <c r="K69" s="879" t="s">
        <v>507</v>
      </c>
      <c r="L69" s="880"/>
      <c r="M69" s="879" t="s">
        <v>508</v>
      </c>
      <c r="N69" s="880"/>
      <c r="O69" s="879" t="s">
        <v>509</v>
      </c>
      <c r="P69" s="880"/>
      <c r="Q69" s="879" t="s">
        <v>396</v>
      </c>
      <c r="R69" s="908"/>
      <c r="S69" s="880"/>
      <c r="T69" s="881" t="s">
        <v>567</v>
      </c>
      <c r="U69" s="882"/>
      <c r="V69" s="884" t="s">
        <v>566</v>
      </c>
      <c r="W69" s="885"/>
      <c r="X69" s="886"/>
      <c r="Y69" s="887" t="s">
        <v>168</v>
      </c>
      <c r="Z69" s="887" t="s">
        <v>228</v>
      </c>
      <c r="AA69" s="887" t="s">
        <v>510</v>
      </c>
      <c r="AB69" s="887" t="s">
        <v>420</v>
      </c>
      <c r="AC69" s="887" t="s">
        <v>229</v>
      </c>
      <c r="AD69" s="862" t="s">
        <v>169</v>
      </c>
      <c r="AF69" s="864" t="s">
        <v>230</v>
      </c>
      <c r="AG69" s="865"/>
      <c r="AH69" s="865"/>
      <c r="AI69" s="865"/>
      <c r="AJ69" s="865"/>
      <c r="AK69" s="865"/>
      <c r="AL69" s="865"/>
      <c r="AM69" s="866"/>
    </row>
    <row r="70" spans="2:39" ht="16.5" customHeight="1">
      <c r="B70" s="891"/>
      <c r="C70" s="892"/>
      <c r="D70" s="893"/>
      <c r="E70" s="893"/>
      <c r="F70" s="895"/>
      <c r="G70" s="863"/>
      <c r="H70" s="863"/>
      <c r="I70" s="433" t="s">
        <v>511</v>
      </c>
      <c r="J70" s="361" t="s">
        <v>512</v>
      </c>
      <c r="K70" s="433" t="s">
        <v>511</v>
      </c>
      <c r="L70" s="361" t="s">
        <v>512</v>
      </c>
      <c r="M70" s="433" t="s">
        <v>511</v>
      </c>
      <c r="N70" s="361" t="s">
        <v>512</v>
      </c>
      <c r="O70" s="433" t="s">
        <v>511</v>
      </c>
      <c r="P70" s="361" t="s">
        <v>512</v>
      </c>
      <c r="Q70" s="433" t="s">
        <v>511</v>
      </c>
      <c r="R70" s="361" t="s">
        <v>512</v>
      </c>
      <c r="S70" s="361" t="s">
        <v>513</v>
      </c>
      <c r="T70" s="433" t="s">
        <v>511</v>
      </c>
      <c r="U70" s="361" t="s">
        <v>512</v>
      </c>
      <c r="V70" s="433" t="s">
        <v>511</v>
      </c>
      <c r="W70" s="361" t="s">
        <v>512</v>
      </c>
      <c r="X70" s="361" t="s">
        <v>513</v>
      </c>
      <c r="Y70" s="888"/>
      <c r="Z70" s="888"/>
      <c r="AA70" s="888"/>
      <c r="AB70" s="888"/>
      <c r="AC70" s="888"/>
      <c r="AD70" s="863"/>
      <c r="AF70" s="867"/>
      <c r="AG70" s="868"/>
      <c r="AH70" s="868"/>
      <c r="AI70" s="868"/>
      <c r="AJ70" s="868"/>
      <c r="AK70" s="868"/>
      <c r="AL70" s="868"/>
      <c r="AM70" s="869"/>
    </row>
    <row r="71" spans="2:39" s="147" customFormat="1" ht="27" customHeight="1">
      <c r="B71" s="873" t="s">
        <v>646</v>
      </c>
      <c r="C71" s="874"/>
      <c r="D71" s="360">
        <v>1</v>
      </c>
      <c r="E71" s="434" t="s">
        <v>315</v>
      </c>
      <c r="F71" s="362">
        <f>IFERROR(T71*G71,"-")</f>
        <v>9783.454799999954</v>
      </c>
      <c r="G71" s="363">
        <v>147.43000000000004</v>
      </c>
      <c r="H71" s="436">
        <v>4374.68</v>
      </c>
      <c r="I71" s="436">
        <v>4374.68</v>
      </c>
      <c r="J71" s="438">
        <f>IFERROR(I71/H71,"-")</f>
        <v>1</v>
      </c>
      <c r="K71" s="437">
        <v>4374.68</v>
      </c>
      <c r="L71" s="438">
        <f>IFERROR(K71/H71,"-")</f>
        <v>1</v>
      </c>
      <c r="M71" s="437">
        <v>66.36</v>
      </c>
      <c r="N71" s="438">
        <f>IFERROR(M71/H71,"-")</f>
        <v>1.516910951201002E-2</v>
      </c>
      <c r="O71" s="439">
        <f>IFERROR(K71+M71,"-")</f>
        <v>4441.04</v>
      </c>
      <c r="P71" s="438">
        <f>IFERROR(O71/H71,"-")</f>
        <v>1.0151691095120099</v>
      </c>
      <c r="Q71" s="436">
        <v>9.57</v>
      </c>
      <c r="R71" s="438">
        <f>IFERROR(Q71/H71,"-")</f>
        <v>2.1875885779074128E-3</v>
      </c>
      <c r="S71" s="446">
        <f>IFERROR(Q71*G71,"-")</f>
        <v>1410.9051000000004</v>
      </c>
      <c r="T71" s="439">
        <f>IFERROR(O71-H71,"-")</f>
        <v>66.359999999999673</v>
      </c>
      <c r="U71" s="438">
        <f>IFERROR(T71/H71,"-")</f>
        <v>1.5169109512009945E-2</v>
      </c>
      <c r="V71" s="450">
        <f>T71-Q71</f>
        <v>56.789999999999672</v>
      </c>
      <c r="W71" s="451">
        <f>IFERROR(V71/H71,"-")</f>
        <v>1.2981520934102533E-2</v>
      </c>
      <c r="X71" s="452">
        <f>IFERROR(V71*G71,"-")</f>
        <v>8372.5496999999541</v>
      </c>
      <c r="Y71" s="364" t="s">
        <v>170</v>
      </c>
      <c r="Z71" s="364" t="s">
        <v>198</v>
      </c>
      <c r="AA71" s="365" t="s">
        <v>444</v>
      </c>
      <c r="AB71" s="365" t="s">
        <v>486</v>
      </c>
      <c r="AC71" s="365">
        <v>1</v>
      </c>
      <c r="AD71" s="440" t="s">
        <v>319</v>
      </c>
      <c r="AF71" s="870"/>
      <c r="AG71" s="871"/>
      <c r="AH71" s="871"/>
      <c r="AI71" s="871"/>
      <c r="AJ71" s="871"/>
      <c r="AK71" s="871"/>
      <c r="AL71" s="871"/>
      <c r="AM71" s="872"/>
    </row>
    <row r="72" spans="2:39" s="147" customFormat="1" ht="27" customHeight="1">
      <c r="B72" s="875"/>
      <c r="C72" s="876"/>
      <c r="D72" s="360">
        <v>2</v>
      </c>
      <c r="E72" s="434" t="s">
        <v>723</v>
      </c>
      <c r="F72" s="362">
        <f t="shared" ref="F72:F90" si="48">IFERROR(T72*G72,"-")</f>
        <v>9472.673599999991</v>
      </c>
      <c r="G72" s="363">
        <v>440.17999999999995</v>
      </c>
      <c r="H72" s="436">
        <v>1319.76</v>
      </c>
      <c r="I72" s="436">
        <v>1319.76</v>
      </c>
      <c r="J72" s="438">
        <f t="shared" ref="J72:J90" si="49">IFERROR(I72/H72,"-")</f>
        <v>1</v>
      </c>
      <c r="K72" s="437">
        <v>1319.76</v>
      </c>
      <c r="L72" s="438">
        <f t="shared" ref="L72:L90" si="50">IFERROR(K72/H72,"-")</f>
        <v>1</v>
      </c>
      <c r="M72" s="437">
        <v>21.520000000000003</v>
      </c>
      <c r="N72" s="438">
        <f t="shared" ref="N72:N90" si="51">IFERROR(M72/H72,"-")</f>
        <v>1.6305995029399289E-2</v>
      </c>
      <c r="O72" s="439">
        <f t="shared" ref="O72:O90" si="52">IFERROR(K72+M72,"-")</f>
        <v>1341.28</v>
      </c>
      <c r="P72" s="438">
        <f t="shared" ref="P72:P90" si="53">IFERROR(O72/H72,"-")</f>
        <v>1.0163059950293993</v>
      </c>
      <c r="Q72" s="436">
        <v>2.79</v>
      </c>
      <c r="R72" s="438">
        <f t="shared" ref="R72:R90" si="54">IFERROR(Q72/H72,"-")</f>
        <v>2.1140207310420076E-3</v>
      </c>
      <c r="S72" s="446">
        <f t="shared" ref="S72:S90" si="55">IFERROR(Q72*G72,"-")</f>
        <v>1228.1021999999998</v>
      </c>
      <c r="T72" s="439">
        <f t="shared" ref="T72:T90" si="56">IFERROR(O72-H72,"-")</f>
        <v>21.519999999999982</v>
      </c>
      <c r="U72" s="438">
        <f t="shared" ref="U72:U90" si="57">IFERROR(T72/H72,"-")</f>
        <v>1.6305995029399271E-2</v>
      </c>
      <c r="V72" s="450">
        <f t="shared" ref="V72:V90" si="58">T72-Q72</f>
        <v>18.729999999999983</v>
      </c>
      <c r="W72" s="451">
        <f t="shared" ref="W72:W90" si="59">IFERROR(V72/H72,"-")</f>
        <v>1.4191974298357264E-2</v>
      </c>
      <c r="X72" s="452">
        <f t="shared" ref="X72:X90" si="60">IFERROR(V72*G72,"-")</f>
        <v>8244.5713999999916</v>
      </c>
      <c r="Y72" s="364" t="s">
        <v>170</v>
      </c>
      <c r="Z72" s="364" t="s">
        <v>406</v>
      </c>
      <c r="AA72" s="365" t="s">
        <v>734</v>
      </c>
      <c r="AB72" s="365" t="s">
        <v>735</v>
      </c>
      <c r="AC72" s="365">
        <v>1</v>
      </c>
      <c r="AD72" s="440" t="s">
        <v>720</v>
      </c>
      <c r="AF72" s="160" t="s">
        <v>227</v>
      </c>
      <c r="AG72" s="160" t="s">
        <v>421</v>
      </c>
      <c r="AH72" s="155" t="s">
        <v>514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75"/>
      <c r="C73" s="876"/>
      <c r="D73" s="360">
        <v>3</v>
      </c>
      <c r="E73" s="434" t="s">
        <v>364</v>
      </c>
      <c r="F73" s="362">
        <f t="shared" si="48"/>
        <v>7867.2735999999968</v>
      </c>
      <c r="G73" s="363">
        <v>127.84000000000002</v>
      </c>
      <c r="H73" s="436">
        <v>5076.8900000000003</v>
      </c>
      <c r="I73" s="436">
        <v>5076.8900000000003</v>
      </c>
      <c r="J73" s="438">
        <f t="shared" si="49"/>
        <v>1</v>
      </c>
      <c r="K73" s="437">
        <v>5076.8900000000003</v>
      </c>
      <c r="L73" s="438">
        <f t="shared" si="50"/>
        <v>1</v>
      </c>
      <c r="M73" s="437">
        <v>61.54</v>
      </c>
      <c r="N73" s="438">
        <f t="shared" si="51"/>
        <v>1.2121594125537484E-2</v>
      </c>
      <c r="O73" s="439">
        <f t="shared" si="52"/>
        <v>5138.43</v>
      </c>
      <c r="P73" s="438">
        <f t="shared" si="53"/>
        <v>1.0121215941255375</v>
      </c>
      <c r="Q73" s="436">
        <v>14.42</v>
      </c>
      <c r="R73" s="438">
        <f t="shared" si="54"/>
        <v>2.8403215354281851E-3</v>
      </c>
      <c r="S73" s="446">
        <f t="shared" si="55"/>
        <v>1843.4528000000003</v>
      </c>
      <c r="T73" s="439">
        <f t="shared" si="56"/>
        <v>61.539999999999964</v>
      </c>
      <c r="U73" s="438">
        <f t="shared" si="57"/>
        <v>1.2121594125537477E-2</v>
      </c>
      <c r="V73" s="450">
        <f t="shared" si="58"/>
        <v>47.119999999999962</v>
      </c>
      <c r="W73" s="451">
        <f t="shared" si="59"/>
        <v>9.2812725901092914E-3</v>
      </c>
      <c r="X73" s="452">
        <f t="shared" si="60"/>
        <v>6023.8207999999959</v>
      </c>
      <c r="Y73" s="364" t="s">
        <v>170</v>
      </c>
      <c r="Z73" s="364" t="s">
        <v>406</v>
      </c>
      <c r="AA73" s="365" t="s">
        <v>575</v>
      </c>
      <c r="AB73" s="365" t="s">
        <v>736</v>
      </c>
      <c r="AC73" s="365">
        <v>1</v>
      </c>
      <c r="AD73" s="440" t="s">
        <v>319</v>
      </c>
      <c r="AF73" s="370">
        <f>SUM(AC71:AC90)</f>
        <v>20</v>
      </c>
      <c r="AG73" s="366">
        <f>SUMIF($Z$71:$Z$90,TRIM(AG72),$AC$71:$AC$90)</f>
        <v>0</v>
      </c>
      <c r="AH73" s="366">
        <f t="shared" ref="AH73:AM73" si="61">SUMIF($Z$71:$Z$90,TRIM(AH72),$AC$71:$AC$90)</f>
        <v>0</v>
      </c>
      <c r="AI73" s="366">
        <f t="shared" si="61"/>
        <v>0</v>
      </c>
      <c r="AJ73" s="366">
        <f t="shared" si="61"/>
        <v>18</v>
      </c>
      <c r="AK73" s="366">
        <f t="shared" si="61"/>
        <v>1</v>
      </c>
      <c r="AL73" s="366">
        <f t="shared" si="61"/>
        <v>1</v>
      </c>
      <c r="AM73" s="366">
        <f t="shared" si="61"/>
        <v>0</v>
      </c>
    </row>
    <row r="74" spans="2:39" s="147" customFormat="1" ht="27" customHeight="1">
      <c r="B74" s="875"/>
      <c r="C74" s="876"/>
      <c r="D74" s="360">
        <v>4</v>
      </c>
      <c r="E74" s="434" t="s">
        <v>559</v>
      </c>
      <c r="F74" s="362">
        <f t="shared" si="48"/>
        <v>7154.4942000000392</v>
      </c>
      <c r="G74" s="363">
        <v>625.93999999999994</v>
      </c>
      <c r="H74" s="436">
        <v>1177.17</v>
      </c>
      <c r="I74" s="436">
        <v>1177.17</v>
      </c>
      <c r="J74" s="438">
        <f t="shared" si="49"/>
        <v>1</v>
      </c>
      <c r="K74" s="437">
        <v>1177.17</v>
      </c>
      <c r="L74" s="438">
        <f t="shared" si="50"/>
        <v>1</v>
      </c>
      <c r="M74" s="437">
        <v>11.43</v>
      </c>
      <c r="N74" s="438">
        <f t="shared" si="51"/>
        <v>9.7097275669614409E-3</v>
      </c>
      <c r="O74" s="439">
        <f t="shared" si="52"/>
        <v>1188.6000000000001</v>
      </c>
      <c r="P74" s="438">
        <f t="shared" si="53"/>
        <v>1.0097097275669615</v>
      </c>
      <c r="Q74" s="436">
        <v>2.1999999999999997</v>
      </c>
      <c r="R74" s="438">
        <f t="shared" si="54"/>
        <v>1.8688889455218869E-3</v>
      </c>
      <c r="S74" s="446">
        <f t="shared" si="55"/>
        <v>1377.0679999999998</v>
      </c>
      <c r="T74" s="439">
        <f t="shared" si="56"/>
        <v>11.430000000000064</v>
      </c>
      <c r="U74" s="438">
        <f t="shared" si="57"/>
        <v>9.7097275669614947E-3</v>
      </c>
      <c r="V74" s="450">
        <f t="shared" si="58"/>
        <v>9.2300000000000644</v>
      </c>
      <c r="W74" s="451">
        <f t="shared" si="59"/>
        <v>7.8408386214396091E-3</v>
      </c>
      <c r="X74" s="452">
        <f t="shared" si="60"/>
        <v>5777.4262000000399</v>
      </c>
      <c r="Y74" s="364" t="s">
        <v>170</v>
      </c>
      <c r="Z74" s="364" t="s">
        <v>406</v>
      </c>
      <c r="AA74" s="365" t="s">
        <v>616</v>
      </c>
      <c r="AB74" s="365" t="s">
        <v>617</v>
      </c>
      <c r="AC74" s="365">
        <v>1</v>
      </c>
      <c r="AD74" s="440" t="s">
        <v>560</v>
      </c>
      <c r="AF74" s="371" t="s">
        <v>11</v>
      </c>
      <c r="AG74" s="368">
        <f>SUMIF($Z$71:$Z$90,TRIM(AG72),$F$71:$F$90)</f>
        <v>0</v>
      </c>
      <c r="AH74" s="368">
        <f t="shared" ref="AH74:AM74" si="62">SUMIF($Z$71:$Z$90,TRIM(AH72),$F$71:$F$90)</f>
        <v>0</v>
      </c>
      <c r="AI74" s="368">
        <f t="shared" si="62"/>
        <v>0</v>
      </c>
      <c r="AJ74" s="368">
        <f t="shared" si="62"/>
        <v>76942.087200000024</v>
      </c>
      <c r="AK74" s="368">
        <f t="shared" si="62"/>
        <v>9783.454799999954</v>
      </c>
      <c r="AL74" s="368">
        <f t="shared" si="62"/>
        <v>4171.180200000008</v>
      </c>
      <c r="AM74" s="368">
        <f t="shared" si="62"/>
        <v>0</v>
      </c>
    </row>
    <row r="75" spans="2:39" s="147" customFormat="1" ht="27" customHeight="1">
      <c r="B75" s="875"/>
      <c r="C75" s="876"/>
      <c r="D75" s="360">
        <v>5</v>
      </c>
      <c r="E75" s="434" t="s">
        <v>563</v>
      </c>
      <c r="F75" s="362">
        <f t="shared" si="48"/>
        <v>5158.6820999999654</v>
      </c>
      <c r="G75" s="363">
        <v>426.69</v>
      </c>
      <c r="H75" s="436">
        <v>1184.2800000000002</v>
      </c>
      <c r="I75" s="436">
        <v>1184.2800000000002</v>
      </c>
      <c r="J75" s="438">
        <f t="shared" si="49"/>
        <v>1</v>
      </c>
      <c r="K75" s="437">
        <v>1184.2800000000002</v>
      </c>
      <c r="L75" s="438">
        <f t="shared" si="50"/>
        <v>1</v>
      </c>
      <c r="M75" s="437">
        <v>12.089999999999998</v>
      </c>
      <c r="N75" s="438">
        <f t="shared" si="51"/>
        <v>1.0208734420913969E-2</v>
      </c>
      <c r="O75" s="439">
        <f t="shared" si="52"/>
        <v>1196.3700000000001</v>
      </c>
      <c r="P75" s="438">
        <f t="shared" si="53"/>
        <v>1.0102087344209139</v>
      </c>
      <c r="Q75" s="436">
        <v>1.8699999999999999</v>
      </c>
      <c r="R75" s="438">
        <f t="shared" si="54"/>
        <v>1.5790184753605562E-3</v>
      </c>
      <c r="S75" s="446">
        <f t="shared" si="55"/>
        <v>797.91029999999989</v>
      </c>
      <c r="T75" s="439">
        <f t="shared" si="56"/>
        <v>12.089999999999918</v>
      </c>
      <c r="U75" s="438">
        <f t="shared" si="57"/>
        <v>1.0208734420913902E-2</v>
      </c>
      <c r="V75" s="450">
        <f t="shared" si="58"/>
        <v>10.219999999999919</v>
      </c>
      <c r="W75" s="451">
        <f t="shared" si="59"/>
        <v>8.629715945553347E-3</v>
      </c>
      <c r="X75" s="452">
        <f t="shared" si="60"/>
        <v>4360.771799999965</v>
      </c>
      <c r="Y75" s="364" t="s">
        <v>170</v>
      </c>
      <c r="Z75" s="364" t="s">
        <v>406</v>
      </c>
      <c r="AA75" s="365" t="s">
        <v>447</v>
      </c>
      <c r="AB75" s="365" t="s">
        <v>487</v>
      </c>
      <c r="AC75" s="365">
        <v>1</v>
      </c>
      <c r="AD75" s="440" t="s">
        <v>336</v>
      </c>
      <c r="AF75" s="360" t="s">
        <v>515</v>
      </c>
      <c r="AG75" s="369">
        <f t="shared" ref="AG75:AM75" si="63">AG73/$AF73</f>
        <v>0</v>
      </c>
      <c r="AH75" s="369">
        <f t="shared" si="63"/>
        <v>0</v>
      </c>
      <c r="AI75" s="369">
        <f t="shared" si="63"/>
        <v>0</v>
      </c>
      <c r="AJ75" s="369">
        <f t="shared" si="63"/>
        <v>0.9</v>
      </c>
      <c r="AK75" s="369">
        <f t="shared" si="63"/>
        <v>0.05</v>
      </c>
      <c r="AL75" s="369">
        <f t="shared" si="63"/>
        <v>0.05</v>
      </c>
      <c r="AM75" s="369">
        <f t="shared" si="63"/>
        <v>0</v>
      </c>
    </row>
    <row r="76" spans="2:39" s="147" customFormat="1" ht="27" customHeight="1">
      <c r="B76" s="875"/>
      <c r="C76" s="876"/>
      <c r="D76" s="360">
        <v>6</v>
      </c>
      <c r="E76" s="434" t="s">
        <v>495</v>
      </c>
      <c r="F76" s="362">
        <f t="shared" si="48"/>
        <v>4240.7273999999934</v>
      </c>
      <c r="G76" s="363">
        <v>39.389999999999993</v>
      </c>
      <c r="H76" s="436">
        <v>23768.100000000002</v>
      </c>
      <c r="I76" s="436">
        <v>23768.100000000002</v>
      </c>
      <c r="J76" s="438">
        <f t="shared" si="49"/>
        <v>1</v>
      </c>
      <c r="K76" s="437">
        <v>23768.100000000002</v>
      </c>
      <c r="L76" s="438">
        <f t="shared" si="50"/>
        <v>1</v>
      </c>
      <c r="M76" s="437">
        <v>107.66</v>
      </c>
      <c r="N76" s="438">
        <f t="shared" si="51"/>
        <v>4.5296005991223524E-3</v>
      </c>
      <c r="O76" s="439">
        <f t="shared" si="52"/>
        <v>23875.760000000002</v>
      </c>
      <c r="P76" s="438">
        <f t="shared" si="53"/>
        <v>1.0045296005991224</v>
      </c>
      <c r="Q76" s="436">
        <v>27.419999999999998</v>
      </c>
      <c r="R76" s="438">
        <f t="shared" si="54"/>
        <v>1.1536471152511136E-3</v>
      </c>
      <c r="S76" s="446">
        <f t="shared" si="55"/>
        <v>1080.0737999999997</v>
      </c>
      <c r="T76" s="439">
        <f t="shared" si="56"/>
        <v>107.65999999999985</v>
      </c>
      <c r="U76" s="438">
        <f t="shared" si="57"/>
        <v>4.5296005991223463E-3</v>
      </c>
      <c r="V76" s="450">
        <f t="shared" si="58"/>
        <v>80.239999999999853</v>
      </c>
      <c r="W76" s="451">
        <f t="shared" si="59"/>
        <v>3.3759534838712327E-3</v>
      </c>
      <c r="X76" s="452">
        <f t="shared" si="60"/>
        <v>3160.6535999999937</v>
      </c>
      <c r="Y76" s="364" t="s">
        <v>170</v>
      </c>
      <c r="Z76" s="364" t="s">
        <v>406</v>
      </c>
      <c r="AA76" s="365" t="s">
        <v>574</v>
      </c>
      <c r="AB76" s="365" t="s">
        <v>601</v>
      </c>
      <c r="AC76" s="365">
        <v>1</v>
      </c>
      <c r="AD76" s="440" t="s">
        <v>319</v>
      </c>
    </row>
    <row r="77" spans="2:39" s="147" customFormat="1" ht="27" customHeight="1">
      <c r="B77" s="875"/>
      <c r="C77" s="876"/>
      <c r="D77" s="360">
        <v>7</v>
      </c>
      <c r="E77" s="434" t="s">
        <v>434</v>
      </c>
      <c r="F77" s="362">
        <f t="shared" si="48"/>
        <v>4171.180200000008</v>
      </c>
      <c r="G77" s="363">
        <v>407.74000000000007</v>
      </c>
      <c r="H77" s="436">
        <v>1059.74</v>
      </c>
      <c r="I77" s="436">
        <v>1059.74</v>
      </c>
      <c r="J77" s="438">
        <f t="shared" si="49"/>
        <v>1</v>
      </c>
      <c r="K77" s="437">
        <v>1059.74</v>
      </c>
      <c r="L77" s="438">
        <f t="shared" si="50"/>
        <v>1</v>
      </c>
      <c r="M77" s="437">
        <v>10.23</v>
      </c>
      <c r="N77" s="438">
        <f t="shared" si="51"/>
        <v>9.6533111895370574E-3</v>
      </c>
      <c r="O77" s="439">
        <f t="shared" si="52"/>
        <v>1069.97</v>
      </c>
      <c r="P77" s="438">
        <f t="shared" si="53"/>
        <v>1.0096533111895372</v>
      </c>
      <c r="Q77" s="436">
        <v>2.67</v>
      </c>
      <c r="R77" s="438">
        <f t="shared" si="54"/>
        <v>2.5194859116387039E-3</v>
      </c>
      <c r="S77" s="446">
        <f t="shared" si="55"/>
        <v>1088.6658000000002</v>
      </c>
      <c r="T77" s="439">
        <f t="shared" si="56"/>
        <v>10.230000000000018</v>
      </c>
      <c r="U77" s="438">
        <f t="shared" si="57"/>
        <v>9.653311189537073E-3</v>
      </c>
      <c r="V77" s="450">
        <f t="shared" si="58"/>
        <v>7.5600000000000183</v>
      </c>
      <c r="W77" s="451">
        <f t="shared" si="59"/>
        <v>7.13382527789837E-3</v>
      </c>
      <c r="X77" s="452">
        <f t="shared" si="60"/>
        <v>3082.5144000000078</v>
      </c>
      <c r="Y77" s="364" t="s">
        <v>170</v>
      </c>
      <c r="Z77" s="364" t="s">
        <v>199</v>
      </c>
      <c r="AA77" s="365" t="s">
        <v>446</v>
      </c>
      <c r="AB77" s="365" t="s">
        <v>600</v>
      </c>
      <c r="AC77" s="365">
        <v>1</v>
      </c>
      <c r="AD77" s="440" t="s">
        <v>436</v>
      </c>
    </row>
    <row r="78" spans="2:39" s="147" customFormat="1" ht="27" customHeight="1">
      <c r="B78" s="875"/>
      <c r="C78" s="876"/>
      <c r="D78" s="360">
        <v>8</v>
      </c>
      <c r="E78" s="434" t="s">
        <v>544</v>
      </c>
      <c r="F78" s="362">
        <f t="shared" si="48"/>
        <v>3886.2915000000348</v>
      </c>
      <c r="G78" s="363">
        <v>193.82999999999998</v>
      </c>
      <c r="H78" s="436">
        <v>2459.5600000000004</v>
      </c>
      <c r="I78" s="436">
        <v>2459.5600000000004</v>
      </c>
      <c r="J78" s="438">
        <f t="shared" si="49"/>
        <v>1</v>
      </c>
      <c r="K78" s="437">
        <v>2459.5600000000004</v>
      </c>
      <c r="L78" s="438">
        <f t="shared" si="50"/>
        <v>1</v>
      </c>
      <c r="M78" s="437">
        <v>20.049999999999997</v>
      </c>
      <c r="N78" s="438">
        <f t="shared" si="51"/>
        <v>8.1518645611410138E-3</v>
      </c>
      <c r="O78" s="439">
        <f t="shared" si="52"/>
        <v>2479.6100000000006</v>
      </c>
      <c r="P78" s="438">
        <f t="shared" si="53"/>
        <v>1.0081518645611411</v>
      </c>
      <c r="Q78" s="436">
        <v>3.13</v>
      </c>
      <c r="R78" s="438">
        <f t="shared" si="54"/>
        <v>1.2725853404674005E-3</v>
      </c>
      <c r="S78" s="446">
        <f t="shared" si="55"/>
        <v>606.6878999999999</v>
      </c>
      <c r="T78" s="439">
        <f t="shared" si="56"/>
        <v>20.050000000000182</v>
      </c>
      <c r="U78" s="438">
        <f t="shared" si="57"/>
        <v>8.1518645611410902E-3</v>
      </c>
      <c r="V78" s="450">
        <f t="shared" si="58"/>
        <v>16.920000000000183</v>
      </c>
      <c r="W78" s="451">
        <f t="shared" si="59"/>
        <v>6.8792792206736897E-3</v>
      </c>
      <c r="X78" s="452">
        <f t="shared" si="60"/>
        <v>3279.6036000000354</v>
      </c>
      <c r="Y78" s="364" t="s">
        <v>170</v>
      </c>
      <c r="Z78" s="364" t="s">
        <v>406</v>
      </c>
      <c r="AA78" s="365" t="s">
        <v>447</v>
      </c>
      <c r="AB78" s="365" t="s">
        <v>487</v>
      </c>
      <c r="AC78" s="365">
        <v>1</v>
      </c>
      <c r="AD78" s="440" t="s">
        <v>548</v>
      </c>
    </row>
    <row r="79" spans="2:39" s="147" customFormat="1" ht="27" customHeight="1">
      <c r="B79" s="875"/>
      <c r="C79" s="876"/>
      <c r="D79" s="360">
        <v>9</v>
      </c>
      <c r="E79" s="434" t="s">
        <v>589</v>
      </c>
      <c r="F79" s="362">
        <f t="shared" si="48"/>
        <v>3740.7707999999961</v>
      </c>
      <c r="G79" s="363">
        <v>52.26</v>
      </c>
      <c r="H79" s="436">
        <v>4749.99</v>
      </c>
      <c r="I79" s="436">
        <v>4749.99</v>
      </c>
      <c r="J79" s="438">
        <f t="shared" si="49"/>
        <v>1</v>
      </c>
      <c r="K79" s="437">
        <v>4749.99</v>
      </c>
      <c r="L79" s="438">
        <f t="shared" si="50"/>
        <v>1</v>
      </c>
      <c r="M79" s="437">
        <v>71.580000000000013</v>
      </c>
      <c r="N79" s="438">
        <f t="shared" si="51"/>
        <v>1.5069505409485076E-2</v>
      </c>
      <c r="O79" s="439">
        <f t="shared" si="52"/>
        <v>4821.57</v>
      </c>
      <c r="P79" s="438">
        <f t="shared" si="53"/>
        <v>1.0150695054094852</v>
      </c>
      <c r="Q79" s="436">
        <v>14.26</v>
      </c>
      <c r="R79" s="438">
        <f t="shared" si="54"/>
        <v>3.0021115833928072E-3</v>
      </c>
      <c r="S79" s="446">
        <f t="shared" si="55"/>
        <v>745.22759999999994</v>
      </c>
      <c r="T79" s="439">
        <f t="shared" si="56"/>
        <v>71.579999999999927</v>
      </c>
      <c r="U79" s="438">
        <f t="shared" si="57"/>
        <v>1.5069505409485057E-2</v>
      </c>
      <c r="V79" s="450">
        <f t="shared" si="58"/>
        <v>57.319999999999929</v>
      </c>
      <c r="W79" s="451">
        <f t="shared" si="59"/>
        <v>1.2067393826092251E-2</v>
      </c>
      <c r="X79" s="452">
        <f t="shared" si="60"/>
        <v>2995.543199999996</v>
      </c>
      <c r="Y79" s="364" t="s">
        <v>170</v>
      </c>
      <c r="Z79" s="364" t="s">
        <v>406</v>
      </c>
      <c r="AA79" s="365" t="s">
        <v>574</v>
      </c>
      <c r="AB79" s="365" t="s">
        <v>601</v>
      </c>
      <c r="AC79" s="365">
        <v>1</v>
      </c>
      <c r="AD79" s="440" t="s">
        <v>578</v>
      </c>
      <c r="AH79" s="367"/>
    </row>
    <row r="80" spans="2:39" s="147" customFormat="1" ht="27" customHeight="1">
      <c r="B80" s="875"/>
      <c r="C80" s="876"/>
      <c r="D80" s="360">
        <v>10</v>
      </c>
      <c r="E80" s="434" t="s">
        <v>613</v>
      </c>
      <c r="F80" s="362">
        <f t="shared" si="48"/>
        <v>3727.3684000000035</v>
      </c>
      <c r="G80" s="363">
        <v>339.16</v>
      </c>
      <c r="H80" s="436">
        <v>634.88000000000011</v>
      </c>
      <c r="I80" s="436">
        <v>634.88000000000011</v>
      </c>
      <c r="J80" s="438">
        <f t="shared" si="49"/>
        <v>1</v>
      </c>
      <c r="K80" s="437">
        <v>634.88000000000011</v>
      </c>
      <c r="L80" s="438">
        <f t="shared" si="50"/>
        <v>1</v>
      </c>
      <c r="M80" s="437">
        <v>10.99</v>
      </c>
      <c r="N80" s="438">
        <f t="shared" si="51"/>
        <v>1.7310357862903223E-2</v>
      </c>
      <c r="O80" s="439">
        <f t="shared" si="52"/>
        <v>645.87000000000012</v>
      </c>
      <c r="P80" s="438">
        <f t="shared" si="53"/>
        <v>1.0173103578629032</v>
      </c>
      <c r="Q80" s="436">
        <v>1.4000000000000001</v>
      </c>
      <c r="R80" s="438">
        <f t="shared" si="54"/>
        <v>2.2051411290322578E-3</v>
      </c>
      <c r="S80" s="446">
        <f t="shared" si="55"/>
        <v>474.82400000000007</v>
      </c>
      <c r="T80" s="439">
        <f t="shared" si="56"/>
        <v>10.990000000000009</v>
      </c>
      <c r="U80" s="438">
        <f t="shared" si="57"/>
        <v>1.7310357862903237E-2</v>
      </c>
      <c r="V80" s="450">
        <f t="shared" si="58"/>
        <v>9.5900000000000087</v>
      </c>
      <c r="W80" s="451">
        <f t="shared" si="59"/>
        <v>1.5105216733870979E-2</v>
      </c>
      <c r="X80" s="452">
        <f t="shared" si="60"/>
        <v>3252.5444000000034</v>
      </c>
      <c r="Y80" s="364" t="s">
        <v>170</v>
      </c>
      <c r="Z80" s="364" t="s">
        <v>406</v>
      </c>
      <c r="AA80" s="365" t="s">
        <v>447</v>
      </c>
      <c r="AB80" s="365" t="s">
        <v>487</v>
      </c>
      <c r="AC80" s="365">
        <v>1</v>
      </c>
      <c r="AD80" s="440" t="s">
        <v>615</v>
      </c>
      <c r="AH80" s="367"/>
    </row>
    <row r="81" spans="2:39" s="147" customFormat="1" ht="27" customHeight="1">
      <c r="B81" s="875"/>
      <c r="C81" s="876"/>
      <c r="D81" s="360">
        <v>11</v>
      </c>
      <c r="E81" s="434" t="s">
        <v>499</v>
      </c>
      <c r="F81" s="362">
        <f t="shared" si="48"/>
        <v>3463.8893999999918</v>
      </c>
      <c r="G81" s="363">
        <v>66.13</v>
      </c>
      <c r="H81" s="436">
        <v>1996.5400000000002</v>
      </c>
      <c r="I81" s="436">
        <v>1996.5400000000002</v>
      </c>
      <c r="J81" s="438">
        <f t="shared" si="49"/>
        <v>1</v>
      </c>
      <c r="K81" s="437">
        <v>1996.5400000000002</v>
      </c>
      <c r="L81" s="438">
        <f t="shared" si="50"/>
        <v>1</v>
      </c>
      <c r="M81" s="437">
        <v>52.379999999999995</v>
      </c>
      <c r="N81" s="438">
        <f t="shared" si="51"/>
        <v>2.6235387219890407E-2</v>
      </c>
      <c r="O81" s="439">
        <f t="shared" si="52"/>
        <v>2048.92</v>
      </c>
      <c r="P81" s="438">
        <f t="shared" si="53"/>
        <v>1.0262353872198904</v>
      </c>
      <c r="Q81" s="436">
        <v>11.52</v>
      </c>
      <c r="R81" s="438">
        <f t="shared" si="54"/>
        <v>5.7699820689793334E-3</v>
      </c>
      <c r="S81" s="446">
        <f t="shared" si="55"/>
        <v>761.81759999999997</v>
      </c>
      <c r="T81" s="439">
        <f t="shared" si="56"/>
        <v>52.379999999999882</v>
      </c>
      <c r="U81" s="438">
        <f t="shared" si="57"/>
        <v>2.6235387219890348E-2</v>
      </c>
      <c r="V81" s="450">
        <f t="shared" si="58"/>
        <v>40.859999999999886</v>
      </c>
      <c r="W81" s="451">
        <f t="shared" si="59"/>
        <v>2.0465405150911015E-2</v>
      </c>
      <c r="X81" s="452">
        <f t="shared" si="60"/>
        <v>2702.0717999999924</v>
      </c>
      <c r="Y81" s="364" t="s">
        <v>170</v>
      </c>
      <c r="Z81" s="364" t="s">
        <v>406</v>
      </c>
      <c r="AA81" s="365" t="s">
        <v>445</v>
      </c>
      <c r="AB81" s="365" t="s">
        <v>618</v>
      </c>
      <c r="AC81" s="365">
        <v>1</v>
      </c>
      <c r="AD81" s="440" t="s">
        <v>320</v>
      </c>
      <c r="AH81" s="367"/>
    </row>
    <row r="82" spans="2:39" s="147" customFormat="1" ht="27" customHeight="1">
      <c r="B82" s="875"/>
      <c r="C82" s="876"/>
      <c r="D82" s="360">
        <v>12</v>
      </c>
      <c r="E82" s="434" t="s">
        <v>410</v>
      </c>
      <c r="F82" s="362">
        <f t="shared" si="48"/>
        <v>3401.6136000000029</v>
      </c>
      <c r="G82" s="363">
        <v>368.13999999999993</v>
      </c>
      <c r="H82" s="436">
        <v>374.93000000000006</v>
      </c>
      <c r="I82" s="436">
        <v>374.93000000000006</v>
      </c>
      <c r="J82" s="438">
        <f t="shared" si="49"/>
        <v>1</v>
      </c>
      <c r="K82" s="437">
        <v>374.93000000000006</v>
      </c>
      <c r="L82" s="438">
        <f t="shared" si="50"/>
        <v>1</v>
      </c>
      <c r="M82" s="437">
        <v>9.2399999999999984</v>
      </c>
      <c r="N82" s="438">
        <f t="shared" si="51"/>
        <v>2.4644600325394065E-2</v>
      </c>
      <c r="O82" s="439">
        <f t="shared" si="52"/>
        <v>384.17000000000007</v>
      </c>
      <c r="P82" s="438">
        <f t="shared" si="53"/>
        <v>1.0246446003253942</v>
      </c>
      <c r="Q82" s="436">
        <v>2.2200000000000002</v>
      </c>
      <c r="R82" s="438">
        <f t="shared" si="54"/>
        <v>5.92110527298429E-3</v>
      </c>
      <c r="S82" s="446">
        <f t="shared" si="55"/>
        <v>817.27079999999989</v>
      </c>
      <c r="T82" s="439">
        <f t="shared" si="56"/>
        <v>9.2400000000000091</v>
      </c>
      <c r="U82" s="438">
        <f t="shared" si="57"/>
        <v>2.4644600325394093E-2</v>
      </c>
      <c r="V82" s="450">
        <f t="shared" si="58"/>
        <v>7.0200000000000085</v>
      </c>
      <c r="W82" s="451">
        <f t="shared" si="59"/>
        <v>1.8723495052409802E-2</v>
      </c>
      <c r="X82" s="452">
        <f t="shared" si="60"/>
        <v>2584.3428000000026</v>
      </c>
      <c r="Y82" s="364" t="s">
        <v>170</v>
      </c>
      <c r="Z82" s="364" t="s">
        <v>406</v>
      </c>
      <c r="AA82" s="365" t="s">
        <v>632</v>
      </c>
      <c r="AB82" s="365" t="s">
        <v>487</v>
      </c>
      <c r="AC82" s="365">
        <v>1</v>
      </c>
      <c r="AD82" s="440" t="s">
        <v>411</v>
      </c>
      <c r="AH82" s="367"/>
    </row>
    <row r="83" spans="2:39" s="147" customFormat="1" ht="27" customHeight="1">
      <c r="B83" s="875"/>
      <c r="C83" s="876"/>
      <c r="D83" s="360">
        <v>13</v>
      </c>
      <c r="E83" s="434" t="s">
        <v>545</v>
      </c>
      <c r="F83" s="362">
        <f t="shared" si="48"/>
        <v>3383.9759999999837</v>
      </c>
      <c r="G83" s="363">
        <v>144.79999999999998</v>
      </c>
      <c r="H83" s="436">
        <v>1588.06</v>
      </c>
      <c r="I83" s="436">
        <v>1588.06</v>
      </c>
      <c r="J83" s="438">
        <f t="shared" si="49"/>
        <v>1</v>
      </c>
      <c r="K83" s="437">
        <v>1588.06</v>
      </c>
      <c r="L83" s="438">
        <f t="shared" si="50"/>
        <v>1</v>
      </c>
      <c r="M83" s="437">
        <v>23.369999999999997</v>
      </c>
      <c r="N83" s="438">
        <f t="shared" si="51"/>
        <v>1.4716068662393108E-2</v>
      </c>
      <c r="O83" s="439">
        <f t="shared" si="52"/>
        <v>1611.4299999999998</v>
      </c>
      <c r="P83" s="438">
        <f t="shared" si="53"/>
        <v>1.0147160686623931</v>
      </c>
      <c r="Q83" s="436">
        <v>5.2700000000000005</v>
      </c>
      <c r="R83" s="438">
        <f t="shared" si="54"/>
        <v>3.3185144138130804E-3</v>
      </c>
      <c r="S83" s="446">
        <f t="shared" si="55"/>
        <v>763.096</v>
      </c>
      <c r="T83" s="439">
        <f t="shared" si="56"/>
        <v>23.369999999999891</v>
      </c>
      <c r="U83" s="438">
        <f t="shared" si="57"/>
        <v>1.471606866239304E-2</v>
      </c>
      <c r="V83" s="450">
        <f t="shared" si="58"/>
        <v>18.099999999999891</v>
      </c>
      <c r="W83" s="451">
        <f t="shared" si="59"/>
        <v>1.1397554248579961E-2</v>
      </c>
      <c r="X83" s="452">
        <f t="shared" si="60"/>
        <v>2620.8799999999837</v>
      </c>
      <c r="Y83" s="364" t="s">
        <v>170</v>
      </c>
      <c r="Z83" s="364" t="s">
        <v>406</v>
      </c>
      <c r="AA83" s="365" t="s">
        <v>447</v>
      </c>
      <c r="AB83" s="365" t="s">
        <v>487</v>
      </c>
      <c r="AC83" s="365">
        <v>1</v>
      </c>
      <c r="AD83" s="440" t="s">
        <v>319</v>
      </c>
    </row>
    <row r="84" spans="2:39" s="147" customFormat="1" ht="27" customHeight="1">
      <c r="B84" s="875"/>
      <c r="C84" s="876"/>
      <c r="D84" s="360">
        <v>14</v>
      </c>
      <c r="E84" s="434" t="s">
        <v>335</v>
      </c>
      <c r="F84" s="362">
        <f t="shared" si="48"/>
        <v>3346.7525000000123</v>
      </c>
      <c r="G84" s="363">
        <v>152.75</v>
      </c>
      <c r="H84" s="436">
        <v>1234.1600000000001</v>
      </c>
      <c r="I84" s="436">
        <v>1234.1600000000001</v>
      </c>
      <c r="J84" s="438">
        <f t="shared" si="49"/>
        <v>1</v>
      </c>
      <c r="K84" s="437">
        <v>1234.1600000000001</v>
      </c>
      <c r="L84" s="438">
        <f t="shared" si="50"/>
        <v>1</v>
      </c>
      <c r="M84" s="437">
        <v>21.909999999999997</v>
      </c>
      <c r="N84" s="438">
        <f t="shared" si="51"/>
        <v>1.775296557982757E-2</v>
      </c>
      <c r="O84" s="439">
        <f t="shared" si="52"/>
        <v>1256.0700000000002</v>
      </c>
      <c r="P84" s="438">
        <f t="shared" si="53"/>
        <v>1.0177529655798276</v>
      </c>
      <c r="Q84" s="436">
        <v>4.83</v>
      </c>
      <c r="R84" s="438">
        <f t="shared" si="54"/>
        <v>3.9135930511440976E-3</v>
      </c>
      <c r="S84" s="446">
        <f t="shared" si="55"/>
        <v>737.78250000000003</v>
      </c>
      <c r="T84" s="439">
        <f t="shared" si="56"/>
        <v>21.910000000000082</v>
      </c>
      <c r="U84" s="438">
        <f t="shared" si="57"/>
        <v>1.775296557982764E-2</v>
      </c>
      <c r="V84" s="450">
        <f t="shared" si="58"/>
        <v>17.080000000000084</v>
      </c>
      <c r="W84" s="451">
        <f t="shared" si="59"/>
        <v>1.3839372528683544E-2</v>
      </c>
      <c r="X84" s="452">
        <f t="shared" si="60"/>
        <v>2608.970000000013</v>
      </c>
      <c r="Y84" s="364" t="s">
        <v>170</v>
      </c>
      <c r="Z84" s="364" t="s">
        <v>406</v>
      </c>
      <c r="AA84" s="365" t="s">
        <v>447</v>
      </c>
      <c r="AB84" s="365" t="s">
        <v>487</v>
      </c>
      <c r="AC84" s="365">
        <v>1</v>
      </c>
      <c r="AD84" s="440" t="s">
        <v>336</v>
      </c>
    </row>
    <row r="85" spans="2:39" s="147" customFormat="1" ht="27" customHeight="1">
      <c r="B85" s="875"/>
      <c r="C85" s="876"/>
      <c r="D85" s="360">
        <v>15</v>
      </c>
      <c r="E85" s="434" t="s">
        <v>686</v>
      </c>
      <c r="F85" s="362">
        <f t="shared" si="48"/>
        <v>3152.3297000000016</v>
      </c>
      <c r="G85" s="363">
        <v>655.37</v>
      </c>
      <c r="H85" s="436">
        <v>184.54</v>
      </c>
      <c r="I85" s="436">
        <v>184.54</v>
      </c>
      <c r="J85" s="438">
        <f t="shared" si="49"/>
        <v>1</v>
      </c>
      <c r="K85" s="437">
        <v>184.54</v>
      </c>
      <c r="L85" s="438">
        <f t="shared" si="50"/>
        <v>1</v>
      </c>
      <c r="M85" s="437">
        <v>4.8099999999999996</v>
      </c>
      <c r="N85" s="438">
        <f t="shared" si="51"/>
        <v>2.6064809797333912E-2</v>
      </c>
      <c r="O85" s="439">
        <f t="shared" si="52"/>
        <v>189.35</v>
      </c>
      <c r="P85" s="438">
        <f t="shared" si="53"/>
        <v>1.0260648097973339</v>
      </c>
      <c r="Q85" s="436">
        <v>1.25</v>
      </c>
      <c r="R85" s="438">
        <f t="shared" si="54"/>
        <v>6.7735992196813703E-3</v>
      </c>
      <c r="S85" s="446">
        <f t="shared" si="55"/>
        <v>819.21249999999998</v>
      </c>
      <c r="T85" s="439">
        <f t="shared" si="56"/>
        <v>4.8100000000000023</v>
      </c>
      <c r="U85" s="438">
        <f t="shared" si="57"/>
        <v>2.6064809797333926E-2</v>
      </c>
      <c r="V85" s="450">
        <f t="shared" si="58"/>
        <v>3.5600000000000023</v>
      </c>
      <c r="W85" s="451">
        <f t="shared" si="59"/>
        <v>1.9291210577652554E-2</v>
      </c>
      <c r="X85" s="452">
        <f t="shared" si="60"/>
        <v>2333.1172000000015</v>
      </c>
      <c r="Y85" s="364" t="s">
        <v>170</v>
      </c>
      <c r="Z85" s="364" t="s">
        <v>406</v>
      </c>
      <c r="AA85" s="365" t="s">
        <v>574</v>
      </c>
      <c r="AB85" s="365" t="s">
        <v>601</v>
      </c>
      <c r="AC85" s="365">
        <v>1</v>
      </c>
      <c r="AD85" s="440" t="s">
        <v>549</v>
      </c>
    </row>
    <row r="86" spans="2:39" s="147" customFormat="1" ht="27" customHeight="1">
      <c r="B86" s="875"/>
      <c r="C86" s="876"/>
      <c r="D86" s="360">
        <v>16</v>
      </c>
      <c r="E86" s="434" t="s">
        <v>398</v>
      </c>
      <c r="F86" s="362">
        <f t="shared" si="48"/>
        <v>3094.252000000004</v>
      </c>
      <c r="G86" s="363">
        <v>157.87000000000003</v>
      </c>
      <c r="H86" s="436">
        <v>923.95999999999992</v>
      </c>
      <c r="I86" s="436">
        <v>923.95999999999992</v>
      </c>
      <c r="J86" s="438">
        <f t="shared" si="49"/>
        <v>1</v>
      </c>
      <c r="K86" s="437">
        <v>923.95999999999992</v>
      </c>
      <c r="L86" s="438">
        <f t="shared" si="50"/>
        <v>1</v>
      </c>
      <c r="M86" s="437">
        <v>19.600000000000001</v>
      </c>
      <c r="N86" s="438">
        <f t="shared" si="51"/>
        <v>2.1213039525520588E-2</v>
      </c>
      <c r="O86" s="439">
        <f t="shared" si="52"/>
        <v>943.56</v>
      </c>
      <c r="P86" s="438">
        <f t="shared" si="53"/>
        <v>1.0212130395255206</v>
      </c>
      <c r="Q86" s="436">
        <v>4.5999999999999996</v>
      </c>
      <c r="R86" s="438">
        <f t="shared" si="54"/>
        <v>4.9785705008874841E-3</v>
      </c>
      <c r="S86" s="446">
        <f t="shared" si="55"/>
        <v>726.20200000000011</v>
      </c>
      <c r="T86" s="439">
        <f t="shared" si="56"/>
        <v>19.600000000000023</v>
      </c>
      <c r="U86" s="438">
        <f t="shared" si="57"/>
        <v>2.1213039525520613E-2</v>
      </c>
      <c r="V86" s="450">
        <f t="shared" si="58"/>
        <v>15.000000000000023</v>
      </c>
      <c r="W86" s="451">
        <f t="shared" si="59"/>
        <v>1.6234469024633127E-2</v>
      </c>
      <c r="X86" s="452">
        <f t="shared" si="60"/>
        <v>2368.0500000000043</v>
      </c>
      <c r="Y86" s="364" t="s">
        <v>170</v>
      </c>
      <c r="Z86" s="364" t="s">
        <v>406</v>
      </c>
      <c r="AA86" s="365" t="s">
        <v>497</v>
      </c>
      <c r="AB86" s="365" t="s">
        <v>576</v>
      </c>
      <c r="AC86" s="365">
        <v>1</v>
      </c>
      <c r="AD86" s="440" t="s">
        <v>331</v>
      </c>
    </row>
    <row r="87" spans="2:39" s="147" customFormat="1" ht="27" customHeight="1">
      <c r="B87" s="875"/>
      <c r="C87" s="876"/>
      <c r="D87" s="360">
        <v>17</v>
      </c>
      <c r="E87" s="434" t="s">
        <v>727</v>
      </c>
      <c r="F87" s="362">
        <f t="shared" si="48"/>
        <v>3074.4999999999932</v>
      </c>
      <c r="G87" s="363">
        <v>650</v>
      </c>
      <c r="H87" s="436">
        <v>209.75</v>
      </c>
      <c r="I87" s="436">
        <v>209.75</v>
      </c>
      <c r="J87" s="438">
        <f t="shared" si="49"/>
        <v>1</v>
      </c>
      <c r="K87" s="437">
        <v>209.75</v>
      </c>
      <c r="L87" s="438">
        <f t="shared" si="50"/>
        <v>1</v>
      </c>
      <c r="M87" s="437">
        <v>4.7300000000000004</v>
      </c>
      <c r="N87" s="438">
        <f t="shared" si="51"/>
        <v>2.2550655542312278E-2</v>
      </c>
      <c r="O87" s="439">
        <f t="shared" si="52"/>
        <v>214.48</v>
      </c>
      <c r="P87" s="438">
        <f t="shared" si="53"/>
        <v>1.0225506555423123</v>
      </c>
      <c r="Q87" s="436">
        <v>1.26</v>
      </c>
      <c r="R87" s="438">
        <f t="shared" si="54"/>
        <v>6.0071513706793801E-3</v>
      </c>
      <c r="S87" s="446">
        <f t="shared" si="55"/>
        <v>819</v>
      </c>
      <c r="T87" s="439">
        <f t="shared" si="56"/>
        <v>4.7299999999999898</v>
      </c>
      <c r="U87" s="438">
        <f t="shared" si="57"/>
        <v>2.2550655542312229E-2</v>
      </c>
      <c r="V87" s="450">
        <f t="shared" si="58"/>
        <v>3.46999999999999</v>
      </c>
      <c r="W87" s="451">
        <f t="shared" si="59"/>
        <v>1.6543504171632847E-2</v>
      </c>
      <c r="X87" s="452">
        <f t="shared" si="60"/>
        <v>2255.4999999999936</v>
      </c>
      <c r="Y87" s="364" t="s">
        <v>170</v>
      </c>
      <c r="Z87" s="364" t="s">
        <v>406</v>
      </c>
      <c r="AA87" s="365" t="s">
        <v>574</v>
      </c>
      <c r="AB87" s="365" t="s">
        <v>601</v>
      </c>
      <c r="AC87" s="365">
        <v>1</v>
      </c>
      <c r="AD87" s="440" t="s">
        <v>577</v>
      </c>
    </row>
    <row r="88" spans="2:39" s="147" customFormat="1" ht="27" customHeight="1">
      <c r="B88" s="875"/>
      <c r="C88" s="876"/>
      <c r="D88" s="360">
        <v>18</v>
      </c>
      <c r="E88" s="434" t="s">
        <v>687</v>
      </c>
      <c r="F88" s="362">
        <f t="shared" si="48"/>
        <v>2974.5191999999934</v>
      </c>
      <c r="G88" s="363">
        <v>70.220000000000013</v>
      </c>
      <c r="H88" s="436">
        <v>1739.6399999999999</v>
      </c>
      <c r="I88" s="436">
        <v>1739.6399999999999</v>
      </c>
      <c r="J88" s="438">
        <f t="shared" si="49"/>
        <v>1</v>
      </c>
      <c r="K88" s="437">
        <v>1739.6399999999999</v>
      </c>
      <c r="L88" s="438">
        <f t="shared" si="50"/>
        <v>1</v>
      </c>
      <c r="M88" s="437">
        <v>42.36</v>
      </c>
      <c r="N88" s="438">
        <f t="shared" si="51"/>
        <v>2.4349865489411603E-2</v>
      </c>
      <c r="O88" s="439">
        <f t="shared" si="52"/>
        <v>1781.9999999999998</v>
      </c>
      <c r="P88" s="438">
        <f t="shared" si="53"/>
        <v>1.0243498654894116</v>
      </c>
      <c r="Q88" s="436">
        <v>11.690000000000001</v>
      </c>
      <c r="R88" s="438">
        <f t="shared" si="54"/>
        <v>6.7197811041364896E-3</v>
      </c>
      <c r="S88" s="446">
        <f t="shared" si="55"/>
        <v>820.87180000000023</v>
      </c>
      <c r="T88" s="439">
        <f t="shared" si="56"/>
        <v>42.3599999999999</v>
      </c>
      <c r="U88" s="438">
        <f t="shared" si="57"/>
        <v>2.4349865489411548E-2</v>
      </c>
      <c r="V88" s="450">
        <f t="shared" si="58"/>
        <v>30.669999999999899</v>
      </c>
      <c r="W88" s="451">
        <f t="shared" si="59"/>
        <v>1.7630084385275059E-2</v>
      </c>
      <c r="X88" s="452">
        <f t="shared" si="60"/>
        <v>2153.6473999999935</v>
      </c>
      <c r="Y88" s="364" t="s">
        <v>170</v>
      </c>
      <c r="Z88" s="364" t="s">
        <v>406</v>
      </c>
      <c r="AA88" s="365" t="s">
        <v>445</v>
      </c>
      <c r="AB88" s="365" t="s">
        <v>618</v>
      </c>
      <c r="AC88" s="365">
        <v>1</v>
      </c>
      <c r="AD88" s="440" t="s">
        <v>322</v>
      </c>
    </row>
    <row r="89" spans="2:39" s="147" customFormat="1" ht="27" customHeight="1">
      <c r="B89" s="875"/>
      <c r="C89" s="876"/>
      <c r="D89" s="360">
        <v>19</v>
      </c>
      <c r="E89" s="434" t="s">
        <v>661</v>
      </c>
      <c r="F89" s="362">
        <f t="shared" si="48"/>
        <v>2902.729199999997</v>
      </c>
      <c r="G89" s="363">
        <v>351.42</v>
      </c>
      <c r="H89" s="436">
        <v>257.01</v>
      </c>
      <c r="I89" s="436">
        <v>257.01</v>
      </c>
      <c r="J89" s="438">
        <f t="shared" si="49"/>
        <v>1</v>
      </c>
      <c r="K89" s="437">
        <v>257.01</v>
      </c>
      <c r="L89" s="438">
        <f t="shared" si="50"/>
        <v>1</v>
      </c>
      <c r="M89" s="437">
        <v>8.26</v>
      </c>
      <c r="N89" s="438">
        <f t="shared" si="51"/>
        <v>3.2138827282985095E-2</v>
      </c>
      <c r="O89" s="439">
        <f t="shared" si="52"/>
        <v>265.27</v>
      </c>
      <c r="P89" s="438">
        <f t="shared" si="53"/>
        <v>1.032138827282985</v>
      </c>
      <c r="Q89" s="436">
        <v>2.3400000000000003</v>
      </c>
      <c r="R89" s="438">
        <f t="shared" si="54"/>
        <v>9.1047040971168457E-3</v>
      </c>
      <c r="S89" s="446">
        <f t="shared" si="55"/>
        <v>822.32280000000014</v>
      </c>
      <c r="T89" s="439">
        <f t="shared" si="56"/>
        <v>8.2599999999999909</v>
      </c>
      <c r="U89" s="438">
        <f t="shared" si="57"/>
        <v>3.2138827282985061E-2</v>
      </c>
      <c r="V89" s="450">
        <f t="shared" si="58"/>
        <v>5.919999999999991</v>
      </c>
      <c r="W89" s="451">
        <f t="shared" si="59"/>
        <v>2.303412318586822E-2</v>
      </c>
      <c r="X89" s="452">
        <f t="shared" si="60"/>
        <v>2080.4063999999971</v>
      </c>
      <c r="Y89" s="364" t="s">
        <v>170</v>
      </c>
      <c r="Z89" s="364" t="s">
        <v>406</v>
      </c>
      <c r="AA89" s="365" t="s">
        <v>632</v>
      </c>
      <c r="AB89" s="365" t="s">
        <v>487</v>
      </c>
      <c r="AC89" s="365">
        <v>1</v>
      </c>
      <c r="AD89" s="440" t="s">
        <v>552</v>
      </c>
    </row>
    <row r="90" spans="2:39" s="147" customFormat="1" ht="27" customHeight="1">
      <c r="B90" s="877"/>
      <c r="C90" s="878"/>
      <c r="D90" s="360">
        <v>20</v>
      </c>
      <c r="E90" s="434" t="s">
        <v>553</v>
      </c>
      <c r="F90" s="362">
        <f t="shared" si="48"/>
        <v>2899.2440000000061</v>
      </c>
      <c r="G90" s="363">
        <v>127.72000000000001</v>
      </c>
      <c r="H90" s="436">
        <v>794.48</v>
      </c>
      <c r="I90" s="436">
        <v>794.48</v>
      </c>
      <c r="J90" s="438">
        <f t="shared" si="49"/>
        <v>1</v>
      </c>
      <c r="K90" s="437">
        <v>794.48</v>
      </c>
      <c r="L90" s="438">
        <f t="shared" si="50"/>
        <v>1</v>
      </c>
      <c r="M90" s="437">
        <v>22.7</v>
      </c>
      <c r="N90" s="438">
        <f t="shared" si="51"/>
        <v>2.8572147819957705E-2</v>
      </c>
      <c r="O90" s="439">
        <f t="shared" si="52"/>
        <v>817.18000000000006</v>
      </c>
      <c r="P90" s="438">
        <f t="shared" si="53"/>
        <v>1.0285721478199579</v>
      </c>
      <c r="Q90" s="436">
        <v>4.55</v>
      </c>
      <c r="R90" s="438">
        <f t="shared" si="54"/>
        <v>5.7270164132514345E-3</v>
      </c>
      <c r="S90" s="446">
        <f t="shared" si="55"/>
        <v>581.12600000000009</v>
      </c>
      <c r="T90" s="439">
        <f t="shared" si="56"/>
        <v>22.700000000000045</v>
      </c>
      <c r="U90" s="438">
        <f t="shared" si="57"/>
        <v>2.8572147819957764E-2</v>
      </c>
      <c r="V90" s="450">
        <f t="shared" si="58"/>
        <v>18.150000000000045</v>
      </c>
      <c r="W90" s="451">
        <f t="shared" si="59"/>
        <v>2.2845131406706329E-2</v>
      </c>
      <c r="X90" s="452">
        <f t="shared" si="60"/>
        <v>2318.1180000000058</v>
      </c>
      <c r="Y90" s="364" t="s">
        <v>170</v>
      </c>
      <c r="Z90" s="364" t="s">
        <v>406</v>
      </c>
      <c r="AA90" s="365" t="s">
        <v>447</v>
      </c>
      <c r="AB90" s="365" t="s">
        <v>487</v>
      </c>
      <c r="AC90" s="365">
        <v>1</v>
      </c>
      <c r="AD90" s="440" t="s">
        <v>524</v>
      </c>
    </row>
    <row r="91" spans="2:39" ht="17.100000000000001" customHeight="1">
      <c r="B91" s="889" t="s">
        <v>419</v>
      </c>
      <c r="C91" s="890"/>
      <c r="D91" s="893" t="s">
        <v>501</v>
      </c>
      <c r="E91" s="894" t="s">
        <v>502</v>
      </c>
      <c r="F91" s="909" t="s">
        <v>518</v>
      </c>
      <c r="G91" s="862" t="s">
        <v>504</v>
      </c>
      <c r="H91" s="896" t="s">
        <v>505</v>
      </c>
      <c r="I91" s="879" t="s">
        <v>506</v>
      </c>
      <c r="J91" s="880"/>
      <c r="K91" s="879" t="s">
        <v>507</v>
      </c>
      <c r="L91" s="880"/>
      <c r="M91" s="879" t="s">
        <v>508</v>
      </c>
      <c r="N91" s="880"/>
      <c r="O91" s="879" t="s">
        <v>509</v>
      </c>
      <c r="P91" s="880"/>
      <c r="Q91" s="879" t="s">
        <v>396</v>
      </c>
      <c r="R91" s="908"/>
      <c r="S91" s="880"/>
      <c r="T91" s="881" t="s">
        <v>567</v>
      </c>
      <c r="U91" s="882"/>
      <c r="V91" s="884" t="s">
        <v>566</v>
      </c>
      <c r="W91" s="885"/>
      <c r="X91" s="886"/>
      <c r="Y91" s="887" t="s">
        <v>168</v>
      </c>
      <c r="Z91" s="887" t="s">
        <v>228</v>
      </c>
      <c r="AA91" s="887" t="s">
        <v>510</v>
      </c>
      <c r="AB91" s="887" t="s">
        <v>420</v>
      </c>
      <c r="AC91" s="887" t="s">
        <v>229</v>
      </c>
      <c r="AD91" s="862" t="s">
        <v>169</v>
      </c>
      <c r="AF91" s="864" t="s">
        <v>230</v>
      </c>
      <c r="AG91" s="865"/>
      <c r="AH91" s="865"/>
      <c r="AI91" s="865"/>
      <c r="AJ91" s="865"/>
      <c r="AK91" s="865"/>
      <c r="AL91" s="865"/>
      <c r="AM91" s="866"/>
    </row>
    <row r="92" spans="2:39" ht="16.5" customHeight="1">
      <c r="B92" s="891"/>
      <c r="C92" s="892"/>
      <c r="D92" s="893"/>
      <c r="E92" s="893"/>
      <c r="F92" s="895"/>
      <c r="G92" s="863"/>
      <c r="H92" s="863"/>
      <c r="I92" s="433" t="s">
        <v>511</v>
      </c>
      <c r="J92" s="361" t="s">
        <v>512</v>
      </c>
      <c r="K92" s="433" t="s">
        <v>511</v>
      </c>
      <c r="L92" s="361" t="s">
        <v>512</v>
      </c>
      <c r="M92" s="433" t="s">
        <v>511</v>
      </c>
      <c r="N92" s="361" t="s">
        <v>512</v>
      </c>
      <c r="O92" s="433" t="s">
        <v>511</v>
      </c>
      <c r="P92" s="361" t="s">
        <v>512</v>
      </c>
      <c r="Q92" s="433" t="s">
        <v>511</v>
      </c>
      <c r="R92" s="361" t="s">
        <v>512</v>
      </c>
      <c r="S92" s="361" t="s">
        <v>513</v>
      </c>
      <c r="T92" s="433" t="s">
        <v>511</v>
      </c>
      <c r="U92" s="361" t="s">
        <v>512</v>
      </c>
      <c r="V92" s="433" t="s">
        <v>511</v>
      </c>
      <c r="W92" s="361" t="s">
        <v>512</v>
      </c>
      <c r="X92" s="361" t="s">
        <v>513</v>
      </c>
      <c r="Y92" s="888"/>
      <c r="Z92" s="888"/>
      <c r="AA92" s="888"/>
      <c r="AB92" s="888"/>
      <c r="AC92" s="888"/>
      <c r="AD92" s="863"/>
      <c r="AF92" s="867"/>
      <c r="AG92" s="868"/>
      <c r="AH92" s="868"/>
      <c r="AI92" s="868"/>
      <c r="AJ92" s="868"/>
      <c r="AK92" s="868"/>
      <c r="AL92" s="868"/>
      <c r="AM92" s="869"/>
    </row>
    <row r="93" spans="2:39" s="147" customFormat="1" ht="27" customHeight="1">
      <c r="B93" s="873" t="s">
        <v>647</v>
      </c>
      <c r="C93" s="874"/>
      <c r="D93" s="360">
        <v>1</v>
      </c>
      <c r="E93" s="434" t="s">
        <v>315</v>
      </c>
      <c r="F93" s="362">
        <f>IFERROR(T93*G93,"-")</f>
        <v>8651.1923999999781</v>
      </c>
      <c r="G93" s="363">
        <v>147.43000000000004</v>
      </c>
      <c r="H93" s="436">
        <v>3665.11</v>
      </c>
      <c r="I93" s="436">
        <v>3665.11</v>
      </c>
      <c r="J93" s="438">
        <f>IFERROR(I93/H93,"-")</f>
        <v>1</v>
      </c>
      <c r="K93" s="437">
        <v>3665.11</v>
      </c>
      <c r="L93" s="438">
        <f>IFERROR(K93/H93,"-")</f>
        <v>1</v>
      </c>
      <c r="M93" s="437">
        <v>58.68</v>
      </c>
      <c r="N93" s="438">
        <f>IFERROR(M93/H93,"-")</f>
        <v>1.6010433520412756E-2</v>
      </c>
      <c r="O93" s="439">
        <f>IFERROR(K93+M93,"-")</f>
        <v>3723.79</v>
      </c>
      <c r="P93" s="438">
        <f>IFERROR(O93/H93,"-")</f>
        <v>1.0160104335204128</v>
      </c>
      <c r="Q93" s="436">
        <v>8.9699999999999989</v>
      </c>
      <c r="R93" s="438">
        <f>IFERROR(Q93/H93,"-")</f>
        <v>2.4474026700426451E-3</v>
      </c>
      <c r="S93" s="446">
        <f>IFERROR(Q93*G93,"-")</f>
        <v>1322.4471000000001</v>
      </c>
      <c r="T93" s="439">
        <f>IFERROR(O93-H93,"-")</f>
        <v>58.679999999999836</v>
      </c>
      <c r="U93" s="438">
        <f>IFERROR(T93/H93,"-")</f>
        <v>1.601043352041271E-2</v>
      </c>
      <c r="V93" s="450">
        <f>T93-Q93</f>
        <v>49.709999999999837</v>
      </c>
      <c r="W93" s="451">
        <f>IFERROR(V93/H93,"-")</f>
        <v>1.3563030850370066E-2</v>
      </c>
      <c r="X93" s="452">
        <f>IFERROR(V93*G93,"-")</f>
        <v>7328.7452999999778</v>
      </c>
      <c r="Y93" s="364" t="s">
        <v>170</v>
      </c>
      <c r="Z93" s="364" t="s">
        <v>198</v>
      </c>
      <c r="AA93" s="365"/>
      <c r="AB93" s="365"/>
      <c r="AC93" s="365">
        <v>1</v>
      </c>
      <c r="AD93" s="440" t="s">
        <v>319</v>
      </c>
      <c r="AF93" s="870"/>
      <c r="AG93" s="871"/>
      <c r="AH93" s="871"/>
      <c r="AI93" s="871"/>
      <c r="AJ93" s="871"/>
      <c r="AK93" s="871"/>
      <c r="AL93" s="871"/>
      <c r="AM93" s="872"/>
    </row>
    <row r="94" spans="2:39" s="147" customFormat="1" ht="27" customHeight="1">
      <c r="B94" s="875"/>
      <c r="C94" s="876"/>
      <c r="D94" s="360">
        <v>2</v>
      </c>
      <c r="E94" s="434" t="s">
        <v>559</v>
      </c>
      <c r="F94" s="362">
        <f t="shared" ref="F94:F112" si="64">IFERROR(T94*G94,"-")</f>
        <v>7717.8401999999542</v>
      </c>
      <c r="G94" s="363">
        <v>625.93999999999994</v>
      </c>
      <c r="H94" s="436">
        <v>1312.8799999999999</v>
      </c>
      <c r="I94" s="436">
        <v>1312.8799999999999</v>
      </c>
      <c r="J94" s="438">
        <f t="shared" ref="J94:J112" si="65">IFERROR(I94/H94,"-")</f>
        <v>1</v>
      </c>
      <c r="K94" s="437">
        <v>1312.8799999999999</v>
      </c>
      <c r="L94" s="438">
        <f t="shared" ref="L94:L112" si="66">IFERROR(K94/H94,"-")</f>
        <v>1</v>
      </c>
      <c r="M94" s="437">
        <v>12.33</v>
      </c>
      <c r="N94" s="438">
        <f t="shared" ref="N94:N112" si="67">IFERROR(M94/H94,"-")</f>
        <v>9.3915666321369821E-3</v>
      </c>
      <c r="O94" s="439">
        <f t="shared" ref="O94:O112" si="68">IFERROR(K94+M94,"-")</f>
        <v>1325.2099999999998</v>
      </c>
      <c r="P94" s="438">
        <f t="shared" ref="P94:P112" si="69">IFERROR(O94/H94,"-")</f>
        <v>1.0093915666321369</v>
      </c>
      <c r="Q94" s="436">
        <v>2.15</v>
      </c>
      <c r="R94" s="438">
        <f t="shared" ref="R94:R112" si="70">IFERROR(Q94/H94,"-")</f>
        <v>1.6376211077935533E-3</v>
      </c>
      <c r="S94" s="446">
        <f t="shared" ref="S94:S112" si="71">IFERROR(Q94*G94,"-")</f>
        <v>1345.7709999999997</v>
      </c>
      <c r="T94" s="439">
        <f t="shared" ref="T94:T112" si="72">IFERROR(O94-H94,"-")</f>
        <v>12.329999999999927</v>
      </c>
      <c r="U94" s="438">
        <f t="shared" ref="U94:U112" si="73">IFERROR(T94/H94,"-")</f>
        <v>9.3915666321369266E-3</v>
      </c>
      <c r="V94" s="450">
        <f t="shared" ref="V94:V112" si="74">T94-Q94</f>
        <v>10.179999999999927</v>
      </c>
      <c r="W94" s="451">
        <f t="shared" ref="W94:W112" si="75">IFERROR(V94/H94,"-")</f>
        <v>7.7539455243433733E-3</v>
      </c>
      <c r="X94" s="452">
        <f t="shared" ref="X94:X112" si="76">IFERROR(V94*G94,"-")</f>
        <v>6372.0691999999535</v>
      </c>
      <c r="Y94" s="364" t="s">
        <v>170</v>
      </c>
      <c r="Z94" s="364" t="s">
        <v>406</v>
      </c>
      <c r="AA94" s="365"/>
      <c r="AB94" s="365"/>
      <c r="AC94" s="365">
        <v>1</v>
      </c>
      <c r="AD94" s="440" t="s">
        <v>560</v>
      </c>
      <c r="AF94" s="160" t="s">
        <v>227</v>
      </c>
      <c r="AG94" s="160" t="s">
        <v>421</v>
      </c>
      <c r="AH94" s="155" t="s">
        <v>514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75"/>
      <c r="C95" s="876"/>
      <c r="D95" s="360">
        <v>3</v>
      </c>
      <c r="E95" s="434" t="s">
        <v>723</v>
      </c>
      <c r="F95" s="362">
        <f t="shared" si="64"/>
        <v>7082.4962000000132</v>
      </c>
      <c r="G95" s="363">
        <v>440.17999999999995</v>
      </c>
      <c r="H95" s="436">
        <v>875.81999999999994</v>
      </c>
      <c r="I95" s="436">
        <v>875.81999999999994</v>
      </c>
      <c r="J95" s="438">
        <f t="shared" si="65"/>
        <v>1</v>
      </c>
      <c r="K95" s="437">
        <v>875.81999999999994</v>
      </c>
      <c r="L95" s="438">
        <f t="shared" si="66"/>
        <v>1</v>
      </c>
      <c r="M95" s="437">
        <v>16.09</v>
      </c>
      <c r="N95" s="438">
        <f t="shared" si="67"/>
        <v>1.8371354844602773E-2</v>
      </c>
      <c r="O95" s="439">
        <f t="shared" si="68"/>
        <v>891.91</v>
      </c>
      <c r="P95" s="438">
        <f t="shared" si="69"/>
        <v>1.0183713548446027</v>
      </c>
      <c r="Q95" s="436">
        <v>2.0300000000000002</v>
      </c>
      <c r="R95" s="438">
        <f t="shared" si="70"/>
        <v>2.3178278641730042E-3</v>
      </c>
      <c r="S95" s="446">
        <f t="shared" si="71"/>
        <v>893.56539999999995</v>
      </c>
      <c r="T95" s="439">
        <f t="shared" si="72"/>
        <v>16.090000000000032</v>
      </c>
      <c r="U95" s="438">
        <f t="shared" si="73"/>
        <v>1.8371354844602811E-2</v>
      </c>
      <c r="V95" s="450">
        <f t="shared" si="74"/>
        <v>14.060000000000031</v>
      </c>
      <c r="W95" s="451">
        <f t="shared" si="75"/>
        <v>1.6053526980429805E-2</v>
      </c>
      <c r="X95" s="452">
        <f t="shared" si="76"/>
        <v>6188.9308000000128</v>
      </c>
      <c r="Y95" s="364" t="s">
        <v>170</v>
      </c>
      <c r="Z95" s="364" t="s">
        <v>406</v>
      </c>
      <c r="AA95" s="365"/>
      <c r="AB95" s="365"/>
      <c r="AC95" s="365">
        <v>1</v>
      </c>
      <c r="AD95" s="440" t="s">
        <v>720</v>
      </c>
      <c r="AF95" s="370">
        <f>SUM(AC93:AC112)</f>
        <v>20</v>
      </c>
      <c r="AG95" s="366">
        <f>SUMIF($Z$93:$Z$112,TRIM(AG94),$AC$93:$AC$112)</f>
        <v>0</v>
      </c>
      <c r="AH95" s="366">
        <f t="shared" ref="AH95:AM95" si="77">SUMIF($Z$93:$Z$112,TRIM(AH94),$AC$93:$AC$112)</f>
        <v>0</v>
      </c>
      <c r="AI95" s="366">
        <f t="shared" si="77"/>
        <v>0</v>
      </c>
      <c r="AJ95" s="366">
        <f t="shared" si="77"/>
        <v>18</v>
      </c>
      <c r="AK95" s="366">
        <f t="shared" si="77"/>
        <v>1</v>
      </c>
      <c r="AL95" s="366">
        <f t="shared" si="77"/>
        <v>1</v>
      </c>
      <c r="AM95" s="366">
        <f t="shared" si="77"/>
        <v>0</v>
      </c>
    </row>
    <row r="96" spans="2:39" s="147" customFormat="1" ht="27" customHeight="1">
      <c r="B96" s="875"/>
      <c r="C96" s="876"/>
      <c r="D96" s="360">
        <v>4</v>
      </c>
      <c r="E96" s="434" t="s">
        <v>364</v>
      </c>
      <c r="F96" s="362">
        <f t="shared" si="64"/>
        <v>5223.5424000000166</v>
      </c>
      <c r="G96" s="363">
        <v>127.84000000000002</v>
      </c>
      <c r="H96" s="436">
        <v>3762.76</v>
      </c>
      <c r="I96" s="436">
        <v>3762.76</v>
      </c>
      <c r="J96" s="438">
        <f t="shared" si="65"/>
        <v>1</v>
      </c>
      <c r="K96" s="437">
        <v>3762.76</v>
      </c>
      <c r="L96" s="438">
        <f t="shared" si="66"/>
        <v>1</v>
      </c>
      <c r="M96" s="437">
        <v>40.86</v>
      </c>
      <c r="N96" s="438">
        <f t="shared" si="67"/>
        <v>1.0859050271609137E-2</v>
      </c>
      <c r="O96" s="439">
        <f t="shared" si="68"/>
        <v>3803.6200000000003</v>
      </c>
      <c r="P96" s="438">
        <f t="shared" si="69"/>
        <v>1.0108590502716093</v>
      </c>
      <c r="Q96" s="436">
        <v>10.559999999999999</v>
      </c>
      <c r="R96" s="438">
        <f t="shared" si="70"/>
        <v>2.80645058414568E-3</v>
      </c>
      <c r="S96" s="446">
        <f t="shared" si="71"/>
        <v>1349.9904000000001</v>
      </c>
      <c r="T96" s="439">
        <f t="shared" si="72"/>
        <v>40.860000000000127</v>
      </c>
      <c r="U96" s="438">
        <f t="shared" si="73"/>
        <v>1.0859050271609171E-2</v>
      </c>
      <c r="V96" s="450">
        <f t="shared" si="74"/>
        <v>30.300000000000129</v>
      </c>
      <c r="W96" s="451">
        <f t="shared" si="75"/>
        <v>8.0525996874634912E-3</v>
      </c>
      <c r="X96" s="452">
        <f t="shared" si="76"/>
        <v>3873.552000000017</v>
      </c>
      <c r="Y96" s="364" t="s">
        <v>170</v>
      </c>
      <c r="Z96" s="364" t="s">
        <v>406</v>
      </c>
      <c r="AA96" s="365"/>
      <c r="AB96" s="365"/>
      <c r="AC96" s="365">
        <v>1</v>
      </c>
      <c r="AD96" s="440" t="s">
        <v>319</v>
      </c>
      <c r="AF96" s="371" t="s">
        <v>11</v>
      </c>
      <c r="AG96" s="368">
        <f>SUMIF($Z$93:$Z$112,TRIM(AG94),$F$93:$F$112)</f>
        <v>0</v>
      </c>
      <c r="AH96" s="368">
        <f t="shared" ref="AH96:AM96" si="78">SUMIF($Z$93:$Z$112,TRIM(AH94),$F$93:$F$112)</f>
        <v>0</v>
      </c>
      <c r="AI96" s="368">
        <f t="shared" si="78"/>
        <v>0</v>
      </c>
      <c r="AJ96" s="368">
        <f t="shared" si="78"/>
        <v>70125.51270000005</v>
      </c>
      <c r="AK96" s="368">
        <f t="shared" si="78"/>
        <v>8651.1923999999781</v>
      </c>
      <c r="AL96" s="368">
        <f t="shared" si="78"/>
        <v>4183.4123999999965</v>
      </c>
      <c r="AM96" s="368">
        <f t="shared" si="78"/>
        <v>0</v>
      </c>
    </row>
    <row r="97" spans="2:39" s="147" customFormat="1" ht="27" customHeight="1">
      <c r="B97" s="875"/>
      <c r="C97" s="876"/>
      <c r="D97" s="360">
        <v>5</v>
      </c>
      <c r="E97" s="434" t="s">
        <v>764</v>
      </c>
      <c r="F97" s="362">
        <f t="shared" si="64"/>
        <v>4885.1910000000134</v>
      </c>
      <c r="G97" s="363">
        <v>603.11</v>
      </c>
      <c r="H97" s="436">
        <v>607.66</v>
      </c>
      <c r="I97" s="436">
        <v>607.66</v>
      </c>
      <c r="J97" s="438">
        <f t="shared" si="65"/>
        <v>1</v>
      </c>
      <c r="K97" s="437">
        <v>607.66</v>
      </c>
      <c r="L97" s="438">
        <f t="shared" si="66"/>
        <v>1</v>
      </c>
      <c r="M97" s="437">
        <v>8.1000000000000014</v>
      </c>
      <c r="N97" s="438">
        <f t="shared" si="67"/>
        <v>1.3329822598163449E-2</v>
      </c>
      <c r="O97" s="439">
        <f t="shared" si="68"/>
        <v>615.76</v>
      </c>
      <c r="P97" s="438">
        <f t="shared" si="69"/>
        <v>1.0133298225981635</v>
      </c>
      <c r="Q97" s="436">
        <v>1.44</v>
      </c>
      <c r="R97" s="438">
        <f t="shared" si="70"/>
        <v>2.3697462396735018E-3</v>
      </c>
      <c r="S97" s="446">
        <f t="shared" si="71"/>
        <v>868.47839999999997</v>
      </c>
      <c r="T97" s="439">
        <f t="shared" si="72"/>
        <v>8.1000000000000227</v>
      </c>
      <c r="U97" s="438">
        <f t="shared" si="73"/>
        <v>1.3329822598163486E-2</v>
      </c>
      <c r="V97" s="450">
        <f t="shared" si="74"/>
        <v>6.6600000000000232</v>
      </c>
      <c r="W97" s="451">
        <f t="shared" si="75"/>
        <v>1.0960076358489983E-2</v>
      </c>
      <c r="X97" s="452">
        <f t="shared" si="76"/>
        <v>4016.7126000000139</v>
      </c>
      <c r="Y97" s="364" t="s">
        <v>170</v>
      </c>
      <c r="Z97" s="364" t="s">
        <v>406</v>
      </c>
      <c r="AA97" s="365"/>
      <c r="AB97" s="365"/>
      <c r="AC97" s="365">
        <v>1</v>
      </c>
      <c r="AD97" s="440" t="s">
        <v>768</v>
      </c>
      <c r="AF97" s="360" t="s">
        <v>515</v>
      </c>
      <c r="AG97" s="369">
        <f t="shared" ref="AG97:AM97" si="79">AG95/$AF95</f>
        <v>0</v>
      </c>
      <c r="AH97" s="369">
        <f t="shared" si="79"/>
        <v>0</v>
      </c>
      <c r="AI97" s="369">
        <f t="shared" si="79"/>
        <v>0</v>
      </c>
      <c r="AJ97" s="369">
        <f t="shared" si="79"/>
        <v>0.9</v>
      </c>
      <c r="AK97" s="369">
        <f t="shared" si="79"/>
        <v>0.05</v>
      </c>
      <c r="AL97" s="369">
        <f t="shared" si="79"/>
        <v>0.05</v>
      </c>
      <c r="AM97" s="369">
        <f t="shared" si="79"/>
        <v>0</v>
      </c>
    </row>
    <row r="98" spans="2:39" s="147" customFormat="1" ht="27" customHeight="1">
      <c r="B98" s="875"/>
      <c r="C98" s="876"/>
      <c r="D98" s="360">
        <v>6</v>
      </c>
      <c r="E98" s="434" t="s">
        <v>434</v>
      </c>
      <c r="F98" s="362">
        <f t="shared" si="64"/>
        <v>4183.4123999999965</v>
      </c>
      <c r="G98" s="363">
        <v>407.74000000000007</v>
      </c>
      <c r="H98" s="436">
        <v>1010.5899999999999</v>
      </c>
      <c r="I98" s="436">
        <v>1010.5899999999999</v>
      </c>
      <c r="J98" s="438">
        <f t="shared" si="65"/>
        <v>1</v>
      </c>
      <c r="K98" s="437">
        <v>1010.5899999999999</v>
      </c>
      <c r="L98" s="438">
        <f t="shared" si="66"/>
        <v>1</v>
      </c>
      <c r="M98" s="437">
        <v>10.26</v>
      </c>
      <c r="N98" s="438">
        <f t="shared" si="67"/>
        <v>1.0152485181923432E-2</v>
      </c>
      <c r="O98" s="439">
        <f t="shared" si="68"/>
        <v>1020.8499999999999</v>
      </c>
      <c r="P98" s="438">
        <f t="shared" si="69"/>
        <v>1.0101524851819235</v>
      </c>
      <c r="Q98" s="436">
        <v>2.23</v>
      </c>
      <c r="R98" s="438">
        <f t="shared" si="70"/>
        <v>2.2066317695603561E-3</v>
      </c>
      <c r="S98" s="446">
        <f t="shared" si="71"/>
        <v>909.26020000000017</v>
      </c>
      <c r="T98" s="439">
        <f t="shared" si="72"/>
        <v>10.259999999999991</v>
      </c>
      <c r="U98" s="438">
        <f t="shared" si="73"/>
        <v>1.0152485181923424E-2</v>
      </c>
      <c r="V98" s="450">
        <f t="shared" si="74"/>
        <v>8.0299999999999905</v>
      </c>
      <c r="W98" s="451">
        <f t="shared" si="75"/>
        <v>7.9458534123630666E-3</v>
      </c>
      <c r="X98" s="452">
        <f t="shared" si="76"/>
        <v>3274.1521999999968</v>
      </c>
      <c r="Y98" s="364" t="s">
        <v>170</v>
      </c>
      <c r="Z98" s="364" t="s">
        <v>199</v>
      </c>
      <c r="AA98" s="365"/>
      <c r="AB98" s="365"/>
      <c r="AC98" s="365">
        <v>1</v>
      </c>
      <c r="AD98" s="440" t="s">
        <v>436</v>
      </c>
    </row>
    <row r="99" spans="2:39" s="147" customFormat="1" ht="27" customHeight="1">
      <c r="B99" s="875"/>
      <c r="C99" s="876"/>
      <c r="D99" s="360">
        <v>7</v>
      </c>
      <c r="E99" s="434" t="s">
        <v>563</v>
      </c>
      <c r="F99" s="362">
        <f t="shared" si="64"/>
        <v>3904.2134999999903</v>
      </c>
      <c r="G99" s="363">
        <v>426.69</v>
      </c>
      <c r="H99" s="436">
        <v>968.31</v>
      </c>
      <c r="I99" s="436">
        <v>968.31</v>
      </c>
      <c r="J99" s="438">
        <f t="shared" si="65"/>
        <v>1</v>
      </c>
      <c r="K99" s="437">
        <v>968.31</v>
      </c>
      <c r="L99" s="438">
        <f t="shared" si="66"/>
        <v>1</v>
      </c>
      <c r="M99" s="437">
        <v>9.15</v>
      </c>
      <c r="N99" s="438">
        <f t="shared" si="67"/>
        <v>9.4494531709886313E-3</v>
      </c>
      <c r="O99" s="439">
        <f t="shared" si="68"/>
        <v>977.45999999999992</v>
      </c>
      <c r="P99" s="438">
        <f t="shared" si="69"/>
        <v>1.0094494531709886</v>
      </c>
      <c r="Q99" s="436">
        <v>2.36</v>
      </c>
      <c r="R99" s="438">
        <f t="shared" si="70"/>
        <v>2.4372360091293077E-3</v>
      </c>
      <c r="S99" s="446">
        <f t="shared" si="71"/>
        <v>1006.9884</v>
      </c>
      <c r="T99" s="439">
        <f t="shared" si="72"/>
        <v>9.1499999999999773</v>
      </c>
      <c r="U99" s="438">
        <f t="shared" si="73"/>
        <v>9.449453170988607E-3</v>
      </c>
      <c r="V99" s="450">
        <f t="shared" si="74"/>
        <v>6.7899999999999778</v>
      </c>
      <c r="W99" s="451">
        <f t="shared" si="75"/>
        <v>7.0122171618592997E-3</v>
      </c>
      <c r="X99" s="452">
        <f t="shared" si="76"/>
        <v>2897.2250999999906</v>
      </c>
      <c r="Y99" s="364" t="s">
        <v>170</v>
      </c>
      <c r="Z99" s="364" t="s">
        <v>406</v>
      </c>
      <c r="AA99" s="365"/>
      <c r="AB99" s="365"/>
      <c r="AC99" s="365">
        <v>1</v>
      </c>
      <c r="AD99" s="440" t="s">
        <v>336</v>
      </c>
    </row>
    <row r="100" spans="2:39" s="147" customFormat="1" ht="27" customHeight="1">
      <c r="B100" s="875"/>
      <c r="C100" s="876"/>
      <c r="D100" s="360">
        <v>8</v>
      </c>
      <c r="E100" s="434" t="s">
        <v>544</v>
      </c>
      <c r="F100" s="362">
        <f t="shared" si="64"/>
        <v>3591.6698999999944</v>
      </c>
      <c r="G100" s="363">
        <v>193.82999999999998</v>
      </c>
      <c r="H100" s="436">
        <v>2001.8300000000002</v>
      </c>
      <c r="I100" s="436">
        <v>2001.8300000000002</v>
      </c>
      <c r="J100" s="438">
        <f t="shared" si="65"/>
        <v>1</v>
      </c>
      <c r="K100" s="437">
        <v>2001.8300000000002</v>
      </c>
      <c r="L100" s="438">
        <f t="shared" si="66"/>
        <v>1</v>
      </c>
      <c r="M100" s="437">
        <v>18.53</v>
      </c>
      <c r="N100" s="438">
        <f t="shared" si="67"/>
        <v>9.2565302747985596E-3</v>
      </c>
      <c r="O100" s="439">
        <f t="shared" si="68"/>
        <v>2020.3600000000001</v>
      </c>
      <c r="P100" s="438">
        <f t="shared" si="69"/>
        <v>1.0092565302747984</v>
      </c>
      <c r="Q100" s="436">
        <v>4.4400000000000004</v>
      </c>
      <c r="R100" s="438">
        <f t="shared" si="70"/>
        <v>2.2179705569403997E-3</v>
      </c>
      <c r="S100" s="446">
        <f t="shared" si="71"/>
        <v>860.60519999999997</v>
      </c>
      <c r="T100" s="439">
        <f t="shared" si="72"/>
        <v>18.529999999999973</v>
      </c>
      <c r="U100" s="438">
        <f t="shared" si="73"/>
        <v>9.2565302747985457E-3</v>
      </c>
      <c r="V100" s="450">
        <f t="shared" si="74"/>
        <v>14.089999999999971</v>
      </c>
      <c r="W100" s="451">
        <f t="shared" si="75"/>
        <v>7.0385597178581451E-3</v>
      </c>
      <c r="X100" s="452">
        <f t="shared" si="76"/>
        <v>2731.0646999999944</v>
      </c>
      <c r="Y100" s="364" t="s">
        <v>170</v>
      </c>
      <c r="Z100" s="364" t="s">
        <v>406</v>
      </c>
      <c r="AA100" s="365"/>
      <c r="AB100" s="365"/>
      <c r="AC100" s="365">
        <v>1</v>
      </c>
      <c r="AD100" s="440" t="s">
        <v>548</v>
      </c>
    </row>
    <row r="101" spans="2:39" s="147" customFormat="1" ht="27" customHeight="1">
      <c r="B101" s="875"/>
      <c r="C101" s="876"/>
      <c r="D101" s="360">
        <v>9</v>
      </c>
      <c r="E101" s="434" t="s">
        <v>613</v>
      </c>
      <c r="F101" s="362">
        <f t="shared" si="64"/>
        <v>3581.5296000000012</v>
      </c>
      <c r="G101" s="363">
        <v>339.16</v>
      </c>
      <c r="H101" s="436">
        <v>483.96999999999991</v>
      </c>
      <c r="I101" s="436">
        <v>483.96999999999991</v>
      </c>
      <c r="J101" s="438">
        <f t="shared" si="65"/>
        <v>1</v>
      </c>
      <c r="K101" s="437">
        <v>483.96999999999991</v>
      </c>
      <c r="L101" s="438">
        <f t="shared" si="66"/>
        <v>1</v>
      </c>
      <c r="M101" s="437">
        <v>10.559999999999999</v>
      </c>
      <c r="N101" s="438">
        <f t="shared" si="67"/>
        <v>2.1819534268653018E-2</v>
      </c>
      <c r="O101" s="439">
        <f t="shared" si="68"/>
        <v>494.52999999999992</v>
      </c>
      <c r="P101" s="438">
        <f t="shared" si="69"/>
        <v>1.0218195342686531</v>
      </c>
      <c r="Q101" s="436">
        <v>1.92</v>
      </c>
      <c r="R101" s="438">
        <f t="shared" si="70"/>
        <v>3.9671880488460036E-3</v>
      </c>
      <c r="S101" s="446">
        <f t="shared" si="71"/>
        <v>651.18720000000008</v>
      </c>
      <c r="T101" s="439">
        <f t="shared" si="72"/>
        <v>10.560000000000002</v>
      </c>
      <c r="U101" s="438">
        <f t="shared" si="73"/>
        <v>2.1819534268653025E-2</v>
      </c>
      <c r="V101" s="450">
        <f t="shared" si="74"/>
        <v>8.6400000000000023</v>
      </c>
      <c r="W101" s="451">
        <f t="shared" si="75"/>
        <v>1.7852346219807021E-2</v>
      </c>
      <c r="X101" s="452">
        <f t="shared" si="76"/>
        <v>2930.3424000000009</v>
      </c>
      <c r="Y101" s="364" t="s">
        <v>170</v>
      </c>
      <c r="Z101" s="364" t="s">
        <v>406</v>
      </c>
      <c r="AA101" s="365"/>
      <c r="AB101" s="365"/>
      <c r="AC101" s="365">
        <v>1</v>
      </c>
      <c r="AD101" s="440" t="s">
        <v>615</v>
      </c>
      <c r="AH101" s="367"/>
    </row>
    <row r="102" spans="2:39" s="147" customFormat="1" ht="27" customHeight="1">
      <c r="B102" s="875"/>
      <c r="C102" s="876"/>
      <c r="D102" s="360">
        <v>10</v>
      </c>
      <c r="E102" s="434" t="s">
        <v>499</v>
      </c>
      <c r="F102" s="362">
        <f t="shared" si="64"/>
        <v>3554.4874999999997</v>
      </c>
      <c r="G102" s="363">
        <v>66.13</v>
      </c>
      <c r="H102" s="436">
        <v>2020.06</v>
      </c>
      <c r="I102" s="436">
        <v>2020.06</v>
      </c>
      <c r="J102" s="438">
        <f t="shared" si="65"/>
        <v>1</v>
      </c>
      <c r="K102" s="437">
        <v>2020.06</v>
      </c>
      <c r="L102" s="438">
        <f t="shared" si="66"/>
        <v>1</v>
      </c>
      <c r="M102" s="437">
        <v>53.75</v>
      </c>
      <c r="N102" s="438">
        <f t="shared" si="67"/>
        <v>2.6608120550874727E-2</v>
      </c>
      <c r="O102" s="439">
        <f t="shared" si="68"/>
        <v>2073.81</v>
      </c>
      <c r="P102" s="438">
        <f t="shared" si="69"/>
        <v>1.0266081205508748</v>
      </c>
      <c r="Q102" s="436">
        <v>11.51</v>
      </c>
      <c r="R102" s="438">
        <f t="shared" si="70"/>
        <v>5.6978505588942902E-3</v>
      </c>
      <c r="S102" s="446">
        <f t="shared" si="71"/>
        <v>761.15629999999999</v>
      </c>
      <c r="T102" s="439">
        <f t="shared" si="72"/>
        <v>53.75</v>
      </c>
      <c r="U102" s="438">
        <f t="shared" si="73"/>
        <v>2.6608120550874727E-2</v>
      </c>
      <c r="V102" s="450">
        <f t="shared" si="74"/>
        <v>42.24</v>
      </c>
      <c r="W102" s="451">
        <f t="shared" si="75"/>
        <v>2.0910269991980437E-2</v>
      </c>
      <c r="X102" s="452">
        <f t="shared" si="76"/>
        <v>2793.3312000000001</v>
      </c>
      <c r="Y102" s="364" t="s">
        <v>170</v>
      </c>
      <c r="Z102" s="364" t="s">
        <v>406</v>
      </c>
      <c r="AA102" s="365"/>
      <c r="AB102" s="365"/>
      <c r="AC102" s="365">
        <v>1</v>
      </c>
      <c r="AD102" s="440" t="s">
        <v>320</v>
      </c>
      <c r="AH102" s="367"/>
    </row>
    <row r="103" spans="2:39" s="147" customFormat="1" ht="27" customHeight="1">
      <c r="B103" s="875"/>
      <c r="C103" s="876"/>
      <c r="D103" s="360">
        <v>11</v>
      </c>
      <c r="E103" s="434" t="s">
        <v>495</v>
      </c>
      <c r="F103" s="362">
        <f t="shared" si="64"/>
        <v>3472.2285000000566</v>
      </c>
      <c r="G103" s="363">
        <v>39.389999999999993</v>
      </c>
      <c r="H103" s="436">
        <v>19336.5</v>
      </c>
      <c r="I103" s="436">
        <v>19336.5</v>
      </c>
      <c r="J103" s="438">
        <f t="shared" si="65"/>
        <v>1</v>
      </c>
      <c r="K103" s="437">
        <v>19336.5</v>
      </c>
      <c r="L103" s="438">
        <f t="shared" si="66"/>
        <v>1</v>
      </c>
      <c r="M103" s="437">
        <v>88.149999999999991</v>
      </c>
      <c r="N103" s="438">
        <f t="shared" si="67"/>
        <v>4.5587360690921312E-3</v>
      </c>
      <c r="O103" s="439">
        <f t="shared" si="68"/>
        <v>19424.650000000001</v>
      </c>
      <c r="P103" s="438">
        <f t="shared" si="69"/>
        <v>1.0045587360690922</v>
      </c>
      <c r="Q103" s="436">
        <v>24.19</v>
      </c>
      <c r="R103" s="438">
        <f t="shared" si="70"/>
        <v>1.2510019910531897E-3</v>
      </c>
      <c r="S103" s="446">
        <f t="shared" si="71"/>
        <v>952.84409999999991</v>
      </c>
      <c r="T103" s="439">
        <f t="shared" si="72"/>
        <v>88.150000000001455</v>
      </c>
      <c r="U103" s="438">
        <f t="shared" si="73"/>
        <v>4.5587360690922066E-3</v>
      </c>
      <c r="V103" s="450">
        <f t="shared" si="74"/>
        <v>63.960000000001457</v>
      </c>
      <c r="W103" s="451">
        <f t="shared" si="75"/>
        <v>3.3077340780390172E-3</v>
      </c>
      <c r="X103" s="452">
        <f t="shared" si="76"/>
        <v>2519.3844000000572</v>
      </c>
      <c r="Y103" s="364" t="s">
        <v>170</v>
      </c>
      <c r="Z103" s="364" t="s">
        <v>406</v>
      </c>
      <c r="AA103" s="365"/>
      <c r="AB103" s="365"/>
      <c r="AC103" s="365">
        <v>1</v>
      </c>
      <c r="AD103" s="440" t="s">
        <v>319</v>
      </c>
      <c r="AH103" s="367"/>
    </row>
    <row r="104" spans="2:39" s="147" customFormat="1" ht="27" customHeight="1">
      <c r="B104" s="875"/>
      <c r="C104" s="876"/>
      <c r="D104" s="360">
        <v>12</v>
      </c>
      <c r="E104" s="434" t="s">
        <v>687</v>
      </c>
      <c r="F104" s="362">
        <f t="shared" si="64"/>
        <v>3385.3062000000032</v>
      </c>
      <c r="G104" s="363">
        <v>70.220000000000013</v>
      </c>
      <c r="H104" s="436">
        <v>1852.6200000000001</v>
      </c>
      <c r="I104" s="436">
        <v>1852.6200000000001</v>
      </c>
      <c r="J104" s="438">
        <f t="shared" si="65"/>
        <v>1</v>
      </c>
      <c r="K104" s="437">
        <v>1852.6200000000001</v>
      </c>
      <c r="L104" s="438">
        <f t="shared" si="66"/>
        <v>1</v>
      </c>
      <c r="M104" s="437">
        <v>48.209999999999994</v>
      </c>
      <c r="N104" s="438">
        <f t="shared" si="67"/>
        <v>2.6022605823104571E-2</v>
      </c>
      <c r="O104" s="439">
        <f t="shared" si="68"/>
        <v>1900.8300000000002</v>
      </c>
      <c r="P104" s="438">
        <f t="shared" si="69"/>
        <v>1.0260226058231046</v>
      </c>
      <c r="Q104" s="436">
        <v>10.839999999999998</v>
      </c>
      <c r="R104" s="438">
        <f t="shared" si="70"/>
        <v>5.8511729334671967E-3</v>
      </c>
      <c r="S104" s="446">
        <f t="shared" si="71"/>
        <v>761.1848</v>
      </c>
      <c r="T104" s="439">
        <f t="shared" si="72"/>
        <v>48.210000000000036</v>
      </c>
      <c r="U104" s="438">
        <f t="shared" si="73"/>
        <v>2.6022605823104596E-2</v>
      </c>
      <c r="V104" s="450">
        <f t="shared" si="74"/>
        <v>37.37000000000004</v>
      </c>
      <c r="W104" s="451">
        <f t="shared" si="75"/>
        <v>2.0171432889637398E-2</v>
      </c>
      <c r="X104" s="452">
        <f t="shared" si="76"/>
        <v>2624.1214000000032</v>
      </c>
      <c r="Y104" s="364" t="s">
        <v>170</v>
      </c>
      <c r="Z104" s="364" t="s">
        <v>406</v>
      </c>
      <c r="AA104" s="365"/>
      <c r="AB104" s="365"/>
      <c r="AC104" s="365">
        <v>1</v>
      </c>
      <c r="AD104" s="440" t="s">
        <v>322</v>
      </c>
      <c r="AH104" s="367"/>
    </row>
    <row r="105" spans="2:39" s="147" customFormat="1" ht="27" customHeight="1">
      <c r="B105" s="875"/>
      <c r="C105" s="876"/>
      <c r="D105" s="360">
        <v>13</v>
      </c>
      <c r="E105" s="434" t="s">
        <v>410</v>
      </c>
      <c r="F105" s="362">
        <f t="shared" si="64"/>
        <v>3357.4368000000009</v>
      </c>
      <c r="G105" s="363">
        <v>368.13999999999993</v>
      </c>
      <c r="H105" s="436">
        <v>371.47</v>
      </c>
      <c r="I105" s="436">
        <v>371.47</v>
      </c>
      <c r="J105" s="438">
        <f t="shared" si="65"/>
        <v>1</v>
      </c>
      <c r="K105" s="437">
        <v>371.47</v>
      </c>
      <c r="L105" s="438">
        <f t="shared" si="66"/>
        <v>1</v>
      </c>
      <c r="M105" s="437">
        <v>9.120000000000001</v>
      </c>
      <c r="N105" s="438">
        <f t="shared" si="67"/>
        <v>2.4551107761057421E-2</v>
      </c>
      <c r="O105" s="439">
        <f t="shared" si="68"/>
        <v>380.59000000000003</v>
      </c>
      <c r="P105" s="438">
        <f t="shared" si="69"/>
        <v>1.0245511077610574</v>
      </c>
      <c r="Q105" s="436">
        <v>2.0699999999999998</v>
      </c>
      <c r="R105" s="438">
        <f t="shared" si="70"/>
        <v>5.5724553799768482E-3</v>
      </c>
      <c r="S105" s="446">
        <f t="shared" si="71"/>
        <v>762.04979999999978</v>
      </c>
      <c r="T105" s="439">
        <f t="shared" si="72"/>
        <v>9.1200000000000045</v>
      </c>
      <c r="U105" s="438">
        <f t="shared" si="73"/>
        <v>2.4551107761057431E-2</v>
      </c>
      <c r="V105" s="450">
        <f t="shared" si="74"/>
        <v>7.0500000000000043</v>
      </c>
      <c r="W105" s="451">
        <f t="shared" si="75"/>
        <v>1.8978652381080582E-2</v>
      </c>
      <c r="X105" s="452">
        <f t="shared" si="76"/>
        <v>2595.3870000000011</v>
      </c>
      <c r="Y105" s="364" t="s">
        <v>170</v>
      </c>
      <c r="Z105" s="364" t="s">
        <v>406</v>
      </c>
      <c r="AA105" s="365"/>
      <c r="AB105" s="365"/>
      <c r="AC105" s="365">
        <v>1</v>
      </c>
      <c r="AD105" s="440" t="s">
        <v>411</v>
      </c>
    </row>
    <row r="106" spans="2:39" s="147" customFormat="1" ht="27" customHeight="1">
      <c r="B106" s="875"/>
      <c r="C106" s="876"/>
      <c r="D106" s="360">
        <v>14</v>
      </c>
      <c r="E106" s="434" t="s">
        <v>589</v>
      </c>
      <c r="F106" s="362">
        <f t="shared" si="64"/>
        <v>3025.8539999999807</v>
      </c>
      <c r="G106" s="363">
        <v>52.26</v>
      </c>
      <c r="H106" s="436">
        <v>4218.2700000000004</v>
      </c>
      <c r="I106" s="436">
        <v>4218.2700000000004</v>
      </c>
      <c r="J106" s="438">
        <f t="shared" si="65"/>
        <v>1</v>
      </c>
      <c r="K106" s="437">
        <v>4218.2700000000004</v>
      </c>
      <c r="L106" s="438">
        <f t="shared" si="66"/>
        <v>1</v>
      </c>
      <c r="M106" s="437">
        <v>57.9</v>
      </c>
      <c r="N106" s="438">
        <f t="shared" si="67"/>
        <v>1.3726006158922969E-2</v>
      </c>
      <c r="O106" s="439">
        <f t="shared" si="68"/>
        <v>4276.17</v>
      </c>
      <c r="P106" s="438">
        <f t="shared" si="69"/>
        <v>1.0137260061589228</v>
      </c>
      <c r="Q106" s="436">
        <v>13.76</v>
      </c>
      <c r="R106" s="438">
        <f t="shared" si="70"/>
        <v>3.262000772828671E-3</v>
      </c>
      <c r="S106" s="446">
        <f t="shared" si="71"/>
        <v>719.09759999999994</v>
      </c>
      <c r="T106" s="439">
        <f t="shared" si="72"/>
        <v>57.899999999999636</v>
      </c>
      <c r="U106" s="438">
        <f t="shared" si="73"/>
        <v>1.3726006158922882E-2</v>
      </c>
      <c r="V106" s="450">
        <f t="shared" si="74"/>
        <v>44.139999999999638</v>
      </c>
      <c r="W106" s="451">
        <f t="shared" si="75"/>
        <v>1.0464005386094212E-2</v>
      </c>
      <c r="X106" s="452">
        <f t="shared" si="76"/>
        <v>2306.7563999999811</v>
      </c>
      <c r="Y106" s="364" t="s">
        <v>170</v>
      </c>
      <c r="Z106" s="364" t="s">
        <v>406</v>
      </c>
      <c r="AA106" s="365"/>
      <c r="AB106" s="365"/>
      <c r="AC106" s="365">
        <v>1</v>
      </c>
      <c r="AD106" s="440" t="s">
        <v>578</v>
      </c>
      <c r="AF106" s="899" t="s">
        <v>230</v>
      </c>
      <c r="AG106" s="900"/>
      <c r="AH106" s="900"/>
      <c r="AI106" s="900"/>
      <c r="AJ106" s="900"/>
      <c r="AK106" s="900"/>
      <c r="AL106" s="900"/>
      <c r="AM106" s="901"/>
    </row>
    <row r="107" spans="2:39" s="147" customFormat="1" ht="27" customHeight="1">
      <c r="B107" s="875"/>
      <c r="C107" s="876"/>
      <c r="D107" s="360">
        <v>15</v>
      </c>
      <c r="E107" s="434" t="s">
        <v>628</v>
      </c>
      <c r="F107" s="362">
        <f t="shared" si="64"/>
        <v>3024.9017999999919</v>
      </c>
      <c r="G107" s="363">
        <v>126.99</v>
      </c>
      <c r="H107" s="436">
        <v>1082.2</v>
      </c>
      <c r="I107" s="436">
        <v>1082.2</v>
      </c>
      <c r="J107" s="438">
        <f t="shared" si="65"/>
        <v>1</v>
      </c>
      <c r="K107" s="437">
        <v>1082.2</v>
      </c>
      <c r="L107" s="438">
        <f t="shared" si="66"/>
        <v>1</v>
      </c>
      <c r="M107" s="437">
        <v>23.82</v>
      </c>
      <c r="N107" s="438">
        <f t="shared" si="67"/>
        <v>2.2010718905932359E-2</v>
      </c>
      <c r="O107" s="439">
        <f t="shared" si="68"/>
        <v>1106.02</v>
      </c>
      <c r="P107" s="438">
        <f t="shared" si="69"/>
        <v>1.0220107189059322</v>
      </c>
      <c r="Q107" s="436">
        <v>5.4399999999999995</v>
      </c>
      <c r="R107" s="438">
        <f t="shared" si="70"/>
        <v>5.0267972648308998E-3</v>
      </c>
      <c r="S107" s="446">
        <f t="shared" si="71"/>
        <v>690.82559999999989</v>
      </c>
      <c r="T107" s="439">
        <f t="shared" si="72"/>
        <v>23.819999999999936</v>
      </c>
      <c r="U107" s="438">
        <f t="shared" si="73"/>
        <v>2.20107189059323E-2</v>
      </c>
      <c r="V107" s="450">
        <f t="shared" si="74"/>
        <v>18.379999999999939</v>
      </c>
      <c r="W107" s="451">
        <f t="shared" si="75"/>
        <v>1.6983921641101404E-2</v>
      </c>
      <c r="X107" s="452">
        <f t="shared" si="76"/>
        <v>2334.0761999999922</v>
      </c>
      <c r="Y107" s="364" t="s">
        <v>170</v>
      </c>
      <c r="Z107" s="364" t="s">
        <v>406</v>
      </c>
      <c r="AA107" s="365"/>
      <c r="AB107" s="365"/>
      <c r="AC107" s="365">
        <v>1</v>
      </c>
      <c r="AD107" s="440" t="s">
        <v>319</v>
      </c>
      <c r="AF107" s="902"/>
      <c r="AG107" s="903"/>
      <c r="AH107" s="903"/>
      <c r="AI107" s="903"/>
      <c r="AJ107" s="903"/>
      <c r="AK107" s="903"/>
      <c r="AL107" s="903"/>
      <c r="AM107" s="904"/>
    </row>
    <row r="108" spans="2:39" s="147" customFormat="1" ht="27" customHeight="1">
      <c r="B108" s="875"/>
      <c r="C108" s="876"/>
      <c r="D108" s="360">
        <v>16</v>
      </c>
      <c r="E108" s="434" t="s">
        <v>545</v>
      </c>
      <c r="F108" s="362">
        <f t="shared" si="64"/>
        <v>3007.4959999999969</v>
      </c>
      <c r="G108" s="363">
        <v>144.79999999999998</v>
      </c>
      <c r="H108" s="436">
        <v>1416.8100000000002</v>
      </c>
      <c r="I108" s="436">
        <v>1416.8100000000002</v>
      </c>
      <c r="J108" s="438">
        <f t="shared" si="65"/>
        <v>1</v>
      </c>
      <c r="K108" s="437">
        <v>1416.8100000000002</v>
      </c>
      <c r="L108" s="438">
        <f t="shared" si="66"/>
        <v>1</v>
      </c>
      <c r="M108" s="437">
        <v>20.77</v>
      </c>
      <c r="N108" s="438">
        <f t="shared" si="67"/>
        <v>1.4659693254564831E-2</v>
      </c>
      <c r="O108" s="439">
        <f t="shared" si="68"/>
        <v>1437.5800000000002</v>
      </c>
      <c r="P108" s="438">
        <f t="shared" si="69"/>
        <v>1.0146596932545648</v>
      </c>
      <c r="Q108" s="436">
        <v>5.82</v>
      </c>
      <c r="R108" s="438">
        <f t="shared" si="70"/>
        <v>4.1078196794206703E-3</v>
      </c>
      <c r="S108" s="446">
        <f t="shared" si="71"/>
        <v>842.73599999999999</v>
      </c>
      <c r="T108" s="439">
        <f t="shared" si="72"/>
        <v>20.769999999999982</v>
      </c>
      <c r="U108" s="438">
        <f t="shared" si="73"/>
        <v>1.4659693254564817E-2</v>
      </c>
      <c r="V108" s="450">
        <f t="shared" si="74"/>
        <v>14.949999999999982</v>
      </c>
      <c r="W108" s="451">
        <f t="shared" si="75"/>
        <v>1.0551873575144147E-2</v>
      </c>
      <c r="X108" s="452">
        <f t="shared" si="76"/>
        <v>2164.759999999997</v>
      </c>
      <c r="Y108" s="364" t="s">
        <v>170</v>
      </c>
      <c r="Z108" s="364" t="s">
        <v>406</v>
      </c>
      <c r="AA108" s="365"/>
      <c r="AB108" s="365"/>
      <c r="AC108" s="365">
        <v>1</v>
      </c>
      <c r="AD108" s="440" t="s">
        <v>319</v>
      </c>
      <c r="AF108" s="905"/>
      <c r="AG108" s="906"/>
      <c r="AH108" s="906"/>
      <c r="AI108" s="906"/>
      <c r="AJ108" s="906"/>
      <c r="AK108" s="906"/>
      <c r="AL108" s="906"/>
      <c r="AM108" s="907"/>
    </row>
    <row r="109" spans="2:39" s="147" customFormat="1" ht="27" customHeight="1">
      <c r="B109" s="875"/>
      <c r="C109" s="876"/>
      <c r="D109" s="360">
        <v>17</v>
      </c>
      <c r="E109" s="434" t="s">
        <v>335</v>
      </c>
      <c r="F109" s="362">
        <f t="shared" si="64"/>
        <v>2919.0525000000021</v>
      </c>
      <c r="G109" s="363">
        <v>152.75</v>
      </c>
      <c r="H109" s="436">
        <v>875.23000000000013</v>
      </c>
      <c r="I109" s="436">
        <v>875.23000000000013</v>
      </c>
      <c r="J109" s="438">
        <f t="shared" si="65"/>
        <v>1</v>
      </c>
      <c r="K109" s="437">
        <v>875.23000000000013</v>
      </c>
      <c r="L109" s="438">
        <f t="shared" si="66"/>
        <v>1</v>
      </c>
      <c r="M109" s="437">
        <v>19.11</v>
      </c>
      <c r="N109" s="438">
        <f t="shared" si="67"/>
        <v>2.1834260708613731E-2</v>
      </c>
      <c r="O109" s="439">
        <f t="shared" si="68"/>
        <v>894.34000000000015</v>
      </c>
      <c r="P109" s="438">
        <f t="shared" si="69"/>
        <v>1.0218342607086137</v>
      </c>
      <c r="Q109" s="436">
        <v>4.99</v>
      </c>
      <c r="R109" s="438">
        <f t="shared" si="70"/>
        <v>5.7013585000514145E-3</v>
      </c>
      <c r="S109" s="446">
        <f t="shared" si="71"/>
        <v>762.22250000000008</v>
      </c>
      <c r="T109" s="439">
        <f t="shared" si="72"/>
        <v>19.110000000000014</v>
      </c>
      <c r="U109" s="438">
        <f t="shared" si="73"/>
        <v>2.1834260708613749E-2</v>
      </c>
      <c r="V109" s="450">
        <f t="shared" si="74"/>
        <v>14.120000000000013</v>
      </c>
      <c r="W109" s="451">
        <f t="shared" si="75"/>
        <v>1.6132902208562335E-2</v>
      </c>
      <c r="X109" s="452">
        <f t="shared" si="76"/>
        <v>2156.8300000000022</v>
      </c>
      <c r="Y109" s="364" t="s">
        <v>170</v>
      </c>
      <c r="Z109" s="364" t="s">
        <v>406</v>
      </c>
      <c r="AA109" s="365"/>
      <c r="AB109" s="365"/>
      <c r="AC109" s="365">
        <v>1</v>
      </c>
      <c r="AD109" s="440" t="s">
        <v>336</v>
      </c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75"/>
      <c r="C110" s="876"/>
      <c r="D110" s="360">
        <v>18</v>
      </c>
      <c r="E110" s="434" t="s">
        <v>398</v>
      </c>
      <c r="F110" s="362">
        <f t="shared" si="64"/>
        <v>2874.8127000000063</v>
      </c>
      <c r="G110" s="363">
        <v>157.87000000000003</v>
      </c>
      <c r="H110" s="436">
        <v>875.59999999999991</v>
      </c>
      <c r="I110" s="436">
        <v>875.59999999999991</v>
      </c>
      <c r="J110" s="438">
        <f t="shared" si="65"/>
        <v>1</v>
      </c>
      <c r="K110" s="437">
        <v>875.59999999999991</v>
      </c>
      <c r="L110" s="438">
        <f t="shared" si="66"/>
        <v>1</v>
      </c>
      <c r="M110" s="437">
        <v>18.21</v>
      </c>
      <c r="N110" s="438">
        <f t="shared" si="67"/>
        <v>2.0797167656464142E-2</v>
      </c>
      <c r="O110" s="439">
        <f t="shared" si="68"/>
        <v>893.81</v>
      </c>
      <c r="P110" s="438">
        <f t="shared" si="69"/>
        <v>1.0207971676564642</v>
      </c>
      <c r="Q110" s="436">
        <v>3.86</v>
      </c>
      <c r="R110" s="438">
        <f t="shared" si="70"/>
        <v>4.4084056646870717E-3</v>
      </c>
      <c r="S110" s="446">
        <f t="shared" si="71"/>
        <v>609.37820000000011</v>
      </c>
      <c r="T110" s="439">
        <f t="shared" si="72"/>
        <v>18.210000000000036</v>
      </c>
      <c r="U110" s="438">
        <f t="shared" si="73"/>
        <v>2.0797167656464183E-2</v>
      </c>
      <c r="V110" s="450">
        <f t="shared" si="74"/>
        <v>14.350000000000037</v>
      </c>
      <c r="W110" s="451">
        <f t="shared" si="75"/>
        <v>1.638876199177711E-2</v>
      </c>
      <c r="X110" s="452">
        <f t="shared" si="76"/>
        <v>2265.4345000000062</v>
      </c>
      <c r="Y110" s="364" t="s">
        <v>170</v>
      </c>
      <c r="Z110" s="364" t="s">
        <v>406</v>
      </c>
      <c r="AA110" s="365"/>
      <c r="AB110" s="365"/>
      <c r="AC110" s="365">
        <v>1</v>
      </c>
      <c r="AD110" s="440" t="s">
        <v>331</v>
      </c>
      <c r="AE110" s="447" t="s">
        <v>532</v>
      </c>
      <c r="AF110" s="370">
        <f>AF29+AF51+AF73+AF95</f>
        <v>80</v>
      </c>
      <c r="AG110" s="370">
        <f>AG29+AG51+AG73+AG95</f>
        <v>0</v>
      </c>
      <c r="AH110" s="370">
        <f t="shared" ref="AH110:AM110" si="80">AH29+AH51+AH73+AH95</f>
        <v>0</v>
      </c>
      <c r="AI110" s="370">
        <f t="shared" si="80"/>
        <v>0</v>
      </c>
      <c r="AJ110" s="370">
        <f t="shared" si="80"/>
        <v>72</v>
      </c>
      <c r="AK110" s="370">
        <f t="shared" si="80"/>
        <v>4</v>
      </c>
      <c r="AL110" s="370">
        <f t="shared" si="80"/>
        <v>4</v>
      </c>
      <c r="AM110" s="370">
        <f t="shared" si="80"/>
        <v>0</v>
      </c>
    </row>
    <row r="111" spans="2:39" s="147" customFormat="1" ht="27" customHeight="1">
      <c r="B111" s="875"/>
      <c r="C111" s="876"/>
      <c r="D111" s="360">
        <v>19</v>
      </c>
      <c r="E111" s="434" t="s">
        <v>546</v>
      </c>
      <c r="F111" s="362">
        <f t="shared" si="64"/>
        <v>2764.0122000000019</v>
      </c>
      <c r="G111" s="363">
        <v>212.78</v>
      </c>
      <c r="H111" s="436">
        <v>423.78</v>
      </c>
      <c r="I111" s="436">
        <v>423.78</v>
      </c>
      <c r="J111" s="438">
        <f t="shared" si="65"/>
        <v>1</v>
      </c>
      <c r="K111" s="437">
        <v>423.78</v>
      </c>
      <c r="L111" s="438">
        <f t="shared" si="66"/>
        <v>1</v>
      </c>
      <c r="M111" s="437">
        <v>12.989999999999998</v>
      </c>
      <c r="N111" s="438">
        <f t="shared" si="67"/>
        <v>3.0652697154183773E-2</v>
      </c>
      <c r="O111" s="439">
        <f t="shared" si="68"/>
        <v>436.77</v>
      </c>
      <c r="P111" s="438">
        <f t="shared" si="69"/>
        <v>1.0306526971541838</v>
      </c>
      <c r="Q111" s="436">
        <v>3.5799999999999996</v>
      </c>
      <c r="R111" s="438">
        <f t="shared" si="70"/>
        <v>8.4477795082354042E-3</v>
      </c>
      <c r="S111" s="446">
        <f t="shared" si="71"/>
        <v>761.75239999999997</v>
      </c>
      <c r="T111" s="439">
        <f t="shared" si="72"/>
        <v>12.990000000000009</v>
      </c>
      <c r="U111" s="438">
        <f t="shared" si="73"/>
        <v>3.0652697154183797E-2</v>
      </c>
      <c r="V111" s="450">
        <f t="shared" si="74"/>
        <v>9.410000000000009</v>
      </c>
      <c r="W111" s="451">
        <f t="shared" si="75"/>
        <v>2.2204917645948393E-2</v>
      </c>
      <c r="X111" s="452">
        <f t="shared" si="76"/>
        <v>2002.2598000000019</v>
      </c>
      <c r="Y111" s="364" t="s">
        <v>170</v>
      </c>
      <c r="Z111" s="364" t="s">
        <v>406</v>
      </c>
      <c r="AA111" s="365"/>
      <c r="AB111" s="365"/>
      <c r="AC111" s="365">
        <v>1</v>
      </c>
      <c r="AD111" s="440" t="s">
        <v>542</v>
      </c>
      <c r="AF111" s="371"/>
      <c r="AG111" s="370">
        <f>AG30+AG52+AG74+AG96</f>
        <v>0</v>
      </c>
      <c r="AH111" s="370">
        <f t="shared" ref="AH111:AM111" si="81">AH30+AH52+AH74+AH96</f>
        <v>0</v>
      </c>
      <c r="AI111" s="370">
        <f t="shared" si="81"/>
        <v>0</v>
      </c>
      <c r="AJ111" s="370">
        <f t="shared" si="81"/>
        <v>285539.56020000007</v>
      </c>
      <c r="AK111" s="370">
        <f t="shared" si="81"/>
        <v>34777.262699999919</v>
      </c>
      <c r="AL111" s="370">
        <f t="shared" si="81"/>
        <v>16484.928200000028</v>
      </c>
      <c r="AM111" s="370">
        <f t="shared" si="81"/>
        <v>0</v>
      </c>
    </row>
    <row r="112" spans="2:39" s="147" customFormat="1" ht="27" customHeight="1">
      <c r="B112" s="877"/>
      <c r="C112" s="878"/>
      <c r="D112" s="360">
        <v>20</v>
      </c>
      <c r="E112" s="434" t="s">
        <v>555</v>
      </c>
      <c r="F112" s="362">
        <f t="shared" si="64"/>
        <v>2753.4417000000076</v>
      </c>
      <c r="G112" s="363">
        <v>99.51</v>
      </c>
      <c r="H112" s="436">
        <v>1236.8399999999999</v>
      </c>
      <c r="I112" s="436">
        <v>1236.8399999999999</v>
      </c>
      <c r="J112" s="438">
        <f t="shared" si="65"/>
        <v>1</v>
      </c>
      <c r="K112" s="437">
        <v>1236.8399999999999</v>
      </c>
      <c r="L112" s="438">
        <f t="shared" si="66"/>
        <v>1</v>
      </c>
      <c r="M112" s="437">
        <v>27.67</v>
      </c>
      <c r="N112" s="438">
        <f t="shared" si="67"/>
        <v>2.2371527440897775E-2</v>
      </c>
      <c r="O112" s="439">
        <f t="shared" si="68"/>
        <v>1264.51</v>
      </c>
      <c r="P112" s="438">
        <f t="shared" si="69"/>
        <v>1.0223715274408978</v>
      </c>
      <c r="Q112" s="436">
        <v>6.4500000000000011</v>
      </c>
      <c r="R112" s="438">
        <f t="shared" si="70"/>
        <v>5.2149024934510539E-3</v>
      </c>
      <c r="S112" s="446">
        <f t="shared" si="71"/>
        <v>641.83950000000016</v>
      </c>
      <c r="T112" s="439">
        <f t="shared" si="72"/>
        <v>27.670000000000073</v>
      </c>
      <c r="U112" s="438">
        <f t="shared" si="73"/>
        <v>2.2371527440897831E-2</v>
      </c>
      <c r="V112" s="450">
        <f t="shared" si="74"/>
        <v>21.22000000000007</v>
      </c>
      <c r="W112" s="451">
        <f t="shared" si="75"/>
        <v>1.7156624947446776E-2</v>
      </c>
      <c r="X112" s="452">
        <f t="shared" si="76"/>
        <v>2111.6022000000071</v>
      </c>
      <c r="Y112" s="364" t="s">
        <v>170</v>
      </c>
      <c r="Z112" s="364" t="s">
        <v>406</v>
      </c>
      <c r="AA112" s="365"/>
      <c r="AB112" s="365"/>
      <c r="AC112" s="365">
        <v>1</v>
      </c>
      <c r="AD112" s="440" t="s">
        <v>328</v>
      </c>
      <c r="AF112" s="360"/>
      <c r="AG112" s="369">
        <f>AG110/$AF110</f>
        <v>0</v>
      </c>
      <c r="AH112" s="369">
        <f t="shared" ref="AG112:AM112" si="82">AH110/$AF110</f>
        <v>0</v>
      </c>
      <c r="AI112" s="369">
        <f t="shared" si="82"/>
        <v>0</v>
      </c>
      <c r="AJ112" s="369">
        <f t="shared" si="82"/>
        <v>0.9</v>
      </c>
      <c r="AK112" s="369">
        <f t="shared" si="82"/>
        <v>0.05</v>
      </c>
      <c r="AL112" s="369">
        <f t="shared" si="82"/>
        <v>0.05</v>
      </c>
      <c r="AM112" s="369">
        <f t="shared" si="82"/>
        <v>0</v>
      </c>
    </row>
    <row r="113" spans="2:40" ht="17.100000000000001" customHeight="1">
      <c r="B113" s="889" t="s">
        <v>419</v>
      </c>
      <c r="C113" s="890"/>
      <c r="D113" s="893" t="s">
        <v>501</v>
      </c>
      <c r="E113" s="894" t="s">
        <v>502</v>
      </c>
      <c r="F113" s="909" t="s">
        <v>518</v>
      </c>
      <c r="G113" s="862" t="s">
        <v>504</v>
      </c>
      <c r="H113" s="896" t="s">
        <v>505</v>
      </c>
      <c r="I113" s="879" t="s">
        <v>506</v>
      </c>
      <c r="J113" s="880"/>
      <c r="K113" s="879" t="s">
        <v>507</v>
      </c>
      <c r="L113" s="880"/>
      <c r="M113" s="879" t="s">
        <v>508</v>
      </c>
      <c r="N113" s="880"/>
      <c r="O113" s="879" t="s">
        <v>509</v>
      </c>
      <c r="P113" s="880"/>
      <c r="Q113" s="879" t="s">
        <v>396</v>
      </c>
      <c r="R113" s="908"/>
      <c r="S113" s="880"/>
      <c r="T113" s="881" t="s">
        <v>567</v>
      </c>
      <c r="U113" s="882"/>
      <c r="V113" s="884" t="s">
        <v>566</v>
      </c>
      <c r="W113" s="885"/>
      <c r="X113" s="886"/>
      <c r="Y113" s="887" t="s">
        <v>168</v>
      </c>
      <c r="Z113" s="887" t="s">
        <v>228</v>
      </c>
      <c r="AA113" s="887" t="s">
        <v>510</v>
      </c>
      <c r="AB113" s="887" t="s">
        <v>420</v>
      </c>
      <c r="AC113" s="887" t="s">
        <v>229</v>
      </c>
      <c r="AD113" s="862" t="s">
        <v>169</v>
      </c>
      <c r="AF113" s="864" t="s">
        <v>230</v>
      </c>
      <c r="AG113" s="865"/>
      <c r="AH113" s="865"/>
      <c r="AI113" s="865"/>
      <c r="AJ113" s="865"/>
      <c r="AK113" s="865"/>
      <c r="AL113" s="865"/>
      <c r="AM113" s="866"/>
    </row>
    <row r="114" spans="2:40" ht="16.5" customHeight="1">
      <c r="B114" s="891"/>
      <c r="C114" s="892"/>
      <c r="D114" s="893"/>
      <c r="E114" s="893"/>
      <c r="F114" s="895"/>
      <c r="G114" s="863"/>
      <c r="H114" s="863"/>
      <c r="I114" s="433" t="s">
        <v>511</v>
      </c>
      <c r="J114" s="361" t="s">
        <v>512</v>
      </c>
      <c r="K114" s="433" t="s">
        <v>511</v>
      </c>
      <c r="L114" s="361" t="s">
        <v>512</v>
      </c>
      <c r="M114" s="433" t="s">
        <v>511</v>
      </c>
      <c r="N114" s="361" t="s">
        <v>512</v>
      </c>
      <c r="O114" s="433" t="s">
        <v>511</v>
      </c>
      <c r="P114" s="361" t="s">
        <v>512</v>
      </c>
      <c r="Q114" s="433" t="s">
        <v>511</v>
      </c>
      <c r="R114" s="361" t="s">
        <v>512</v>
      </c>
      <c r="S114" s="361" t="s">
        <v>513</v>
      </c>
      <c r="T114" s="433" t="s">
        <v>511</v>
      </c>
      <c r="U114" s="361" t="s">
        <v>512</v>
      </c>
      <c r="V114" s="433" t="s">
        <v>511</v>
      </c>
      <c r="W114" s="361" t="s">
        <v>512</v>
      </c>
      <c r="X114" s="361" t="s">
        <v>513</v>
      </c>
      <c r="Y114" s="888"/>
      <c r="Z114" s="888"/>
      <c r="AA114" s="888"/>
      <c r="AB114" s="888"/>
      <c r="AC114" s="888"/>
      <c r="AD114" s="863"/>
      <c r="AF114" s="867"/>
      <c r="AG114" s="868"/>
      <c r="AH114" s="868"/>
      <c r="AI114" s="868"/>
      <c r="AJ114" s="868"/>
      <c r="AK114" s="868"/>
      <c r="AL114" s="868"/>
      <c r="AM114" s="869"/>
    </row>
    <row r="115" spans="2:40" s="147" customFormat="1" ht="27" customHeight="1">
      <c r="B115" s="873" t="s">
        <v>767</v>
      </c>
      <c r="C115" s="874"/>
      <c r="D115" s="360">
        <v>1</v>
      </c>
      <c r="E115" s="434"/>
      <c r="F115" s="362">
        <f>IFERROR(T115*G115,"-")</f>
        <v>0</v>
      </c>
      <c r="G115" s="363"/>
      <c r="H115" s="436"/>
      <c r="I115" s="436"/>
      <c r="J115" s="438" t="str">
        <f>IFERROR(I115/H115,"-")</f>
        <v>-</v>
      </c>
      <c r="K115" s="437"/>
      <c r="L115" s="438" t="str">
        <f>IFERROR(K115/H115,"-")</f>
        <v>-</v>
      </c>
      <c r="M115" s="437"/>
      <c r="N115" s="438" t="str">
        <f>IFERROR(M115/H115,"-")</f>
        <v>-</v>
      </c>
      <c r="O115" s="439">
        <f>IFERROR(K115+M115,"-")</f>
        <v>0</v>
      </c>
      <c r="P115" s="438" t="str">
        <f>IFERROR(O115/H115,"-")</f>
        <v>-</v>
      </c>
      <c r="Q115" s="436"/>
      <c r="R115" s="438" t="str">
        <f>IFERROR(Q115/H115,"-")</f>
        <v>-</v>
      </c>
      <c r="S115" s="446">
        <f>IFERROR(Q115*G115,"-")</f>
        <v>0</v>
      </c>
      <c r="T115" s="439">
        <f>IFERROR(O115-H115,"-")</f>
        <v>0</v>
      </c>
      <c r="U115" s="438" t="str">
        <f>IFERROR(T115/H115,"-")</f>
        <v>-</v>
      </c>
      <c r="V115" s="450">
        <f>T115-Q115</f>
        <v>0</v>
      </c>
      <c r="W115" s="451" t="str">
        <f>IFERROR(V115/H115,"-")</f>
        <v>-</v>
      </c>
      <c r="X115" s="452">
        <f>IFERROR(V115*G115,"-")</f>
        <v>0</v>
      </c>
      <c r="Y115" s="364" t="s">
        <v>170</v>
      </c>
      <c r="Z115" s="364" t="s">
        <v>198</v>
      </c>
      <c r="AA115" s="365"/>
      <c r="AB115" s="365"/>
      <c r="AC115" s="365">
        <v>1</v>
      </c>
      <c r="AD115" s="440"/>
      <c r="AF115" s="870"/>
      <c r="AG115" s="871"/>
      <c r="AH115" s="871"/>
      <c r="AI115" s="871"/>
      <c r="AJ115" s="871"/>
      <c r="AK115" s="871"/>
      <c r="AL115" s="871"/>
      <c r="AM115" s="872"/>
    </row>
    <row r="116" spans="2:40" s="147" customFormat="1" ht="27" customHeight="1">
      <c r="B116" s="875"/>
      <c r="C116" s="876"/>
      <c r="D116" s="360">
        <v>2</v>
      </c>
      <c r="E116" s="434"/>
      <c r="F116" s="362">
        <f t="shared" ref="F116:F134" si="83">IFERROR(T116*G116,"-")</f>
        <v>0</v>
      </c>
      <c r="G116" s="363"/>
      <c r="H116" s="436"/>
      <c r="I116" s="436"/>
      <c r="J116" s="438" t="str">
        <f t="shared" ref="J116:J134" si="84">IFERROR(I116/H116,"-")</f>
        <v>-</v>
      </c>
      <c r="K116" s="437"/>
      <c r="L116" s="438" t="str">
        <f t="shared" ref="L116:L134" si="85">IFERROR(K116/H116,"-")</f>
        <v>-</v>
      </c>
      <c r="M116" s="437"/>
      <c r="N116" s="438" t="str">
        <f t="shared" ref="N116:N134" si="86">IFERROR(M116/H116,"-")</f>
        <v>-</v>
      </c>
      <c r="O116" s="439">
        <f t="shared" ref="O116:O134" si="87">IFERROR(K116+M116,"-")</f>
        <v>0</v>
      </c>
      <c r="P116" s="438" t="str">
        <f t="shared" ref="P116:P134" si="88">IFERROR(O116/H116,"-")</f>
        <v>-</v>
      </c>
      <c r="Q116" s="436"/>
      <c r="R116" s="438" t="str">
        <f t="shared" ref="R116:R134" si="89">IFERROR(Q116/H116,"-")</f>
        <v>-</v>
      </c>
      <c r="S116" s="446">
        <f t="shared" ref="S116:S134" si="90">IFERROR(Q116*G116,"-")</f>
        <v>0</v>
      </c>
      <c r="T116" s="439">
        <f t="shared" ref="T116:T134" si="91">IFERROR(O116-H116,"-")</f>
        <v>0</v>
      </c>
      <c r="U116" s="438" t="str">
        <f t="shared" ref="U116:U134" si="92">IFERROR(T116/H116,"-")</f>
        <v>-</v>
      </c>
      <c r="V116" s="450">
        <f t="shared" ref="V116:V134" si="93">T116-Q116</f>
        <v>0</v>
      </c>
      <c r="W116" s="451" t="str">
        <f t="shared" ref="W116:W134" si="94">IFERROR(V116/H116,"-")</f>
        <v>-</v>
      </c>
      <c r="X116" s="452">
        <f t="shared" ref="X116:X134" si="95">IFERROR(V116*G116,"-")</f>
        <v>0</v>
      </c>
      <c r="Y116" s="364" t="s">
        <v>170</v>
      </c>
      <c r="Z116" s="364" t="s">
        <v>199</v>
      </c>
      <c r="AA116" s="365"/>
      <c r="AB116" s="365"/>
      <c r="AC116" s="365">
        <v>1</v>
      </c>
      <c r="AD116" s="440"/>
      <c r="AF116" s="160" t="s">
        <v>227</v>
      </c>
      <c r="AG116" s="160" t="s">
        <v>421</v>
      </c>
      <c r="AH116" s="155" t="s">
        <v>514</v>
      </c>
      <c r="AI116" s="155" t="s">
        <v>316</v>
      </c>
      <c r="AJ116" s="155" t="s">
        <v>406</v>
      </c>
      <c r="AK116" s="155" t="s">
        <v>198</v>
      </c>
      <c r="AL116" s="155" t="s">
        <v>199</v>
      </c>
      <c r="AM116" s="155" t="s">
        <v>362</v>
      </c>
    </row>
    <row r="117" spans="2:40" s="147" customFormat="1" ht="27" customHeight="1">
      <c r="B117" s="875"/>
      <c r="C117" s="876"/>
      <c r="D117" s="360">
        <v>3</v>
      </c>
      <c r="E117" s="434"/>
      <c r="F117" s="362">
        <f t="shared" si="83"/>
        <v>0</v>
      </c>
      <c r="G117" s="363"/>
      <c r="H117" s="436"/>
      <c r="I117" s="436"/>
      <c r="J117" s="438" t="str">
        <f t="shared" si="84"/>
        <v>-</v>
      </c>
      <c r="K117" s="437"/>
      <c r="L117" s="438" t="str">
        <f t="shared" si="85"/>
        <v>-</v>
      </c>
      <c r="M117" s="437"/>
      <c r="N117" s="438" t="str">
        <f t="shared" si="86"/>
        <v>-</v>
      </c>
      <c r="O117" s="439">
        <f t="shared" si="87"/>
        <v>0</v>
      </c>
      <c r="P117" s="438" t="str">
        <f t="shared" si="88"/>
        <v>-</v>
      </c>
      <c r="Q117" s="436"/>
      <c r="R117" s="438" t="str">
        <f t="shared" si="89"/>
        <v>-</v>
      </c>
      <c r="S117" s="446">
        <f t="shared" si="90"/>
        <v>0</v>
      </c>
      <c r="T117" s="439">
        <f t="shared" si="91"/>
        <v>0</v>
      </c>
      <c r="U117" s="438" t="str">
        <f t="shared" si="92"/>
        <v>-</v>
      </c>
      <c r="V117" s="450">
        <f t="shared" si="93"/>
        <v>0</v>
      </c>
      <c r="W117" s="451" t="str">
        <f t="shared" si="94"/>
        <v>-</v>
      </c>
      <c r="X117" s="452">
        <f t="shared" si="95"/>
        <v>0</v>
      </c>
      <c r="Y117" s="364" t="s">
        <v>170</v>
      </c>
      <c r="Z117" s="364" t="s">
        <v>406</v>
      </c>
      <c r="AA117" s="365"/>
      <c r="AB117" s="365"/>
      <c r="AC117" s="365">
        <v>1</v>
      </c>
      <c r="AD117" s="440"/>
      <c r="AF117" s="370">
        <f>SUM(AC115:AC134)</f>
        <v>20</v>
      </c>
      <c r="AG117" s="366">
        <f>SUMIF($Z$93:$Z$112,TRIM(AG116),$AC$93:$AC$112)</f>
        <v>0</v>
      </c>
      <c r="AH117" s="366">
        <f t="shared" ref="AH117:AM117" si="96">SUMIF($Z$93:$Z$112,TRIM(AH116),$AC$93:$AC$112)</f>
        <v>0</v>
      </c>
      <c r="AI117" s="366">
        <f t="shared" si="96"/>
        <v>0</v>
      </c>
      <c r="AJ117" s="366">
        <f t="shared" si="96"/>
        <v>18</v>
      </c>
      <c r="AK117" s="366">
        <f t="shared" si="96"/>
        <v>1</v>
      </c>
      <c r="AL117" s="366">
        <f t="shared" si="96"/>
        <v>1</v>
      </c>
      <c r="AM117" s="366">
        <f t="shared" si="96"/>
        <v>0</v>
      </c>
    </row>
    <row r="118" spans="2:40" s="147" customFormat="1" ht="27" customHeight="1">
      <c r="B118" s="875"/>
      <c r="C118" s="876"/>
      <c r="D118" s="360">
        <v>4</v>
      </c>
      <c r="E118" s="434"/>
      <c r="F118" s="362">
        <f t="shared" si="83"/>
        <v>0</v>
      </c>
      <c r="G118" s="363"/>
      <c r="H118" s="436"/>
      <c r="I118" s="436"/>
      <c r="J118" s="438" t="str">
        <f t="shared" si="84"/>
        <v>-</v>
      </c>
      <c r="K118" s="437"/>
      <c r="L118" s="438" t="str">
        <f t="shared" si="85"/>
        <v>-</v>
      </c>
      <c r="M118" s="437"/>
      <c r="N118" s="438" t="str">
        <f t="shared" si="86"/>
        <v>-</v>
      </c>
      <c r="O118" s="439">
        <f t="shared" si="87"/>
        <v>0</v>
      </c>
      <c r="P118" s="438" t="str">
        <f t="shared" si="88"/>
        <v>-</v>
      </c>
      <c r="Q118" s="436"/>
      <c r="R118" s="438" t="str">
        <f t="shared" si="89"/>
        <v>-</v>
      </c>
      <c r="S118" s="446">
        <f t="shared" si="90"/>
        <v>0</v>
      </c>
      <c r="T118" s="439">
        <f t="shared" si="91"/>
        <v>0</v>
      </c>
      <c r="U118" s="438" t="str">
        <f t="shared" si="92"/>
        <v>-</v>
      </c>
      <c r="V118" s="450">
        <f t="shared" si="93"/>
        <v>0</v>
      </c>
      <c r="W118" s="451" t="str">
        <f t="shared" si="94"/>
        <v>-</v>
      </c>
      <c r="X118" s="452">
        <f t="shared" si="95"/>
        <v>0</v>
      </c>
      <c r="Y118" s="364" t="s">
        <v>170</v>
      </c>
      <c r="Z118" s="364" t="s">
        <v>199</v>
      </c>
      <c r="AA118" s="365"/>
      <c r="AB118" s="365"/>
      <c r="AC118" s="365">
        <v>1</v>
      </c>
      <c r="AD118" s="440"/>
      <c r="AF118" s="371" t="s">
        <v>11</v>
      </c>
      <c r="AG118" s="368">
        <f>SUMIF($Z$93:$Z$112,TRIM(AG116),$F$93:$F$112)</f>
        <v>0</v>
      </c>
      <c r="AH118" s="368">
        <f t="shared" ref="AH118:AM118" si="97">SUMIF($Z$93:$Z$112,TRIM(AH116),$F$93:$F$112)</f>
        <v>0</v>
      </c>
      <c r="AI118" s="368">
        <f t="shared" si="97"/>
        <v>0</v>
      </c>
      <c r="AJ118" s="368">
        <f t="shared" si="97"/>
        <v>70125.51270000005</v>
      </c>
      <c r="AK118" s="368">
        <f t="shared" si="97"/>
        <v>8651.1923999999781</v>
      </c>
      <c r="AL118" s="368">
        <f t="shared" si="97"/>
        <v>4183.4123999999965</v>
      </c>
      <c r="AM118" s="368">
        <f t="shared" si="97"/>
        <v>0</v>
      </c>
    </row>
    <row r="119" spans="2:40" s="147" customFormat="1" ht="27" customHeight="1">
      <c r="B119" s="875"/>
      <c r="C119" s="876"/>
      <c r="D119" s="360">
        <v>5</v>
      </c>
      <c r="E119" s="434"/>
      <c r="F119" s="362">
        <f t="shared" si="83"/>
        <v>0</v>
      </c>
      <c r="G119" s="363"/>
      <c r="H119" s="436"/>
      <c r="I119" s="436"/>
      <c r="J119" s="438" t="str">
        <f t="shared" si="84"/>
        <v>-</v>
      </c>
      <c r="K119" s="437"/>
      <c r="L119" s="438" t="str">
        <f t="shared" si="85"/>
        <v>-</v>
      </c>
      <c r="M119" s="437"/>
      <c r="N119" s="438" t="str">
        <f t="shared" si="86"/>
        <v>-</v>
      </c>
      <c r="O119" s="439">
        <f t="shared" si="87"/>
        <v>0</v>
      </c>
      <c r="P119" s="438" t="str">
        <f t="shared" si="88"/>
        <v>-</v>
      </c>
      <c r="Q119" s="436"/>
      <c r="R119" s="438" t="str">
        <f t="shared" si="89"/>
        <v>-</v>
      </c>
      <c r="S119" s="446">
        <f t="shared" si="90"/>
        <v>0</v>
      </c>
      <c r="T119" s="439">
        <f t="shared" si="91"/>
        <v>0</v>
      </c>
      <c r="U119" s="438" t="str">
        <f t="shared" si="92"/>
        <v>-</v>
      </c>
      <c r="V119" s="450">
        <f t="shared" si="93"/>
        <v>0</v>
      </c>
      <c r="W119" s="451" t="str">
        <f t="shared" si="94"/>
        <v>-</v>
      </c>
      <c r="X119" s="452">
        <f t="shared" si="95"/>
        <v>0</v>
      </c>
      <c r="Y119" s="364" t="s">
        <v>170</v>
      </c>
      <c r="Z119" s="364" t="s">
        <v>199</v>
      </c>
      <c r="AA119" s="365"/>
      <c r="AB119" s="365"/>
      <c r="AC119" s="365">
        <v>1</v>
      </c>
      <c r="AD119" s="440"/>
      <c r="AF119" s="360" t="s">
        <v>515</v>
      </c>
      <c r="AG119" s="369">
        <f t="shared" ref="AG119:AM119" si="98">AG117/$AF117</f>
        <v>0</v>
      </c>
      <c r="AH119" s="369">
        <f t="shared" si="98"/>
        <v>0</v>
      </c>
      <c r="AI119" s="369">
        <f t="shared" si="98"/>
        <v>0</v>
      </c>
      <c r="AJ119" s="369">
        <f t="shared" si="98"/>
        <v>0.9</v>
      </c>
      <c r="AK119" s="369">
        <f t="shared" si="98"/>
        <v>0.05</v>
      </c>
      <c r="AL119" s="369">
        <f t="shared" si="98"/>
        <v>0.05</v>
      </c>
      <c r="AM119" s="369">
        <f t="shared" si="98"/>
        <v>0</v>
      </c>
    </row>
    <row r="120" spans="2:40" s="147" customFormat="1" ht="27" customHeight="1">
      <c r="B120" s="875"/>
      <c r="C120" s="876"/>
      <c r="D120" s="360">
        <v>6</v>
      </c>
      <c r="E120" s="434"/>
      <c r="F120" s="362">
        <f t="shared" si="83"/>
        <v>0</v>
      </c>
      <c r="G120" s="363"/>
      <c r="H120" s="436"/>
      <c r="I120" s="436"/>
      <c r="J120" s="438" t="str">
        <f t="shared" si="84"/>
        <v>-</v>
      </c>
      <c r="K120" s="437"/>
      <c r="L120" s="438" t="str">
        <f t="shared" si="85"/>
        <v>-</v>
      </c>
      <c r="M120" s="437"/>
      <c r="N120" s="438" t="str">
        <f t="shared" si="86"/>
        <v>-</v>
      </c>
      <c r="O120" s="439">
        <f t="shared" si="87"/>
        <v>0</v>
      </c>
      <c r="P120" s="438" t="str">
        <f t="shared" si="88"/>
        <v>-</v>
      </c>
      <c r="Q120" s="436"/>
      <c r="R120" s="438" t="str">
        <f t="shared" si="89"/>
        <v>-</v>
      </c>
      <c r="S120" s="446">
        <f t="shared" si="90"/>
        <v>0</v>
      </c>
      <c r="T120" s="439">
        <f t="shared" si="91"/>
        <v>0</v>
      </c>
      <c r="U120" s="438" t="str">
        <f t="shared" si="92"/>
        <v>-</v>
      </c>
      <c r="V120" s="450">
        <f t="shared" si="93"/>
        <v>0</v>
      </c>
      <c r="W120" s="451" t="str">
        <f t="shared" si="94"/>
        <v>-</v>
      </c>
      <c r="X120" s="452">
        <f t="shared" si="95"/>
        <v>0</v>
      </c>
      <c r="Y120" s="364" t="s">
        <v>170</v>
      </c>
      <c r="Z120" s="364" t="s">
        <v>406</v>
      </c>
      <c r="AA120" s="365"/>
      <c r="AB120" s="365"/>
      <c r="AC120" s="365">
        <v>1</v>
      </c>
      <c r="AD120" s="440"/>
    </row>
    <row r="121" spans="2:40" s="147" customFormat="1" ht="27" customHeight="1">
      <c r="B121" s="875"/>
      <c r="C121" s="876"/>
      <c r="D121" s="360">
        <v>7</v>
      </c>
      <c r="E121" s="434"/>
      <c r="F121" s="362">
        <f t="shared" si="83"/>
        <v>0</v>
      </c>
      <c r="G121" s="363"/>
      <c r="H121" s="436"/>
      <c r="I121" s="436"/>
      <c r="J121" s="438" t="str">
        <f t="shared" si="84"/>
        <v>-</v>
      </c>
      <c r="K121" s="437"/>
      <c r="L121" s="438" t="str">
        <f t="shared" si="85"/>
        <v>-</v>
      </c>
      <c r="M121" s="437"/>
      <c r="N121" s="438" t="str">
        <f t="shared" si="86"/>
        <v>-</v>
      </c>
      <c r="O121" s="439">
        <f t="shared" si="87"/>
        <v>0</v>
      </c>
      <c r="P121" s="438" t="str">
        <f t="shared" si="88"/>
        <v>-</v>
      </c>
      <c r="Q121" s="436"/>
      <c r="R121" s="438" t="str">
        <f t="shared" si="89"/>
        <v>-</v>
      </c>
      <c r="S121" s="446">
        <f t="shared" si="90"/>
        <v>0</v>
      </c>
      <c r="T121" s="439">
        <f t="shared" si="91"/>
        <v>0</v>
      </c>
      <c r="U121" s="438" t="str">
        <f t="shared" si="92"/>
        <v>-</v>
      </c>
      <c r="V121" s="450">
        <f t="shared" si="93"/>
        <v>0</v>
      </c>
      <c r="W121" s="451" t="str">
        <f t="shared" si="94"/>
        <v>-</v>
      </c>
      <c r="X121" s="452">
        <f t="shared" si="95"/>
        <v>0</v>
      </c>
      <c r="Y121" s="364" t="s">
        <v>170</v>
      </c>
      <c r="Z121" s="364" t="s">
        <v>199</v>
      </c>
      <c r="AA121" s="365"/>
      <c r="AB121" s="365"/>
      <c r="AC121" s="365">
        <v>1</v>
      </c>
      <c r="AD121" s="440"/>
    </row>
    <row r="122" spans="2:40" s="147" customFormat="1" ht="27" customHeight="1">
      <c r="B122" s="875"/>
      <c r="C122" s="876"/>
      <c r="D122" s="360">
        <v>8</v>
      </c>
      <c r="E122" s="434"/>
      <c r="F122" s="362">
        <f t="shared" si="83"/>
        <v>0</v>
      </c>
      <c r="G122" s="363"/>
      <c r="H122" s="436"/>
      <c r="I122" s="436"/>
      <c r="J122" s="438" t="str">
        <f t="shared" si="84"/>
        <v>-</v>
      </c>
      <c r="K122" s="437"/>
      <c r="L122" s="438" t="str">
        <f t="shared" si="85"/>
        <v>-</v>
      </c>
      <c r="M122" s="437"/>
      <c r="N122" s="438" t="str">
        <f t="shared" si="86"/>
        <v>-</v>
      </c>
      <c r="O122" s="439">
        <f t="shared" si="87"/>
        <v>0</v>
      </c>
      <c r="P122" s="438" t="str">
        <f t="shared" si="88"/>
        <v>-</v>
      </c>
      <c r="Q122" s="436"/>
      <c r="R122" s="438" t="str">
        <f t="shared" si="89"/>
        <v>-</v>
      </c>
      <c r="S122" s="446">
        <f t="shared" si="90"/>
        <v>0</v>
      </c>
      <c r="T122" s="439">
        <f t="shared" si="91"/>
        <v>0</v>
      </c>
      <c r="U122" s="438" t="str">
        <f t="shared" si="92"/>
        <v>-</v>
      </c>
      <c r="V122" s="450">
        <f t="shared" si="93"/>
        <v>0</v>
      </c>
      <c r="W122" s="451" t="str">
        <f t="shared" si="94"/>
        <v>-</v>
      </c>
      <c r="X122" s="452">
        <f t="shared" si="95"/>
        <v>0</v>
      </c>
      <c r="Y122" s="364" t="s">
        <v>170</v>
      </c>
      <c r="Z122" s="364" t="s">
        <v>406</v>
      </c>
      <c r="AA122" s="365"/>
      <c r="AB122" s="365"/>
      <c r="AC122" s="365">
        <v>1</v>
      </c>
      <c r="AD122" s="440"/>
    </row>
    <row r="123" spans="2:40" s="147" customFormat="1" ht="27" customHeight="1">
      <c r="B123" s="875"/>
      <c r="C123" s="876"/>
      <c r="D123" s="360">
        <v>9</v>
      </c>
      <c r="E123" s="434"/>
      <c r="F123" s="362">
        <f t="shared" si="83"/>
        <v>0</v>
      </c>
      <c r="G123" s="363"/>
      <c r="H123" s="436"/>
      <c r="I123" s="436"/>
      <c r="J123" s="438" t="str">
        <f t="shared" si="84"/>
        <v>-</v>
      </c>
      <c r="K123" s="437"/>
      <c r="L123" s="438" t="str">
        <f t="shared" si="85"/>
        <v>-</v>
      </c>
      <c r="M123" s="437"/>
      <c r="N123" s="438" t="str">
        <f t="shared" si="86"/>
        <v>-</v>
      </c>
      <c r="O123" s="439">
        <f t="shared" si="87"/>
        <v>0</v>
      </c>
      <c r="P123" s="438" t="str">
        <f t="shared" si="88"/>
        <v>-</v>
      </c>
      <c r="Q123" s="436"/>
      <c r="R123" s="438" t="str">
        <f t="shared" si="89"/>
        <v>-</v>
      </c>
      <c r="S123" s="446">
        <f t="shared" si="90"/>
        <v>0</v>
      </c>
      <c r="T123" s="439">
        <f t="shared" si="91"/>
        <v>0</v>
      </c>
      <c r="U123" s="438" t="str">
        <f t="shared" si="92"/>
        <v>-</v>
      </c>
      <c r="V123" s="450">
        <f t="shared" si="93"/>
        <v>0</v>
      </c>
      <c r="W123" s="451" t="str">
        <f t="shared" si="94"/>
        <v>-</v>
      </c>
      <c r="X123" s="452">
        <f t="shared" si="95"/>
        <v>0</v>
      </c>
      <c r="Y123" s="364" t="s">
        <v>170</v>
      </c>
      <c r="Z123" s="364" t="s">
        <v>406</v>
      </c>
      <c r="AA123" s="365"/>
      <c r="AB123" s="365"/>
      <c r="AC123" s="365">
        <v>1</v>
      </c>
      <c r="AD123" s="440"/>
      <c r="AH123" s="367"/>
    </row>
    <row r="124" spans="2:40" s="147" customFormat="1" ht="27" customHeight="1">
      <c r="B124" s="875"/>
      <c r="C124" s="876"/>
      <c r="D124" s="360">
        <v>10</v>
      </c>
      <c r="E124" s="434"/>
      <c r="F124" s="362">
        <f t="shared" si="83"/>
        <v>0</v>
      </c>
      <c r="G124" s="363"/>
      <c r="H124" s="436"/>
      <c r="I124" s="436"/>
      <c r="J124" s="438" t="str">
        <f t="shared" si="84"/>
        <v>-</v>
      </c>
      <c r="K124" s="437"/>
      <c r="L124" s="438" t="str">
        <f t="shared" si="85"/>
        <v>-</v>
      </c>
      <c r="M124" s="437"/>
      <c r="N124" s="438" t="str">
        <f t="shared" si="86"/>
        <v>-</v>
      </c>
      <c r="O124" s="439">
        <f t="shared" si="87"/>
        <v>0</v>
      </c>
      <c r="P124" s="438" t="str">
        <f t="shared" si="88"/>
        <v>-</v>
      </c>
      <c r="Q124" s="436"/>
      <c r="R124" s="438" t="str">
        <f t="shared" si="89"/>
        <v>-</v>
      </c>
      <c r="S124" s="446">
        <f t="shared" si="90"/>
        <v>0</v>
      </c>
      <c r="T124" s="439">
        <f t="shared" si="91"/>
        <v>0</v>
      </c>
      <c r="U124" s="438" t="str">
        <f t="shared" si="92"/>
        <v>-</v>
      </c>
      <c r="V124" s="450">
        <f t="shared" si="93"/>
        <v>0</v>
      </c>
      <c r="W124" s="451" t="str">
        <f t="shared" si="94"/>
        <v>-</v>
      </c>
      <c r="X124" s="452">
        <f t="shared" si="95"/>
        <v>0</v>
      </c>
      <c r="Y124" s="364" t="s">
        <v>170</v>
      </c>
      <c r="Z124" s="364" t="s">
        <v>406</v>
      </c>
      <c r="AA124" s="365"/>
      <c r="AB124" s="365"/>
      <c r="AC124" s="365">
        <v>1</v>
      </c>
      <c r="AD124" s="440"/>
      <c r="AH124" s="367"/>
    </row>
    <row r="125" spans="2:40" s="147" customFormat="1" ht="27" customHeight="1">
      <c r="B125" s="875"/>
      <c r="C125" s="876"/>
      <c r="D125" s="360">
        <v>11</v>
      </c>
      <c r="E125" s="434"/>
      <c r="F125" s="362">
        <f t="shared" si="83"/>
        <v>0</v>
      </c>
      <c r="G125" s="363"/>
      <c r="H125" s="436"/>
      <c r="I125" s="436"/>
      <c r="J125" s="438" t="str">
        <f t="shared" si="84"/>
        <v>-</v>
      </c>
      <c r="K125" s="437"/>
      <c r="L125" s="438" t="str">
        <f t="shared" si="85"/>
        <v>-</v>
      </c>
      <c r="M125" s="437"/>
      <c r="N125" s="438" t="str">
        <f t="shared" si="86"/>
        <v>-</v>
      </c>
      <c r="O125" s="439">
        <f t="shared" si="87"/>
        <v>0</v>
      </c>
      <c r="P125" s="438" t="str">
        <f t="shared" si="88"/>
        <v>-</v>
      </c>
      <c r="Q125" s="436"/>
      <c r="R125" s="438" t="str">
        <f t="shared" si="89"/>
        <v>-</v>
      </c>
      <c r="S125" s="446">
        <f t="shared" si="90"/>
        <v>0</v>
      </c>
      <c r="T125" s="439">
        <f t="shared" si="91"/>
        <v>0</v>
      </c>
      <c r="U125" s="438" t="str">
        <f t="shared" si="92"/>
        <v>-</v>
      </c>
      <c r="V125" s="450">
        <f t="shared" si="93"/>
        <v>0</v>
      </c>
      <c r="W125" s="451" t="str">
        <f t="shared" si="94"/>
        <v>-</v>
      </c>
      <c r="X125" s="452">
        <f t="shared" si="95"/>
        <v>0</v>
      </c>
      <c r="Y125" s="364" t="s">
        <v>170</v>
      </c>
      <c r="Z125" s="364" t="s">
        <v>406</v>
      </c>
      <c r="AA125" s="365"/>
      <c r="AB125" s="365"/>
      <c r="AC125" s="365">
        <v>1</v>
      </c>
      <c r="AD125" s="440"/>
      <c r="AH125" s="367"/>
    </row>
    <row r="126" spans="2:40" s="147" customFormat="1" ht="27" customHeight="1">
      <c r="B126" s="875"/>
      <c r="C126" s="876"/>
      <c r="D126" s="360">
        <v>12</v>
      </c>
      <c r="E126" s="434"/>
      <c r="F126" s="362">
        <f t="shared" si="83"/>
        <v>0</v>
      </c>
      <c r="G126" s="363"/>
      <c r="H126" s="436"/>
      <c r="I126" s="436"/>
      <c r="J126" s="438" t="str">
        <f t="shared" si="84"/>
        <v>-</v>
      </c>
      <c r="K126" s="437"/>
      <c r="L126" s="438" t="str">
        <f t="shared" si="85"/>
        <v>-</v>
      </c>
      <c r="M126" s="437"/>
      <c r="N126" s="438" t="str">
        <f t="shared" si="86"/>
        <v>-</v>
      </c>
      <c r="O126" s="439">
        <f t="shared" si="87"/>
        <v>0</v>
      </c>
      <c r="P126" s="438" t="str">
        <f t="shared" si="88"/>
        <v>-</v>
      </c>
      <c r="Q126" s="436"/>
      <c r="R126" s="438" t="str">
        <f t="shared" si="89"/>
        <v>-</v>
      </c>
      <c r="S126" s="446">
        <f t="shared" si="90"/>
        <v>0</v>
      </c>
      <c r="T126" s="439">
        <f t="shared" si="91"/>
        <v>0</v>
      </c>
      <c r="U126" s="438" t="str">
        <f t="shared" si="92"/>
        <v>-</v>
      </c>
      <c r="V126" s="450">
        <f t="shared" si="93"/>
        <v>0</v>
      </c>
      <c r="W126" s="451" t="str">
        <f t="shared" si="94"/>
        <v>-</v>
      </c>
      <c r="X126" s="452">
        <f t="shared" si="95"/>
        <v>0</v>
      </c>
      <c r="Y126" s="364" t="s">
        <v>170</v>
      </c>
      <c r="Z126" s="364" t="s">
        <v>199</v>
      </c>
      <c r="AA126" s="365"/>
      <c r="AB126" s="365"/>
      <c r="AC126" s="365">
        <v>1</v>
      </c>
      <c r="AD126" s="440"/>
      <c r="AH126" s="367"/>
    </row>
    <row r="127" spans="2:40" s="147" customFormat="1" ht="27" customHeight="1">
      <c r="B127" s="875"/>
      <c r="C127" s="876"/>
      <c r="D127" s="360">
        <v>13</v>
      </c>
      <c r="E127" s="434"/>
      <c r="F127" s="362">
        <f t="shared" si="83"/>
        <v>0</v>
      </c>
      <c r="G127" s="363"/>
      <c r="H127" s="436"/>
      <c r="I127" s="436"/>
      <c r="J127" s="438" t="str">
        <f t="shared" si="84"/>
        <v>-</v>
      </c>
      <c r="K127" s="437"/>
      <c r="L127" s="438" t="str">
        <f t="shared" si="85"/>
        <v>-</v>
      </c>
      <c r="M127" s="437"/>
      <c r="N127" s="438" t="str">
        <f t="shared" si="86"/>
        <v>-</v>
      </c>
      <c r="O127" s="439">
        <f t="shared" si="87"/>
        <v>0</v>
      </c>
      <c r="P127" s="438" t="str">
        <f t="shared" si="88"/>
        <v>-</v>
      </c>
      <c r="Q127" s="436"/>
      <c r="R127" s="438" t="str">
        <f t="shared" si="89"/>
        <v>-</v>
      </c>
      <c r="S127" s="446">
        <f t="shared" si="90"/>
        <v>0</v>
      </c>
      <c r="T127" s="439">
        <f t="shared" si="91"/>
        <v>0</v>
      </c>
      <c r="U127" s="438" t="str">
        <f t="shared" si="92"/>
        <v>-</v>
      </c>
      <c r="V127" s="450">
        <f t="shared" si="93"/>
        <v>0</v>
      </c>
      <c r="W127" s="451" t="str">
        <f t="shared" si="94"/>
        <v>-</v>
      </c>
      <c r="X127" s="452">
        <f t="shared" si="95"/>
        <v>0</v>
      </c>
      <c r="Y127" s="364" t="s">
        <v>170</v>
      </c>
      <c r="Z127" s="364" t="s">
        <v>406</v>
      </c>
      <c r="AA127" s="365"/>
      <c r="AB127" s="365"/>
      <c r="AC127" s="365">
        <v>1</v>
      </c>
      <c r="AD127" s="440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</row>
    <row r="128" spans="2:40" s="147" customFormat="1" ht="27" customHeight="1">
      <c r="B128" s="875"/>
      <c r="C128" s="876"/>
      <c r="D128" s="360">
        <v>14</v>
      </c>
      <c r="E128" s="434"/>
      <c r="F128" s="362">
        <f t="shared" si="83"/>
        <v>0</v>
      </c>
      <c r="G128" s="363"/>
      <c r="H128" s="436"/>
      <c r="I128" s="436"/>
      <c r="J128" s="438" t="str">
        <f t="shared" si="84"/>
        <v>-</v>
      </c>
      <c r="K128" s="437"/>
      <c r="L128" s="438" t="str">
        <f t="shared" si="85"/>
        <v>-</v>
      </c>
      <c r="M128" s="437"/>
      <c r="N128" s="438" t="str">
        <f t="shared" si="86"/>
        <v>-</v>
      </c>
      <c r="O128" s="439">
        <f t="shared" si="87"/>
        <v>0</v>
      </c>
      <c r="P128" s="438" t="str">
        <f t="shared" si="88"/>
        <v>-</v>
      </c>
      <c r="Q128" s="436"/>
      <c r="R128" s="438" t="str">
        <f t="shared" si="89"/>
        <v>-</v>
      </c>
      <c r="S128" s="446">
        <f t="shared" si="90"/>
        <v>0</v>
      </c>
      <c r="T128" s="439">
        <f t="shared" si="91"/>
        <v>0</v>
      </c>
      <c r="U128" s="438" t="str">
        <f t="shared" si="92"/>
        <v>-</v>
      </c>
      <c r="V128" s="450">
        <f t="shared" si="93"/>
        <v>0</v>
      </c>
      <c r="W128" s="451" t="str">
        <f t="shared" si="94"/>
        <v>-</v>
      </c>
      <c r="X128" s="452">
        <f t="shared" si="95"/>
        <v>0</v>
      </c>
      <c r="Y128" s="364" t="s">
        <v>170</v>
      </c>
      <c r="Z128" s="364" t="s">
        <v>406</v>
      </c>
      <c r="AA128" s="365"/>
      <c r="AB128" s="365"/>
      <c r="AC128" s="365">
        <v>1</v>
      </c>
      <c r="AD128" s="440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</row>
    <row r="129" spans="2:40" s="147" customFormat="1" ht="27" customHeight="1">
      <c r="B129" s="875"/>
      <c r="C129" s="876"/>
      <c r="D129" s="360">
        <v>15</v>
      </c>
      <c r="E129" s="434"/>
      <c r="F129" s="362">
        <f t="shared" si="83"/>
        <v>0</v>
      </c>
      <c r="G129" s="363"/>
      <c r="H129" s="436"/>
      <c r="I129" s="436"/>
      <c r="J129" s="438" t="str">
        <f t="shared" si="84"/>
        <v>-</v>
      </c>
      <c r="K129" s="437"/>
      <c r="L129" s="438" t="str">
        <f t="shared" si="85"/>
        <v>-</v>
      </c>
      <c r="M129" s="437"/>
      <c r="N129" s="438" t="str">
        <f t="shared" si="86"/>
        <v>-</v>
      </c>
      <c r="O129" s="439">
        <f t="shared" si="87"/>
        <v>0</v>
      </c>
      <c r="P129" s="438" t="str">
        <f t="shared" si="88"/>
        <v>-</v>
      </c>
      <c r="Q129" s="436"/>
      <c r="R129" s="438" t="str">
        <f t="shared" si="89"/>
        <v>-</v>
      </c>
      <c r="S129" s="446">
        <f t="shared" si="90"/>
        <v>0</v>
      </c>
      <c r="T129" s="439">
        <f t="shared" si="91"/>
        <v>0</v>
      </c>
      <c r="U129" s="438" t="str">
        <f t="shared" si="92"/>
        <v>-</v>
      </c>
      <c r="V129" s="450">
        <f t="shared" si="93"/>
        <v>0</v>
      </c>
      <c r="W129" s="451" t="str">
        <f t="shared" si="94"/>
        <v>-</v>
      </c>
      <c r="X129" s="452">
        <f t="shared" si="95"/>
        <v>0</v>
      </c>
      <c r="Y129" s="364" t="s">
        <v>170</v>
      </c>
      <c r="Z129" s="364" t="s">
        <v>406</v>
      </c>
      <c r="AA129" s="365"/>
      <c r="AB129" s="365"/>
      <c r="AC129" s="365">
        <v>1</v>
      </c>
      <c r="AD129" s="440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</row>
    <row r="130" spans="2:40" s="147" customFormat="1" ht="27" customHeight="1">
      <c r="B130" s="875"/>
      <c r="C130" s="876"/>
      <c r="D130" s="360">
        <v>16</v>
      </c>
      <c r="E130" s="434"/>
      <c r="F130" s="362">
        <f t="shared" si="83"/>
        <v>0</v>
      </c>
      <c r="G130" s="363"/>
      <c r="H130" s="436"/>
      <c r="I130" s="436"/>
      <c r="J130" s="438" t="str">
        <f t="shared" si="84"/>
        <v>-</v>
      </c>
      <c r="K130" s="437"/>
      <c r="L130" s="438" t="str">
        <f t="shared" si="85"/>
        <v>-</v>
      </c>
      <c r="M130" s="437"/>
      <c r="N130" s="438" t="str">
        <f t="shared" si="86"/>
        <v>-</v>
      </c>
      <c r="O130" s="439">
        <f t="shared" si="87"/>
        <v>0</v>
      </c>
      <c r="P130" s="438" t="str">
        <f t="shared" si="88"/>
        <v>-</v>
      </c>
      <c r="Q130" s="436"/>
      <c r="R130" s="438" t="str">
        <f t="shared" si="89"/>
        <v>-</v>
      </c>
      <c r="S130" s="446">
        <f t="shared" si="90"/>
        <v>0</v>
      </c>
      <c r="T130" s="439">
        <f t="shared" si="91"/>
        <v>0</v>
      </c>
      <c r="U130" s="438" t="str">
        <f t="shared" si="92"/>
        <v>-</v>
      </c>
      <c r="V130" s="450">
        <f t="shared" si="93"/>
        <v>0</v>
      </c>
      <c r="W130" s="451" t="str">
        <f t="shared" si="94"/>
        <v>-</v>
      </c>
      <c r="X130" s="452">
        <f t="shared" si="95"/>
        <v>0</v>
      </c>
      <c r="Y130" s="364" t="s">
        <v>170</v>
      </c>
      <c r="Z130" s="364" t="s">
        <v>406</v>
      </c>
      <c r="AA130" s="365"/>
      <c r="AB130" s="365"/>
      <c r="AC130" s="365">
        <v>1</v>
      </c>
      <c r="AD130" s="440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</row>
    <row r="131" spans="2:40" s="147" customFormat="1" ht="27" customHeight="1">
      <c r="B131" s="875"/>
      <c r="C131" s="876"/>
      <c r="D131" s="360">
        <v>17</v>
      </c>
      <c r="E131" s="434"/>
      <c r="F131" s="362">
        <f t="shared" si="83"/>
        <v>0</v>
      </c>
      <c r="G131" s="363"/>
      <c r="H131" s="436"/>
      <c r="I131" s="436"/>
      <c r="J131" s="438" t="str">
        <f t="shared" si="84"/>
        <v>-</v>
      </c>
      <c r="K131" s="437"/>
      <c r="L131" s="438" t="str">
        <f t="shared" si="85"/>
        <v>-</v>
      </c>
      <c r="M131" s="437"/>
      <c r="N131" s="438" t="str">
        <f t="shared" si="86"/>
        <v>-</v>
      </c>
      <c r="O131" s="439">
        <f t="shared" si="87"/>
        <v>0</v>
      </c>
      <c r="P131" s="438" t="str">
        <f t="shared" si="88"/>
        <v>-</v>
      </c>
      <c r="Q131" s="436"/>
      <c r="R131" s="438" t="str">
        <f t="shared" si="89"/>
        <v>-</v>
      </c>
      <c r="S131" s="446">
        <f t="shared" si="90"/>
        <v>0</v>
      </c>
      <c r="T131" s="439">
        <f t="shared" si="91"/>
        <v>0</v>
      </c>
      <c r="U131" s="438" t="str">
        <f t="shared" si="92"/>
        <v>-</v>
      </c>
      <c r="V131" s="450">
        <f t="shared" si="93"/>
        <v>0</v>
      </c>
      <c r="W131" s="451" t="str">
        <f t="shared" si="94"/>
        <v>-</v>
      </c>
      <c r="X131" s="452">
        <f t="shared" si="95"/>
        <v>0</v>
      </c>
      <c r="Y131" s="364" t="s">
        <v>170</v>
      </c>
      <c r="Z131" s="364" t="s">
        <v>406</v>
      </c>
      <c r="AA131" s="365"/>
      <c r="AB131" s="365"/>
      <c r="AC131" s="365">
        <v>1</v>
      </c>
      <c r="AD131" s="440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</row>
    <row r="132" spans="2:40" s="147" customFormat="1" ht="27" customHeight="1">
      <c r="B132" s="875"/>
      <c r="C132" s="876"/>
      <c r="D132" s="360">
        <v>18</v>
      </c>
      <c r="E132" s="434"/>
      <c r="F132" s="362">
        <f t="shared" si="83"/>
        <v>0</v>
      </c>
      <c r="G132" s="363"/>
      <c r="H132" s="436"/>
      <c r="I132" s="436"/>
      <c r="J132" s="438" t="str">
        <f t="shared" si="84"/>
        <v>-</v>
      </c>
      <c r="K132" s="437"/>
      <c r="L132" s="438" t="str">
        <f t="shared" si="85"/>
        <v>-</v>
      </c>
      <c r="M132" s="437"/>
      <c r="N132" s="438" t="str">
        <f t="shared" si="86"/>
        <v>-</v>
      </c>
      <c r="O132" s="439">
        <f t="shared" si="87"/>
        <v>0</v>
      </c>
      <c r="P132" s="438" t="str">
        <f t="shared" si="88"/>
        <v>-</v>
      </c>
      <c r="Q132" s="436"/>
      <c r="R132" s="438" t="str">
        <f t="shared" si="89"/>
        <v>-</v>
      </c>
      <c r="S132" s="446">
        <f t="shared" si="90"/>
        <v>0</v>
      </c>
      <c r="T132" s="439">
        <f t="shared" si="91"/>
        <v>0</v>
      </c>
      <c r="U132" s="438" t="str">
        <f t="shared" si="92"/>
        <v>-</v>
      </c>
      <c r="V132" s="450">
        <f t="shared" si="93"/>
        <v>0</v>
      </c>
      <c r="W132" s="451" t="str">
        <f t="shared" si="94"/>
        <v>-</v>
      </c>
      <c r="X132" s="452">
        <f t="shared" si="95"/>
        <v>0</v>
      </c>
      <c r="Y132" s="364" t="s">
        <v>170</v>
      </c>
      <c r="Z132" s="364" t="s">
        <v>406</v>
      </c>
      <c r="AA132" s="365"/>
      <c r="AB132" s="365"/>
      <c r="AC132" s="365">
        <v>1</v>
      </c>
      <c r="AD132" s="440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</row>
    <row r="133" spans="2:40" s="147" customFormat="1" ht="27" customHeight="1">
      <c r="B133" s="875"/>
      <c r="C133" s="876"/>
      <c r="D133" s="360">
        <v>19</v>
      </c>
      <c r="E133" s="434"/>
      <c r="F133" s="362">
        <f t="shared" si="83"/>
        <v>0</v>
      </c>
      <c r="G133" s="363"/>
      <c r="H133" s="436"/>
      <c r="I133" s="436"/>
      <c r="J133" s="438" t="str">
        <f t="shared" si="84"/>
        <v>-</v>
      </c>
      <c r="K133" s="437"/>
      <c r="L133" s="438" t="str">
        <f t="shared" si="85"/>
        <v>-</v>
      </c>
      <c r="M133" s="437"/>
      <c r="N133" s="438" t="str">
        <f t="shared" si="86"/>
        <v>-</v>
      </c>
      <c r="O133" s="439">
        <f t="shared" si="87"/>
        <v>0</v>
      </c>
      <c r="P133" s="438" t="str">
        <f t="shared" si="88"/>
        <v>-</v>
      </c>
      <c r="Q133" s="436"/>
      <c r="R133" s="438" t="str">
        <f t="shared" si="89"/>
        <v>-</v>
      </c>
      <c r="S133" s="446">
        <f t="shared" si="90"/>
        <v>0</v>
      </c>
      <c r="T133" s="439">
        <f t="shared" si="91"/>
        <v>0</v>
      </c>
      <c r="U133" s="438" t="str">
        <f t="shared" si="92"/>
        <v>-</v>
      </c>
      <c r="V133" s="450">
        <f t="shared" si="93"/>
        <v>0</v>
      </c>
      <c r="W133" s="451" t="str">
        <f t="shared" si="94"/>
        <v>-</v>
      </c>
      <c r="X133" s="452">
        <f t="shared" si="95"/>
        <v>0</v>
      </c>
      <c r="Y133" s="364" t="s">
        <v>170</v>
      </c>
      <c r="Z133" s="364" t="s">
        <v>199</v>
      </c>
      <c r="AA133" s="365"/>
      <c r="AB133" s="365"/>
      <c r="AC133" s="365">
        <v>1</v>
      </c>
      <c r="AD133" s="440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</row>
    <row r="134" spans="2:40" s="147" customFormat="1" ht="27" customHeight="1">
      <c r="B134" s="877"/>
      <c r="C134" s="878"/>
      <c r="D134" s="360">
        <v>20</v>
      </c>
      <c r="E134" s="434"/>
      <c r="F134" s="362">
        <f t="shared" si="83"/>
        <v>0</v>
      </c>
      <c r="G134" s="363"/>
      <c r="H134" s="436"/>
      <c r="I134" s="436"/>
      <c r="J134" s="438" t="str">
        <f t="shared" si="84"/>
        <v>-</v>
      </c>
      <c r="K134" s="437"/>
      <c r="L134" s="438" t="str">
        <f t="shared" si="85"/>
        <v>-</v>
      </c>
      <c r="M134" s="437"/>
      <c r="N134" s="438" t="str">
        <f t="shared" si="86"/>
        <v>-</v>
      </c>
      <c r="O134" s="439">
        <f t="shared" si="87"/>
        <v>0</v>
      </c>
      <c r="P134" s="438" t="str">
        <f t="shared" si="88"/>
        <v>-</v>
      </c>
      <c r="Q134" s="436"/>
      <c r="R134" s="438" t="str">
        <f t="shared" si="89"/>
        <v>-</v>
      </c>
      <c r="S134" s="446">
        <f t="shared" si="90"/>
        <v>0</v>
      </c>
      <c r="T134" s="439">
        <f t="shared" si="91"/>
        <v>0</v>
      </c>
      <c r="U134" s="438" t="str">
        <f t="shared" si="92"/>
        <v>-</v>
      </c>
      <c r="V134" s="450">
        <f t="shared" si="93"/>
        <v>0</v>
      </c>
      <c r="W134" s="451" t="str">
        <f t="shared" si="94"/>
        <v>-</v>
      </c>
      <c r="X134" s="452">
        <f t="shared" si="95"/>
        <v>0</v>
      </c>
      <c r="Y134" s="364" t="s">
        <v>170</v>
      </c>
      <c r="Z134" s="364" t="s">
        <v>406</v>
      </c>
      <c r="AA134" s="365"/>
      <c r="AB134" s="365"/>
      <c r="AC134" s="365">
        <v>1</v>
      </c>
      <c r="AD134" s="440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</row>
  </sheetData>
  <mergeCells count="128">
    <mergeCell ref="AD91:AD92"/>
    <mergeCell ref="AF91:AM93"/>
    <mergeCell ref="B93:C112"/>
    <mergeCell ref="O91:P91"/>
    <mergeCell ref="Q91:S91"/>
    <mergeCell ref="T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B3:AB4"/>
    <mergeCell ref="AC3:AC4"/>
    <mergeCell ref="AD3:AD4"/>
    <mergeCell ref="V3:X3"/>
    <mergeCell ref="B2:AB2"/>
    <mergeCell ref="AD25:AD26"/>
    <mergeCell ref="AF25:AM27"/>
    <mergeCell ref="B27:C46"/>
    <mergeCell ref="O25:P25"/>
    <mergeCell ref="Q25:S25"/>
    <mergeCell ref="T25:U25"/>
    <mergeCell ref="V25:X25"/>
    <mergeCell ref="Y25:Y26"/>
    <mergeCell ref="Z25:Z26"/>
    <mergeCell ref="AA25:AA26"/>
    <mergeCell ref="AB25:AB26"/>
    <mergeCell ref="AC25:AC26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AF3:AM5"/>
    <mergeCell ref="B5:C24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S47"/>
    <mergeCell ref="T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S69"/>
    <mergeCell ref="T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AD113:AD114"/>
    <mergeCell ref="AF113:AM115"/>
    <mergeCell ref="B115:C134"/>
    <mergeCell ref="O113:P113"/>
    <mergeCell ref="Q113:S113"/>
    <mergeCell ref="T113:U113"/>
    <mergeCell ref="V113:X113"/>
    <mergeCell ref="Y113:Y114"/>
    <mergeCell ref="Z113:Z114"/>
    <mergeCell ref="AA113:AA114"/>
    <mergeCell ref="AB113:AB114"/>
    <mergeCell ref="AC113:AC114"/>
    <mergeCell ref="B113:C114"/>
    <mergeCell ref="D113:D114"/>
    <mergeCell ref="E113:E114"/>
    <mergeCell ref="F113:F114"/>
    <mergeCell ref="G113:G114"/>
    <mergeCell ref="H113:H114"/>
    <mergeCell ref="I113:J113"/>
    <mergeCell ref="K113:L113"/>
    <mergeCell ref="M113:N113"/>
  </mergeCells>
  <phoneticPr fontId="13" type="noConversion"/>
  <dataValidations count="1">
    <dataValidation type="list" allowBlank="1" showInputMessage="1" showErrorMessage="1" sqref="T1:X2 Y3:Z3 Y5:Z25 V25:X26 V47:X48 V91:X92 Y27:Z47 V69:X70 Y71:Z91 Y49:Z69 Y115:Z134 V3:X4 T135:X1048576 V113:X114 Y93:Z113" xr:uid="{A1EB4512-C431-4AEA-944E-4BAE75EF62BE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13" t="s">
        <v>12</v>
      </c>
      <c r="D21" s="911"/>
      <c r="E21" s="912"/>
      <c r="F21" s="49" t="s">
        <v>46</v>
      </c>
      <c r="G21" s="49" t="s">
        <v>48</v>
      </c>
      <c r="H21" s="49" t="s">
        <v>49</v>
      </c>
      <c r="I21" s="8" t="s">
        <v>13</v>
      </c>
      <c r="J21" s="926" t="s">
        <v>51</v>
      </c>
      <c r="K21" s="912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5" t="s">
        <v>14</v>
      </c>
      <c r="D22" s="911"/>
      <c r="E22" s="912"/>
      <c r="F22" s="4">
        <v>3</v>
      </c>
      <c r="G22" s="4">
        <v>3000</v>
      </c>
      <c r="H22" s="4">
        <v>1000</v>
      </c>
      <c r="I22" s="4">
        <v>10</v>
      </c>
      <c r="J22" s="914" t="s">
        <v>76</v>
      </c>
      <c r="K22" s="912"/>
      <c r="M22" s="52" t="s">
        <v>26</v>
      </c>
      <c r="N22" s="57" t="s">
        <v>47</v>
      </c>
      <c r="O22" s="921" t="s">
        <v>12</v>
      </c>
      <c r="P22" s="911"/>
      <c r="Q22" s="912"/>
      <c r="R22" s="927" t="s">
        <v>53</v>
      </c>
      <c r="S22" s="911"/>
      <c r="T22" s="912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6" t="s">
        <v>51</v>
      </c>
      <c r="AA22" s="912"/>
    </row>
    <row r="23" spans="1:27" ht="15.75" customHeight="1">
      <c r="A23" s="23"/>
      <c r="B23" s="6">
        <v>2</v>
      </c>
      <c r="C23" s="910"/>
      <c r="D23" s="911"/>
      <c r="E23" s="912"/>
      <c r="F23" s="4"/>
      <c r="G23" s="4"/>
      <c r="H23" s="4"/>
      <c r="I23" s="4"/>
      <c r="J23" s="910"/>
      <c r="K23" s="912"/>
      <c r="M23" s="56" t="s">
        <v>42</v>
      </c>
      <c r="N23" s="24">
        <v>1</v>
      </c>
      <c r="O23" s="914" t="s">
        <v>82</v>
      </c>
      <c r="P23" s="911"/>
      <c r="Q23" s="912"/>
      <c r="R23" s="914" t="s">
        <v>85</v>
      </c>
      <c r="S23" s="911"/>
      <c r="T23" s="91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4" t="s">
        <v>86</v>
      </c>
      <c r="AA23" s="912"/>
    </row>
    <row r="24" spans="1:27" ht="15.75" customHeight="1">
      <c r="A24" s="23"/>
      <c r="B24" s="6">
        <v>3</v>
      </c>
      <c r="C24" s="910"/>
      <c r="D24" s="911"/>
      <c r="E24" s="912"/>
      <c r="F24" s="4"/>
      <c r="G24" s="4"/>
      <c r="H24" s="4"/>
      <c r="I24" s="4"/>
      <c r="J24" s="910"/>
      <c r="K24" s="912"/>
      <c r="M24" s="25"/>
      <c r="N24" s="24">
        <v>2</v>
      </c>
      <c r="O24" s="915"/>
      <c r="P24" s="911"/>
      <c r="Q24" s="912"/>
      <c r="R24" s="915"/>
      <c r="S24" s="911"/>
      <c r="T24" s="912"/>
      <c r="U24" s="4"/>
      <c r="V24" s="14"/>
      <c r="W24" s="4"/>
      <c r="X24" s="16">
        <f t="shared" si="16"/>
        <v>0</v>
      </c>
      <c r="Y24" s="4"/>
      <c r="Z24" s="915"/>
      <c r="AA24" s="912"/>
    </row>
    <row r="25" spans="1:27" ht="15.75" customHeight="1">
      <c r="A25" s="23"/>
      <c r="B25" s="6">
        <v>4</v>
      </c>
      <c r="C25" s="910"/>
      <c r="D25" s="911"/>
      <c r="E25" s="912"/>
      <c r="F25" s="4"/>
      <c r="G25" s="4"/>
      <c r="H25" s="4"/>
      <c r="I25" s="4"/>
      <c r="J25" s="910"/>
      <c r="K25" s="912"/>
      <c r="M25" s="25"/>
      <c r="N25" s="24">
        <v>3</v>
      </c>
      <c r="O25" s="915"/>
      <c r="P25" s="911"/>
      <c r="Q25" s="912"/>
      <c r="R25" s="915"/>
      <c r="S25" s="911"/>
      <c r="T25" s="912"/>
      <c r="U25" s="4"/>
      <c r="V25" s="14"/>
      <c r="W25" s="4"/>
      <c r="X25" s="16">
        <f t="shared" si="16"/>
        <v>0</v>
      </c>
      <c r="Y25" s="4"/>
      <c r="Z25" s="915"/>
      <c r="AA25" s="912"/>
    </row>
    <row r="26" spans="1:27" ht="15.75" customHeight="1">
      <c r="A26" s="23"/>
      <c r="B26" s="26">
        <v>5</v>
      </c>
      <c r="C26" s="924"/>
      <c r="D26" s="920"/>
      <c r="E26" s="917"/>
      <c r="F26" s="27"/>
      <c r="G26" s="27"/>
      <c r="H26" s="27"/>
      <c r="I26" s="27"/>
      <c r="J26" s="924"/>
      <c r="K26" s="917"/>
      <c r="M26" s="25"/>
      <c r="N26" s="24">
        <v>4</v>
      </c>
      <c r="O26" s="915"/>
      <c r="P26" s="911"/>
      <c r="Q26" s="912"/>
      <c r="R26" s="915"/>
      <c r="S26" s="911"/>
      <c r="T26" s="912"/>
      <c r="U26" s="4"/>
      <c r="V26" s="14"/>
      <c r="W26" s="4"/>
      <c r="X26" s="16">
        <f t="shared" si="16"/>
        <v>0</v>
      </c>
      <c r="Y26" s="4"/>
      <c r="Z26" s="915"/>
      <c r="AA26" s="912"/>
    </row>
    <row r="27" spans="1:27" ht="15.75" customHeight="1">
      <c r="A27" s="23"/>
      <c r="B27" s="69" t="s">
        <v>101</v>
      </c>
      <c r="C27" s="918" t="s">
        <v>75</v>
      </c>
      <c r="D27" s="925"/>
      <c r="E27" s="919"/>
      <c r="F27" s="28">
        <v>4</v>
      </c>
      <c r="G27" s="28">
        <v>2800</v>
      </c>
      <c r="H27" s="28">
        <v>700</v>
      </c>
      <c r="I27" s="28" t="s">
        <v>15</v>
      </c>
      <c r="J27" s="918" t="s">
        <v>77</v>
      </c>
      <c r="K27" s="919"/>
      <c r="M27" s="25"/>
      <c r="N27" s="29">
        <v>5</v>
      </c>
      <c r="O27" s="916"/>
      <c r="P27" s="920"/>
      <c r="Q27" s="917"/>
      <c r="R27" s="916"/>
      <c r="S27" s="920"/>
      <c r="T27" s="917"/>
      <c r="U27" s="27"/>
      <c r="V27" s="30"/>
      <c r="W27" s="27"/>
      <c r="X27" s="31">
        <f t="shared" si="16"/>
        <v>0</v>
      </c>
      <c r="Y27" s="4"/>
      <c r="Z27" s="916"/>
      <c r="AA27" s="917"/>
    </row>
    <row r="28" spans="1:27" ht="15.75" customHeight="1">
      <c r="A28" s="23"/>
      <c r="B28" s="70" t="s">
        <v>102</v>
      </c>
      <c r="C28" s="910"/>
      <c r="D28" s="911"/>
      <c r="E28" s="912"/>
      <c r="F28" s="4"/>
      <c r="G28" s="4"/>
      <c r="H28" s="4"/>
      <c r="I28" s="4"/>
      <c r="J28" s="910"/>
      <c r="K28" s="912"/>
      <c r="M28" s="32"/>
      <c r="N28" s="55"/>
      <c r="O28" s="922"/>
      <c r="P28" s="911"/>
      <c r="Q28" s="911"/>
      <c r="R28" s="922"/>
      <c r="S28" s="911"/>
      <c r="T28" s="911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2"/>
      <c r="AA28" s="912"/>
    </row>
    <row r="29" spans="1:27" ht="15.75" customHeight="1">
      <c r="A29" s="23"/>
      <c r="B29" s="70" t="s">
        <v>100</v>
      </c>
      <c r="C29" s="910"/>
      <c r="D29" s="911"/>
      <c r="E29" s="912"/>
      <c r="F29" s="4"/>
      <c r="G29" s="4"/>
      <c r="H29" s="4"/>
      <c r="I29" s="4"/>
      <c r="J29" s="910"/>
      <c r="K29" s="912"/>
      <c r="M29" s="56" t="s">
        <v>43</v>
      </c>
      <c r="N29" s="24">
        <v>1</v>
      </c>
      <c r="O29" s="935" t="s">
        <v>16</v>
      </c>
      <c r="P29" s="931"/>
      <c r="Q29" s="932"/>
      <c r="R29" s="930" t="s">
        <v>87</v>
      </c>
      <c r="S29" s="931"/>
      <c r="T29" s="93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0" t="s">
        <v>88</v>
      </c>
      <c r="AA29" s="932"/>
    </row>
    <row r="30" spans="1:27" ht="15.75" customHeight="1">
      <c r="A30" s="23"/>
      <c r="B30" s="70" t="s">
        <v>99</v>
      </c>
      <c r="C30" s="910"/>
      <c r="D30" s="911"/>
      <c r="E30" s="912"/>
      <c r="F30" s="4"/>
      <c r="G30" s="4"/>
      <c r="H30" s="4"/>
      <c r="I30" s="4"/>
      <c r="J30" s="910"/>
      <c r="K30" s="912"/>
      <c r="M30" s="25"/>
      <c r="N30" s="24">
        <v>2</v>
      </c>
      <c r="O30" s="915"/>
      <c r="P30" s="911"/>
      <c r="Q30" s="912"/>
      <c r="R30" s="915"/>
      <c r="S30" s="911"/>
      <c r="T30" s="912"/>
      <c r="U30" s="4"/>
      <c r="V30" s="14"/>
      <c r="W30" s="4"/>
      <c r="X30" s="16">
        <f t="shared" si="17"/>
        <v>0</v>
      </c>
      <c r="Y30" s="4"/>
      <c r="Z30" s="915"/>
      <c r="AA30" s="912"/>
    </row>
    <row r="31" spans="1:27" ht="15.75" customHeight="1">
      <c r="A31" s="20"/>
      <c r="B31" s="70" t="s">
        <v>103</v>
      </c>
      <c r="C31" s="910"/>
      <c r="D31" s="911"/>
      <c r="E31" s="912"/>
      <c r="F31" s="4"/>
      <c r="G31" s="4"/>
      <c r="H31" s="4"/>
      <c r="I31" s="4"/>
      <c r="J31" s="910"/>
      <c r="K31" s="912"/>
      <c r="M31" s="25"/>
      <c r="N31" s="24">
        <v>3</v>
      </c>
      <c r="O31" s="915"/>
      <c r="P31" s="911"/>
      <c r="Q31" s="912"/>
      <c r="R31" s="915"/>
      <c r="S31" s="911"/>
      <c r="T31" s="912"/>
      <c r="U31" s="4"/>
      <c r="V31" s="14"/>
      <c r="W31" s="4"/>
      <c r="X31" s="16">
        <f t="shared" si="17"/>
        <v>0</v>
      </c>
      <c r="Y31" s="4"/>
      <c r="Z31" s="915"/>
      <c r="AA31" s="912"/>
    </row>
    <row r="32" spans="1:27" ht="15.75" customHeight="1">
      <c r="A32" s="67"/>
      <c r="M32" s="25"/>
      <c r="N32" s="24">
        <v>4</v>
      </c>
      <c r="O32" s="915"/>
      <c r="P32" s="911"/>
      <c r="Q32" s="912"/>
      <c r="R32" s="915"/>
      <c r="S32" s="911"/>
      <c r="T32" s="912"/>
      <c r="U32" s="4"/>
      <c r="V32" s="14"/>
      <c r="W32" s="4"/>
      <c r="X32" s="16">
        <f t="shared" si="17"/>
        <v>0</v>
      </c>
      <c r="Y32" s="4"/>
      <c r="Z32" s="915"/>
      <c r="AA32" s="912"/>
    </row>
    <row r="33" spans="1:27" ht="15.75" customHeight="1">
      <c r="A33" s="18"/>
      <c r="B33" s="49" t="s">
        <v>47</v>
      </c>
      <c r="C33" s="913" t="s">
        <v>12</v>
      </c>
      <c r="D33" s="911"/>
      <c r="E33" s="912"/>
      <c r="F33" s="49" t="s">
        <v>46</v>
      </c>
      <c r="G33" s="49" t="s">
        <v>48</v>
      </c>
      <c r="H33" s="49" t="s">
        <v>49</v>
      </c>
      <c r="I33" s="8" t="s">
        <v>13</v>
      </c>
      <c r="J33" s="926" t="s">
        <v>51</v>
      </c>
      <c r="K33" s="912"/>
      <c r="M33" s="25"/>
      <c r="N33" s="29">
        <v>5</v>
      </c>
      <c r="O33" s="915"/>
      <c r="P33" s="911"/>
      <c r="Q33" s="912"/>
      <c r="R33" s="915"/>
      <c r="S33" s="911"/>
      <c r="T33" s="912"/>
      <c r="U33" s="27"/>
      <c r="V33" s="30"/>
      <c r="W33" s="27"/>
      <c r="X33" s="31">
        <f t="shared" si="17"/>
        <v>0</v>
      </c>
      <c r="Y33" s="4"/>
      <c r="Z33" s="915"/>
      <c r="AA33" s="912"/>
    </row>
    <row r="34" spans="1:27" ht="15.75" customHeight="1">
      <c r="A34" s="52" t="s">
        <v>35</v>
      </c>
      <c r="B34" s="6">
        <v>1</v>
      </c>
      <c r="C34" s="914" t="s">
        <v>79</v>
      </c>
      <c r="D34" s="911"/>
      <c r="E34" s="912"/>
      <c r="F34" s="4">
        <v>3</v>
      </c>
      <c r="G34" s="4">
        <v>2500</v>
      </c>
      <c r="H34" s="4">
        <v>833.33</v>
      </c>
      <c r="I34" s="4">
        <v>20</v>
      </c>
      <c r="J34" s="914" t="s">
        <v>78</v>
      </c>
      <c r="K34" s="912"/>
      <c r="M34" s="68"/>
      <c r="N34" s="45"/>
      <c r="O34" s="922"/>
      <c r="P34" s="911"/>
      <c r="Q34" s="911"/>
      <c r="R34" s="922"/>
      <c r="S34" s="911"/>
      <c r="T34" s="911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2"/>
      <c r="AA34" s="912"/>
    </row>
    <row r="35" spans="1:27" ht="15.75" customHeight="1">
      <c r="A35" s="23"/>
      <c r="B35" s="6">
        <v>2</v>
      </c>
      <c r="C35" s="915"/>
      <c r="D35" s="911"/>
      <c r="E35" s="912"/>
      <c r="F35" s="4"/>
      <c r="G35" s="4"/>
      <c r="H35" s="4"/>
      <c r="I35" s="4"/>
      <c r="J35" s="915"/>
      <c r="K35" s="912"/>
      <c r="M35" s="1"/>
      <c r="N35" s="1"/>
      <c r="O35" s="933"/>
      <c r="P35" s="934"/>
      <c r="Q35" s="934"/>
      <c r="R35" s="933"/>
      <c r="S35" s="934"/>
      <c r="T35" s="934"/>
      <c r="U35" s="1"/>
      <c r="V35" s="38"/>
      <c r="W35" s="1"/>
      <c r="X35" s="1"/>
      <c r="Y35" s="933"/>
      <c r="Z35" s="934"/>
      <c r="AA35" s="934"/>
    </row>
    <row r="36" spans="1:27" ht="15.75" customHeight="1">
      <c r="A36" s="23"/>
      <c r="B36" s="6">
        <v>3</v>
      </c>
      <c r="C36" s="915"/>
      <c r="D36" s="911"/>
      <c r="E36" s="912"/>
      <c r="F36" s="4"/>
      <c r="G36" s="4"/>
      <c r="H36" s="4"/>
      <c r="I36" s="4"/>
      <c r="J36" s="915"/>
      <c r="K36" s="912"/>
      <c r="M36" s="52" t="s">
        <v>27</v>
      </c>
      <c r="N36" s="57" t="s">
        <v>47</v>
      </c>
      <c r="O36" s="921" t="s">
        <v>12</v>
      </c>
      <c r="P36" s="922"/>
      <c r="Q36" s="923"/>
      <c r="R36" s="927" t="s">
        <v>53</v>
      </c>
      <c r="S36" s="928"/>
      <c r="T36" s="929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6" t="s">
        <v>51</v>
      </c>
      <c r="AA36" s="936"/>
    </row>
    <row r="37" spans="1:27" ht="15.75" customHeight="1">
      <c r="A37" s="23"/>
      <c r="B37" s="6">
        <v>4</v>
      </c>
      <c r="C37" s="915"/>
      <c r="D37" s="911"/>
      <c r="E37" s="912"/>
      <c r="F37" s="4"/>
      <c r="G37" s="4"/>
      <c r="H37" s="4"/>
      <c r="I37" s="4"/>
      <c r="J37" s="915"/>
      <c r="K37" s="912"/>
      <c r="M37" s="56" t="s">
        <v>42</v>
      </c>
      <c r="N37" s="24">
        <v>1</v>
      </c>
      <c r="O37" s="914" t="s">
        <v>89</v>
      </c>
      <c r="P37" s="911"/>
      <c r="Q37" s="912"/>
      <c r="R37" s="914" t="s">
        <v>90</v>
      </c>
      <c r="S37" s="911"/>
      <c r="T37" s="91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4" t="s">
        <v>91</v>
      </c>
      <c r="AA37" s="912"/>
    </row>
    <row r="38" spans="1:27" ht="15.75" customHeight="1">
      <c r="A38" s="23"/>
      <c r="B38" s="26">
        <v>5</v>
      </c>
      <c r="C38" s="916"/>
      <c r="D38" s="920"/>
      <c r="E38" s="917"/>
      <c r="F38" s="27"/>
      <c r="G38" s="27"/>
      <c r="H38" s="27"/>
      <c r="I38" s="27"/>
      <c r="J38" s="916"/>
      <c r="K38" s="917"/>
      <c r="M38" s="25"/>
      <c r="N38" s="24">
        <v>2</v>
      </c>
      <c r="O38" s="915"/>
      <c r="P38" s="911"/>
      <c r="Q38" s="912"/>
      <c r="R38" s="915"/>
      <c r="S38" s="911"/>
      <c r="T38" s="912"/>
      <c r="U38" s="4"/>
      <c r="V38" s="14"/>
      <c r="W38" s="4"/>
      <c r="X38" s="16">
        <f t="shared" si="18"/>
        <v>0</v>
      </c>
      <c r="Y38" s="4"/>
      <c r="Z38" s="915"/>
      <c r="AA38" s="912"/>
    </row>
    <row r="39" spans="1:27" ht="14.25">
      <c r="A39" s="23"/>
      <c r="B39" s="69" t="s">
        <v>101</v>
      </c>
      <c r="C39" s="918" t="s">
        <v>80</v>
      </c>
      <c r="D39" s="925"/>
      <c r="E39" s="919"/>
      <c r="F39" s="28">
        <v>7</v>
      </c>
      <c r="G39" s="28">
        <v>2200</v>
      </c>
      <c r="H39" s="28">
        <v>314.29000000000002</v>
      </c>
      <c r="I39" s="28">
        <v>-15</v>
      </c>
      <c r="J39" s="918" t="s">
        <v>81</v>
      </c>
      <c r="K39" s="919"/>
      <c r="M39" s="25"/>
      <c r="N39" s="24">
        <v>3</v>
      </c>
      <c r="O39" s="915"/>
      <c r="P39" s="911"/>
      <c r="Q39" s="912"/>
      <c r="R39" s="915"/>
      <c r="S39" s="911"/>
      <c r="T39" s="912"/>
      <c r="U39" s="4"/>
      <c r="V39" s="14"/>
      <c r="W39" s="4"/>
      <c r="X39" s="16">
        <f t="shared" si="18"/>
        <v>0</v>
      </c>
      <c r="Y39" s="4"/>
      <c r="Z39" s="915"/>
      <c r="AA39" s="912"/>
    </row>
    <row r="40" spans="1:27" ht="14.25">
      <c r="A40" s="23"/>
      <c r="B40" s="70" t="s">
        <v>102</v>
      </c>
      <c r="C40" s="915"/>
      <c r="D40" s="911"/>
      <c r="E40" s="912"/>
      <c r="F40" s="4"/>
      <c r="G40" s="4"/>
      <c r="H40" s="4"/>
      <c r="I40" s="4"/>
      <c r="J40" s="915"/>
      <c r="K40" s="912"/>
      <c r="M40" s="25"/>
      <c r="N40" s="24">
        <v>4</v>
      </c>
      <c r="O40" s="915"/>
      <c r="P40" s="911"/>
      <c r="Q40" s="912"/>
      <c r="R40" s="915"/>
      <c r="S40" s="911"/>
      <c r="T40" s="912"/>
      <c r="U40" s="4"/>
      <c r="V40" s="14"/>
      <c r="W40" s="4"/>
      <c r="X40" s="16">
        <f t="shared" si="18"/>
        <v>0</v>
      </c>
      <c r="Y40" s="4"/>
      <c r="Z40" s="915"/>
      <c r="AA40" s="912"/>
    </row>
    <row r="41" spans="1:27" ht="14.25">
      <c r="A41" s="23"/>
      <c r="B41" s="70" t="s">
        <v>100</v>
      </c>
      <c r="C41" s="915"/>
      <c r="D41" s="911"/>
      <c r="E41" s="912"/>
      <c r="F41" s="4"/>
      <c r="G41" s="4"/>
      <c r="H41" s="4"/>
      <c r="I41" s="4"/>
      <c r="J41" s="915"/>
      <c r="K41" s="912"/>
      <c r="M41" s="25"/>
      <c r="N41" s="29">
        <v>5</v>
      </c>
      <c r="O41" s="916"/>
      <c r="P41" s="920"/>
      <c r="Q41" s="917"/>
      <c r="R41" s="916"/>
      <c r="S41" s="920"/>
      <c r="T41" s="917"/>
      <c r="U41" s="27"/>
      <c r="V41" s="30"/>
      <c r="W41" s="27"/>
      <c r="X41" s="31">
        <f t="shared" si="18"/>
        <v>0</v>
      </c>
      <c r="Y41" s="4"/>
      <c r="Z41" s="915"/>
      <c r="AA41" s="912"/>
    </row>
    <row r="42" spans="1:27" ht="14.25">
      <c r="A42" s="23"/>
      <c r="B42" s="70" t="s">
        <v>99</v>
      </c>
      <c r="C42" s="915"/>
      <c r="D42" s="911"/>
      <c r="E42" s="912"/>
      <c r="F42" s="4"/>
      <c r="G42" s="4"/>
      <c r="H42" s="4"/>
      <c r="I42" s="4"/>
      <c r="J42" s="915"/>
      <c r="K42" s="912"/>
      <c r="M42" s="32"/>
      <c r="N42" s="54"/>
      <c r="O42" s="922"/>
      <c r="P42" s="911"/>
      <c r="Q42" s="911"/>
      <c r="R42" s="922"/>
      <c r="S42" s="911"/>
      <c r="T42" s="911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2"/>
      <c r="AA42" s="912"/>
    </row>
    <row r="43" spans="1:27" ht="14.25">
      <c r="A43" s="20"/>
      <c r="B43" s="70" t="s">
        <v>103</v>
      </c>
      <c r="C43" s="915"/>
      <c r="D43" s="911"/>
      <c r="E43" s="912"/>
      <c r="F43" s="4"/>
      <c r="G43" s="4"/>
      <c r="H43" s="4"/>
      <c r="I43" s="4"/>
      <c r="J43" s="915"/>
      <c r="K43" s="912"/>
      <c r="M43" s="56" t="s">
        <v>43</v>
      </c>
      <c r="N43" s="24">
        <v>1</v>
      </c>
      <c r="O43" s="914" t="s">
        <v>89</v>
      </c>
      <c r="P43" s="911"/>
      <c r="Q43" s="912"/>
      <c r="R43" s="930" t="s">
        <v>93</v>
      </c>
      <c r="S43" s="931"/>
      <c r="T43" s="93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4" t="s">
        <v>92</v>
      </c>
      <c r="AA43" s="912"/>
    </row>
    <row r="44" spans="1:27" ht="14.25">
      <c r="A44" s="67"/>
      <c r="M44" s="25"/>
      <c r="N44" s="24">
        <v>2</v>
      </c>
      <c r="O44" s="915"/>
      <c r="P44" s="911"/>
      <c r="Q44" s="912"/>
      <c r="R44" s="915"/>
      <c r="S44" s="911"/>
      <c r="T44" s="912"/>
      <c r="U44" s="4"/>
      <c r="V44" s="14"/>
      <c r="W44" s="4"/>
      <c r="X44" s="37">
        <f t="shared" si="19"/>
        <v>0</v>
      </c>
      <c r="Y44" s="4"/>
      <c r="Z44" s="915"/>
      <c r="AA44" s="912"/>
    </row>
    <row r="45" spans="1:27" ht="14.25">
      <c r="A45" s="18"/>
      <c r="B45" s="49" t="s">
        <v>47</v>
      </c>
      <c r="C45" s="913" t="s">
        <v>12</v>
      </c>
      <c r="D45" s="911"/>
      <c r="E45" s="912"/>
      <c r="F45" s="49" t="s">
        <v>46</v>
      </c>
      <c r="G45" s="49" t="s">
        <v>48</v>
      </c>
      <c r="H45" s="49" t="s">
        <v>49</v>
      </c>
      <c r="I45" s="8" t="s">
        <v>13</v>
      </c>
      <c r="J45" s="926" t="s">
        <v>51</v>
      </c>
      <c r="K45" s="912"/>
      <c r="M45" s="25"/>
      <c r="N45" s="24">
        <v>3</v>
      </c>
      <c r="O45" s="915"/>
      <c r="P45" s="911"/>
      <c r="Q45" s="912"/>
      <c r="R45" s="915"/>
      <c r="S45" s="911"/>
      <c r="T45" s="912"/>
      <c r="U45" s="4"/>
      <c r="V45" s="14"/>
      <c r="W45" s="4"/>
      <c r="X45" s="37">
        <f t="shared" si="19"/>
        <v>0</v>
      </c>
      <c r="Y45" s="4"/>
      <c r="Z45" s="915"/>
      <c r="AA45" s="912"/>
    </row>
    <row r="46" spans="1:27" ht="14.25">
      <c r="A46" s="52" t="s">
        <v>36</v>
      </c>
      <c r="B46" s="6">
        <v>1</v>
      </c>
      <c r="C46" s="914" t="s">
        <v>82</v>
      </c>
      <c r="D46" s="911"/>
      <c r="E46" s="912"/>
      <c r="F46" s="4">
        <v>15</v>
      </c>
      <c r="G46" s="4">
        <v>1200</v>
      </c>
      <c r="H46" s="4">
        <v>80</v>
      </c>
      <c r="I46" s="4">
        <v>5</v>
      </c>
      <c r="J46" s="914" t="s">
        <v>83</v>
      </c>
      <c r="K46" s="912"/>
      <c r="M46" s="25"/>
      <c r="N46" s="24">
        <v>4</v>
      </c>
      <c r="O46" s="915"/>
      <c r="P46" s="911"/>
      <c r="Q46" s="912"/>
      <c r="R46" s="915"/>
      <c r="S46" s="911"/>
      <c r="T46" s="912"/>
      <c r="U46" s="4"/>
      <c r="V46" s="14"/>
      <c r="W46" s="4"/>
      <c r="X46" s="37">
        <f t="shared" si="19"/>
        <v>0</v>
      </c>
      <c r="Y46" s="4"/>
      <c r="Z46" s="915"/>
      <c r="AA46" s="912"/>
    </row>
    <row r="47" spans="1:27" ht="14.25">
      <c r="A47" s="23"/>
      <c r="B47" s="6">
        <v>2</v>
      </c>
      <c r="C47" s="915"/>
      <c r="D47" s="911"/>
      <c r="E47" s="912"/>
      <c r="F47" s="4"/>
      <c r="G47" s="4"/>
      <c r="H47" s="4"/>
      <c r="I47" s="4"/>
      <c r="J47" s="915"/>
      <c r="K47" s="912"/>
      <c r="M47" s="25"/>
      <c r="N47" s="29">
        <v>5</v>
      </c>
      <c r="O47" s="915"/>
      <c r="P47" s="911"/>
      <c r="Q47" s="912"/>
      <c r="R47" s="915"/>
      <c r="S47" s="911"/>
      <c r="T47" s="912"/>
      <c r="U47" s="27"/>
      <c r="V47" s="30"/>
      <c r="W47" s="27"/>
      <c r="X47" s="40">
        <f t="shared" si="19"/>
        <v>0</v>
      </c>
      <c r="Y47" s="4"/>
      <c r="Z47" s="915"/>
      <c r="AA47" s="912"/>
    </row>
    <row r="48" spans="1:27" ht="14.25">
      <c r="A48" s="23"/>
      <c r="B48" s="6">
        <v>3</v>
      </c>
      <c r="C48" s="915"/>
      <c r="D48" s="911"/>
      <c r="E48" s="912"/>
      <c r="F48" s="4"/>
      <c r="G48" s="4"/>
      <c r="H48" s="4"/>
      <c r="I48" s="4"/>
      <c r="J48" s="915"/>
      <c r="K48" s="912"/>
      <c r="M48" s="68"/>
      <c r="N48" s="45"/>
      <c r="O48" s="922"/>
      <c r="P48" s="911"/>
      <c r="Q48" s="911"/>
      <c r="R48" s="922"/>
      <c r="S48" s="911"/>
      <c r="T48" s="911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2"/>
      <c r="AA48" s="912"/>
    </row>
    <row r="49" spans="1:27" ht="14.25">
      <c r="A49" s="23"/>
      <c r="B49" s="6">
        <v>4</v>
      </c>
      <c r="C49" s="915"/>
      <c r="D49" s="911"/>
      <c r="E49" s="912"/>
      <c r="F49" s="4"/>
      <c r="G49" s="4"/>
      <c r="H49" s="4"/>
      <c r="I49" s="4"/>
      <c r="J49" s="915"/>
      <c r="K49" s="91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6"/>
      <c r="D50" s="920"/>
      <c r="E50" s="917"/>
      <c r="F50" s="27"/>
      <c r="G50" s="27"/>
      <c r="H50" s="27"/>
      <c r="I50" s="27"/>
      <c r="J50" s="916"/>
      <c r="K50" s="91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18" t="s">
        <v>89</v>
      </c>
      <c r="D51" s="925"/>
      <c r="E51" s="919"/>
      <c r="F51" s="28">
        <v>18</v>
      </c>
      <c r="G51" s="28">
        <v>800</v>
      </c>
      <c r="H51" s="28">
        <v>44.44</v>
      </c>
      <c r="I51" s="28">
        <v>-15</v>
      </c>
      <c r="J51" s="918" t="s">
        <v>84</v>
      </c>
      <c r="K51" s="919"/>
      <c r="M51" s="8"/>
      <c r="N51" s="8" t="s">
        <v>18</v>
      </c>
      <c r="O51" s="921" t="s">
        <v>12</v>
      </c>
      <c r="P51" s="922"/>
      <c r="Q51" s="923"/>
      <c r="R51" s="927" t="s">
        <v>53</v>
      </c>
      <c r="S51" s="928"/>
      <c r="T51" s="929"/>
      <c r="U51" s="57" t="s">
        <v>54</v>
      </c>
      <c r="V51" s="39" t="s">
        <v>19</v>
      </c>
      <c r="W51" s="57" t="s">
        <v>57</v>
      </c>
      <c r="X51" s="8" t="s">
        <v>2</v>
      </c>
      <c r="Y51" s="921" t="s">
        <v>50</v>
      </c>
      <c r="Z51" s="922"/>
      <c r="AA51" s="923"/>
    </row>
    <row r="52" spans="1:27" ht="14.25">
      <c r="A52" s="23"/>
      <c r="B52" s="70" t="s">
        <v>102</v>
      </c>
      <c r="C52" s="915"/>
      <c r="D52" s="911"/>
      <c r="E52" s="912"/>
      <c r="F52" s="4"/>
      <c r="G52" s="4"/>
      <c r="H52" s="4"/>
      <c r="I52" s="4"/>
      <c r="J52" s="915"/>
      <c r="K52" s="912"/>
      <c r="M52" s="56" t="s">
        <v>42</v>
      </c>
      <c r="N52" s="24">
        <v>1</v>
      </c>
      <c r="O52" s="914" t="s">
        <v>89</v>
      </c>
      <c r="P52" s="911"/>
      <c r="Q52" s="912"/>
      <c r="R52" s="930" t="s">
        <v>93</v>
      </c>
      <c r="S52" s="931"/>
      <c r="T52" s="93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4" t="s">
        <v>97</v>
      </c>
      <c r="Z52" s="911"/>
      <c r="AA52" s="912"/>
    </row>
    <row r="53" spans="1:27" ht="14.25">
      <c r="A53" s="23"/>
      <c r="B53" s="70" t="s">
        <v>100</v>
      </c>
      <c r="C53" s="915"/>
      <c r="D53" s="911"/>
      <c r="E53" s="912"/>
      <c r="F53" s="4"/>
      <c r="G53" s="4"/>
      <c r="H53" s="4"/>
      <c r="I53" s="4"/>
      <c r="J53" s="915"/>
      <c r="K53" s="912"/>
      <c r="M53" s="25"/>
      <c r="N53" s="29">
        <v>2</v>
      </c>
      <c r="O53" s="916"/>
      <c r="P53" s="920"/>
      <c r="Q53" s="917"/>
      <c r="R53" s="916"/>
      <c r="S53" s="920"/>
      <c r="T53" s="917"/>
      <c r="U53" s="27"/>
      <c r="V53" s="30"/>
      <c r="W53" s="30"/>
      <c r="X53" s="41">
        <f t="shared" si="20"/>
        <v>0</v>
      </c>
      <c r="Y53" s="916"/>
      <c r="Z53" s="920"/>
      <c r="AA53" s="917"/>
    </row>
    <row r="54" spans="1:27" ht="14.25">
      <c r="A54" s="23"/>
      <c r="B54" s="70" t="s">
        <v>99</v>
      </c>
      <c r="C54" s="915"/>
      <c r="D54" s="911"/>
      <c r="E54" s="912"/>
      <c r="F54" s="4"/>
      <c r="G54" s="4"/>
      <c r="H54" s="4"/>
      <c r="I54" s="4"/>
      <c r="J54" s="915"/>
      <c r="K54" s="912"/>
      <c r="M54" s="56" t="s">
        <v>43</v>
      </c>
      <c r="N54" s="42">
        <v>1</v>
      </c>
      <c r="O54" s="918" t="s">
        <v>94</v>
      </c>
      <c r="P54" s="925"/>
      <c r="Q54" s="919"/>
      <c r="R54" s="918" t="s">
        <v>95</v>
      </c>
      <c r="S54" s="925"/>
      <c r="T54" s="91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18" t="s">
        <v>96</v>
      </c>
      <c r="Z54" s="925"/>
      <c r="AA54" s="919"/>
    </row>
    <row r="55" spans="1:27" ht="14.25">
      <c r="A55" s="20"/>
      <c r="B55" s="70" t="s">
        <v>103</v>
      </c>
      <c r="C55" s="915"/>
      <c r="D55" s="911"/>
      <c r="E55" s="912"/>
      <c r="F55" s="4"/>
      <c r="G55" s="4"/>
      <c r="H55" s="4"/>
      <c r="I55" s="4"/>
      <c r="J55" s="915"/>
      <c r="K55" s="912"/>
      <c r="M55" s="22"/>
      <c r="N55" s="24">
        <v>2</v>
      </c>
      <c r="O55" s="915"/>
      <c r="P55" s="911"/>
      <c r="Q55" s="912"/>
      <c r="R55" s="915"/>
      <c r="S55" s="911"/>
      <c r="T55" s="912"/>
      <c r="U55" s="4"/>
      <c r="V55" s="14"/>
      <c r="W55" s="14"/>
      <c r="X55" s="13">
        <f t="shared" si="20"/>
        <v>0</v>
      </c>
      <c r="Y55" s="915"/>
      <c r="Z55" s="911"/>
      <c r="AA55" s="91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37" t="s">
        <v>234</v>
      </c>
      <c r="C2" s="937"/>
      <c r="D2" s="937"/>
      <c r="E2" s="937"/>
      <c r="F2" s="937"/>
    </row>
    <row r="3" spans="2:7" ht="15">
      <c r="B3" s="149" t="s">
        <v>235</v>
      </c>
      <c r="C3" s="149" t="s">
        <v>236</v>
      </c>
      <c r="D3" s="150"/>
      <c r="E3" s="149" t="s">
        <v>237</v>
      </c>
      <c r="F3" s="149" t="s">
        <v>238</v>
      </c>
      <c r="G3" s="150"/>
    </row>
    <row r="4" spans="2:7" ht="15">
      <c r="B4" s="151" t="s">
        <v>239</v>
      </c>
      <c r="C4" s="151" t="s">
        <v>240</v>
      </c>
      <c r="D4" s="150"/>
      <c r="E4" s="151" t="s">
        <v>241</v>
      </c>
      <c r="F4" s="151" t="s">
        <v>242</v>
      </c>
      <c r="G4" s="150"/>
    </row>
    <row r="5" spans="2:7" ht="15">
      <c r="B5" s="151" t="s">
        <v>243</v>
      </c>
      <c r="C5" s="151" t="s">
        <v>244</v>
      </c>
      <c r="D5" s="150"/>
      <c r="E5" s="151" t="s">
        <v>245</v>
      </c>
      <c r="F5" s="151" t="s">
        <v>246</v>
      </c>
      <c r="G5" s="150"/>
    </row>
    <row r="6" spans="2:7" ht="15">
      <c r="B6" s="151" t="s">
        <v>247</v>
      </c>
      <c r="C6" s="151" t="s">
        <v>248</v>
      </c>
      <c r="D6" s="150"/>
      <c r="E6" s="152" t="s">
        <v>249</v>
      </c>
      <c r="F6" s="152" t="s">
        <v>141</v>
      </c>
      <c r="G6" s="150"/>
    </row>
    <row r="7" spans="2:7" ht="15">
      <c r="B7" s="152" t="s">
        <v>250</v>
      </c>
      <c r="C7" s="152" t="s">
        <v>251</v>
      </c>
      <c r="D7" s="150"/>
      <c r="E7" s="151" t="s">
        <v>252</v>
      </c>
      <c r="F7" s="151" t="s">
        <v>253</v>
      </c>
      <c r="G7" s="150"/>
    </row>
    <row r="8" spans="2:7" ht="15">
      <c r="B8" s="151" t="s">
        <v>254</v>
      </c>
      <c r="C8" s="151" t="s">
        <v>255</v>
      </c>
      <c r="D8" s="150"/>
      <c r="E8" s="151" t="s">
        <v>256</v>
      </c>
      <c r="F8" s="151" t="s">
        <v>257</v>
      </c>
      <c r="G8" s="150"/>
    </row>
    <row r="9" spans="2:7" ht="15">
      <c r="B9" s="151" t="s">
        <v>258</v>
      </c>
      <c r="C9" s="151" t="s">
        <v>259</v>
      </c>
      <c r="D9" s="150"/>
      <c r="E9" s="152" t="s">
        <v>260</v>
      </c>
      <c r="F9" s="152" t="s">
        <v>140</v>
      </c>
      <c r="G9" s="150"/>
    </row>
    <row r="10" spans="2:7" ht="15">
      <c r="B10" s="151" t="s">
        <v>261</v>
      </c>
      <c r="C10" s="151" t="s">
        <v>262</v>
      </c>
      <c r="D10" s="150"/>
      <c r="E10" s="151" t="s">
        <v>263</v>
      </c>
      <c r="F10" s="151" t="s">
        <v>264</v>
      </c>
      <c r="G10" s="150"/>
    </row>
    <row r="11" spans="2:7" ht="15">
      <c r="B11" s="151" t="s">
        <v>265</v>
      </c>
      <c r="C11" s="151" t="s">
        <v>266</v>
      </c>
      <c r="D11" s="150"/>
      <c r="E11" s="151" t="s">
        <v>267</v>
      </c>
      <c r="F11" s="151" t="s">
        <v>257</v>
      </c>
      <c r="G11" s="150"/>
    </row>
    <row r="12" spans="2:7" ht="15">
      <c r="B12" s="151" t="s">
        <v>268</v>
      </c>
      <c r="C12" s="151" t="s">
        <v>269</v>
      </c>
      <c r="D12" s="150"/>
      <c r="E12" s="151" t="s">
        <v>270</v>
      </c>
      <c r="F12" s="151" t="s">
        <v>271</v>
      </c>
      <c r="G12" s="150"/>
    </row>
    <row r="13" spans="2:7" ht="15">
      <c r="B13" s="152" t="s">
        <v>272</v>
      </c>
      <c r="C13" s="152" t="s">
        <v>136</v>
      </c>
      <c r="D13" s="150"/>
      <c r="E13" s="151" t="s">
        <v>273</v>
      </c>
      <c r="F13" s="151" t="s">
        <v>274</v>
      </c>
      <c r="G13" s="150"/>
    </row>
    <row r="14" spans="2:7" ht="15">
      <c r="B14" s="151" t="s">
        <v>275</v>
      </c>
      <c r="C14" s="151" t="s">
        <v>276</v>
      </c>
      <c r="D14" s="150"/>
      <c r="E14" s="152" t="s">
        <v>277</v>
      </c>
      <c r="F14" s="152" t="s">
        <v>278</v>
      </c>
      <c r="G14" s="150"/>
    </row>
    <row r="15" spans="2:7" ht="15">
      <c r="B15" s="152" t="s">
        <v>279</v>
      </c>
      <c r="C15" s="152" t="s">
        <v>280</v>
      </c>
      <c r="D15" s="150"/>
      <c r="E15" s="151" t="s">
        <v>281</v>
      </c>
      <c r="F15" s="151" t="s">
        <v>278</v>
      </c>
      <c r="G15" s="150"/>
    </row>
    <row r="16" spans="2:7" ht="15">
      <c r="B16" s="151" t="s">
        <v>282</v>
      </c>
      <c r="C16" s="151" t="s">
        <v>283</v>
      </c>
      <c r="D16" s="150"/>
      <c r="E16" s="152" t="s">
        <v>284</v>
      </c>
      <c r="F16" s="152" t="s">
        <v>285</v>
      </c>
      <c r="G16" s="150"/>
    </row>
    <row r="17" spans="2:7" ht="15">
      <c r="B17" s="151" t="s">
        <v>286</v>
      </c>
      <c r="C17" s="151" t="s">
        <v>287</v>
      </c>
      <c r="D17" s="150"/>
      <c r="E17" s="151" t="s">
        <v>288</v>
      </c>
      <c r="F17" s="151" t="s">
        <v>289</v>
      </c>
      <c r="G17" s="150"/>
    </row>
    <row r="18" spans="2:7" ht="15">
      <c r="B18" s="151" t="s">
        <v>290</v>
      </c>
      <c r="C18" s="151" t="s">
        <v>291</v>
      </c>
      <c r="D18" s="150"/>
      <c r="E18" s="151" t="s">
        <v>292</v>
      </c>
      <c r="F18" s="151" t="s">
        <v>293</v>
      </c>
      <c r="G18" s="150"/>
    </row>
    <row r="19" spans="2:7" ht="15">
      <c r="B19" s="151" t="s">
        <v>294</v>
      </c>
      <c r="C19" s="151" t="s">
        <v>295</v>
      </c>
      <c r="D19" s="150"/>
      <c r="E19" s="151" t="s">
        <v>296</v>
      </c>
      <c r="F19" s="151" t="s">
        <v>297</v>
      </c>
      <c r="G19" s="150"/>
    </row>
    <row r="20" spans="2:7" ht="15">
      <c r="B20" s="151" t="s">
        <v>298</v>
      </c>
      <c r="C20" s="151" t="s">
        <v>299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340</v>
      </c>
    </row>
    <row r="4" spans="1:2" ht="14.25">
      <c r="A4">
        <v>2</v>
      </c>
      <c r="B4" s="148" t="s">
        <v>361</v>
      </c>
    </row>
    <row r="5" spans="1:2" ht="14.25">
      <c r="A5">
        <v>3</v>
      </c>
      <c r="B5" s="148" t="s">
        <v>316</v>
      </c>
    </row>
    <row r="6" spans="1:2" ht="14.25">
      <c r="A6">
        <v>4</v>
      </c>
      <c r="B6" s="148" t="s">
        <v>197</v>
      </c>
    </row>
    <row r="7" spans="1:2" ht="15">
      <c r="A7">
        <v>5</v>
      </c>
      <c r="B7" s="150" t="s">
        <v>496</v>
      </c>
    </row>
    <row r="8" spans="1:2" ht="14.25">
      <c r="A8">
        <v>6</v>
      </c>
      <c r="B8" s="148" t="s">
        <v>199</v>
      </c>
    </row>
    <row r="9" spans="1:2" ht="14.25">
      <c r="A9">
        <v>7</v>
      </c>
      <c r="B9" s="148" t="s">
        <v>362</v>
      </c>
    </row>
    <row r="10" spans="1:2" ht="14.25">
      <c r="A10">
        <v>8</v>
      </c>
      <c r="B10" s="148" t="s">
        <v>363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4907F13-7EFC-4336-8DFA-A48B6850650D}"/>
</file>

<file path=customXml/itemProps3.xml><?xml version="1.0" encoding="utf-8"?>
<ds:datastoreItem xmlns:ds="http://schemas.openxmlformats.org/officeDocument/2006/customXml" ds:itemID="{5958D6BF-0ADD-4FFD-876F-2DCEF5833359}"/>
</file>

<file path=customXml/itemProps4.xml><?xml version="1.0" encoding="utf-8"?>
<ds:datastoreItem xmlns:ds="http://schemas.openxmlformats.org/officeDocument/2006/customXml" ds:itemID="{37837727-0A6D-4B4D-8942-1CD01D52E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2026-07-22T06:34:28Z</cp:lastPrinted>
  <dcterms:created xsi:type="dcterms:W3CDTF">2025-07-03T16:36:59Z</dcterms:created>
  <dcterms:modified xsi:type="dcterms:W3CDTF">2026-09-02T08:02:41Z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